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Z:\Comercial\TRADING\"/>
    </mc:Choice>
  </mc:AlternateContent>
  <xr:revisionPtr revIDLastSave="0" documentId="13_ncr:1_{1A5CA9B2-07AB-448D-ADE3-21DBCB15356D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POSIÇÕES (2023)" sheetId="6" r:id="rId1"/>
    <sheet name="POSIÇÕES (2024)" sheetId="8" r:id="rId2"/>
    <sheet name="BD_COMERCIAL" sheetId="13" r:id="rId3"/>
    <sheet name="DRE Trading" sheetId="14" r:id="rId4"/>
    <sheet name="IPCA" sheetId="15" r:id="rId5"/>
    <sheet name="Sheet3" sheetId="18" state="hidden" r:id="rId6"/>
    <sheet name="MtM" sheetId="16" r:id="rId7"/>
    <sheet name="MtM (Trading)" sheetId="19" state="hidden" r:id="rId8"/>
    <sheet name="Curva Forward" sheetId="17" r:id="rId9"/>
    <sheet name="EXTRA 2023" sheetId="24" state="hidden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2" hidden="1">BD_COMERCIAL!$A$4:$IB$153</definedName>
    <definedName name="_xlnm._FilterDatabase" localSheetId="6" hidden="1">MtM!$A$1:$F$117</definedName>
    <definedName name="_xlnm._FilterDatabase" localSheetId="7" hidden="1">'MtM (Trading)'!$B$1:$F$1</definedName>
    <definedName name="_xlnm._FilterDatabase" localSheetId="5" hidden="1">Sheet3!$I$1:$J$1</definedName>
    <definedName name="ano" localSheetId="0">#REF!</definedName>
    <definedName name="ano" localSheetId="1">#REF!</definedName>
    <definedName name="ano">#REF!</definedName>
    <definedName name="ano." localSheetId="2">#REF!</definedName>
    <definedName name="ano." localSheetId="0">#REF!</definedName>
    <definedName name="ano." localSheetId="1">#REF!</definedName>
    <definedName name="ano.">#REF!</definedName>
    <definedName name="MES" localSheetId="0">#REF!</definedName>
    <definedName name="MES" localSheetId="1">#REF!</definedName>
    <definedName name="MES">#REF!</definedName>
    <definedName name="Meses">[1]Dados!$L$2:$L$13</definedName>
    <definedName name="Meses2">[1]Dados!$L$1:$L$13</definedName>
    <definedName name="Meses4">[1]Dados!$J$2:$J$13</definedName>
    <definedName name="Produtos" localSheetId="2">OFFSET(#REF!,0,0,COUNTA([2]Dados!$A$9:$A$22),1)</definedName>
    <definedName name="Produtos" localSheetId="0">OFFSET('POSIÇÕES (2023)'!$Y$3,0,0,COUNTA([3]Dados!$A$9:$A$22),1)</definedName>
    <definedName name="Produtos" localSheetId="1">OFFSET('POSIÇÕES (2024)'!$Y$3,0,0,COUNTA([3]Dados!$A$9:$A$22),1)</definedName>
    <definedName name="Produtos">OFFSET(#REF!,0,0,COUNTA([2]Dados!$A$9:$A$22),1)</definedName>
    <definedName name="Produtos2">OFFSET('POSIÇÕES (2023)'!$Y$3,0,0,COUNTA([3]Dados!$A$9:$A$22),1)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4" l="1"/>
  <c r="N5" i="17"/>
  <c r="AK25" i="6" s="1"/>
  <c r="V144" i="13"/>
  <c r="V143" i="13"/>
  <c r="V142" i="13"/>
  <c r="V141" i="13"/>
  <c r="V140" i="13"/>
  <c r="V139" i="13"/>
  <c r="V138" i="13"/>
  <c r="V137" i="13"/>
  <c r="V136" i="13"/>
  <c r="V135" i="13"/>
  <c r="V134" i="13"/>
  <c r="V133" i="13"/>
  <c r="V132" i="13"/>
  <c r="V131" i="13"/>
  <c r="V130" i="13"/>
  <c r="V129" i="13"/>
  <c r="V128" i="13"/>
  <c r="V127" i="13"/>
  <c r="V126" i="13"/>
  <c r="V125" i="13"/>
  <c r="V124" i="13"/>
  <c r="V123" i="13"/>
  <c r="V122" i="13"/>
  <c r="V121" i="13"/>
  <c r="V120" i="13"/>
  <c r="V119" i="13"/>
  <c r="V118" i="13"/>
  <c r="V117" i="13"/>
  <c r="V116" i="13"/>
  <c r="V115" i="13"/>
  <c r="V114" i="13"/>
  <c r="V113" i="13"/>
  <c r="V112" i="13"/>
  <c r="V111" i="13"/>
  <c r="V110" i="13"/>
  <c r="V109" i="13"/>
  <c r="V108" i="13"/>
  <c r="V107" i="13"/>
  <c r="V106" i="13"/>
  <c r="V105" i="13"/>
  <c r="V104" i="13"/>
  <c r="V103" i="13"/>
  <c r="V102" i="13"/>
  <c r="V101" i="13"/>
  <c r="V100" i="13"/>
  <c r="V99" i="13"/>
  <c r="V98" i="13"/>
  <c r="V97" i="13"/>
  <c r="V96" i="13"/>
  <c r="V95" i="13"/>
  <c r="V94" i="13"/>
  <c r="V93" i="13"/>
  <c r="V92" i="13"/>
  <c r="V91" i="13"/>
  <c r="V90" i="13"/>
  <c r="V89" i="13"/>
  <c r="V88" i="13"/>
  <c r="V87" i="13"/>
  <c r="V86" i="13"/>
  <c r="V85" i="13"/>
  <c r="V84" i="13"/>
  <c r="V83" i="13"/>
  <c r="V82" i="13"/>
  <c r="V81" i="13"/>
  <c r="V80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AN10" i="17" l="1"/>
  <c r="AM10" i="17"/>
  <c r="AL10" i="17"/>
  <c r="AK10" i="17"/>
  <c r="AJ10" i="17"/>
  <c r="AI10" i="17"/>
  <c r="AH10" i="17"/>
  <c r="AG10" i="17"/>
  <c r="AF10" i="17"/>
  <c r="AE10" i="17"/>
  <c r="AD10" i="17"/>
  <c r="AC10" i="17"/>
  <c r="AB10" i="17"/>
  <c r="AA10" i="17"/>
  <c r="GK114" i="13" s="1"/>
  <c r="Z10" i="17"/>
  <c r="GJ114" i="13" s="1"/>
  <c r="Y10" i="17"/>
  <c r="GI114" i="13" s="1"/>
  <c r="X10" i="17"/>
  <c r="W10" i="17"/>
  <c r="V10" i="17"/>
  <c r="U10" i="17"/>
  <c r="T10" i="17"/>
  <c r="FR114" i="13" s="1"/>
  <c r="S10" i="17"/>
  <c r="R10" i="17"/>
  <c r="GB114" i="13" s="1"/>
  <c r="Q10" i="17"/>
  <c r="GA114" i="13" s="1"/>
  <c r="P10" i="17"/>
  <c r="O10" i="17"/>
  <c r="N10" i="17"/>
  <c r="M10" i="17"/>
  <c r="L10" i="17"/>
  <c r="K10" i="17"/>
  <c r="FV10" i="13" s="1"/>
  <c r="J10" i="17"/>
  <c r="I10" i="17"/>
  <c r="FT114" i="13" s="1"/>
  <c r="H10" i="17"/>
  <c r="G10" i="17"/>
  <c r="F10" i="17"/>
  <c r="E10" i="17"/>
  <c r="D10" i="17"/>
  <c r="C10" i="17"/>
  <c r="AN9" i="17"/>
  <c r="AM9" i="17"/>
  <c r="AL9" i="17"/>
  <c r="AK9" i="17"/>
  <c r="AJ9" i="17"/>
  <c r="AI9" i="17"/>
  <c r="AH9" i="17"/>
  <c r="AG9" i="17"/>
  <c r="AF9" i="17"/>
  <c r="AE9" i="17"/>
  <c r="AD9" i="17"/>
  <c r="AC9" i="17"/>
  <c r="AB9" i="17"/>
  <c r="AA9" i="17"/>
  <c r="Z9" i="17"/>
  <c r="FX11" i="13" s="1"/>
  <c r="Y9" i="17"/>
  <c r="FW11" i="13" s="1"/>
  <c r="X9" i="17"/>
  <c r="W9" i="17"/>
  <c r="GG11" i="13" s="1"/>
  <c r="V9" i="17"/>
  <c r="U9" i="17"/>
  <c r="T9" i="17"/>
  <c r="S9" i="17"/>
  <c r="R9" i="17"/>
  <c r="FP11" i="13" s="1"/>
  <c r="Q9" i="17"/>
  <c r="FO11" i="13" s="1"/>
  <c r="P9" i="17"/>
  <c r="O9" i="17"/>
  <c r="N9" i="17"/>
  <c r="M9" i="17"/>
  <c r="L9" i="17"/>
  <c r="K9" i="17"/>
  <c r="J9" i="17"/>
  <c r="I9" i="17"/>
  <c r="FT11" i="13" s="1"/>
  <c r="H9" i="17"/>
  <c r="G9" i="17"/>
  <c r="FR11" i="13" s="1"/>
  <c r="F9" i="17"/>
  <c r="E9" i="17"/>
  <c r="D9" i="17"/>
  <c r="C9" i="17"/>
  <c r="AN8" i="17"/>
  <c r="AM8" i="17"/>
  <c r="AL8" i="17"/>
  <c r="AK8" i="17"/>
  <c r="AJ8" i="17"/>
  <c r="AI8" i="17"/>
  <c r="AH8" i="17"/>
  <c r="AG8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AN7" i="17"/>
  <c r="AM7" i="17"/>
  <c r="AL7" i="17"/>
  <c r="AK7" i="17"/>
  <c r="AJ7" i="17"/>
  <c r="AI7" i="17"/>
  <c r="AH7" i="17"/>
  <c r="AG7" i="17"/>
  <c r="AF7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AN6" i="17"/>
  <c r="AM6" i="17"/>
  <c r="AL6" i="17"/>
  <c r="AK6" i="17"/>
  <c r="AJ6" i="17"/>
  <c r="AI6" i="17"/>
  <c r="AH6" i="17"/>
  <c r="AG6" i="17"/>
  <c r="AF6" i="17"/>
  <c r="AE6" i="17"/>
  <c r="AD6" i="17"/>
  <c r="AC6" i="17"/>
  <c r="AB6" i="17"/>
  <c r="AA6" i="17"/>
  <c r="Z6" i="17"/>
  <c r="Y6" i="17"/>
  <c r="GI102" i="13" s="1"/>
  <c r="X6" i="17"/>
  <c r="W6" i="17"/>
  <c r="V6" i="17"/>
  <c r="U6" i="17"/>
  <c r="T6" i="17"/>
  <c r="FR102" i="13" s="1"/>
  <c r="S6" i="17"/>
  <c r="FQ102" i="13" s="1"/>
  <c r="R6" i="17"/>
  <c r="Q6" i="17"/>
  <c r="GA102" i="13" s="1"/>
  <c r="P6" i="17"/>
  <c r="O6" i="17"/>
  <c r="N6" i="17"/>
  <c r="M6" i="17"/>
  <c r="L6" i="17"/>
  <c r="K6" i="17"/>
  <c r="FV102" i="13" s="1"/>
  <c r="J6" i="17"/>
  <c r="I6" i="17"/>
  <c r="FT102" i="13" s="1"/>
  <c r="H6" i="17"/>
  <c r="G6" i="17"/>
  <c r="F6" i="17"/>
  <c r="E6" i="17"/>
  <c r="D6" i="17"/>
  <c r="C6" i="17"/>
  <c r="FN102" i="13" s="1"/>
  <c r="FL102" i="13" s="1"/>
  <c r="AN5" i="17"/>
  <c r="AM5" i="17"/>
  <c r="AL5" i="17"/>
  <c r="AK5" i="17"/>
  <c r="AJ5" i="17"/>
  <c r="AI5" i="17"/>
  <c r="AH5" i="17"/>
  <c r="AG5" i="17"/>
  <c r="AF5" i="17"/>
  <c r="AE5" i="17"/>
  <c r="AD5" i="17"/>
  <c r="AC5" i="17"/>
  <c r="AB5" i="17"/>
  <c r="AA5" i="17"/>
  <c r="Z5" i="17"/>
  <c r="Y5" i="17"/>
  <c r="GI139" i="13" s="1"/>
  <c r="X5" i="17"/>
  <c r="AH25" i="8" s="1"/>
  <c r="W5" i="17"/>
  <c r="AG25" i="8" s="1"/>
  <c r="V5" i="17"/>
  <c r="AF25" i="8" s="1"/>
  <c r="U5" i="17"/>
  <c r="AE25" i="8" s="1"/>
  <c r="T5" i="17"/>
  <c r="AD25" i="8" s="1"/>
  <c r="S5" i="17"/>
  <c r="R5" i="17"/>
  <c r="GB169" i="13" s="1"/>
  <c r="Q5" i="17"/>
  <c r="GA103" i="13" s="1"/>
  <c r="P5" i="17"/>
  <c r="Z25" i="8" s="1"/>
  <c r="O5" i="17"/>
  <c r="M5" i="17"/>
  <c r="AJ25" i="6" s="1"/>
  <c r="L5" i="17"/>
  <c r="AI25" i="6" s="1"/>
  <c r="K5" i="17"/>
  <c r="AH25" i="6" s="1"/>
  <c r="J5" i="17"/>
  <c r="AG25" i="6" s="1"/>
  <c r="I5" i="17"/>
  <c r="AF25" i="6" s="1"/>
  <c r="H5" i="17"/>
  <c r="FS140" i="13" s="1"/>
  <c r="G5" i="17"/>
  <c r="AD25" i="6" s="1"/>
  <c r="F5" i="17"/>
  <c r="AC25" i="6" s="1"/>
  <c r="E5" i="17"/>
  <c r="AB25" i="6" s="1"/>
  <c r="D5" i="17"/>
  <c r="AA25" i="6" s="1"/>
  <c r="C5" i="17"/>
  <c r="Z25" i="6" s="1"/>
  <c r="B1" i="17"/>
  <c r="GN319" i="13"/>
  <c r="GM319" i="13"/>
  <c r="GL319" i="13"/>
  <c r="GK319" i="13"/>
  <c r="GJ319" i="13"/>
  <c r="GI319" i="13"/>
  <c r="GH319" i="13"/>
  <c r="GG319" i="13"/>
  <c r="GF319" i="13"/>
  <c r="GE319" i="13"/>
  <c r="GD319" i="13"/>
  <c r="GC319" i="13"/>
  <c r="GB319" i="13"/>
  <c r="GA319" i="13"/>
  <c r="FZ319" i="13"/>
  <c r="FY319" i="13"/>
  <c r="FX319" i="13"/>
  <c r="FW319" i="13"/>
  <c r="FV319" i="13"/>
  <c r="FU319" i="13"/>
  <c r="FT319" i="13"/>
  <c r="FS319" i="13"/>
  <c r="FR319" i="13"/>
  <c r="FQ319" i="13"/>
  <c r="FP319" i="13"/>
  <c r="FO319" i="13"/>
  <c r="FN319" i="13"/>
  <c r="GN318" i="13"/>
  <c r="GM318" i="13"/>
  <c r="GL318" i="13"/>
  <c r="GK318" i="13"/>
  <c r="GJ318" i="13"/>
  <c r="GI318" i="13"/>
  <c r="GH318" i="13"/>
  <c r="GG318" i="13"/>
  <c r="GF318" i="13"/>
  <c r="GE318" i="13"/>
  <c r="GD318" i="13"/>
  <c r="GC318" i="13"/>
  <c r="GB318" i="13"/>
  <c r="GA318" i="13"/>
  <c r="FZ318" i="13"/>
  <c r="FY318" i="13"/>
  <c r="FX318" i="13"/>
  <c r="FW318" i="13"/>
  <c r="FV318" i="13"/>
  <c r="FU318" i="13"/>
  <c r="FT318" i="13"/>
  <c r="FS318" i="13"/>
  <c r="FR318" i="13"/>
  <c r="FQ318" i="13"/>
  <c r="FP318" i="13"/>
  <c r="FO318" i="13"/>
  <c r="FN318" i="13"/>
  <c r="GN317" i="13"/>
  <c r="GM317" i="13"/>
  <c r="GL317" i="13"/>
  <c r="GK317" i="13"/>
  <c r="GJ317" i="13"/>
  <c r="GI317" i="13"/>
  <c r="GH317" i="13"/>
  <c r="GG317" i="13"/>
  <c r="GF317" i="13"/>
  <c r="GE317" i="13"/>
  <c r="GD317" i="13"/>
  <c r="GC317" i="13"/>
  <c r="GB317" i="13"/>
  <c r="GA317" i="13"/>
  <c r="FZ317" i="13"/>
  <c r="FY317" i="13"/>
  <c r="FX317" i="13"/>
  <c r="FW317" i="13"/>
  <c r="FV317" i="13"/>
  <c r="FU317" i="13"/>
  <c r="FT317" i="13"/>
  <c r="FS317" i="13"/>
  <c r="FR317" i="13"/>
  <c r="FQ317" i="13"/>
  <c r="FP317" i="13"/>
  <c r="FO317" i="13"/>
  <c r="FN317" i="13"/>
  <c r="GN316" i="13"/>
  <c r="GM316" i="13"/>
  <c r="GL316" i="13"/>
  <c r="GK316" i="13"/>
  <c r="GJ316" i="13"/>
  <c r="GI316" i="13"/>
  <c r="GH316" i="13"/>
  <c r="GG316" i="13"/>
  <c r="GF316" i="13"/>
  <c r="GE316" i="13"/>
  <c r="GD316" i="13"/>
  <c r="GC316" i="13"/>
  <c r="GB316" i="13"/>
  <c r="GA316" i="13"/>
  <c r="FZ316" i="13"/>
  <c r="FY316" i="13"/>
  <c r="FX316" i="13"/>
  <c r="FW316" i="13"/>
  <c r="FV316" i="13"/>
  <c r="FU316" i="13"/>
  <c r="FT316" i="13"/>
  <c r="FS316" i="13"/>
  <c r="FR316" i="13"/>
  <c r="FQ316" i="13"/>
  <c r="FP316" i="13"/>
  <c r="FO316" i="13"/>
  <c r="FN316" i="13"/>
  <c r="FL316" i="13" s="1"/>
  <c r="GN315" i="13"/>
  <c r="GM315" i="13"/>
  <c r="GL315" i="13"/>
  <c r="GK315" i="13"/>
  <c r="GJ315" i="13"/>
  <c r="GI315" i="13"/>
  <c r="GH315" i="13"/>
  <c r="GG315" i="13"/>
  <c r="GF315" i="13"/>
  <c r="GE315" i="13"/>
  <c r="GD315" i="13"/>
  <c r="GC315" i="13"/>
  <c r="GB315" i="13"/>
  <c r="GA315" i="13"/>
  <c r="FZ315" i="13"/>
  <c r="FY315" i="13"/>
  <c r="FX315" i="13"/>
  <c r="FW315" i="13"/>
  <c r="FV315" i="13"/>
  <c r="FU315" i="13"/>
  <c r="FT315" i="13"/>
  <c r="FS315" i="13"/>
  <c r="FR315" i="13"/>
  <c r="FQ315" i="13"/>
  <c r="FP315" i="13"/>
  <c r="FO315" i="13"/>
  <c r="FN315" i="13"/>
  <c r="GN314" i="13"/>
  <c r="GM314" i="13"/>
  <c r="GL314" i="13"/>
  <c r="GK314" i="13"/>
  <c r="GJ314" i="13"/>
  <c r="GI314" i="13"/>
  <c r="GH314" i="13"/>
  <c r="GG314" i="13"/>
  <c r="GF314" i="13"/>
  <c r="GE314" i="13"/>
  <c r="GD314" i="13"/>
  <c r="GC314" i="13"/>
  <c r="GB314" i="13"/>
  <c r="GA314" i="13"/>
  <c r="FZ314" i="13"/>
  <c r="FY314" i="13"/>
  <c r="FX314" i="13"/>
  <c r="FW314" i="13"/>
  <c r="FV314" i="13"/>
  <c r="FU314" i="13"/>
  <c r="FT314" i="13"/>
  <c r="FS314" i="13"/>
  <c r="FR314" i="13"/>
  <c r="FQ314" i="13"/>
  <c r="FP314" i="13"/>
  <c r="FO314" i="13"/>
  <c r="FN314" i="13"/>
  <c r="GN313" i="13"/>
  <c r="GM313" i="13"/>
  <c r="GL313" i="13"/>
  <c r="GK313" i="13"/>
  <c r="GJ313" i="13"/>
  <c r="GI313" i="13"/>
  <c r="GH313" i="13"/>
  <c r="GG313" i="13"/>
  <c r="GF313" i="13"/>
  <c r="GE313" i="13"/>
  <c r="GD313" i="13"/>
  <c r="GC313" i="13"/>
  <c r="GB313" i="13"/>
  <c r="GA313" i="13"/>
  <c r="FZ313" i="13"/>
  <c r="FY313" i="13"/>
  <c r="FX313" i="13"/>
  <c r="FW313" i="13"/>
  <c r="FV313" i="13"/>
  <c r="FU313" i="13"/>
  <c r="FT313" i="13"/>
  <c r="FS313" i="13"/>
  <c r="FR313" i="13"/>
  <c r="FQ313" i="13"/>
  <c r="FP313" i="13"/>
  <c r="FO313" i="13"/>
  <c r="FN313" i="13"/>
  <c r="GN312" i="13"/>
  <c r="GM312" i="13"/>
  <c r="GL312" i="13"/>
  <c r="GK312" i="13"/>
  <c r="GJ312" i="13"/>
  <c r="GI312" i="13"/>
  <c r="GH312" i="13"/>
  <c r="GG312" i="13"/>
  <c r="GF312" i="13"/>
  <c r="GE312" i="13"/>
  <c r="GD312" i="13"/>
  <c r="GC312" i="13"/>
  <c r="GB312" i="13"/>
  <c r="GA312" i="13"/>
  <c r="FZ312" i="13"/>
  <c r="FY312" i="13"/>
  <c r="FX312" i="13"/>
  <c r="FW312" i="13"/>
  <c r="FV312" i="13"/>
  <c r="FU312" i="13"/>
  <c r="FT312" i="13"/>
  <c r="FS312" i="13"/>
  <c r="FR312" i="13"/>
  <c r="FQ312" i="13"/>
  <c r="FP312" i="13"/>
  <c r="FO312" i="13"/>
  <c r="FN312" i="13"/>
  <c r="GN311" i="13"/>
  <c r="GM311" i="13"/>
  <c r="GL311" i="13"/>
  <c r="GK311" i="13"/>
  <c r="GJ311" i="13"/>
  <c r="GI311" i="13"/>
  <c r="GH311" i="13"/>
  <c r="GG311" i="13"/>
  <c r="GF311" i="13"/>
  <c r="GE311" i="13"/>
  <c r="GD311" i="13"/>
  <c r="GC311" i="13"/>
  <c r="GB311" i="13"/>
  <c r="GA311" i="13"/>
  <c r="FZ311" i="13"/>
  <c r="FY311" i="13"/>
  <c r="FX311" i="13"/>
  <c r="FW311" i="13"/>
  <c r="FV311" i="13"/>
  <c r="FU311" i="13"/>
  <c r="FT311" i="13"/>
  <c r="FS311" i="13"/>
  <c r="FR311" i="13"/>
  <c r="FQ311" i="13"/>
  <c r="FP311" i="13"/>
  <c r="FO311" i="13"/>
  <c r="FN311" i="13"/>
  <c r="GN310" i="13"/>
  <c r="GM310" i="13"/>
  <c r="GL310" i="13"/>
  <c r="GK310" i="13"/>
  <c r="GJ310" i="13"/>
  <c r="GI310" i="13"/>
  <c r="GH310" i="13"/>
  <c r="GG310" i="13"/>
  <c r="GF310" i="13"/>
  <c r="GE310" i="13"/>
  <c r="GD310" i="13"/>
  <c r="GC310" i="13"/>
  <c r="GB310" i="13"/>
  <c r="GA310" i="13"/>
  <c r="FZ310" i="13"/>
  <c r="FY310" i="13"/>
  <c r="FX310" i="13"/>
  <c r="FW310" i="13"/>
  <c r="FV310" i="13"/>
  <c r="FU310" i="13"/>
  <c r="FT310" i="13"/>
  <c r="FS310" i="13"/>
  <c r="FR310" i="13"/>
  <c r="FQ310" i="13"/>
  <c r="FP310" i="13"/>
  <c r="FO310" i="13"/>
  <c r="FN310" i="13"/>
  <c r="GN309" i="13"/>
  <c r="GM309" i="13"/>
  <c r="GL309" i="13"/>
  <c r="GK309" i="13"/>
  <c r="GJ309" i="13"/>
  <c r="GI309" i="13"/>
  <c r="GH309" i="13"/>
  <c r="GG309" i="13"/>
  <c r="GF309" i="13"/>
  <c r="GE309" i="13"/>
  <c r="GD309" i="13"/>
  <c r="GC309" i="13"/>
  <c r="GB309" i="13"/>
  <c r="GA309" i="13"/>
  <c r="FZ309" i="13"/>
  <c r="FY309" i="13"/>
  <c r="FX309" i="13"/>
  <c r="FW309" i="13"/>
  <c r="FV309" i="13"/>
  <c r="FU309" i="13"/>
  <c r="FT309" i="13"/>
  <c r="FS309" i="13"/>
  <c r="FR309" i="13"/>
  <c r="FQ309" i="13"/>
  <c r="FP309" i="13"/>
  <c r="FO309" i="13"/>
  <c r="FN309" i="13"/>
  <c r="GN308" i="13"/>
  <c r="GM308" i="13"/>
  <c r="GL308" i="13"/>
  <c r="GK308" i="13"/>
  <c r="GJ308" i="13"/>
  <c r="GI308" i="13"/>
  <c r="GH308" i="13"/>
  <c r="GG308" i="13"/>
  <c r="GF308" i="13"/>
  <c r="GE308" i="13"/>
  <c r="GD308" i="13"/>
  <c r="GC308" i="13"/>
  <c r="GB308" i="13"/>
  <c r="GA308" i="13"/>
  <c r="FZ308" i="13"/>
  <c r="FY308" i="13"/>
  <c r="FX308" i="13"/>
  <c r="FW308" i="13"/>
  <c r="FV308" i="13"/>
  <c r="FU308" i="13"/>
  <c r="FT308" i="13"/>
  <c r="FS308" i="13"/>
  <c r="FR308" i="13"/>
  <c r="FQ308" i="13"/>
  <c r="FP308" i="13"/>
  <c r="FO308" i="13"/>
  <c r="FN308" i="13"/>
  <c r="FL308" i="13" s="1"/>
  <c r="GN307" i="13"/>
  <c r="GM307" i="13"/>
  <c r="GL307" i="13"/>
  <c r="GK307" i="13"/>
  <c r="GJ307" i="13"/>
  <c r="GI307" i="13"/>
  <c r="GH307" i="13"/>
  <c r="GG307" i="13"/>
  <c r="GF307" i="13"/>
  <c r="GE307" i="13"/>
  <c r="GD307" i="13"/>
  <c r="GC307" i="13"/>
  <c r="GB307" i="13"/>
  <c r="GA307" i="13"/>
  <c r="FZ307" i="13"/>
  <c r="FY307" i="13"/>
  <c r="FX307" i="13"/>
  <c r="FW307" i="13"/>
  <c r="FV307" i="13"/>
  <c r="FU307" i="13"/>
  <c r="FT307" i="13"/>
  <c r="FS307" i="13"/>
  <c r="FR307" i="13"/>
  <c r="FQ307" i="13"/>
  <c r="FP307" i="13"/>
  <c r="FO307" i="13"/>
  <c r="FN307" i="13"/>
  <c r="GN306" i="13"/>
  <c r="GM306" i="13"/>
  <c r="GL306" i="13"/>
  <c r="GK306" i="13"/>
  <c r="GJ306" i="13"/>
  <c r="GI306" i="13"/>
  <c r="GH306" i="13"/>
  <c r="GG306" i="13"/>
  <c r="GF306" i="13"/>
  <c r="GE306" i="13"/>
  <c r="GD306" i="13"/>
  <c r="GC306" i="13"/>
  <c r="GB306" i="13"/>
  <c r="GA306" i="13"/>
  <c r="FZ306" i="13"/>
  <c r="FY306" i="13"/>
  <c r="FX306" i="13"/>
  <c r="FW306" i="13"/>
  <c r="FV306" i="13"/>
  <c r="FU306" i="13"/>
  <c r="FT306" i="13"/>
  <c r="FS306" i="13"/>
  <c r="FR306" i="13"/>
  <c r="FQ306" i="13"/>
  <c r="FP306" i="13"/>
  <c r="FO306" i="13"/>
  <c r="FN306" i="13"/>
  <c r="GN305" i="13"/>
  <c r="GM305" i="13"/>
  <c r="GL305" i="13"/>
  <c r="GK305" i="13"/>
  <c r="GJ305" i="13"/>
  <c r="GI305" i="13"/>
  <c r="GH305" i="13"/>
  <c r="GG305" i="13"/>
  <c r="GF305" i="13"/>
  <c r="GE305" i="13"/>
  <c r="GD305" i="13"/>
  <c r="GC305" i="13"/>
  <c r="GB305" i="13"/>
  <c r="GA305" i="13"/>
  <c r="FZ305" i="13"/>
  <c r="FY305" i="13"/>
  <c r="FX305" i="13"/>
  <c r="FW305" i="13"/>
  <c r="FV305" i="13"/>
  <c r="FU305" i="13"/>
  <c r="FT305" i="13"/>
  <c r="FS305" i="13"/>
  <c r="FR305" i="13"/>
  <c r="FQ305" i="13"/>
  <c r="FP305" i="13"/>
  <c r="FO305" i="13"/>
  <c r="FN305" i="13"/>
  <c r="GN304" i="13"/>
  <c r="GM304" i="13"/>
  <c r="GL304" i="13"/>
  <c r="GK304" i="13"/>
  <c r="GJ304" i="13"/>
  <c r="GI304" i="13"/>
  <c r="GH304" i="13"/>
  <c r="GG304" i="13"/>
  <c r="GF304" i="13"/>
  <c r="GE304" i="13"/>
  <c r="GD304" i="13"/>
  <c r="GC304" i="13"/>
  <c r="GB304" i="13"/>
  <c r="GA304" i="13"/>
  <c r="FZ304" i="13"/>
  <c r="FY304" i="13"/>
  <c r="FX304" i="13"/>
  <c r="FW304" i="13"/>
  <c r="FV304" i="13"/>
  <c r="FU304" i="13"/>
  <c r="FT304" i="13"/>
  <c r="FS304" i="13"/>
  <c r="FR304" i="13"/>
  <c r="FQ304" i="13"/>
  <c r="FP304" i="13"/>
  <c r="FO304" i="13"/>
  <c r="FN304" i="13"/>
  <c r="GN303" i="13"/>
  <c r="GM303" i="13"/>
  <c r="GL303" i="13"/>
  <c r="GK303" i="13"/>
  <c r="GJ303" i="13"/>
  <c r="GI303" i="13"/>
  <c r="GH303" i="13"/>
  <c r="GG303" i="13"/>
  <c r="GF303" i="13"/>
  <c r="GE303" i="13"/>
  <c r="GD303" i="13"/>
  <c r="GC303" i="13"/>
  <c r="GB303" i="13"/>
  <c r="GA303" i="13"/>
  <c r="FZ303" i="13"/>
  <c r="FY303" i="13"/>
  <c r="FX303" i="13"/>
  <c r="FW303" i="13"/>
  <c r="FV303" i="13"/>
  <c r="FU303" i="13"/>
  <c r="FT303" i="13"/>
  <c r="FS303" i="13"/>
  <c r="FR303" i="13"/>
  <c r="FQ303" i="13"/>
  <c r="FP303" i="13"/>
  <c r="FO303" i="13"/>
  <c r="FN303" i="13"/>
  <c r="GN302" i="13"/>
  <c r="GM302" i="13"/>
  <c r="GL302" i="13"/>
  <c r="GK302" i="13"/>
  <c r="GJ302" i="13"/>
  <c r="GI302" i="13"/>
  <c r="GH302" i="13"/>
  <c r="GG302" i="13"/>
  <c r="GF302" i="13"/>
  <c r="GE302" i="13"/>
  <c r="GD302" i="13"/>
  <c r="GC302" i="13"/>
  <c r="GB302" i="13"/>
  <c r="GA302" i="13"/>
  <c r="FZ302" i="13"/>
  <c r="FY302" i="13"/>
  <c r="FX302" i="13"/>
  <c r="FW302" i="13"/>
  <c r="FV302" i="13"/>
  <c r="FU302" i="13"/>
  <c r="FT302" i="13"/>
  <c r="FS302" i="13"/>
  <c r="FR302" i="13"/>
  <c r="FQ302" i="13"/>
  <c r="FP302" i="13"/>
  <c r="FO302" i="13"/>
  <c r="FN302" i="13"/>
  <c r="GN301" i="13"/>
  <c r="GM301" i="13"/>
  <c r="GL301" i="13"/>
  <c r="GK301" i="13"/>
  <c r="GJ301" i="13"/>
  <c r="GI301" i="13"/>
  <c r="GH301" i="13"/>
  <c r="GG301" i="13"/>
  <c r="GF301" i="13"/>
  <c r="GE301" i="13"/>
  <c r="GD301" i="13"/>
  <c r="GC301" i="13"/>
  <c r="GB301" i="13"/>
  <c r="GA301" i="13"/>
  <c r="FZ301" i="13"/>
  <c r="FY301" i="13"/>
  <c r="FX301" i="13"/>
  <c r="FW301" i="13"/>
  <c r="FV301" i="13"/>
  <c r="FU301" i="13"/>
  <c r="FT301" i="13"/>
  <c r="FS301" i="13"/>
  <c r="FR301" i="13"/>
  <c r="FQ301" i="13"/>
  <c r="FP301" i="13"/>
  <c r="FO301" i="13"/>
  <c r="FN301" i="13"/>
  <c r="GN300" i="13"/>
  <c r="GM300" i="13"/>
  <c r="GL300" i="13"/>
  <c r="GK300" i="13"/>
  <c r="GJ300" i="13"/>
  <c r="GI300" i="13"/>
  <c r="GH300" i="13"/>
  <c r="GG300" i="13"/>
  <c r="GF300" i="13"/>
  <c r="GE300" i="13"/>
  <c r="GD300" i="13"/>
  <c r="GC300" i="13"/>
  <c r="GB300" i="13"/>
  <c r="GA300" i="13"/>
  <c r="FZ300" i="13"/>
  <c r="FY300" i="13"/>
  <c r="FX300" i="13"/>
  <c r="FW300" i="13"/>
  <c r="FV300" i="13"/>
  <c r="FU300" i="13"/>
  <c r="FT300" i="13"/>
  <c r="FS300" i="13"/>
  <c r="FR300" i="13"/>
  <c r="FQ300" i="13"/>
  <c r="FP300" i="13"/>
  <c r="FO300" i="13"/>
  <c r="FN300" i="13"/>
  <c r="FL300" i="13" s="1"/>
  <c r="GN299" i="13"/>
  <c r="GM299" i="13"/>
  <c r="GL299" i="13"/>
  <c r="GK299" i="13"/>
  <c r="GJ299" i="13"/>
  <c r="GI299" i="13"/>
  <c r="GH299" i="13"/>
  <c r="GG299" i="13"/>
  <c r="GF299" i="13"/>
  <c r="GE299" i="13"/>
  <c r="GD299" i="13"/>
  <c r="GC299" i="13"/>
  <c r="GB299" i="13"/>
  <c r="GA299" i="13"/>
  <c r="FZ299" i="13"/>
  <c r="FY299" i="13"/>
  <c r="FX299" i="13"/>
  <c r="FW299" i="13"/>
  <c r="FV299" i="13"/>
  <c r="FU299" i="13"/>
  <c r="FT299" i="13"/>
  <c r="FS299" i="13"/>
  <c r="FR299" i="13"/>
  <c r="FQ299" i="13"/>
  <c r="FP299" i="13"/>
  <c r="FO299" i="13"/>
  <c r="FN299" i="13"/>
  <c r="GN298" i="13"/>
  <c r="GM298" i="13"/>
  <c r="GL298" i="13"/>
  <c r="GK298" i="13"/>
  <c r="GJ298" i="13"/>
  <c r="GI298" i="13"/>
  <c r="GH298" i="13"/>
  <c r="GG298" i="13"/>
  <c r="GF298" i="13"/>
  <c r="GE298" i="13"/>
  <c r="GD298" i="13"/>
  <c r="GC298" i="13"/>
  <c r="GB298" i="13"/>
  <c r="GA298" i="13"/>
  <c r="FZ298" i="13"/>
  <c r="FY298" i="13"/>
  <c r="FX298" i="13"/>
  <c r="FW298" i="13"/>
  <c r="FV298" i="13"/>
  <c r="FU298" i="13"/>
  <c r="FT298" i="13"/>
  <c r="FS298" i="13"/>
  <c r="FR298" i="13"/>
  <c r="FQ298" i="13"/>
  <c r="FP298" i="13"/>
  <c r="FO298" i="13"/>
  <c r="FN298" i="13"/>
  <c r="GN297" i="13"/>
  <c r="GM297" i="13"/>
  <c r="GL297" i="13"/>
  <c r="GK297" i="13"/>
  <c r="GJ297" i="13"/>
  <c r="GI297" i="13"/>
  <c r="GH297" i="13"/>
  <c r="GG297" i="13"/>
  <c r="GF297" i="13"/>
  <c r="GE297" i="13"/>
  <c r="GD297" i="13"/>
  <c r="GC297" i="13"/>
  <c r="GB297" i="13"/>
  <c r="GA297" i="13"/>
  <c r="FZ297" i="13"/>
  <c r="FY297" i="13"/>
  <c r="FX297" i="13"/>
  <c r="FW297" i="13"/>
  <c r="FV297" i="13"/>
  <c r="FU297" i="13"/>
  <c r="FT297" i="13"/>
  <c r="FS297" i="13"/>
  <c r="FR297" i="13"/>
  <c r="FQ297" i="13"/>
  <c r="FP297" i="13"/>
  <c r="FO297" i="13"/>
  <c r="FN297" i="13"/>
  <c r="GN296" i="13"/>
  <c r="GM296" i="13"/>
  <c r="GL296" i="13"/>
  <c r="GK296" i="13"/>
  <c r="GJ296" i="13"/>
  <c r="GI296" i="13"/>
  <c r="GH296" i="13"/>
  <c r="GG296" i="13"/>
  <c r="GF296" i="13"/>
  <c r="GE296" i="13"/>
  <c r="GD296" i="13"/>
  <c r="GC296" i="13"/>
  <c r="GB296" i="13"/>
  <c r="GA296" i="13"/>
  <c r="FZ296" i="13"/>
  <c r="FY296" i="13"/>
  <c r="FX296" i="13"/>
  <c r="FW296" i="13"/>
  <c r="FV296" i="13"/>
  <c r="FU296" i="13"/>
  <c r="FT296" i="13"/>
  <c r="FS296" i="13"/>
  <c r="FR296" i="13"/>
  <c r="FQ296" i="13"/>
  <c r="FP296" i="13"/>
  <c r="FO296" i="13"/>
  <c r="FN296" i="13"/>
  <c r="GN295" i="13"/>
  <c r="GM295" i="13"/>
  <c r="GL295" i="13"/>
  <c r="GK295" i="13"/>
  <c r="GJ295" i="13"/>
  <c r="GI295" i="13"/>
  <c r="GH295" i="13"/>
  <c r="GG295" i="13"/>
  <c r="GF295" i="13"/>
  <c r="GE295" i="13"/>
  <c r="GD295" i="13"/>
  <c r="GC295" i="13"/>
  <c r="GB295" i="13"/>
  <c r="GA295" i="13"/>
  <c r="FZ295" i="13"/>
  <c r="FY295" i="13"/>
  <c r="FX295" i="13"/>
  <c r="FW295" i="13"/>
  <c r="FV295" i="13"/>
  <c r="FU295" i="13"/>
  <c r="FT295" i="13"/>
  <c r="FS295" i="13"/>
  <c r="FR295" i="13"/>
  <c r="FQ295" i="13"/>
  <c r="FP295" i="13"/>
  <c r="FO295" i="13"/>
  <c r="FN295" i="13"/>
  <c r="GN294" i="13"/>
  <c r="GM294" i="13"/>
  <c r="GL294" i="13"/>
  <c r="GK294" i="13"/>
  <c r="GJ294" i="13"/>
  <c r="GI294" i="13"/>
  <c r="GH294" i="13"/>
  <c r="GG294" i="13"/>
  <c r="GF294" i="13"/>
  <c r="GE294" i="13"/>
  <c r="GD294" i="13"/>
  <c r="GC294" i="13"/>
  <c r="GB294" i="13"/>
  <c r="GA294" i="13"/>
  <c r="FZ294" i="13"/>
  <c r="FY294" i="13"/>
  <c r="FX294" i="13"/>
  <c r="FW294" i="13"/>
  <c r="FV294" i="13"/>
  <c r="FU294" i="13"/>
  <c r="FT294" i="13"/>
  <c r="FS294" i="13"/>
  <c r="FR294" i="13"/>
  <c r="FQ294" i="13"/>
  <c r="FP294" i="13"/>
  <c r="FO294" i="13"/>
  <c r="FN294" i="13"/>
  <c r="GN293" i="13"/>
  <c r="GM293" i="13"/>
  <c r="GL293" i="13"/>
  <c r="GK293" i="13"/>
  <c r="GJ293" i="13"/>
  <c r="GI293" i="13"/>
  <c r="GH293" i="13"/>
  <c r="GG293" i="13"/>
  <c r="GF293" i="13"/>
  <c r="GE293" i="13"/>
  <c r="GD293" i="13"/>
  <c r="GC293" i="13"/>
  <c r="GB293" i="13"/>
  <c r="GA293" i="13"/>
  <c r="FZ293" i="13"/>
  <c r="FY293" i="13"/>
  <c r="FX293" i="13"/>
  <c r="FW293" i="13"/>
  <c r="FV293" i="13"/>
  <c r="FU293" i="13"/>
  <c r="FT293" i="13"/>
  <c r="FS293" i="13"/>
  <c r="FR293" i="13"/>
  <c r="FQ293" i="13"/>
  <c r="FP293" i="13"/>
  <c r="FO293" i="13"/>
  <c r="FN293" i="13"/>
  <c r="GN292" i="13"/>
  <c r="GM292" i="13"/>
  <c r="GL292" i="13"/>
  <c r="GK292" i="13"/>
  <c r="GJ292" i="13"/>
  <c r="GI292" i="13"/>
  <c r="GH292" i="13"/>
  <c r="GG292" i="13"/>
  <c r="GF292" i="13"/>
  <c r="GE292" i="13"/>
  <c r="GD292" i="13"/>
  <c r="GC292" i="13"/>
  <c r="GB292" i="13"/>
  <c r="GA292" i="13"/>
  <c r="FZ292" i="13"/>
  <c r="FY292" i="13"/>
  <c r="FX292" i="13"/>
  <c r="FW292" i="13"/>
  <c r="FV292" i="13"/>
  <c r="FU292" i="13"/>
  <c r="FT292" i="13"/>
  <c r="FS292" i="13"/>
  <c r="FR292" i="13"/>
  <c r="FQ292" i="13"/>
  <c r="FP292" i="13"/>
  <c r="FO292" i="13"/>
  <c r="FN292" i="13"/>
  <c r="FL292" i="13" s="1"/>
  <c r="GN291" i="13"/>
  <c r="GM291" i="13"/>
  <c r="GL291" i="13"/>
  <c r="GK291" i="13"/>
  <c r="GJ291" i="13"/>
  <c r="GI291" i="13"/>
  <c r="GH291" i="13"/>
  <c r="GG291" i="13"/>
  <c r="GF291" i="13"/>
  <c r="GE291" i="13"/>
  <c r="GD291" i="13"/>
  <c r="GC291" i="13"/>
  <c r="GB291" i="13"/>
  <c r="GA291" i="13"/>
  <c r="FZ291" i="13"/>
  <c r="FY291" i="13"/>
  <c r="FX291" i="13"/>
  <c r="FW291" i="13"/>
  <c r="FV291" i="13"/>
  <c r="FU291" i="13"/>
  <c r="FT291" i="13"/>
  <c r="FS291" i="13"/>
  <c r="FR291" i="13"/>
  <c r="FQ291" i="13"/>
  <c r="FP291" i="13"/>
  <c r="FO291" i="13"/>
  <c r="FN291" i="13"/>
  <c r="GN290" i="13"/>
  <c r="GM290" i="13"/>
  <c r="GL290" i="13"/>
  <c r="GK290" i="13"/>
  <c r="GJ290" i="13"/>
  <c r="GI290" i="13"/>
  <c r="GH290" i="13"/>
  <c r="GG290" i="13"/>
  <c r="GF290" i="13"/>
  <c r="GE290" i="13"/>
  <c r="GD290" i="13"/>
  <c r="GC290" i="13"/>
  <c r="GB290" i="13"/>
  <c r="GA290" i="13"/>
  <c r="FZ290" i="13"/>
  <c r="FY290" i="13"/>
  <c r="FX290" i="13"/>
  <c r="FW290" i="13"/>
  <c r="FV290" i="13"/>
  <c r="FU290" i="13"/>
  <c r="FT290" i="13"/>
  <c r="FS290" i="13"/>
  <c r="FR290" i="13"/>
  <c r="FQ290" i="13"/>
  <c r="FP290" i="13"/>
  <c r="FO290" i="13"/>
  <c r="FN290" i="13"/>
  <c r="GN289" i="13"/>
  <c r="GM289" i="13"/>
  <c r="GL289" i="13"/>
  <c r="GK289" i="13"/>
  <c r="GJ289" i="13"/>
  <c r="GI289" i="13"/>
  <c r="GH289" i="13"/>
  <c r="GG289" i="13"/>
  <c r="GF289" i="13"/>
  <c r="GE289" i="13"/>
  <c r="GD289" i="13"/>
  <c r="GC289" i="13"/>
  <c r="GB289" i="13"/>
  <c r="GA289" i="13"/>
  <c r="FZ289" i="13"/>
  <c r="FY289" i="13"/>
  <c r="FX289" i="13"/>
  <c r="FW289" i="13"/>
  <c r="FV289" i="13"/>
  <c r="FU289" i="13"/>
  <c r="FT289" i="13"/>
  <c r="FS289" i="13"/>
  <c r="FR289" i="13"/>
  <c r="FQ289" i="13"/>
  <c r="FP289" i="13"/>
  <c r="FO289" i="13"/>
  <c r="FN289" i="13"/>
  <c r="GN288" i="13"/>
  <c r="GM288" i="13"/>
  <c r="GL288" i="13"/>
  <c r="GK288" i="13"/>
  <c r="GJ288" i="13"/>
  <c r="GI288" i="13"/>
  <c r="GH288" i="13"/>
  <c r="GG288" i="13"/>
  <c r="GF288" i="13"/>
  <c r="GE288" i="13"/>
  <c r="GD288" i="13"/>
  <c r="GC288" i="13"/>
  <c r="GB288" i="13"/>
  <c r="GA288" i="13"/>
  <c r="FZ288" i="13"/>
  <c r="FY288" i="13"/>
  <c r="FX288" i="13"/>
  <c r="FW288" i="13"/>
  <c r="FV288" i="13"/>
  <c r="FU288" i="13"/>
  <c r="FT288" i="13"/>
  <c r="FS288" i="13"/>
  <c r="FR288" i="13"/>
  <c r="FQ288" i="13"/>
  <c r="FP288" i="13"/>
  <c r="FO288" i="13"/>
  <c r="FN288" i="13"/>
  <c r="GN287" i="13"/>
  <c r="GM287" i="13"/>
  <c r="GL287" i="13"/>
  <c r="GK287" i="13"/>
  <c r="GJ287" i="13"/>
  <c r="GI287" i="13"/>
  <c r="GH287" i="13"/>
  <c r="GG287" i="13"/>
  <c r="GF287" i="13"/>
  <c r="GE287" i="13"/>
  <c r="GD287" i="13"/>
  <c r="GC287" i="13"/>
  <c r="GB287" i="13"/>
  <c r="GA287" i="13"/>
  <c r="FZ287" i="13"/>
  <c r="FY287" i="13"/>
  <c r="FX287" i="13"/>
  <c r="FW287" i="13"/>
  <c r="FV287" i="13"/>
  <c r="FU287" i="13"/>
  <c r="FT287" i="13"/>
  <c r="FS287" i="13"/>
  <c r="FR287" i="13"/>
  <c r="FQ287" i="13"/>
  <c r="FP287" i="13"/>
  <c r="FO287" i="13"/>
  <c r="FN287" i="13"/>
  <c r="GN286" i="13"/>
  <c r="GM286" i="13"/>
  <c r="GL286" i="13"/>
  <c r="GK286" i="13"/>
  <c r="GJ286" i="13"/>
  <c r="GI286" i="13"/>
  <c r="GH286" i="13"/>
  <c r="GG286" i="13"/>
  <c r="GF286" i="13"/>
  <c r="GE286" i="13"/>
  <c r="GD286" i="13"/>
  <c r="GC286" i="13"/>
  <c r="GB286" i="13"/>
  <c r="GA286" i="13"/>
  <c r="FZ286" i="13"/>
  <c r="FY286" i="13"/>
  <c r="FX286" i="13"/>
  <c r="FW286" i="13"/>
  <c r="FV286" i="13"/>
  <c r="FU286" i="13"/>
  <c r="FT286" i="13"/>
  <c r="FS286" i="13"/>
  <c r="FR286" i="13"/>
  <c r="FQ286" i="13"/>
  <c r="FP286" i="13"/>
  <c r="FO286" i="13"/>
  <c r="FN286" i="13"/>
  <c r="GN285" i="13"/>
  <c r="GM285" i="13"/>
  <c r="GL285" i="13"/>
  <c r="GK285" i="13"/>
  <c r="GJ285" i="13"/>
  <c r="GI285" i="13"/>
  <c r="GH285" i="13"/>
  <c r="GG285" i="13"/>
  <c r="GF285" i="13"/>
  <c r="GE285" i="13"/>
  <c r="GD285" i="13"/>
  <c r="GC285" i="13"/>
  <c r="GB285" i="13"/>
  <c r="GA285" i="13"/>
  <c r="FZ285" i="13"/>
  <c r="FY285" i="13"/>
  <c r="FX285" i="13"/>
  <c r="FW285" i="13"/>
  <c r="FV285" i="13"/>
  <c r="FU285" i="13"/>
  <c r="FT285" i="13"/>
  <c r="FS285" i="13"/>
  <c r="FR285" i="13"/>
  <c r="FQ285" i="13"/>
  <c r="FP285" i="13"/>
  <c r="FO285" i="13"/>
  <c r="FN285" i="13"/>
  <c r="GN284" i="13"/>
  <c r="GM284" i="13"/>
  <c r="GL284" i="13"/>
  <c r="GK284" i="13"/>
  <c r="GJ284" i="13"/>
  <c r="GI284" i="13"/>
  <c r="GH284" i="13"/>
  <c r="GG284" i="13"/>
  <c r="GF284" i="13"/>
  <c r="GE284" i="13"/>
  <c r="GD284" i="13"/>
  <c r="GC284" i="13"/>
  <c r="GB284" i="13"/>
  <c r="GA284" i="13"/>
  <c r="FZ284" i="13"/>
  <c r="FY284" i="13"/>
  <c r="FX284" i="13"/>
  <c r="FW284" i="13"/>
  <c r="FV284" i="13"/>
  <c r="FU284" i="13"/>
  <c r="FT284" i="13"/>
  <c r="FS284" i="13"/>
  <c r="FR284" i="13"/>
  <c r="FQ284" i="13"/>
  <c r="FP284" i="13"/>
  <c r="FO284" i="13"/>
  <c r="FN284" i="13"/>
  <c r="FL284" i="13" s="1"/>
  <c r="GN283" i="13"/>
  <c r="GM283" i="13"/>
  <c r="GL283" i="13"/>
  <c r="GK283" i="13"/>
  <c r="GJ283" i="13"/>
  <c r="GI283" i="13"/>
  <c r="GH283" i="13"/>
  <c r="GG283" i="13"/>
  <c r="GF283" i="13"/>
  <c r="GE283" i="13"/>
  <c r="GD283" i="13"/>
  <c r="GC283" i="13"/>
  <c r="GB283" i="13"/>
  <c r="GA283" i="13"/>
  <c r="FZ283" i="13"/>
  <c r="FY283" i="13"/>
  <c r="FX283" i="13"/>
  <c r="FW283" i="13"/>
  <c r="FV283" i="13"/>
  <c r="FU283" i="13"/>
  <c r="FT283" i="13"/>
  <c r="FS283" i="13"/>
  <c r="FR283" i="13"/>
  <c r="FQ283" i="13"/>
  <c r="FP283" i="13"/>
  <c r="FO283" i="13"/>
  <c r="FN283" i="13"/>
  <c r="GN282" i="13"/>
  <c r="GM282" i="13"/>
  <c r="GL282" i="13"/>
  <c r="GK282" i="13"/>
  <c r="GJ282" i="13"/>
  <c r="GI282" i="13"/>
  <c r="GH282" i="13"/>
  <c r="GG282" i="13"/>
  <c r="GF282" i="13"/>
  <c r="GE282" i="13"/>
  <c r="GD282" i="13"/>
  <c r="GC282" i="13"/>
  <c r="GB282" i="13"/>
  <c r="GA282" i="13"/>
  <c r="FZ282" i="13"/>
  <c r="FY282" i="13"/>
  <c r="FX282" i="13"/>
  <c r="FW282" i="13"/>
  <c r="FV282" i="13"/>
  <c r="FU282" i="13"/>
  <c r="FT282" i="13"/>
  <c r="FS282" i="13"/>
  <c r="FR282" i="13"/>
  <c r="FQ282" i="13"/>
  <c r="FP282" i="13"/>
  <c r="FO282" i="13"/>
  <c r="FN282" i="13"/>
  <c r="GN281" i="13"/>
  <c r="GM281" i="13"/>
  <c r="GL281" i="13"/>
  <c r="GK281" i="13"/>
  <c r="GJ281" i="13"/>
  <c r="GI281" i="13"/>
  <c r="GH281" i="13"/>
  <c r="GG281" i="13"/>
  <c r="GF281" i="13"/>
  <c r="GE281" i="13"/>
  <c r="GD281" i="13"/>
  <c r="GC281" i="13"/>
  <c r="GB281" i="13"/>
  <c r="GA281" i="13"/>
  <c r="FZ281" i="13"/>
  <c r="FY281" i="13"/>
  <c r="FX281" i="13"/>
  <c r="FW281" i="13"/>
  <c r="FV281" i="13"/>
  <c r="FU281" i="13"/>
  <c r="FT281" i="13"/>
  <c r="FS281" i="13"/>
  <c r="FR281" i="13"/>
  <c r="FQ281" i="13"/>
  <c r="FP281" i="13"/>
  <c r="FO281" i="13"/>
  <c r="FN281" i="13"/>
  <c r="GN280" i="13"/>
  <c r="GM280" i="13"/>
  <c r="GL280" i="13"/>
  <c r="GK280" i="13"/>
  <c r="GJ280" i="13"/>
  <c r="GI280" i="13"/>
  <c r="GH280" i="13"/>
  <c r="GG280" i="13"/>
  <c r="GF280" i="13"/>
  <c r="GE280" i="13"/>
  <c r="GD280" i="13"/>
  <c r="GC280" i="13"/>
  <c r="GB280" i="13"/>
  <c r="GA280" i="13"/>
  <c r="FZ280" i="13"/>
  <c r="FY280" i="13"/>
  <c r="FX280" i="13"/>
  <c r="FW280" i="13"/>
  <c r="FV280" i="13"/>
  <c r="FU280" i="13"/>
  <c r="FT280" i="13"/>
  <c r="FS280" i="13"/>
  <c r="FR280" i="13"/>
  <c r="FQ280" i="13"/>
  <c r="FP280" i="13"/>
  <c r="FO280" i="13"/>
  <c r="FN280" i="13"/>
  <c r="GN279" i="13"/>
  <c r="GM279" i="13"/>
  <c r="GL279" i="13"/>
  <c r="GK279" i="13"/>
  <c r="GJ279" i="13"/>
  <c r="GI279" i="13"/>
  <c r="GH279" i="13"/>
  <c r="GG279" i="13"/>
  <c r="GF279" i="13"/>
  <c r="GE279" i="13"/>
  <c r="GD279" i="13"/>
  <c r="GC279" i="13"/>
  <c r="GB279" i="13"/>
  <c r="GA279" i="13"/>
  <c r="FZ279" i="13"/>
  <c r="FY279" i="13"/>
  <c r="FX279" i="13"/>
  <c r="FW279" i="13"/>
  <c r="FV279" i="13"/>
  <c r="FU279" i="13"/>
  <c r="FT279" i="13"/>
  <c r="FS279" i="13"/>
  <c r="FR279" i="13"/>
  <c r="FQ279" i="13"/>
  <c r="FP279" i="13"/>
  <c r="FO279" i="13"/>
  <c r="FN279" i="13"/>
  <c r="GN278" i="13"/>
  <c r="GM278" i="13"/>
  <c r="GL278" i="13"/>
  <c r="GK278" i="13"/>
  <c r="GJ278" i="13"/>
  <c r="GI278" i="13"/>
  <c r="GH278" i="13"/>
  <c r="GG278" i="13"/>
  <c r="GF278" i="13"/>
  <c r="GE278" i="13"/>
  <c r="GD278" i="13"/>
  <c r="GC278" i="13"/>
  <c r="GB278" i="13"/>
  <c r="GA278" i="13"/>
  <c r="FZ278" i="13"/>
  <c r="FY278" i="13"/>
  <c r="FX278" i="13"/>
  <c r="FW278" i="13"/>
  <c r="FV278" i="13"/>
  <c r="FU278" i="13"/>
  <c r="FT278" i="13"/>
  <c r="FS278" i="13"/>
  <c r="FR278" i="13"/>
  <c r="FQ278" i="13"/>
  <c r="FP278" i="13"/>
  <c r="FO278" i="13"/>
  <c r="FN278" i="13"/>
  <c r="GN277" i="13"/>
  <c r="GM277" i="13"/>
  <c r="GL277" i="13"/>
  <c r="GK277" i="13"/>
  <c r="GJ277" i="13"/>
  <c r="GI277" i="13"/>
  <c r="GH277" i="13"/>
  <c r="GG277" i="13"/>
  <c r="GF277" i="13"/>
  <c r="GE277" i="13"/>
  <c r="GD277" i="13"/>
  <c r="GC277" i="13"/>
  <c r="GB277" i="13"/>
  <c r="GA277" i="13"/>
  <c r="FZ277" i="13"/>
  <c r="FY277" i="13"/>
  <c r="FX277" i="13"/>
  <c r="FW277" i="13"/>
  <c r="FV277" i="13"/>
  <c r="FU277" i="13"/>
  <c r="FT277" i="13"/>
  <c r="FS277" i="13"/>
  <c r="FR277" i="13"/>
  <c r="FQ277" i="13"/>
  <c r="FP277" i="13"/>
  <c r="FO277" i="13"/>
  <c r="FN277" i="13"/>
  <c r="GN276" i="13"/>
  <c r="GM276" i="13"/>
  <c r="GL276" i="13"/>
  <c r="GK276" i="13"/>
  <c r="GJ276" i="13"/>
  <c r="GI276" i="13"/>
  <c r="GH276" i="13"/>
  <c r="GG276" i="13"/>
  <c r="GF276" i="13"/>
  <c r="GE276" i="13"/>
  <c r="GD276" i="13"/>
  <c r="GC276" i="13"/>
  <c r="GB276" i="13"/>
  <c r="GA276" i="13"/>
  <c r="FZ276" i="13"/>
  <c r="FY276" i="13"/>
  <c r="FX276" i="13"/>
  <c r="FW276" i="13"/>
  <c r="FV276" i="13"/>
  <c r="FU276" i="13"/>
  <c r="FT276" i="13"/>
  <c r="FS276" i="13"/>
  <c r="FR276" i="13"/>
  <c r="FQ276" i="13"/>
  <c r="FP276" i="13"/>
  <c r="FO276" i="13"/>
  <c r="FN276" i="13"/>
  <c r="FL276" i="13" s="1"/>
  <c r="GN275" i="13"/>
  <c r="GM275" i="13"/>
  <c r="GL275" i="13"/>
  <c r="GK275" i="13"/>
  <c r="GJ275" i="13"/>
  <c r="GI275" i="13"/>
  <c r="GH275" i="13"/>
  <c r="GG275" i="13"/>
  <c r="GF275" i="13"/>
  <c r="GE275" i="13"/>
  <c r="GD275" i="13"/>
  <c r="GC275" i="13"/>
  <c r="GB275" i="13"/>
  <c r="GA275" i="13"/>
  <c r="FZ275" i="13"/>
  <c r="FY275" i="13"/>
  <c r="FX275" i="13"/>
  <c r="FW275" i="13"/>
  <c r="FV275" i="13"/>
  <c r="FU275" i="13"/>
  <c r="FT275" i="13"/>
  <c r="FS275" i="13"/>
  <c r="FR275" i="13"/>
  <c r="FQ275" i="13"/>
  <c r="FP275" i="13"/>
  <c r="FO275" i="13"/>
  <c r="FN275" i="13"/>
  <c r="GN274" i="13"/>
  <c r="GM274" i="13"/>
  <c r="GL274" i="13"/>
  <c r="GK274" i="13"/>
  <c r="GJ274" i="13"/>
  <c r="GI274" i="13"/>
  <c r="GH274" i="13"/>
  <c r="GG274" i="13"/>
  <c r="GF274" i="13"/>
  <c r="GE274" i="13"/>
  <c r="GD274" i="13"/>
  <c r="GC274" i="13"/>
  <c r="GB274" i="13"/>
  <c r="GA274" i="13"/>
  <c r="FZ274" i="13"/>
  <c r="FY274" i="13"/>
  <c r="FX274" i="13"/>
  <c r="FW274" i="13"/>
  <c r="FV274" i="13"/>
  <c r="FU274" i="13"/>
  <c r="FT274" i="13"/>
  <c r="FS274" i="13"/>
  <c r="FR274" i="13"/>
  <c r="FQ274" i="13"/>
  <c r="FP274" i="13"/>
  <c r="FO274" i="13"/>
  <c r="FN274" i="13"/>
  <c r="GN273" i="13"/>
  <c r="GM273" i="13"/>
  <c r="GL273" i="13"/>
  <c r="GK273" i="13"/>
  <c r="GJ273" i="13"/>
  <c r="GI273" i="13"/>
  <c r="GH273" i="13"/>
  <c r="GG273" i="13"/>
  <c r="GF273" i="13"/>
  <c r="GE273" i="13"/>
  <c r="GD273" i="13"/>
  <c r="GC273" i="13"/>
  <c r="GB273" i="13"/>
  <c r="GA273" i="13"/>
  <c r="FZ273" i="13"/>
  <c r="FY273" i="13"/>
  <c r="FX273" i="13"/>
  <c r="FW273" i="13"/>
  <c r="FV273" i="13"/>
  <c r="FU273" i="13"/>
  <c r="FT273" i="13"/>
  <c r="FS273" i="13"/>
  <c r="FR273" i="13"/>
  <c r="FQ273" i="13"/>
  <c r="FP273" i="13"/>
  <c r="FO273" i="13"/>
  <c r="FN273" i="13"/>
  <c r="GN272" i="13"/>
  <c r="GM272" i="13"/>
  <c r="GL272" i="13"/>
  <c r="GK272" i="13"/>
  <c r="GJ272" i="13"/>
  <c r="GI272" i="13"/>
  <c r="GH272" i="13"/>
  <c r="GG272" i="13"/>
  <c r="GF272" i="13"/>
  <c r="GE272" i="13"/>
  <c r="GD272" i="13"/>
  <c r="GC272" i="13"/>
  <c r="GB272" i="13"/>
  <c r="GA272" i="13"/>
  <c r="FZ272" i="13"/>
  <c r="FY272" i="13"/>
  <c r="FX272" i="13"/>
  <c r="FW272" i="13"/>
  <c r="FV272" i="13"/>
  <c r="FU272" i="13"/>
  <c r="FT272" i="13"/>
  <c r="FS272" i="13"/>
  <c r="FR272" i="13"/>
  <c r="FQ272" i="13"/>
  <c r="FP272" i="13"/>
  <c r="FO272" i="13"/>
  <c r="FN272" i="13"/>
  <c r="GN271" i="13"/>
  <c r="GM271" i="13"/>
  <c r="GL271" i="13"/>
  <c r="GK271" i="13"/>
  <c r="GJ271" i="13"/>
  <c r="GI271" i="13"/>
  <c r="GH271" i="13"/>
  <c r="GG271" i="13"/>
  <c r="GF271" i="13"/>
  <c r="GE271" i="13"/>
  <c r="GD271" i="13"/>
  <c r="GC271" i="13"/>
  <c r="GB271" i="13"/>
  <c r="GA271" i="13"/>
  <c r="FZ271" i="13"/>
  <c r="FY271" i="13"/>
  <c r="FX271" i="13"/>
  <c r="FW271" i="13"/>
  <c r="FV271" i="13"/>
  <c r="FU271" i="13"/>
  <c r="FT271" i="13"/>
  <c r="FS271" i="13"/>
  <c r="FR271" i="13"/>
  <c r="FQ271" i="13"/>
  <c r="FP271" i="13"/>
  <c r="FO271" i="13"/>
  <c r="FN271" i="13"/>
  <c r="GN270" i="13"/>
  <c r="GM270" i="13"/>
  <c r="GL270" i="13"/>
  <c r="GK270" i="13"/>
  <c r="GJ270" i="13"/>
  <c r="GI270" i="13"/>
  <c r="GH270" i="13"/>
  <c r="GG270" i="13"/>
  <c r="GF270" i="13"/>
  <c r="GE270" i="13"/>
  <c r="GD270" i="13"/>
  <c r="GC270" i="13"/>
  <c r="GB270" i="13"/>
  <c r="GA270" i="13"/>
  <c r="FZ270" i="13"/>
  <c r="FY270" i="13"/>
  <c r="FX270" i="13"/>
  <c r="FW270" i="13"/>
  <c r="FV270" i="13"/>
  <c r="FU270" i="13"/>
  <c r="FT270" i="13"/>
  <c r="FS270" i="13"/>
  <c r="FR270" i="13"/>
  <c r="FQ270" i="13"/>
  <c r="FP270" i="13"/>
  <c r="FO270" i="13"/>
  <c r="FN270" i="13"/>
  <c r="GN269" i="13"/>
  <c r="GM269" i="13"/>
  <c r="GL269" i="13"/>
  <c r="GK269" i="13"/>
  <c r="GJ269" i="13"/>
  <c r="GI269" i="13"/>
  <c r="GH269" i="13"/>
  <c r="GG269" i="13"/>
  <c r="GF269" i="13"/>
  <c r="GE269" i="13"/>
  <c r="GD269" i="13"/>
  <c r="GC269" i="13"/>
  <c r="GB269" i="13"/>
  <c r="GA269" i="13"/>
  <c r="FZ269" i="13"/>
  <c r="FY269" i="13"/>
  <c r="FX269" i="13"/>
  <c r="FW269" i="13"/>
  <c r="FV269" i="13"/>
  <c r="FU269" i="13"/>
  <c r="FT269" i="13"/>
  <c r="FS269" i="13"/>
  <c r="FR269" i="13"/>
  <c r="FQ269" i="13"/>
  <c r="FP269" i="13"/>
  <c r="FO269" i="13"/>
  <c r="FN269" i="13"/>
  <c r="GN268" i="13"/>
  <c r="GM268" i="13"/>
  <c r="GL268" i="13"/>
  <c r="GK268" i="13"/>
  <c r="GJ268" i="13"/>
  <c r="GI268" i="13"/>
  <c r="GH268" i="13"/>
  <c r="GG268" i="13"/>
  <c r="GF268" i="13"/>
  <c r="GE268" i="13"/>
  <c r="GD268" i="13"/>
  <c r="GC268" i="13"/>
  <c r="GB268" i="13"/>
  <c r="GA268" i="13"/>
  <c r="FZ268" i="13"/>
  <c r="FY268" i="13"/>
  <c r="FX268" i="13"/>
  <c r="FW268" i="13"/>
  <c r="FV268" i="13"/>
  <c r="FU268" i="13"/>
  <c r="FT268" i="13"/>
  <c r="FS268" i="13"/>
  <c r="FR268" i="13"/>
  <c r="FQ268" i="13"/>
  <c r="FP268" i="13"/>
  <c r="FO268" i="13"/>
  <c r="FN268" i="13"/>
  <c r="FL268" i="13" s="1"/>
  <c r="GN267" i="13"/>
  <c r="GM267" i="13"/>
  <c r="GL267" i="13"/>
  <c r="GK267" i="13"/>
  <c r="GJ267" i="13"/>
  <c r="GI267" i="13"/>
  <c r="GH267" i="13"/>
  <c r="GG267" i="13"/>
  <c r="GF267" i="13"/>
  <c r="GE267" i="13"/>
  <c r="GD267" i="13"/>
  <c r="GC267" i="13"/>
  <c r="GB267" i="13"/>
  <c r="GA267" i="13"/>
  <c r="FZ267" i="13"/>
  <c r="FY267" i="13"/>
  <c r="FX267" i="13"/>
  <c r="FW267" i="13"/>
  <c r="FV267" i="13"/>
  <c r="FU267" i="13"/>
  <c r="FT267" i="13"/>
  <c r="FS267" i="13"/>
  <c r="FR267" i="13"/>
  <c r="FQ267" i="13"/>
  <c r="FP267" i="13"/>
  <c r="FO267" i="13"/>
  <c r="FN267" i="13"/>
  <c r="GN266" i="13"/>
  <c r="GM266" i="13"/>
  <c r="GL266" i="13"/>
  <c r="GK266" i="13"/>
  <c r="GJ266" i="13"/>
  <c r="GI266" i="13"/>
  <c r="GH266" i="13"/>
  <c r="GG266" i="13"/>
  <c r="GF266" i="13"/>
  <c r="GE266" i="13"/>
  <c r="GD266" i="13"/>
  <c r="GC266" i="13"/>
  <c r="GB266" i="13"/>
  <c r="GA266" i="13"/>
  <c r="FZ266" i="13"/>
  <c r="FY266" i="13"/>
  <c r="FX266" i="13"/>
  <c r="FW266" i="13"/>
  <c r="FV266" i="13"/>
  <c r="FU266" i="13"/>
  <c r="FT266" i="13"/>
  <c r="FS266" i="13"/>
  <c r="FR266" i="13"/>
  <c r="FQ266" i="13"/>
  <c r="FP266" i="13"/>
  <c r="FO266" i="13"/>
  <c r="FN266" i="13"/>
  <c r="GN265" i="13"/>
  <c r="GM265" i="13"/>
  <c r="GL265" i="13"/>
  <c r="GK265" i="13"/>
  <c r="GJ265" i="13"/>
  <c r="GI265" i="13"/>
  <c r="GH265" i="13"/>
  <c r="GG265" i="13"/>
  <c r="GF265" i="13"/>
  <c r="GE265" i="13"/>
  <c r="GD265" i="13"/>
  <c r="GC265" i="13"/>
  <c r="GB265" i="13"/>
  <c r="GA265" i="13"/>
  <c r="FZ265" i="13"/>
  <c r="FY265" i="13"/>
  <c r="FX265" i="13"/>
  <c r="FW265" i="13"/>
  <c r="FV265" i="13"/>
  <c r="FU265" i="13"/>
  <c r="FT265" i="13"/>
  <c r="FS265" i="13"/>
  <c r="FR265" i="13"/>
  <c r="FQ265" i="13"/>
  <c r="FP265" i="13"/>
  <c r="FO265" i="13"/>
  <c r="FN265" i="13"/>
  <c r="GN264" i="13"/>
  <c r="GM264" i="13"/>
  <c r="GL264" i="13"/>
  <c r="GK264" i="13"/>
  <c r="GJ264" i="13"/>
  <c r="GI264" i="13"/>
  <c r="GH264" i="13"/>
  <c r="GG264" i="13"/>
  <c r="GF264" i="13"/>
  <c r="GE264" i="13"/>
  <c r="GD264" i="13"/>
  <c r="GC264" i="13"/>
  <c r="GB264" i="13"/>
  <c r="GA264" i="13"/>
  <c r="FZ264" i="13"/>
  <c r="FY264" i="13"/>
  <c r="FX264" i="13"/>
  <c r="FW264" i="13"/>
  <c r="FV264" i="13"/>
  <c r="FU264" i="13"/>
  <c r="FT264" i="13"/>
  <c r="FS264" i="13"/>
  <c r="FR264" i="13"/>
  <c r="FQ264" i="13"/>
  <c r="FP264" i="13"/>
  <c r="FO264" i="13"/>
  <c r="FN264" i="13"/>
  <c r="GN263" i="13"/>
  <c r="GM263" i="13"/>
  <c r="GL263" i="13"/>
  <c r="GK263" i="13"/>
  <c r="GJ263" i="13"/>
  <c r="GI263" i="13"/>
  <c r="GH263" i="13"/>
  <c r="GG263" i="13"/>
  <c r="GF263" i="13"/>
  <c r="GE263" i="13"/>
  <c r="GD263" i="13"/>
  <c r="GC263" i="13"/>
  <c r="GB263" i="13"/>
  <c r="GA263" i="13"/>
  <c r="FZ263" i="13"/>
  <c r="FY263" i="13"/>
  <c r="FX263" i="13"/>
  <c r="FW263" i="13"/>
  <c r="FV263" i="13"/>
  <c r="FU263" i="13"/>
  <c r="FT263" i="13"/>
  <c r="FS263" i="13"/>
  <c r="FR263" i="13"/>
  <c r="FQ263" i="13"/>
  <c r="FP263" i="13"/>
  <c r="FO263" i="13"/>
  <c r="FN263" i="13"/>
  <c r="GN262" i="13"/>
  <c r="GM262" i="13"/>
  <c r="GL262" i="13"/>
  <c r="GK262" i="13"/>
  <c r="GJ262" i="13"/>
  <c r="GI262" i="13"/>
  <c r="GH262" i="13"/>
  <c r="GG262" i="13"/>
  <c r="GF262" i="13"/>
  <c r="GE262" i="13"/>
  <c r="GD262" i="13"/>
  <c r="GC262" i="13"/>
  <c r="GB262" i="13"/>
  <c r="GA262" i="13"/>
  <c r="FZ262" i="13"/>
  <c r="FY262" i="13"/>
  <c r="FX262" i="13"/>
  <c r="FW262" i="13"/>
  <c r="FV262" i="13"/>
  <c r="FU262" i="13"/>
  <c r="FT262" i="13"/>
  <c r="FS262" i="13"/>
  <c r="FR262" i="13"/>
  <c r="FQ262" i="13"/>
  <c r="FP262" i="13"/>
  <c r="FO262" i="13"/>
  <c r="FN262" i="13"/>
  <c r="GN261" i="13"/>
  <c r="GM261" i="13"/>
  <c r="GL261" i="13"/>
  <c r="GK261" i="13"/>
  <c r="GJ261" i="13"/>
  <c r="GI261" i="13"/>
  <c r="GH261" i="13"/>
  <c r="GG261" i="13"/>
  <c r="GF261" i="13"/>
  <c r="GE261" i="13"/>
  <c r="GD261" i="13"/>
  <c r="GC261" i="13"/>
  <c r="GB261" i="13"/>
  <c r="GA261" i="13"/>
  <c r="FZ261" i="13"/>
  <c r="FY261" i="13"/>
  <c r="FX261" i="13"/>
  <c r="FW261" i="13"/>
  <c r="FV261" i="13"/>
  <c r="FU261" i="13"/>
  <c r="FT261" i="13"/>
  <c r="FS261" i="13"/>
  <c r="FR261" i="13"/>
  <c r="FQ261" i="13"/>
  <c r="FP261" i="13"/>
  <c r="FO261" i="13"/>
  <c r="FN261" i="13"/>
  <c r="GN260" i="13"/>
  <c r="GM260" i="13"/>
  <c r="GL260" i="13"/>
  <c r="GK260" i="13"/>
  <c r="GJ260" i="13"/>
  <c r="GI260" i="13"/>
  <c r="GH260" i="13"/>
  <c r="GG260" i="13"/>
  <c r="GF260" i="13"/>
  <c r="GE260" i="13"/>
  <c r="GD260" i="13"/>
  <c r="GC260" i="13"/>
  <c r="GB260" i="13"/>
  <c r="GA260" i="13"/>
  <c r="FZ260" i="13"/>
  <c r="FY260" i="13"/>
  <c r="FX260" i="13"/>
  <c r="FW260" i="13"/>
  <c r="FV260" i="13"/>
  <c r="FU260" i="13"/>
  <c r="FT260" i="13"/>
  <c r="FS260" i="13"/>
  <c r="FR260" i="13"/>
  <c r="FQ260" i="13"/>
  <c r="FP260" i="13"/>
  <c r="FO260" i="13"/>
  <c r="FN260" i="13"/>
  <c r="FL260" i="13" s="1"/>
  <c r="GN259" i="13"/>
  <c r="GM259" i="13"/>
  <c r="GL259" i="13"/>
  <c r="GK259" i="13"/>
  <c r="GJ259" i="13"/>
  <c r="GI259" i="13"/>
  <c r="GH259" i="13"/>
  <c r="GG259" i="13"/>
  <c r="GF259" i="13"/>
  <c r="GE259" i="13"/>
  <c r="GD259" i="13"/>
  <c r="GC259" i="13"/>
  <c r="GB259" i="13"/>
  <c r="GA259" i="13"/>
  <c r="FZ259" i="13"/>
  <c r="FY259" i="13"/>
  <c r="FX259" i="13"/>
  <c r="FW259" i="13"/>
  <c r="FV259" i="13"/>
  <c r="FU259" i="13"/>
  <c r="FT259" i="13"/>
  <c r="FS259" i="13"/>
  <c r="FR259" i="13"/>
  <c r="FQ259" i="13"/>
  <c r="FP259" i="13"/>
  <c r="FO259" i="13"/>
  <c r="FN259" i="13"/>
  <c r="GN258" i="13"/>
  <c r="GM258" i="13"/>
  <c r="GL258" i="13"/>
  <c r="GK258" i="13"/>
  <c r="GJ258" i="13"/>
  <c r="GI258" i="13"/>
  <c r="GH258" i="13"/>
  <c r="GG258" i="13"/>
  <c r="GF258" i="13"/>
  <c r="GE258" i="13"/>
  <c r="GD258" i="13"/>
  <c r="GC258" i="13"/>
  <c r="GB258" i="13"/>
  <c r="GA258" i="13"/>
  <c r="FZ258" i="13"/>
  <c r="FY258" i="13"/>
  <c r="FX258" i="13"/>
  <c r="FW258" i="13"/>
  <c r="FV258" i="13"/>
  <c r="FU258" i="13"/>
  <c r="FT258" i="13"/>
  <c r="FS258" i="13"/>
  <c r="FR258" i="13"/>
  <c r="FQ258" i="13"/>
  <c r="FP258" i="13"/>
  <c r="FO258" i="13"/>
  <c r="FN258" i="13"/>
  <c r="GN257" i="13"/>
  <c r="GM257" i="13"/>
  <c r="GL257" i="13"/>
  <c r="GK257" i="13"/>
  <c r="GJ257" i="13"/>
  <c r="GI257" i="13"/>
  <c r="GH257" i="13"/>
  <c r="GG257" i="13"/>
  <c r="GF257" i="13"/>
  <c r="GE257" i="13"/>
  <c r="GD257" i="13"/>
  <c r="GC257" i="13"/>
  <c r="GB257" i="13"/>
  <c r="GA257" i="13"/>
  <c r="FZ257" i="13"/>
  <c r="FY257" i="13"/>
  <c r="FX257" i="13"/>
  <c r="FW257" i="13"/>
  <c r="FV257" i="13"/>
  <c r="FU257" i="13"/>
  <c r="FT257" i="13"/>
  <c r="FS257" i="13"/>
  <c r="FR257" i="13"/>
  <c r="FQ257" i="13"/>
  <c r="FP257" i="13"/>
  <c r="FO257" i="13"/>
  <c r="FN257" i="13"/>
  <c r="GN256" i="13"/>
  <c r="GM256" i="13"/>
  <c r="GL256" i="13"/>
  <c r="GK256" i="13"/>
  <c r="GJ256" i="13"/>
  <c r="GI256" i="13"/>
  <c r="GH256" i="13"/>
  <c r="GG256" i="13"/>
  <c r="GF256" i="13"/>
  <c r="GE256" i="13"/>
  <c r="GD256" i="13"/>
  <c r="GC256" i="13"/>
  <c r="GB256" i="13"/>
  <c r="GA256" i="13"/>
  <c r="FZ256" i="13"/>
  <c r="FY256" i="13"/>
  <c r="FX256" i="13"/>
  <c r="FW256" i="13"/>
  <c r="FV256" i="13"/>
  <c r="FU256" i="13"/>
  <c r="FT256" i="13"/>
  <c r="FS256" i="13"/>
  <c r="FR256" i="13"/>
  <c r="FQ256" i="13"/>
  <c r="FP256" i="13"/>
  <c r="FO256" i="13"/>
  <c r="FN256" i="13"/>
  <c r="GN255" i="13"/>
  <c r="GM255" i="13"/>
  <c r="GL255" i="13"/>
  <c r="GK255" i="13"/>
  <c r="GJ255" i="13"/>
  <c r="GI255" i="13"/>
  <c r="GH255" i="13"/>
  <c r="GG255" i="13"/>
  <c r="GF255" i="13"/>
  <c r="GE255" i="13"/>
  <c r="GD255" i="13"/>
  <c r="GC255" i="13"/>
  <c r="GB255" i="13"/>
  <c r="GA255" i="13"/>
  <c r="FZ255" i="13"/>
  <c r="FY255" i="13"/>
  <c r="FX255" i="13"/>
  <c r="FW255" i="13"/>
  <c r="FV255" i="13"/>
  <c r="FU255" i="13"/>
  <c r="FT255" i="13"/>
  <c r="FS255" i="13"/>
  <c r="FR255" i="13"/>
  <c r="FQ255" i="13"/>
  <c r="FP255" i="13"/>
  <c r="FO255" i="13"/>
  <c r="FN255" i="13"/>
  <c r="GN254" i="13"/>
  <c r="GM254" i="13"/>
  <c r="GL254" i="13"/>
  <c r="GK254" i="13"/>
  <c r="GJ254" i="13"/>
  <c r="GI254" i="13"/>
  <c r="GH254" i="13"/>
  <c r="GG254" i="13"/>
  <c r="GF254" i="13"/>
  <c r="GE254" i="13"/>
  <c r="GD254" i="13"/>
  <c r="GC254" i="13"/>
  <c r="GB254" i="13"/>
  <c r="GA254" i="13"/>
  <c r="FZ254" i="13"/>
  <c r="FY254" i="13"/>
  <c r="FX254" i="13"/>
  <c r="FW254" i="13"/>
  <c r="FV254" i="13"/>
  <c r="FU254" i="13"/>
  <c r="FT254" i="13"/>
  <c r="FS254" i="13"/>
  <c r="FR254" i="13"/>
  <c r="FQ254" i="13"/>
  <c r="FP254" i="13"/>
  <c r="FO254" i="13"/>
  <c r="FN254" i="13"/>
  <c r="GN253" i="13"/>
  <c r="GM253" i="13"/>
  <c r="GL253" i="13"/>
  <c r="GK253" i="13"/>
  <c r="GJ253" i="13"/>
  <c r="GI253" i="13"/>
  <c r="GH253" i="13"/>
  <c r="GG253" i="13"/>
  <c r="GF253" i="13"/>
  <c r="GE253" i="13"/>
  <c r="GD253" i="13"/>
  <c r="GC253" i="13"/>
  <c r="GB253" i="13"/>
  <c r="GA253" i="13"/>
  <c r="FZ253" i="13"/>
  <c r="FY253" i="13"/>
  <c r="FX253" i="13"/>
  <c r="FW253" i="13"/>
  <c r="FV253" i="13"/>
  <c r="FU253" i="13"/>
  <c r="FT253" i="13"/>
  <c r="FS253" i="13"/>
  <c r="FR253" i="13"/>
  <c r="FQ253" i="13"/>
  <c r="FP253" i="13"/>
  <c r="FO253" i="13"/>
  <c r="FN253" i="13"/>
  <c r="GN252" i="13"/>
  <c r="GM252" i="13"/>
  <c r="GL252" i="13"/>
  <c r="GK252" i="13"/>
  <c r="GJ252" i="13"/>
  <c r="GI252" i="13"/>
  <c r="GH252" i="13"/>
  <c r="GG252" i="13"/>
  <c r="GF252" i="13"/>
  <c r="GE252" i="13"/>
  <c r="GD252" i="13"/>
  <c r="GC252" i="13"/>
  <c r="GB252" i="13"/>
  <c r="GA252" i="13"/>
  <c r="FZ252" i="13"/>
  <c r="FY252" i="13"/>
  <c r="FX252" i="13"/>
  <c r="FW252" i="13"/>
  <c r="FV252" i="13"/>
  <c r="FU252" i="13"/>
  <c r="FT252" i="13"/>
  <c r="FS252" i="13"/>
  <c r="FR252" i="13"/>
  <c r="FQ252" i="13"/>
  <c r="FP252" i="13"/>
  <c r="FO252" i="13"/>
  <c r="FN252" i="13"/>
  <c r="FL252" i="13" s="1"/>
  <c r="GN251" i="13"/>
  <c r="GM251" i="13"/>
  <c r="GL251" i="13"/>
  <c r="GK251" i="13"/>
  <c r="GJ251" i="13"/>
  <c r="GI251" i="13"/>
  <c r="GH251" i="13"/>
  <c r="GG251" i="13"/>
  <c r="GF251" i="13"/>
  <c r="GE251" i="13"/>
  <c r="GD251" i="13"/>
  <c r="GC251" i="13"/>
  <c r="GB251" i="13"/>
  <c r="GA251" i="13"/>
  <c r="FZ251" i="13"/>
  <c r="FY251" i="13"/>
  <c r="FX251" i="13"/>
  <c r="FW251" i="13"/>
  <c r="FV251" i="13"/>
  <c r="FU251" i="13"/>
  <c r="FT251" i="13"/>
  <c r="FS251" i="13"/>
  <c r="FR251" i="13"/>
  <c r="FQ251" i="13"/>
  <c r="FP251" i="13"/>
  <c r="FO251" i="13"/>
  <c r="FN251" i="13"/>
  <c r="GN250" i="13"/>
  <c r="GM250" i="13"/>
  <c r="GL250" i="13"/>
  <c r="GK250" i="13"/>
  <c r="GJ250" i="13"/>
  <c r="GI250" i="13"/>
  <c r="GH250" i="13"/>
  <c r="GG250" i="13"/>
  <c r="GF250" i="13"/>
  <c r="GE250" i="13"/>
  <c r="GD250" i="13"/>
  <c r="GC250" i="13"/>
  <c r="GB250" i="13"/>
  <c r="GA250" i="13"/>
  <c r="FZ250" i="13"/>
  <c r="FY250" i="13"/>
  <c r="FX250" i="13"/>
  <c r="FW250" i="13"/>
  <c r="FV250" i="13"/>
  <c r="FU250" i="13"/>
  <c r="FT250" i="13"/>
  <c r="FS250" i="13"/>
  <c r="FR250" i="13"/>
  <c r="FQ250" i="13"/>
  <c r="FP250" i="13"/>
  <c r="FO250" i="13"/>
  <c r="FN250" i="13"/>
  <c r="GN249" i="13"/>
  <c r="GM249" i="13"/>
  <c r="GL249" i="13"/>
  <c r="GK249" i="13"/>
  <c r="GJ249" i="13"/>
  <c r="GI249" i="13"/>
  <c r="GH249" i="13"/>
  <c r="GG249" i="13"/>
  <c r="GF249" i="13"/>
  <c r="GE249" i="13"/>
  <c r="GD249" i="13"/>
  <c r="GC249" i="13"/>
  <c r="GB249" i="13"/>
  <c r="GA249" i="13"/>
  <c r="FZ249" i="13"/>
  <c r="FY249" i="13"/>
  <c r="FX249" i="13"/>
  <c r="FW249" i="13"/>
  <c r="FV249" i="13"/>
  <c r="FU249" i="13"/>
  <c r="FT249" i="13"/>
  <c r="FS249" i="13"/>
  <c r="FR249" i="13"/>
  <c r="FQ249" i="13"/>
  <c r="FP249" i="13"/>
  <c r="FO249" i="13"/>
  <c r="FN249" i="13"/>
  <c r="GN248" i="13"/>
  <c r="GM248" i="13"/>
  <c r="GL248" i="13"/>
  <c r="GK248" i="13"/>
  <c r="GJ248" i="13"/>
  <c r="GI248" i="13"/>
  <c r="GH248" i="13"/>
  <c r="GG248" i="13"/>
  <c r="GF248" i="13"/>
  <c r="GE248" i="13"/>
  <c r="GD248" i="13"/>
  <c r="GC248" i="13"/>
  <c r="GB248" i="13"/>
  <c r="GA248" i="13"/>
  <c r="FZ248" i="13"/>
  <c r="FY248" i="13"/>
  <c r="FX248" i="13"/>
  <c r="FW248" i="13"/>
  <c r="FV248" i="13"/>
  <c r="FU248" i="13"/>
  <c r="FT248" i="13"/>
  <c r="FS248" i="13"/>
  <c r="FR248" i="13"/>
  <c r="FQ248" i="13"/>
  <c r="FP248" i="13"/>
  <c r="FO248" i="13"/>
  <c r="FN248" i="13"/>
  <c r="GN247" i="13"/>
  <c r="GM247" i="13"/>
  <c r="GL247" i="13"/>
  <c r="GK247" i="13"/>
  <c r="GJ247" i="13"/>
  <c r="GI247" i="13"/>
  <c r="GH247" i="13"/>
  <c r="GG247" i="13"/>
  <c r="GF247" i="13"/>
  <c r="GE247" i="13"/>
  <c r="GD247" i="13"/>
  <c r="GC247" i="13"/>
  <c r="GB247" i="13"/>
  <c r="GA247" i="13"/>
  <c r="FZ247" i="13"/>
  <c r="FY247" i="13"/>
  <c r="FX247" i="13"/>
  <c r="FW247" i="13"/>
  <c r="FV247" i="13"/>
  <c r="FU247" i="13"/>
  <c r="FT247" i="13"/>
  <c r="FS247" i="13"/>
  <c r="FR247" i="13"/>
  <c r="FQ247" i="13"/>
  <c r="FP247" i="13"/>
  <c r="FO247" i="13"/>
  <c r="FN247" i="13"/>
  <c r="GN246" i="13"/>
  <c r="GM246" i="13"/>
  <c r="GL246" i="13"/>
  <c r="GK246" i="13"/>
  <c r="GJ246" i="13"/>
  <c r="GI246" i="13"/>
  <c r="GH246" i="13"/>
  <c r="GG246" i="13"/>
  <c r="GF246" i="13"/>
  <c r="GE246" i="13"/>
  <c r="GD246" i="13"/>
  <c r="GC246" i="13"/>
  <c r="GB246" i="13"/>
  <c r="GA246" i="13"/>
  <c r="FZ246" i="13"/>
  <c r="FY246" i="13"/>
  <c r="FX246" i="13"/>
  <c r="FW246" i="13"/>
  <c r="FV246" i="13"/>
  <c r="FU246" i="13"/>
  <c r="FT246" i="13"/>
  <c r="FS246" i="13"/>
  <c r="FR246" i="13"/>
  <c r="FQ246" i="13"/>
  <c r="FP246" i="13"/>
  <c r="FO246" i="13"/>
  <c r="FN246" i="13"/>
  <c r="GN245" i="13"/>
  <c r="GM245" i="13"/>
  <c r="GL245" i="13"/>
  <c r="GK245" i="13"/>
  <c r="GJ245" i="13"/>
  <c r="GI245" i="13"/>
  <c r="GH245" i="13"/>
  <c r="GG245" i="13"/>
  <c r="GF245" i="13"/>
  <c r="GE245" i="13"/>
  <c r="GD245" i="13"/>
  <c r="GC245" i="13"/>
  <c r="GB245" i="13"/>
  <c r="GA245" i="13"/>
  <c r="FZ245" i="13"/>
  <c r="FY245" i="13"/>
  <c r="FX245" i="13"/>
  <c r="FW245" i="13"/>
  <c r="FV245" i="13"/>
  <c r="FU245" i="13"/>
  <c r="FT245" i="13"/>
  <c r="FS245" i="13"/>
  <c r="FR245" i="13"/>
  <c r="FQ245" i="13"/>
  <c r="FP245" i="13"/>
  <c r="FO245" i="13"/>
  <c r="FN245" i="13"/>
  <c r="GN244" i="13"/>
  <c r="GM244" i="13"/>
  <c r="GL244" i="13"/>
  <c r="GK244" i="13"/>
  <c r="GJ244" i="13"/>
  <c r="GI244" i="13"/>
  <c r="GH244" i="13"/>
  <c r="GG244" i="13"/>
  <c r="GF244" i="13"/>
  <c r="GE244" i="13"/>
  <c r="GD244" i="13"/>
  <c r="GC244" i="13"/>
  <c r="GB244" i="13"/>
  <c r="GA244" i="13"/>
  <c r="FZ244" i="13"/>
  <c r="FY244" i="13"/>
  <c r="FX244" i="13"/>
  <c r="FW244" i="13"/>
  <c r="FV244" i="13"/>
  <c r="FU244" i="13"/>
  <c r="FT244" i="13"/>
  <c r="FS244" i="13"/>
  <c r="FR244" i="13"/>
  <c r="FQ244" i="13"/>
  <c r="FP244" i="13"/>
  <c r="FO244" i="13"/>
  <c r="FN244" i="13"/>
  <c r="FL244" i="13" s="1"/>
  <c r="GN243" i="13"/>
  <c r="GM243" i="13"/>
  <c r="GL243" i="13"/>
  <c r="GK243" i="13"/>
  <c r="GJ243" i="13"/>
  <c r="GI243" i="13"/>
  <c r="GH243" i="13"/>
  <c r="GG243" i="13"/>
  <c r="GF243" i="13"/>
  <c r="GE243" i="13"/>
  <c r="GD243" i="13"/>
  <c r="GC243" i="13"/>
  <c r="GB243" i="13"/>
  <c r="GA243" i="13"/>
  <c r="FZ243" i="13"/>
  <c r="FY243" i="13"/>
  <c r="FX243" i="13"/>
  <c r="FW243" i="13"/>
  <c r="FV243" i="13"/>
  <c r="FU243" i="13"/>
  <c r="FT243" i="13"/>
  <c r="FS243" i="13"/>
  <c r="FR243" i="13"/>
  <c r="FQ243" i="13"/>
  <c r="FP243" i="13"/>
  <c r="FO243" i="13"/>
  <c r="FN243" i="13"/>
  <c r="GN242" i="13"/>
  <c r="GM242" i="13"/>
  <c r="GL242" i="13"/>
  <c r="GK242" i="13"/>
  <c r="GJ242" i="13"/>
  <c r="GI242" i="13"/>
  <c r="GH242" i="13"/>
  <c r="GG242" i="13"/>
  <c r="GF242" i="13"/>
  <c r="GE242" i="13"/>
  <c r="GD242" i="13"/>
  <c r="GC242" i="13"/>
  <c r="GB242" i="13"/>
  <c r="GA242" i="13"/>
  <c r="FZ242" i="13"/>
  <c r="FY242" i="13"/>
  <c r="FX242" i="13"/>
  <c r="FW242" i="13"/>
  <c r="FV242" i="13"/>
  <c r="FU242" i="13"/>
  <c r="FT242" i="13"/>
  <c r="FS242" i="13"/>
  <c r="FR242" i="13"/>
  <c r="FQ242" i="13"/>
  <c r="FP242" i="13"/>
  <c r="FO242" i="13"/>
  <c r="FN242" i="13"/>
  <c r="FL242" i="13" s="1"/>
  <c r="GN241" i="13"/>
  <c r="GM241" i="13"/>
  <c r="GL241" i="13"/>
  <c r="GK241" i="13"/>
  <c r="GJ241" i="13"/>
  <c r="GI241" i="13"/>
  <c r="GH241" i="13"/>
  <c r="GG241" i="13"/>
  <c r="GF241" i="13"/>
  <c r="GE241" i="13"/>
  <c r="GD241" i="13"/>
  <c r="GC241" i="13"/>
  <c r="GB241" i="13"/>
  <c r="GA241" i="13"/>
  <c r="FZ241" i="13"/>
  <c r="FY241" i="13"/>
  <c r="FX241" i="13"/>
  <c r="FW241" i="13"/>
  <c r="FV241" i="13"/>
  <c r="FU241" i="13"/>
  <c r="FT241" i="13"/>
  <c r="FS241" i="13"/>
  <c r="FR241" i="13"/>
  <c r="FQ241" i="13"/>
  <c r="FP241" i="13"/>
  <c r="FO241" i="13"/>
  <c r="FN241" i="13"/>
  <c r="GN240" i="13"/>
  <c r="GM240" i="13"/>
  <c r="GL240" i="13"/>
  <c r="GK240" i="13"/>
  <c r="GJ240" i="13"/>
  <c r="GI240" i="13"/>
  <c r="GH240" i="13"/>
  <c r="GG240" i="13"/>
  <c r="GF240" i="13"/>
  <c r="GE240" i="13"/>
  <c r="GD240" i="13"/>
  <c r="GC240" i="13"/>
  <c r="GB240" i="13"/>
  <c r="GA240" i="13"/>
  <c r="FZ240" i="13"/>
  <c r="FY240" i="13"/>
  <c r="FX240" i="13"/>
  <c r="FW240" i="13"/>
  <c r="FV240" i="13"/>
  <c r="FU240" i="13"/>
  <c r="FT240" i="13"/>
  <c r="FS240" i="13"/>
  <c r="FR240" i="13"/>
  <c r="FQ240" i="13"/>
  <c r="FP240" i="13"/>
  <c r="FO240" i="13"/>
  <c r="FN240" i="13"/>
  <c r="GN239" i="13"/>
  <c r="GM239" i="13"/>
  <c r="GL239" i="13"/>
  <c r="GK239" i="13"/>
  <c r="GJ239" i="13"/>
  <c r="GI239" i="13"/>
  <c r="GH239" i="13"/>
  <c r="GG239" i="13"/>
  <c r="GF239" i="13"/>
  <c r="GE239" i="13"/>
  <c r="GD239" i="13"/>
  <c r="GC239" i="13"/>
  <c r="GB239" i="13"/>
  <c r="GA239" i="13"/>
  <c r="FZ239" i="13"/>
  <c r="FY239" i="13"/>
  <c r="FX239" i="13"/>
  <c r="FW239" i="13"/>
  <c r="FV239" i="13"/>
  <c r="FU239" i="13"/>
  <c r="FT239" i="13"/>
  <c r="FS239" i="13"/>
  <c r="FR239" i="13"/>
  <c r="FQ239" i="13"/>
  <c r="FP239" i="13"/>
  <c r="FO239" i="13"/>
  <c r="FN239" i="13"/>
  <c r="GN238" i="13"/>
  <c r="GM238" i="13"/>
  <c r="GL238" i="13"/>
  <c r="GK238" i="13"/>
  <c r="GJ238" i="13"/>
  <c r="GI238" i="13"/>
  <c r="GH238" i="13"/>
  <c r="GG238" i="13"/>
  <c r="GF238" i="13"/>
  <c r="GE238" i="13"/>
  <c r="GD238" i="13"/>
  <c r="GC238" i="13"/>
  <c r="GB238" i="13"/>
  <c r="GA238" i="13"/>
  <c r="FZ238" i="13"/>
  <c r="FY238" i="13"/>
  <c r="FX238" i="13"/>
  <c r="FW238" i="13"/>
  <c r="FV238" i="13"/>
  <c r="FU238" i="13"/>
  <c r="FT238" i="13"/>
  <c r="FS238" i="13"/>
  <c r="FR238" i="13"/>
  <c r="FQ238" i="13"/>
  <c r="FP238" i="13"/>
  <c r="FO238" i="13"/>
  <c r="FN238" i="13"/>
  <c r="GN237" i="13"/>
  <c r="GM237" i="13"/>
  <c r="GL237" i="13"/>
  <c r="GK237" i="13"/>
  <c r="GJ237" i="13"/>
  <c r="GI237" i="13"/>
  <c r="GH237" i="13"/>
  <c r="GG237" i="13"/>
  <c r="GF237" i="13"/>
  <c r="GE237" i="13"/>
  <c r="GD237" i="13"/>
  <c r="GC237" i="13"/>
  <c r="GB237" i="13"/>
  <c r="GA237" i="13"/>
  <c r="FZ237" i="13"/>
  <c r="FY237" i="13"/>
  <c r="FX237" i="13"/>
  <c r="FW237" i="13"/>
  <c r="FV237" i="13"/>
  <c r="FU237" i="13"/>
  <c r="FT237" i="13"/>
  <c r="FS237" i="13"/>
  <c r="FR237" i="13"/>
  <c r="FQ237" i="13"/>
  <c r="FP237" i="13"/>
  <c r="FO237" i="13"/>
  <c r="FN237" i="13"/>
  <c r="GN236" i="13"/>
  <c r="GM236" i="13"/>
  <c r="GL236" i="13"/>
  <c r="GK236" i="13"/>
  <c r="GJ236" i="13"/>
  <c r="GI236" i="13"/>
  <c r="GH236" i="13"/>
  <c r="GG236" i="13"/>
  <c r="GF236" i="13"/>
  <c r="GE236" i="13"/>
  <c r="GD236" i="13"/>
  <c r="GC236" i="13"/>
  <c r="GB236" i="13"/>
  <c r="GA236" i="13"/>
  <c r="FZ236" i="13"/>
  <c r="FY236" i="13"/>
  <c r="FX236" i="13"/>
  <c r="FW236" i="13"/>
  <c r="FV236" i="13"/>
  <c r="FU236" i="13"/>
  <c r="FT236" i="13"/>
  <c r="FS236" i="13"/>
  <c r="FR236" i="13"/>
  <c r="FQ236" i="13"/>
  <c r="FP236" i="13"/>
  <c r="FO236" i="13"/>
  <c r="FN236" i="13"/>
  <c r="FL236" i="13" s="1"/>
  <c r="GN235" i="13"/>
  <c r="GM235" i="13"/>
  <c r="GL235" i="13"/>
  <c r="GK235" i="13"/>
  <c r="GJ235" i="13"/>
  <c r="GI235" i="13"/>
  <c r="GH235" i="13"/>
  <c r="GG235" i="13"/>
  <c r="GF235" i="13"/>
  <c r="GE235" i="13"/>
  <c r="GD235" i="13"/>
  <c r="GC235" i="13"/>
  <c r="GB235" i="13"/>
  <c r="GA235" i="13"/>
  <c r="FZ235" i="13"/>
  <c r="FY235" i="13"/>
  <c r="FX235" i="13"/>
  <c r="FW235" i="13"/>
  <c r="FV235" i="13"/>
  <c r="FU235" i="13"/>
  <c r="FT235" i="13"/>
  <c r="FS235" i="13"/>
  <c r="FR235" i="13"/>
  <c r="FQ235" i="13"/>
  <c r="FP235" i="13"/>
  <c r="FO235" i="13"/>
  <c r="FN235" i="13"/>
  <c r="GN234" i="13"/>
  <c r="GM234" i="13"/>
  <c r="GL234" i="13"/>
  <c r="GK234" i="13"/>
  <c r="GJ234" i="13"/>
  <c r="GI234" i="13"/>
  <c r="GH234" i="13"/>
  <c r="GG234" i="13"/>
  <c r="GF234" i="13"/>
  <c r="GE234" i="13"/>
  <c r="GD234" i="13"/>
  <c r="GC234" i="13"/>
  <c r="GB234" i="13"/>
  <c r="GA234" i="13"/>
  <c r="FZ234" i="13"/>
  <c r="FY234" i="13"/>
  <c r="FX234" i="13"/>
  <c r="FW234" i="13"/>
  <c r="FV234" i="13"/>
  <c r="FU234" i="13"/>
  <c r="FT234" i="13"/>
  <c r="FS234" i="13"/>
  <c r="FR234" i="13"/>
  <c r="FQ234" i="13"/>
  <c r="FP234" i="13"/>
  <c r="FO234" i="13"/>
  <c r="FN234" i="13"/>
  <c r="FL234" i="13" s="1"/>
  <c r="GN233" i="13"/>
  <c r="GM233" i="13"/>
  <c r="GL233" i="13"/>
  <c r="GK233" i="13"/>
  <c r="GJ233" i="13"/>
  <c r="GI233" i="13"/>
  <c r="GH233" i="13"/>
  <c r="GG233" i="13"/>
  <c r="GF233" i="13"/>
  <c r="GE233" i="13"/>
  <c r="GD233" i="13"/>
  <c r="GC233" i="13"/>
  <c r="GB233" i="13"/>
  <c r="GA233" i="13"/>
  <c r="FZ233" i="13"/>
  <c r="FY233" i="13"/>
  <c r="FX233" i="13"/>
  <c r="FW233" i="13"/>
  <c r="FV233" i="13"/>
  <c r="FU233" i="13"/>
  <c r="FT233" i="13"/>
  <c r="FS233" i="13"/>
  <c r="FR233" i="13"/>
  <c r="FQ233" i="13"/>
  <c r="FP233" i="13"/>
  <c r="FO233" i="13"/>
  <c r="FN233" i="13"/>
  <c r="GN232" i="13"/>
  <c r="GM232" i="13"/>
  <c r="GL232" i="13"/>
  <c r="GK232" i="13"/>
  <c r="GJ232" i="13"/>
  <c r="GI232" i="13"/>
  <c r="GH232" i="13"/>
  <c r="GG232" i="13"/>
  <c r="GF232" i="13"/>
  <c r="GE232" i="13"/>
  <c r="GD232" i="13"/>
  <c r="GC232" i="13"/>
  <c r="GB232" i="13"/>
  <c r="GA232" i="13"/>
  <c r="FZ232" i="13"/>
  <c r="FY232" i="13"/>
  <c r="FX232" i="13"/>
  <c r="FW232" i="13"/>
  <c r="FV232" i="13"/>
  <c r="FU232" i="13"/>
  <c r="FT232" i="13"/>
  <c r="FS232" i="13"/>
  <c r="FR232" i="13"/>
  <c r="FQ232" i="13"/>
  <c r="FP232" i="13"/>
  <c r="FO232" i="13"/>
  <c r="FN232" i="13"/>
  <c r="GN231" i="13"/>
  <c r="GM231" i="13"/>
  <c r="GL231" i="13"/>
  <c r="GK231" i="13"/>
  <c r="GJ231" i="13"/>
  <c r="GI231" i="13"/>
  <c r="GH231" i="13"/>
  <c r="GG231" i="13"/>
  <c r="GF231" i="13"/>
  <c r="GE231" i="13"/>
  <c r="GD231" i="13"/>
  <c r="GC231" i="13"/>
  <c r="GB231" i="13"/>
  <c r="GA231" i="13"/>
  <c r="FZ231" i="13"/>
  <c r="FY231" i="13"/>
  <c r="FX231" i="13"/>
  <c r="FW231" i="13"/>
  <c r="FV231" i="13"/>
  <c r="FU231" i="13"/>
  <c r="FT231" i="13"/>
  <c r="FS231" i="13"/>
  <c r="FR231" i="13"/>
  <c r="FQ231" i="13"/>
  <c r="FP231" i="13"/>
  <c r="FO231" i="13"/>
  <c r="FN231" i="13"/>
  <c r="GN230" i="13"/>
  <c r="GM230" i="13"/>
  <c r="GL230" i="13"/>
  <c r="GK230" i="13"/>
  <c r="GJ230" i="13"/>
  <c r="GI230" i="13"/>
  <c r="GH230" i="13"/>
  <c r="GG230" i="13"/>
  <c r="GF230" i="13"/>
  <c r="GE230" i="13"/>
  <c r="GD230" i="13"/>
  <c r="GC230" i="13"/>
  <c r="GB230" i="13"/>
  <c r="GA230" i="13"/>
  <c r="FZ230" i="13"/>
  <c r="FY230" i="13"/>
  <c r="FX230" i="13"/>
  <c r="FW230" i="13"/>
  <c r="FV230" i="13"/>
  <c r="FU230" i="13"/>
  <c r="FT230" i="13"/>
  <c r="FS230" i="13"/>
  <c r="FR230" i="13"/>
  <c r="FQ230" i="13"/>
  <c r="FP230" i="13"/>
  <c r="FO230" i="13"/>
  <c r="FN230" i="13"/>
  <c r="GN229" i="13"/>
  <c r="GM229" i="13"/>
  <c r="GL229" i="13"/>
  <c r="GK229" i="13"/>
  <c r="GJ229" i="13"/>
  <c r="GI229" i="13"/>
  <c r="GH229" i="13"/>
  <c r="GG229" i="13"/>
  <c r="GF229" i="13"/>
  <c r="GE229" i="13"/>
  <c r="GD229" i="13"/>
  <c r="GC229" i="13"/>
  <c r="GB229" i="13"/>
  <c r="GA229" i="13"/>
  <c r="FZ229" i="13"/>
  <c r="FY229" i="13"/>
  <c r="FX229" i="13"/>
  <c r="FW229" i="13"/>
  <c r="FV229" i="13"/>
  <c r="FU229" i="13"/>
  <c r="FT229" i="13"/>
  <c r="FS229" i="13"/>
  <c r="FR229" i="13"/>
  <c r="FQ229" i="13"/>
  <c r="FP229" i="13"/>
  <c r="FO229" i="13"/>
  <c r="FN229" i="13"/>
  <c r="GN228" i="13"/>
  <c r="GM228" i="13"/>
  <c r="GL228" i="13"/>
  <c r="GK228" i="13"/>
  <c r="GJ228" i="13"/>
  <c r="GI228" i="13"/>
  <c r="GH228" i="13"/>
  <c r="GG228" i="13"/>
  <c r="GF228" i="13"/>
  <c r="GE228" i="13"/>
  <c r="GD228" i="13"/>
  <c r="GC228" i="13"/>
  <c r="GB228" i="13"/>
  <c r="GA228" i="13"/>
  <c r="FZ228" i="13"/>
  <c r="FY228" i="13"/>
  <c r="FX228" i="13"/>
  <c r="FW228" i="13"/>
  <c r="FV228" i="13"/>
  <c r="FU228" i="13"/>
  <c r="FT228" i="13"/>
  <c r="FS228" i="13"/>
  <c r="FR228" i="13"/>
  <c r="FQ228" i="13"/>
  <c r="FP228" i="13"/>
  <c r="FO228" i="13"/>
  <c r="FN228" i="13"/>
  <c r="FL228" i="13" s="1"/>
  <c r="GN227" i="13"/>
  <c r="GM227" i="13"/>
  <c r="GL227" i="13"/>
  <c r="GK227" i="13"/>
  <c r="GJ227" i="13"/>
  <c r="GI227" i="13"/>
  <c r="GH227" i="13"/>
  <c r="GG227" i="13"/>
  <c r="GF227" i="13"/>
  <c r="GE227" i="13"/>
  <c r="GD227" i="13"/>
  <c r="GC227" i="13"/>
  <c r="GB227" i="13"/>
  <c r="GA227" i="13"/>
  <c r="FZ227" i="13"/>
  <c r="FY227" i="13"/>
  <c r="FX227" i="13"/>
  <c r="FW227" i="13"/>
  <c r="FV227" i="13"/>
  <c r="FU227" i="13"/>
  <c r="FT227" i="13"/>
  <c r="FS227" i="13"/>
  <c r="FR227" i="13"/>
  <c r="FQ227" i="13"/>
  <c r="FP227" i="13"/>
  <c r="FO227" i="13"/>
  <c r="FN227" i="13"/>
  <c r="GN226" i="13"/>
  <c r="GM226" i="13"/>
  <c r="GL226" i="13"/>
  <c r="GK226" i="13"/>
  <c r="GJ226" i="13"/>
  <c r="GI226" i="13"/>
  <c r="GH226" i="13"/>
  <c r="GG226" i="13"/>
  <c r="GF226" i="13"/>
  <c r="GE226" i="13"/>
  <c r="GD226" i="13"/>
  <c r="GC226" i="13"/>
  <c r="GB226" i="13"/>
  <c r="GA226" i="13"/>
  <c r="FZ226" i="13"/>
  <c r="FY226" i="13"/>
  <c r="FX226" i="13"/>
  <c r="FW226" i="13"/>
  <c r="FV226" i="13"/>
  <c r="FU226" i="13"/>
  <c r="FT226" i="13"/>
  <c r="FS226" i="13"/>
  <c r="FR226" i="13"/>
  <c r="FQ226" i="13"/>
  <c r="FP226" i="13"/>
  <c r="FO226" i="13"/>
  <c r="FN226" i="13"/>
  <c r="FL226" i="13" s="1"/>
  <c r="GN225" i="13"/>
  <c r="GM225" i="13"/>
  <c r="GL225" i="13"/>
  <c r="GK225" i="13"/>
  <c r="GJ225" i="13"/>
  <c r="GI225" i="13"/>
  <c r="GH225" i="13"/>
  <c r="GG225" i="13"/>
  <c r="GF225" i="13"/>
  <c r="GE225" i="13"/>
  <c r="GD225" i="13"/>
  <c r="GC225" i="13"/>
  <c r="GB225" i="13"/>
  <c r="GA225" i="13"/>
  <c r="FZ225" i="13"/>
  <c r="FY225" i="13"/>
  <c r="FX225" i="13"/>
  <c r="FW225" i="13"/>
  <c r="FV225" i="13"/>
  <c r="FU225" i="13"/>
  <c r="FT225" i="13"/>
  <c r="FS225" i="13"/>
  <c r="FR225" i="13"/>
  <c r="FQ225" i="13"/>
  <c r="FP225" i="13"/>
  <c r="FO225" i="13"/>
  <c r="FN225" i="13"/>
  <c r="GN224" i="13"/>
  <c r="GM224" i="13"/>
  <c r="GL224" i="13"/>
  <c r="GK224" i="13"/>
  <c r="GJ224" i="13"/>
  <c r="GI224" i="13"/>
  <c r="GH224" i="13"/>
  <c r="GG224" i="13"/>
  <c r="GF224" i="13"/>
  <c r="GE224" i="13"/>
  <c r="GD224" i="13"/>
  <c r="GC224" i="13"/>
  <c r="GB224" i="13"/>
  <c r="GA224" i="13"/>
  <c r="FZ224" i="13"/>
  <c r="FY224" i="13"/>
  <c r="FX224" i="13"/>
  <c r="FW224" i="13"/>
  <c r="FV224" i="13"/>
  <c r="FU224" i="13"/>
  <c r="FT224" i="13"/>
  <c r="FS224" i="13"/>
  <c r="FR224" i="13"/>
  <c r="FQ224" i="13"/>
  <c r="FP224" i="13"/>
  <c r="FO224" i="13"/>
  <c r="FN224" i="13"/>
  <c r="GN223" i="13"/>
  <c r="GM223" i="13"/>
  <c r="GL223" i="13"/>
  <c r="GK223" i="13"/>
  <c r="GJ223" i="13"/>
  <c r="GI223" i="13"/>
  <c r="GH223" i="13"/>
  <c r="GG223" i="13"/>
  <c r="GF223" i="13"/>
  <c r="GE223" i="13"/>
  <c r="GD223" i="13"/>
  <c r="GC223" i="13"/>
  <c r="GB223" i="13"/>
  <c r="GA223" i="13"/>
  <c r="FZ223" i="13"/>
  <c r="FY223" i="13"/>
  <c r="FX223" i="13"/>
  <c r="FW223" i="13"/>
  <c r="FV223" i="13"/>
  <c r="FU223" i="13"/>
  <c r="FT223" i="13"/>
  <c r="FS223" i="13"/>
  <c r="FR223" i="13"/>
  <c r="FQ223" i="13"/>
  <c r="FP223" i="13"/>
  <c r="FO223" i="13"/>
  <c r="FN223" i="13"/>
  <c r="GN222" i="13"/>
  <c r="GM222" i="13"/>
  <c r="GL222" i="13"/>
  <c r="GK222" i="13"/>
  <c r="GJ222" i="13"/>
  <c r="GI222" i="13"/>
  <c r="GH222" i="13"/>
  <c r="GG222" i="13"/>
  <c r="GF222" i="13"/>
  <c r="GE222" i="13"/>
  <c r="GD222" i="13"/>
  <c r="GC222" i="13"/>
  <c r="GB222" i="13"/>
  <c r="GA222" i="13"/>
  <c r="FZ222" i="13"/>
  <c r="FY222" i="13"/>
  <c r="FX222" i="13"/>
  <c r="FW222" i="13"/>
  <c r="FV222" i="13"/>
  <c r="FU222" i="13"/>
  <c r="FT222" i="13"/>
  <c r="FS222" i="13"/>
  <c r="FR222" i="13"/>
  <c r="FQ222" i="13"/>
  <c r="FP222" i="13"/>
  <c r="FO222" i="13"/>
  <c r="FN222" i="13"/>
  <c r="GN221" i="13"/>
  <c r="GM221" i="13"/>
  <c r="GL221" i="13"/>
  <c r="GK221" i="13"/>
  <c r="GJ221" i="13"/>
  <c r="GI221" i="13"/>
  <c r="GH221" i="13"/>
  <c r="GG221" i="13"/>
  <c r="GF221" i="13"/>
  <c r="GE221" i="13"/>
  <c r="GD221" i="13"/>
  <c r="GC221" i="13"/>
  <c r="GB221" i="13"/>
  <c r="GA221" i="13"/>
  <c r="FZ221" i="13"/>
  <c r="FY221" i="13"/>
  <c r="FX221" i="13"/>
  <c r="FW221" i="13"/>
  <c r="FV221" i="13"/>
  <c r="FU221" i="13"/>
  <c r="FT221" i="13"/>
  <c r="FS221" i="13"/>
  <c r="FR221" i="13"/>
  <c r="FQ221" i="13"/>
  <c r="FP221" i="13"/>
  <c r="FO221" i="13"/>
  <c r="FN221" i="13"/>
  <c r="GN220" i="13"/>
  <c r="GM220" i="13"/>
  <c r="GL220" i="13"/>
  <c r="GK220" i="13"/>
  <c r="GJ220" i="13"/>
  <c r="GI220" i="13"/>
  <c r="GH220" i="13"/>
  <c r="GG220" i="13"/>
  <c r="GF220" i="13"/>
  <c r="GE220" i="13"/>
  <c r="GD220" i="13"/>
  <c r="GC220" i="13"/>
  <c r="GB220" i="13"/>
  <c r="GA220" i="13"/>
  <c r="FZ220" i="13"/>
  <c r="FY220" i="13"/>
  <c r="FX220" i="13"/>
  <c r="FW220" i="13"/>
  <c r="FV220" i="13"/>
  <c r="FU220" i="13"/>
  <c r="FT220" i="13"/>
  <c r="FS220" i="13"/>
  <c r="FR220" i="13"/>
  <c r="FQ220" i="13"/>
  <c r="FP220" i="13"/>
  <c r="FO220" i="13"/>
  <c r="FN220" i="13"/>
  <c r="FL220" i="13" s="1"/>
  <c r="GN219" i="13"/>
  <c r="GM219" i="13"/>
  <c r="GL219" i="13"/>
  <c r="GK219" i="13"/>
  <c r="GJ219" i="13"/>
  <c r="GI219" i="13"/>
  <c r="GH219" i="13"/>
  <c r="GG219" i="13"/>
  <c r="GF219" i="13"/>
  <c r="GE219" i="13"/>
  <c r="GD219" i="13"/>
  <c r="GC219" i="13"/>
  <c r="GB219" i="13"/>
  <c r="GA219" i="13"/>
  <c r="FZ219" i="13"/>
  <c r="FY219" i="13"/>
  <c r="FX219" i="13"/>
  <c r="FW219" i="13"/>
  <c r="FV219" i="13"/>
  <c r="FU219" i="13"/>
  <c r="FT219" i="13"/>
  <c r="FS219" i="13"/>
  <c r="FR219" i="13"/>
  <c r="FQ219" i="13"/>
  <c r="FP219" i="13"/>
  <c r="FO219" i="13"/>
  <c r="FN219" i="13"/>
  <c r="GN218" i="13"/>
  <c r="GM218" i="13"/>
  <c r="GL218" i="13"/>
  <c r="GK218" i="13"/>
  <c r="GJ218" i="13"/>
  <c r="GI218" i="13"/>
  <c r="GH218" i="13"/>
  <c r="GG218" i="13"/>
  <c r="GF218" i="13"/>
  <c r="GE218" i="13"/>
  <c r="GD218" i="13"/>
  <c r="GC218" i="13"/>
  <c r="GB218" i="13"/>
  <c r="GA218" i="13"/>
  <c r="FZ218" i="13"/>
  <c r="FY218" i="13"/>
  <c r="FX218" i="13"/>
  <c r="FW218" i="13"/>
  <c r="FV218" i="13"/>
  <c r="FU218" i="13"/>
  <c r="FT218" i="13"/>
  <c r="FS218" i="13"/>
  <c r="FR218" i="13"/>
  <c r="FQ218" i="13"/>
  <c r="FP218" i="13"/>
  <c r="FO218" i="13"/>
  <c r="FN218" i="13"/>
  <c r="FL218" i="13" s="1"/>
  <c r="GN217" i="13"/>
  <c r="GM217" i="13"/>
  <c r="GL217" i="13"/>
  <c r="GK217" i="13"/>
  <c r="GJ217" i="13"/>
  <c r="GI217" i="13"/>
  <c r="GH217" i="13"/>
  <c r="GG217" i="13"/>
  <c r="GF217" i="13"/>
  <c r="GE217" i="13"/>
  <c r="GD217" i="13"/>
  <c r="GC217" i="13"/>
  <c r="GB217" i="13"/>
  <c r="GA217" i="13"/>
  <c r="FZ217" i="13"/>
  <c r="FY217" i="13"/>
  <c r="FX217" i="13"/>
  <c r="FW217" i="13"/>
  <c r="FV217" i="13"/>
  <c r="FU217" i="13"/>
  <c r="FT217" i="13"/>
  <c r="FS217" i="13"/>
  <c r="FR217" i="13"/>
  <c r="FQ217" i="13"/>
  <c r="FP217" i="13"/>
  <c r="FO217" i="13"/>
  <c r="FN217" i="13"/>
  <c r="GN216" i="13"/>
  <c r="GM216" i="13"/>
  <c r="GL216" i="13"/>
  <c r="GK216" i="13"/>
  <c r="GJ216" i="13"/>
  <c r="GI216" i="13"/>
  <c r="GH216" i="13"/>
  <c r="GG216" i="13"/>
  <c r="GF216" i="13"/>
  <c r="GE216" i="13"/>
  <c r="GD216" i="13"/>
  <c r="GC216" i="13"/>
  <c r="GB216" i="13"/>
  <c r="GA216" i="13"/>
  <c r="FZ216" i="13"/>
  <c r="FY216" i="13"/>
  <c r="FX216" i="13"/>
  <c r="FW216" i="13"/>
  <c r="FV216" i="13"/>
  <c r="FU216" i="13"/>
  <c r="FT216" i="13"/>
  <c r="FS216" i="13"/>
  <c r="FR216" i="13"/>
  <c r="FQ216" i="13"/>
  <c r="FP216" i="13"/>
  <c r="FO216" i="13"/>
  <c r="FN216" i="13"/>
  <c r="GN215" i="13"/>
  <c r="GM215" i="13"/>
  <c r="GL215" i="13"/>
  <c r="GK215" i="13"/>
  <c r="GJ215" i="13"/>
  <c r="GI215" i="13"/>
  <c r="GH215" i="13"/>
  <c r="GG215" i="13"/>
  <c r="GF215" i="13"/>
  <c r="GE215" i="13"/>
  <c r="GD215" i="13"/>
  <c r="GC215" i="13"/>
  <c r="GB215" i="13"/>
  <c r="GA215" i="13"/>
  <c r="FZ215" i="13"/>
  <c r="FY215" i="13"/>
  <c r="FX215" i="13"/>
  <c r="FW215" i="13"/>
  <c r="FV215" i="13"/>
  <c r="FU215" i="13"/>
  <c r="FT215" i="13"/>
  <c r="FS215" i="13"/>
  <c r="FR215" i="13"/>
  <c r="FQ215" i="13"/>
  <c r="FP215" i="13"/>
  <c r="FO215" i="13"/>
  <c r="FN215" i="13"/>
  <c r="GN214" i="13"/>
  <c r="GM214" i="13"/>
  <c r="GL214" i="13"/>
  <c r="GK214" i="13"/>
  <c r="GJ214" i="13"/>
  <c r="GI214" i="13"/>
  <c r="GH214" i="13"/>
  <c r="GG214" i="13"/>
  <c r="GF214" i="13"/>
  <c r="GE214" i="13"/>
  <c r="GD214" i="13"/>
  <c r="GC214" i="13"/>
  <c r="GB214" i="13"/>
  <c r="GA214" i="13"/>
  <c r="FZ214" i="13"/>
  <c r="FY214" i="13"/>
  <c r="FX214" i="13"/>
  <c r="FW214" i="13"/>
  <c r="FV214" i="13"/>
  <c r="FU214" i="13"/>
  <c r="FT214" i="13"/>
  <c r="FS214" i="13"/>
  <c r="FR214" i="13"/>
  <c r="FQ214" i="13"/>
  <c r="FP214" i="13"/>
  <c r="FO214" i="13"/>
  <c r="FN214" i="13"/>
  <c r="GN213" i="13"/>
  <c r="GM213" i="13"/>
  <c r="GL213" i="13"/>
  <c r="GK213" i="13"/>
  <c r="GJ213" i="13"/>
  <c r="GI213" i="13"/>
  <c r="GH213" i="13"/>
  <c r="GG213" i="13"/>
  <c r="GF213" i="13"/>
  <c r="GE213" i="13"/>
  <c r="GD213" i="13"/>
  <c r="GC213" i="13"/>
  <c r="GB213" i="13"/>
  <c r="GA213" i="13"/>
  <c r="FZ213" i="13"/>
  <c r="FY213" i="13"/>
  <c r="FX213" i="13"/>
  <c r="FW213" i="13"/>
  <c r="FV213" i="13"/>
  <c r="FU213" i="13"/>
  <c r="FT213" i="13"/>
  <c r="FS213" i="13"/>
  <c r="FR213" i="13"/>
  <c r="FQ213" i="13"/>
  <c r="FP213" i="13"/>
  <c r="FO213" i="13"/>
  <c r="FN213" i="13"/>
  <c r="GN212" i="13"/>
  <c r="GM212" i="13"/>
  <c r="GL212" i="13"/>
  <c r="GK212" i="13"/>
  <c r="GJ212" i="13"/>
  <c r="GI212" i="13"/>
  <c r="GH212" i="13"/>
  <c r="GG212" i="13"/>
  <c r="GF212" i="13"/>
  <c r="GE212" i="13"/>
  <c r="GD212" i="13"/>
  <c r="GC212" i="13"/>
  <c r="GB212" i="13"/>
  <c r="GA212" i="13"/>
  <c r="FZ212" i="13"/>
  <c r="FY212" i="13"/>
  <c r="FX212" i="13"/>
  <c r="FW212" i="13"/>
  <c r="FV212" i="13"/>
  <c r="FU212" i="13"/>
  <c r="FT212" i="13"/>
  <c r="FS212" i="13"/>
  <c r="FR212" i="13"/>
  <c r="FQ212" i="13"/>
  <c r="FP212" i="13"/>
  <c r="FO212" i="13"/>
  <c r="FN212" i="13"/>
  <c r="FL212" i="13" s="1"/>
  <c r="GN211" i="13"/>
  <c r="GM211" i="13"/>
  <c r="GL211" i="13"/>
  <c r="GK211" i="13"/>
  <c r="GJ211" i="13"/>
  <c r="GI211" i="13"/>
  <c r="GH211" i="13"/>
  <c r="GG211" i="13"/>
  <c r="GF211" i="13"/>
  <c r="GE211" i="13"/>
  <c r="GD211" i="13"/>
  <c r="GC211" i="13"/>
  <c r="GB211" i="13"/>
  <c r="GA211" i="13"/>
  <c r="FZ211" i="13"/>
  <c r="FY211" i="13"/>
  <c r="FX211" i="13"/>
  <c r="FW211" i="13"/>
  <c r="FV211" i="13"/>
  <c r="FU211" i="13"/>
  <c r="FT211" i="13"/>
  <c r="FS211" i="13"/>
  <c r="FR211" i="13"/>
  <c r="FQ211" i="13"/>
  <c r="FP211" i="13"/>
  <c r="FO211" i="13"/>
  <c r="FN211" i="13"/>
  <c r="GN210" i="13"/>
  <c r="GM210" i="13"/>
  <c r="GL210" i="13"/>
  <c r="GK210" i="13"/>
  <c r="GJ210" i="13"/>
  <c r="GI210" i="13"/>
  <c r="GH210" i="13"/>
  <c r="GG210" i="13"/>
  <c r="GF210" i="13"/>
  <c r="GE210" i="13"/>
  <c r="GD210" i="13"/>
  <c r="GC210" i="13"/>
  <c r="GB210" i="13"/>
  <c r="GA210" i="13"/>
  <c r="FZ210" i="13"/>
  <c r="FY210" i="13"/>
  <c r="FX210" i="13"/>
  <c r="FW210" i="13"/>
  <c r="FV210" i="13"/>
  <c r="FU210" i="13"/>
  <c r="FT210" i="13"/>
  <c r="FS210" i="13"/>
  <c r="FR210" i="13"/>
  <c r="FQ210" i="13"/>
  <c r="FP210" i="13"/>
  <c r="FO210" i="13"/>
  <c r="FN210" i="13"/>
  <c r="FL210" i="13" s="1"/>
  <c r="GN209" i="13"/>
  <c r="GM209" i="13"/>
  <c r="GL209" i="13"/>
  <c r="GK209" i="13"/>
  <c r="GJ209" i="13"/>
  <c r="GI209" i="13"/>
  <c r="GH209" i="13"/>
  <c r="GG209" i="13"/>
  <c r="GF209" i="13"/>
  <c r="GE209" i="13"/>
  <c r="GD209" i="13"/>
  <c r="GC209" i="13"/>
  <c r="GB209" i="13"/>
  <c r="GA209" i="13"/>
  <c r="FZ209" i="13"/>
  <c r="FY209" i="13"/>
  <c r="FX209" i="13"/>
  <c r="FW209" i="13"/>
  <c r="FV209" i="13"/>
  <c r="FU209" i="13"/>
  <c r="FT209" i="13"/>
  <c r="FS209" i="13"/>
  <c r="FR209" i="13"/>
  <c r="FQ209" i="13"/>
  <c r="FP209" i="13"/>
  <c r="FO209" i="13"/>
  <c r="FN209" i="13"/>
  <c r="GN208" i="13"/>
  <c r="GM208" i="13"/>
  <c r="GL208" i="13"/>
  <c r="GK208" i="13"/>
  <c r="GJ208" i="13"/>
  <c r="GI208" i="13"/>
  <c r="GH208" i="13"/>
  <c r="GG208" i="13"/>
  <c r="GF208" i="13"/>
  <c r="GE208" i="13"/>
  <c r="GD208" i="13"/>
  <c r="GC208" i="13"/>
  <c r="GB208" i="13"/>
  <c r="GA208" i="13"/>
  <c r="FZ208" i="13"/>
  <c r="FY208" i="13"/>
  <c r="FX208" i="13"/>
  <c r="FW208" i="13"/>
  <c r="FV208" i="13"/>
  <c r="FU208" i="13"/>
  <c r="FT208" i="13"/>
  <c r="FS208" i="13"/>
  <c r="FR208" i="13"/>
  <c r="FQ208" i="13"/>
  <c r="FP208" i="13"/>
  <c r="FO208" i="13"/>
  <c r="FN208" i="13"/>
  <c r="GN207" i="13"/>
  <c r="GM207" i="13"/>
  <c r="GL207" i="13"/>
  <c r="GK207" i="13"/>
  <c r="GJ207" i="13"/>
  <c r="GI207" i="13"/>
  <c r="GH207" i="13"/>
  <c r="GG207" i="13"/>
  <c r="GF207" i="13"/>
  <c r="GE207" i="13"/>
  <c r="GD207" i="13"/>
  <c r="GC207" i="13"/>
  <c r="GB207" i="13"/>
  <c r="GA207" i="13"/>
  <c r="FZ207" i="13"/>
  <c r="FY207" i="13"/>
  <c r="FX207" i="13"/>
  <c r="FW207" i="13"/>
  <c r="FV207" i="13"/>
  <c r="FU207" i="13"/>
  <c r="FT207" i="13"/>
  <c r="FS207" i="13"/>
  <c r="FR207" i="13"/>
  <c r="FQ207" i="13"/>
  <c r="FP207" i="13"/>
  <c r="FO207" i="13"/>
  <c r="FN207" i="13"/>
  <c r="FL207" i="13" s="1"/>
  <c r="GN206" i="13"/>
  <c r="GM206" i="13"/>
  <c r="GL206" i="13"/>
  <c r="GK206" i="13"/>
  <c r="GJ206" i="13"/>
  <c r="GI206" i="13"/>
  <c r="GH206" i="13"/>
  <c r="GG206" i="13"/>
  <c r="GF206" i="13"/>
  <c r="GE206" i="13"/>
  <c r="GD206" i="13"/>
  <c r="GC206" i="13"/>
  <c r="GB206" i="13"/>
  <c r="GA206" i="13"/>
  <c r="FZ206" i="13"/>
  <c r="FY206" i="13"/>
  <c r="FX206" i="13"/>
  <c r="FW206" i="13"/>
  <c r="FV206" i="13"/>
  <c r="FU206" i="13"/>
  <c r="FT206" i="13"/>
  <c r="FS206" i="13"/>
  <c r="FR206" i="13"/>
  <c r="FQ206" i="13"/>
  <c r="FP206" i="13"/>
  <c r="FO206" i="13"/>
  <c r="FN206" i="13"/>
  <c r="GN205" i="13"/>
  <c r="GM205" i="13"/>
  <c r="GL205" i="13"/>
  <c r="GK205" i="13"/>
  <c r="GJ205" i="13"/>
  <c r="GI205" i="13"/>
  <c r="GH205" i="13"/>
  <c r="GG205" i="13"/>
  <c r="GF205" i="13"/>
  <c r="GE205" i="13"/>
  <c r="GD205" i="13"/>
  <c r="GC205" i="13"/>
  <c r="GB205" i="13"/>
  <c r="GA205" i="13"/>
  <c r="FZ205" i="13"/>
  <c r="FY205" i="13"/>
  <c r="FX205" i="13"/>
  <c r="FW205" i="13"/>
  <c r="FV205" i="13"/>
  <c r="FU205" i="13"/>
  <c r="FT205" i="13"/>
  <c r="FS205" i="13"/>
  <c r="FR205" i="13"/>
  <c r="FQ205" i="13"/>
  <c r="FP205" i="13"/>
  <c r="FO205" i="13"/>
  <c r="FN205" i="13"/>
  <c r="GN204" i="13"/>
  <c r="GM204" i="13"/>
  <c r="GL204" i="13"/>
  <c r="GK204" i="13"/>
  <c r="GJ204" i="13"/>
  <c r="GI204" i="13"/>
  <c r="GH204" i="13"/>
  <c r="GG204" i="13"/>
  <c r="GF204" i="13"/>
  <c r="GE204" i="13"/>
  <c r="GD204" i="13"/>
  <c r="GC204" i="13"/>
  <c r="GB204" i="13"/>
  <c r="GA204" i="13"/>
  <c r="FZ204" i="13"/>
  <c r="FY204" i="13"/>
  <c r="FX204" i="13"/>
  <c r="FW204" i="13"/>
  <c r="FV204" i="13"/>
  <c r="FU204" i="13"/>
  <c r="FT204" i="13"/>
  <c r="FS204" i="13"/>
  <c r="FR204" i="13"/>
  <c r="FQ204" i="13"/>
  <c r="FP204" i="13"/>
  <c r="FO204" i="13"/>
  <c r="FN204" i="13"/>
  <c r="FL204" i="13" s="1"/>
  <c r="GN203" i="13"/>
  <c r="GM203" i="13"/>
  <c r="GL203" i="13"/>
  <c r="GK203" i="13"/>
  <c r="GJ203" i="13"/>
  <c r="GI203" i="13"/>
  <c r="GH203" i="13"/>
  <c r="GG203" i="13"/>
  <c r="GF203" i="13"/>
  <c r="GE203" i="13"/>
  <c r="GD203" i="13"/>
  <c r="GC203" i="13"/>
  <c r="GB203" i="13"/>
  <c r="GA203" i="13"/>
  <c r="FZ203" i="13"/>
  <c r="FY203" i="13"/>
  <c r="FX203" i="13"/>
  <c r="FW203" i="13"/>
  <c r="FV203" i="13"/>
  <c r="FU203" i="13"/>
  <c r="FT203" i="13"/>
  <c r="FS203" i="13"/>
  <c r="FR203" i="13"/>
  <c r="FQ203" i="13"/>
  <c r="FP203" i="13"/>
  <c r="FO203" i="13"/>
  <c r="FN203" i="13"/>
  <c r="GN202" i="13"/>
  <c r="GM202" i="13"/>
  <c r="GL202" i="13"/>
  <c r="GK202" i="13"/>
  <c r="GJ202" i="13"/>
  <c r="GI202" i="13"/>
  <c r="GH202" i="13"/>
  <c r="GG202" i="13"/>
  <c r="GF202" i="13"/>
  <c r="GE202" i="13"/>
  <c r="GD202" i="13"/>
  <c r="GC202" i="13"/>
  <c r="GB202" i="13"/>
  <c r="GA202" i="13"/>
  <c r="FZ202" i="13"/>
  <c r="FY202" i="13"/>
  <c r="FX202" i="13"/>
  <c r="FW202" i="13"/>
  <c r="FV202" i="13"/>
  <c r="FU202" i="13"/>
  <c r="FT202" i="13"/>
  <c r="FS202" i="13"/>
  <c r="FR202" i="13"/>
  <c r="FQ202" i="13"/>
  <c r="FP202" i="13"/>
  <c r="FO202" i="13"/>
  <c r="FN202" i="13"/>
  <c r="FL202" i="13" s="1"/>
  <c r="GN201" i="13"/>
  <c r="GM201" i="13"/>
  <c r="GL201" i="13"/>
  <c r="GK201" i="13"/>
  <c r="GJ201" i="13"/>
  <c r="GI201" i="13"/>
  <c r="GH201" i="13"/>
  <c r="GG201" i="13"/>
  <c r="GF201" i="13"/>
  <c r="GE201" i="13"/>
  <c r="GD201" i="13"/>
  <c r="GC201" i="13"/>
  <c r="GB201" i="13"/>
  <c r="GA201" i="13"/>
  <c r="FZ201" i="13"/>
  <c r="FY201" i="13"/>
  <c r="FX201" i="13"/>
  <c r="FW201" i="13"/>
  <c r="FV201" i="13"/>
  <c r="FU201" i="13"/>
  <c r="FT201" i="13"/>
  <c r="FS201" i="13"/>
  <c r="FR201" i="13"/>
  <c r="FQ201" i="13"/>
  <c r="FP201" i="13"/>
  <c r="FO201" i="13"/>
  <c r="FN201" i="13"/>
  <c r="GN200" i="13"/>
  <c r="GM200" i="13"/>
  <c r="GL200" i="13"/>
  <c r="GK200" i="13"/>
  <c r="GJ200" i="13"/>
  <c r="GI200" i="13"/>
  <c r="GH200" i="13"/>
  <c r="GG200" i="13"/>
  <c r="GF200" i="13"/>
  <c r="GE200" i="13"/>
  <c r="GD200" i="13"/>
  <c r="GC200" i="13"/>
  <c r="GB200" i="13"/>
  <c r="GA200" i="13"/>
  <c r="FZ200" i="13"/>
  <c r="FY200" i="13"/>
  <c r="FX200" i="13"/>
  <c r="FW200" i="13"/>
  <c r="FV200" i="13"/>
  <c r="FU200" i="13"/>
  <c r="FT200" i="13"/>
  <c r="FS200" i="13"/>
  <c r="FR200" i="13"/>
  <c r="FQ200" i="13"/>
  <c r="FP200" i="13"/>
  <c r="FO200" i="13"/>
  <c r="FN200" i="13"/>
  <c r="GN199" i="13"/>
  <c r="GM199" i="13"/>
  <c r="GL199" i="13"/>
  <c r="GK199" i="13"/>
  <c r="GJ199" i="13"/>
  <c r="GI199" i="13"/>
  <c r="GH199" i="13"/>
  <c r="GG199" i="13"/>
  <c r="GF199" i="13"/>
  <c r="GE199" i="13"/>
  <c r="GD199" i="13"/>
  <c r="GC199" i="13"/>
  <c r="GB199" i="13"/>
  <c r="GA199" i="13"/>
  <c r="FZ199" i="13"/>
  <c r="FY199" i="13"/>
  <c r="FX199" i="13"/>
  <c r="FW199" i="13"/>
  <c r="FV199" i="13"/>
  <c r="FU199" i="13"/>
  <c r="FT199" i="13"/>
  <c r="FS199" i="13"/>
  <c r="FR199" i="13"/>
  <c r="FQ199" i="13"/>
  <c r="FP199" i="13"/>
  <c r="FO199" i="13"/>
  <c r="FN199" i="13"/>
  <c r="FL199" i="13" s="1"/>
  <c r="GN198" i="13"/>
  <c r="GM198" i="13"/>
  <c r="GL198" i="13"/>
  <c r="GK198" i="13"/>
  <c r="GJ198" i="13"/>
  <c r="GI198" i="13"/>
  <c r="GH198" i="13"/>
  <c r="GG198" i="13"/>
  <c r="GF198" i="13"/>
  <c r="GE198" i="13"/>
  <c r="GD198" i="13"/>
  <c r="GC198" i="13"/>
  <c r="GB198" i="13"/>
  <c r="GA198" i="13"/>
  <c r="FZ198" i="13"/>
  <c r="FY198" i="13"/>
  <c r="FX198" i="13"/>
  <c r="FW198" i="13"/>
  <c r="FV198" i="13"/>
  <c r="FU198" i="13"/>
  <c r="FT198" i="13"/>
  <c r="FS198" i="13"/>
  <c r="FR198" i="13"/>
  <c r="FQ198" i="13"/>
  <c r="FP198" i="13"/>
  <c r="FO198" i="13"/>
  <c r="FN198" i="13"/>
  <c r="GN197" i="13"/>
  <c r="GM197" i="13"/>
  <c r="GL197" i="13"/>
  <c r="GK197" i="13"/>
  <c r="GJ197" i="13"/>
  <c r="GI197" i="13"/>
  <c r="GH197" i="13"/>
  <c r="GG197" i="13"/>
  <c r="GF197" i="13"/>
  <c r="GE197" i="13"/>
  <c r="GD197" i="13"/>
  <c r="GC197" i="13"/>
  <c r="GB197" i="13"/>
  <c r="GA197" i="13"/>
  <c r="FZ197" i="13"/>
  <c r="FY197" i="13"/>
  <c r="FX197" i="13"/>
  <c r="FW197" i="13"/>
  <c r="FV197" i="13"/>
  <c r="FU197" i="13"/>
  <c r="FT197" i="13"/>
  <c r="FS197" i="13"/>
  <c r="FR197" i="13"/>
  <c r="FQ197" i="13"/>
  <c r="FP197" i="13"/>
  <c r="FO197" i="13"/>
  <c r="FN197" i="13"/>
  <c r="GN196" i="13"/>
  <c r="GM196" i="13"/>
  <c r="GL196" i="13"/>
  <c r="GK196" i="13"/>
  <c r="GJ196" i="13"/>
  <c r="GI196" i="13"/>
  <c r="GH196" i="13"/>
  <c r="GG196" i="13"/>
  <c r="GF196" i="13"/>
  <c r="GE196" i="13"/>
  <c r="GD196" i="13"/>
  <c r="GC196" i="13"/>
  <c r="GB196" i="13"/>
  <c r="GA196" i="13"/>
  <c r="FZ196" i="13"/>
  <c r="FY196" i="13"/>
  <c r="FX196" i="13"/>
  <c r="FW196" i="13"/>
  <c r="FV196" i="13"/>
  <c r="FU196" i="13"/>
  <c r="FT196" i="13"/>
  <c r="FS196" i="13"/>
  <c r="FR196" i="13"/>
  <c r="FQ196" i="13"/>
  <c r="FP196" i="13"/>
  <c r="FO196" i="13"/>
  <c r="FN196" i="13"/>
  <c r="FL196" i="13" s="1"/>
  <c r="GN195" i="13"/>
  <c r="GM195" i="13"/>
  <c r="GL195" i="13"/>
  <c r="GK195" i="13"/>
  <c r="GJ195" i="13"/>
  <c r="GI195" i="13"/>
  <c r="GH195" i="13"/>
  <c r="GG195" i="13"/>
  <c r="GF195" i="13"/>
  <c r="GE195" i="13"/>
  <c r="GD195" i="13"/>
  <c r="GC195" i="13"/>
  <c r="GB195" i="13"/>
  <c r="GA195" i="13"/>
  <c r="FZ195" i="13"/>
  <c r="FY195" i="13"/>
  <c r="FX195" i="13"/>
  <c r="FW195" i="13"/>
  <c r="FV195" i="13"/>
  <c r="FU195" i="13"/>
  <c r="FT195" i="13"/>
  <c r="FS195" i="13"/>
  <c r="FR195" i="13"/>
  <c r="FQ195" i="13"/>
  <c r="FP195" i="13"/>
  <c r="FO195" i="13"/>
  <c r="FN195" i="13"/>
  <c r="GN194" i="13"/>
  <c r="GM194" i="13"/>
  <c r="GL194" i="13"/>
  <c r="GK194" i="13"/>
  <c r="GJ194" i="13"/>
  <c r="GI194" i="13"/>
  <c r="GH194" i="13"/>
  <c r="GG194" i="13"/>
  <c r="GF194" i="13"/>
  <c r="GE194" i="13"/>
  <c r="GD194" i="13"/>
  <c r="GC194" i="13"/>
  <c r="GB194" i="13"/>
  <c r="GA194" i="13"/>
  <c r="FZ194" i="13"/>
  <c r="FY194" i="13"/>
  <c r="FX194" i="13"/>
  <c r="FW194" i="13"/>
  <c r="FV194" i="13"/>
  <c r="FU194" i="13"/>
  <c r="FT194" i="13"/>
  <c r="FS194" i="13"/>
  <c r="FR194" i="13"/>
  <c r="FQ194" i="13"/>
  <c r="FP194" i="13"/>
  <c r="FO194" i="13"/>
  <c r="FN194" i="13"/>
  <c r="FL194" i="13" s="1"/>
  <c r="GN193" i="13"/>
  <c r="GM193" i="13"/>
  <c r="GL193" i="13"/>
  <c r="GK193" i="13"/>
  <c r="GJ193" i="13"/>
  <c r="GI193" i="13"/>
  <c r="GH193" i="13"/>
  <c r="GG193" i="13"/>
  <c r="GF193" i="13"/>
  <c r="GE193" i="13"/>
  <c r="GD193" i="13"/>
  <c r="GC193" i="13"/>
  <c r="GB193" i="13"/>
  <c r="GA193" i="13"/>
  <c r="FZ193" i="13"/>
  <c r="FY193" i="13"/>
  <c r="FX193" i="13"/>
  <c r="FW193" i="13"/>
  <c r="FV193" i="13"/>
  <c r="FU193" i="13"/>
  <c r="FT193" i="13"/>
  <c r="FS193" i="13"/>
  <c r="FR193" i="13"/>
  <c r="FQ193" i="13"/>
  <c r="FP193" i="13"/>
  <c r="FO193" i="13"/>
  <c r="FN193" i="13"/>
  <c r="GN192" i="13"/>
  <c r="GM192" i="13"/>
  <c r="GL192" i="13"/>
  <c r="GK192" i="13"/>
  <c r="GJ192" i="13"/>
  <c r="GI192" i="13"/>
  <c r="GH192" i="13"/>
  <c r="GG192" i="13"/>
  <c r="GF192" i="13"/>
  <c r="GE192" i="13"/>
  <c r="GD192" i="13"/>
  <c r="GC192" i="13"/>
  <c r="GB192" i="13"/>
  <c r="GA192" i="13"/>
  <c r="FZ192" i="13"/>
  <c r="FY192" i="13"/>
  <c r="FX192" i="13"/>
  <c r="FW192" i="13"/>
  <c r="FV192" i="13"/>
  <c r="FU192" i="13"/>
  <c r="FT192" i="13"/>
  <c r="FS192" i="13"/>
  <c r="FR192" i="13"/>
  <c r="FQ192" i="13"/>
  <c r="FP192" i="13"/>
  <c r="FO192" i="13"/>
  <c r="FN192" i="13"/>
  <c r="GN191" i="13"/>
  <c r="GM191" i="13"/>
  <c r="GL191" i="13"/>
  <c r="GK191" i="13"/>
  <c r="GJ191" i="13"/>
  <c r="GI191" i="13"/>
  <c r="GH191" i="13"/>
  <c r="GG191" i="13"/>
  <c r="GF191" i="13"/>
  <c r="GE191" i="13"/>
  <c r="GD191" i="13"/>
  <c r="GC191" i="13"/>
  <c r="GB191" i="13"/>
  <c r="GA191" i="13"/>
  <c r="FZ191" i="13"/>
  <c r="FY191" i="13"/>
  <c r="FX191" i="13"/>
  <c r="FW191" i="13"/>
  <c r="FV191" i="13"/>
  <c r="FU191" i="13"/>
  <c r="FT191" i="13"/>
  <c r="FS191" i="13"/>
  <c r="FR191" i="13"/>
  <c r="FQ191" i="13"/>
  <c r="FP191" i="13"/>
  <c r="FO191" i="13"/>
  <c r="FN191" i="13"/>
  <c r="FL191" i="13" s="1"/>
  <c r="GN190" i="13"/>
  <c r="GM190" i="13"/>
  <c r="GL190" i="13"/>
  <c r="GK190" i="13"/>
  <c r="GJ190" i="13"/>
  <c r="GI190" i="13"/>
  <c r="GH190" i="13"/>
  <c r="GG190" i="13"/>
  <c r="GF190" i="13"/>
  <c r="GE190" i="13"/>
  <c r="GD190" i="13"/>
  <c r="GC190" i="13"/>
  <c r="GB190" i="13"/>
  <c r="GA190" i="13"/>
  <c r="FZ190" i="13"/>
  <c r="FY190" i="13"/>
  <c r="FX190" i="13"/>
  <c r="FW190" i="13"/>
  <c r="FV190" i="13"/>
  <c r="FU190" i="13"/>
  <c r="FT190" i="13"/>
  <c r="FS190" i="13"/>
  <c r="FR190" i="13"/>
  <c r="FQ190" i="13"/>
  <c r="FP190" i="13"/>
  <c r="FO190" i="13"/>
  <c r="FN190" i="13"/>
  <c r="GN189" i="13"/>
  <c r="GM189" i="13"/>
  <c r="GL189" i="13"/>
  <c r="GK189" i="13"/>
  <c r="GJ189" i="13"/>
  <c r="GI189" i="13"/>
  <c r="GH189" i="13"/>
  <c r="GG189" i="13"/>
  <c r="GF189" i="13"/>
  <c r="GE189" i="13"/>
  <c r="GD189" i="13"/>
  <c r="GC189" i="13"/>
  <c r="GB189" i="13"/>
  <c r="GA189" i="13"/>
  <c r="FZ189" i="13"/>
  <c r="FY189" i="13"/>
  <c r="FX189" i="13"/>
  <c r="FW189" i="13"/>
  <c r="FV189" i="13"/>
  <c r="FU189" i="13"/>
  <c r="FT189" i="13"/>
  <c r="FS189" i="13"/>
  <c r="FR189" i="13"/>
  <c r="FQ189" i="13"/>
  <c r="FP189" i="13"/>
  <c r="FO189" i="13"/>
  <c r="FN189" i="13"/>
  <c r="GN188" i="13"/>
  <c r="GM188" i="13"/>
  <c r="GL188" i="13"/>
  <c r="GK188" i="13"/>
  <c r="GJ188" i="13"/>
  <c r="GI188" i="13"/>
  <c r="GH188" i="13"/>
  <c r="GG188" i="13"/>
  <c r="GF188" i="13"/>
  <c r="GE188" i="13"/>
  <c r="GD188" i="13"/>
  <c r="GC188" i="13"/>
  <c r="GB188" i="13"/>
  <c r="GA188" i="13"/>
  <c r="FZ188" i="13"/>
  <c r="FY188" i="13"/>
  <c r="FX188" i="13"/>
  <c r="FW188" i="13"/>
  <c r="FV188" i="13"/>
  <c r="FU188" i="13"/>
  <c r="FT188" i="13"/>
  <c r="FS188" i="13"/>
  <c r="FR188" i="13"/>
  <c r="FQ188" i="13"/>
  <c r="FP188" i="13"/>
  <c r="FO188" i="13"/>
  <c r="FN188" i="13"/>
  <c r="FL188" i="13" s="1"/>
  <c r="GN187" i="13"/>
  <c r="GM187" i="13"/>
  <c r="GL187" i="13"/>
  <c r="GK187" i="13"/>
  <c r="GJ187" i="13"/>
  <c r="GI187" i="13"/>
  <c r="GH187" i="13"/>
  <c r="GG187" i="13"/>
  <c r="GF187" i="13"/>
  <c r="GE187" i="13"/>
  <c r="GD187" i="13"/>
  <c r="GC187" i="13"/>
  <c r="GB187" i="13"/>
  <c r="GA187" i="13"/>
  <c r="FZ187" i="13"/>
  <c r="FY187" i="13"/>
  <c r="FX187" i="13"/>
  <c r="FW187" i="13"/>
  <c r="FV187" i="13"/>
  <c r="FU187" i="13"/>
  <c r="FT187" i="13"/>
  <c r="FS187" i="13"/>
  <c r="FR187" i="13"/>
  <c r="FQ187" i="13"/>
  <c r="FP187" i="13"/>
  <c r="FO187" i="13"/>
  <c r="FN187" i="13"/>
  <c r="GN186" i="13"/>
  <c r="GM186" i="13"/>
  <c r="GL186" i="13"/>
  <c r="GK186" i="13"/>
  <c r="GJ186" i="13"/>
  <c r="GI186" i="13"/>
  <c r="GH186" i="13"/>
  <c r="GG186" i="13"/>
  <c r="GF186" i="13"/>
  <c r="GE186" i="13"/>
  <c r="GD186" i="13"/>
  <c r="GC186" i="13"/>
  <c r="GB186" i="13"/>
  <c r="GA186" i="13"/>
  <c r="FZ186" i="13"/>
  <c r="FY186" i="13"/>
  <c r="FX186" i="13"/>
  <c r="FW186" i="13"/>
  <c r="FV186" i="13"/>
  <c r="FU186" i="13"/>
  <c r="FT186" i="13"/>
  <c r="FS186" i="13"/>
  <c r="FR186" i="13"/>
  <c r="FQ186" i="13"/>
  <c r="FP186" i="13"/>
  <c r="FO186" i="13"/>
  <c r="FN186" i="13"/>
  <c r="FL186" i="13" s="1"/>
  <c r="GN185" i="13"/>
  <c r="GM185" i="13"/>
  <c r="GL185" i="13"/>
  <c r="GK185" i="13"/>
  <c r="GJ185" i="13"/>
  <c r="GI185" i="13"/>
  <c r="GH185" i="13"/>
  <c r="GG185" i="13"/>
  <c r="GF185" i="13"/>
  <c r="GE185" i="13"/>
  <c r="GD185" i="13"/>
  <c r="GC185" i="13"/>
  <c r="GB185" i="13"/>
  <c r="GA185" i="13"/>
  <c r="FZ185" i="13"/>
  <c r="FY185" i="13"/>
  <c r="FX185" i="13"/>
  <c r="FW185" i="13"/>
  <c r="FV185" i="13"/>
  <c r="FU185" i="13"/>
  <c r="FT185" i="13"/>
  <c r="FS185" i="13"/>
  <c r="FR185" i="13"/>
  <c r="FQ185" i="13"/>
  <c r="FP185" i="13"/>
  <c r="FO185" i="13"/>
  <c r="FN185" i="13"/>
  <c r="GN184" i="13"/>
  <c r="GM184" i="13"/>
  <c r="GL184" i="13"/>
  <c r="GK184" i="13"/>
  <c r="GJ184" i="13"/>
  <c r="GI184" i="13"/>
  <c r="GH184" i="13"/>
  <c r="GG184" i="13"/>
  <c r="GF184" i="13"/>
  <c r="GE184" i="13"/>
  <c r="GD184" i="13"/>
  <c r="GC184" i="13"/>
  <c r="GB184" i="13"/>
  <c r="GA184" i="13"/>
  <c r="FZ184" i="13"/>
  <c r="FY184" i="13"/>
  <c r="FX184" i="13"/>
  <c r="FW184" i="13"/>
  <c r="FV184" i="13"/>
  <c r="FU184" i="13"/>
  <c r="FT184" i="13"/>
  <c r="FS184" i="13"/>
  <c r="FR184" i="13"/>
  <c r="FQ184" i="13"/>
  <c r="FP184" i="13"/>
  <c r="FO184" i="13"/>
  <c r="FN184" i="13"/>
  <c r="GN183" i="13"/>
  <c r="GM183" i="13"/>
  <c r="GL183" i="13"/>
  <c r="GK183" i="13"/>
  <c r="GJ183" i="13"/>
  <c r="GI183" i="13"/>
  <c r="GH183" i="13"/>
  <c r="GG183" i="13"/>
  <c r="GF183" i="13"/>
  <c r="GE183" i="13"/>
  <c r="GD183" i="13"/>
  <c r="GC183" i="13"/>
  <c r="GB183" i="13"/>
  <c r="GA183" i="13"/>
  <c r="FZ183" i="13"/>
  <c r="FY183" i="13"/>
  <c r="FX183" i="13"/>
  <c r="FW183" i="13"/>
  <c r="FV183" i="13"/>
  <c r="FU183" i="13"/>
  <c r="FT183" i="13"/>
  <c r="FS183" i="13"/>
  <c r="FR183" i="13"/>
  <c r="FQ183" i="13"/>
  <c r="FP183" i="13"/>
  <c r="FO183" i="13"/>
  <c r="FN183" i="13"/>
  <c r="FL183" i="13" s="1"/>
  <c r="GN182" i="13"/>
  <c r="GM182" i="13"/>
  <c r="GL182" i="13"/>
  <c r="GK182" i="13"/>
  <c r="GJ182" i="13"/>
  <c r="GI182" i="13"/>
  <c r="GH182" i="13"/>
  <c r="GG182" i="13"/>
  <c r="GF182" i="13"/>
  <c r="GE182" i="13"/>
  <c r="GD182" i="13"/>
  <c r="GC182" i="13"/>
  <c r="GB182" i="13"/>
  <c r="GA182" i="13"/>
  <c r="FZ182" i="13"/>
  <c r="FY182" i="13"/>
  <c r="FX182" i="13"/>
  <c r="FW182" i="13"/>
  <c r="FV182" i="13"/>
  <c r="FU182" i="13"/>
  <c r="FT182" i="13"/>
  <c r="FS182" i="13"/>
  <c r="FR182" i="13"/>
  <c r="FQ182" i="13"/>
  <c r="FP182" i="13"/>
  <c r="FO182" i="13"/>
  <c r="FN182" i="13"/>
  <c r="GN181" i="13"/>
  <c r="GM181" i="13"/>
  <c r="GL181" i="13"/>
  <c r="GK181" i="13"/>
  <c r="GJ181" i="13"/>
  <c r="GI181" i="13"/>
  <c r="GH181" i="13"/>
  <c r="GG181" i="13"/>
  <c r="GF181" i="13"/>
  <c r="GE181" i="13"/>
  <c r="GD181" i="13"/>
  <c r="GC181" i="13"/>
  <c r="GB181" i="13"/>
  <c r="GA181" i="13"/>
  <c r="FZ181" i="13"/>
  <c r="FY181" i="13"/>
  <c r="FX181" i="13"/>
  <c r="FW181" i="13"/>
  <c r="FV181" i="13"/>
  <c r="FU181" i="13"/>
  <c r="FT181" i="13"/>
  <c r="FS181" i="13"/>
  <c r="FR181" i="13"/>
  <c r="FQ181" i="13"/>
  <c r="FP181" i="13"/>
  <c r="FO181" i="13"/>
  <c r="FN181" i="13"/>
  <c r="GN180" i="13"/>
  <c r="GM180" i="13"/>
  <c r="GL180" i="13"/>
  <c r="GK180" i="13"/>
  <c r="GJ180" i="13"/>
  <c r="GI180" i="13"/>
  <c r="GH180" i="13"/>
  <c r="GG180" i="13"/>
  <c r="GF180" i="13"/>
  <c r="GE180" i="13"/>
  <c r="GD180" i="13"/>
  <c r="GC180" i="13"/>
  <c r="GB180" i="13"/>
  <c r="GA180" i="13"/>
  <c r="FZ180" i="13"/>
  <c r="FY180" i="13"/>
  <c r="FX180" i="13"/>
  <c r="FW180" i="13"/>
  <c r="FV180" i="13"/>
  <c r="FU180" i="13"/>
  <c r="FT180" i="13"/>
  <c r="FS180" i="13"/>
  <c r="FR180" i="13"/>
  <c r="FQ180" i="13"/>
  <c r="FP180" i="13"/>
  <c r="FO180" i="13"/>
  <c r="FN180" i="13"/>
  <c r="FL180" i="13" s="1"/>
  <c r="GN179" i="13"/>
  <c r="GM179" i="13"/>
  <c r="GL179" i="13"/>
  <c r="GK179" i="13"/>
  <c r="GJ179" i="13"/>
  <c r="GI179" i="13"/>
  <c r="GH179" i="13"/>
  <c r="GG179" i="13"/>
  <c r="GF179" i="13"/>
  <c r="GE179" i="13"/>
  <c r="GD179" i="13"/>
  <c r="GC179" i="13"/>
  <c r="GB179" i="13"/>
  <c r="GA179" i="13"/>
  <c r="FZ179" i="13"/>
  <c r="FY179" i="13"/>
  <c r="FX179" i="13"/>
  <c r="FW179" i="13"/>
  <c r="FV179" i="13"/>
  <c r="FU179" i="13"/>
  <c r="FT179" i="13"/>
  <c r="FS179" i="13"/>
  <c r="FR179" i="13"/>
  <c r="FQ179" i="13"/>
  <c r="FP179" i="13"/>
  <c r="FO179" i="13"/>
  <c r="FN179" i="13"/>
  <c r="GN178" i="13"/>
  <c r="GM178" i="13"/>
  <c r="GL178" i="13"/>
  <c r="GK178" i="13"/>
  <c r="GJ178" i="13"/>
  <c r="GI178" i="13"/>
  <c r="GH178" i="13"/>
  <c r="GG178" i="13"/>
  <c r="GF178" i="13"/>
  <c r="GE178" i="13"/>
  <c r="GD178" i="13"/>
  <c r="GC178" i="13"/>
  <c r="GB178" i="13"/>
  <c r="GA178" i="13"/>
  <c r="FZ178" i="13"/>
  <c r="FY178" i="13"/>
  <c r="FX178" i="13"/>
  <c r="FW178" i="13"/>
  <c r="FV178" i="13"/>
  <c r="FU178" i="13"/>
  <c r="FT178" i="13"/>
  <c r="FS178" i="13"/>
  <c r="FR178" i="13"/>
  <c r="FQ178" i="13"/>
  <c r="FP178" i="13"/>
  <c r="FO178" i="13"/>
  <c r="FN178" i="13"/>
  <c r="FL178" i="13" s="1"/>
  <c r="GN177" i="13"/>
  <c r="GM177" i="13"/>
  <c r="GL177" i="13"/>
  <c r="GK177" i="13"/>
  <c r="GJ177" i="13"/>
  <c r="GI177" i="13"/>
  <c r="GH177" i="13"/>
  <c r="GG177" i="13"/>
  <c r="GF177" i="13"/>
  <c r="GE177" i="13"/>
  <c r="GD177" i="13"/>
  <c r="GC177" i="13"/>
  <c r="GB177" i="13"/>
  <c r="GA177" i="13"/>
  <c r="FZ177" i="13"/>
  <c r="FY177" i="13"/>
  <c r="FX177" i="13"/>
  <c r="FW177" i="13"/>
  <c r="FV177" i="13"/>
  <c r="FU177" i="13"/>
  <c r="FT177" i="13"/>
  <c r="FS177" i="13"/>
  <c r="FR177" i="13"/>
  <c r="FQ177" i="13"/>
  <c r="FP177" i="13"/>
  <c r="FO177" i="13"/>
  <c r="FN177" i="13"/>
  <c r="GN176" i="13"/>
  <c r="GM176" i="13"/>
  <c r="GL176" i="13"/>
  <c r="GK176" i="13"/>
  <c r="GJ176" i="13"/>
  <c r="GI176" i="13"/>
  <c r="GH176" i="13"/>
  <c r="GG176" i="13"/>
  <c r="GF176" i="13"/>
  <c r="GE176" i="13"/>
  <c r="GD176" i="13"/>
  <c r="GC176" i="13"/>
  <c r="GB176" i="13"/>
  <c r="GA176" i="13"/>
  <c r="FZ176" i="13"/>
  <c r="FY176" i="13"/>
  <c r="FX176" i="13"/>
  <c r="FW176" i="13"/>
  <c r="FV176" i="13"/>
  <c r="FU176" i="13"/>
  <c r="FT176" i="13"/>
  <c r="FS176" i="13"/>
  <c r="FR176" i="13"/>
  <c r="FQ176" i="13"/>
  <c r="FP176" i="13"/>
  <c r="FO176" i="13"/>
  <c r="FN176" i="13"/>
  <c r="GN175" i="13"/>
  <c r="GM175" i="13"/>
  <c r="GL175" i="13"/>
  <c r="GK175" i="13"/>
  <c r="GJ175" i="13"/>
  <c r="GI175" i="13"/>
  <c r="GH175" i="13"/>
  <c r="GG175" i="13"/>
  <c r="GF175" i="13"/>
  <c r="GE175" i="13"/>
  <c r="GD175" i="13"/>
  <c r="GC175" i="13"/>
  <c r="GB175" i="13"/>
  <c r="GA175" i="13"/>
  <c r="FZ175" i="13"/>
  <c r="FY175" i="13"/>
  <c r="FX175" i="13"/>
  <c r="FW175" i="13"/>
  <c r="FV175" i="13"/>
  <c r="FU175" i="13"/>
  <c r="FT175" i="13"/>
  <c r="FS175" i="13"/>
  <c r="FR175" i="13"/>
  <c r="FQ175" i="13"/>
  <c r="FP175" i="13"/>
  <c r="FO175" i="13"/>
  <c r="FN175" i="13"/>
  <c r="GN174" i="13"/>
  <c r="GM174" i="13"/>
  <c r="GL174" i="13"/>
  <c r="GK174" i="13"/>
  <c r="GJ174" i="13"/>
  <c r="GI174" i="13"/>
  <c r="GH174" i="13"/>
  <c r="GG174" i="13"/>
  <c r="GF174" i="13"/>
  <c r="GE174" i="13"/>
  <c r="GD174" i="13"/>
  <c r="GC174" i="13"/>
  <c r="GB174" i="13"/>
  <c r="GA174" i="13"/>
  <c r="FZ174" i="13"/>
  <c r="FY174" i="13"/>
  <c r="FX174" i="13"/>
  <c r="FW174" i="13"/>
  <c r="FV174" i="13"/>
  <c r="FU174" i="13"/>
  <c r="FT174" i="13"/>
  <c r="FS174" i="13"/>
  <c r="FR174" i="13"/>
  <c r="FQ174" i="13"/>
  <c r="FP174" i="13"/>
  <c r="FO174" i="13"/>
  <c r="FN174" i="13"/>
  <c r="GN173" i="13"/>
  <c r="GM173" i="13"/>
  <c r="GL173" i="13"/>
  <c r="GK173" i="13"/>
  <c r="GJ173" i="13"/>
  <c r="GI173" i="13"/>
  <c r="GH173" i="13"/>
  <c r="GG173" i="13"/>
  <c r="GF173" i="13"/>
  <c r="GE173" i="13"/>
  <c r="GD173" i="13"/>
  <c r="GC173" i="13"/>
  <c r="GB173" i="13"/>
  <c r="GA173" i="13"/>
  <c r="FZ173" i="13"/>
  <c r="FY173" i="13"/>
  <c r="FX173" i="13"/>
  <c r="FW173" i="13"/>
  <c r="FV173" i="13"/>
  <c r="FU173" i="13"/>
  <c r="FT173" i="13"/>
  <c r="FS173" i="13"/>
  <c r="FR173" i="13"/>
  <c r="FQ173" i="13"/>
  <c r="FP173" i="13"/>
  <c r="FO173" i="13"/>
  <c r="FN173" i="13"/>
  <c r="GN172" i="13"/>
  <c r="GM172" i="13"/>
  <c r="GL172" i="13"/>
  <c r="GK172" i="13"/>
  <c r="GJ172" i="13"/>
  <c r="GI172" i="13"/>
  <c r="GH172" i="13"/>
  <c r="GG172" i="13"/>
  <c r="GF172" i="13"/>
  <c r="GE172" i="13"/>
  <c r="GD172" i="13"/>
  <c r="GC172" i="13"/>
  <c r="GB172" i="13"/>
  <c r="GA172" i="13"/>
  <c r="FZ172" i="13"/>
  <c r="FY172" i="13"/>
  <c r="FX172" i="13"/>
  <c r="FW172" i="13"/>
  <c r="FV172" i="13"/>
  <c r="FU172" i="13"/>
  <c r="FT172" i="13"/>
  <c r="FS172" i="13"/>
  <c r="FR172" i="13"/>
  <c r="FQ172" i="13"/>
  <c r="FP172" i="13"/>
  <c r="FO172" i="13"/>
  <c r="FN172" i="13"/>
  <c r="FL172" i="13" s="1"/>
  <c r="GN171" i="13"/>
  <c r="GM171" i="13"/>
  <c r="GL171" i="13"/>
  <c r="GK171" i="13"/>
  <c r="GJ171" i="13"/>
  <c r="GI171" i="13"/>
  <c r="GH171" i="13"/>
  <c r="GG171" i="13"/>
  <c r="GF171" i="13"/>
  <c r="GE171" i="13"/>
  <c r="GD171" i="13"/>
  <c r="GC171" i="13"/>
  <c r="GB171" i="13"/>
  <c r="GA171" i="13"/>
  <c r="FZ171" i="13"/>
  <c r="FY171" i="13"/>
  <c r="FX171" i="13"/>
  <c r="FW171" i="13"/>
  <c r="FV171" i="13"/>
  <c r="FU171" i="13"/>
  <c r="FT171" i="13"/>
  <c r="FS171" i="13"/>
  <c r="FR171" i="13"/>
  <c r="FQ171" i="13"/>
  <c r="FP171" i="13"/>
  <c r="FO171" i="13"/>
  <c r="FN171" i="13"/>
  <c r="GN170" i="13"/>
  <c r="GM170" i="13"/>
  <c r="GL170" i="13"/>
  <c r="GK170" i="13"/>
  <c r="GJ170" i="13"/>
  <c r="GF170" i="13"/>
  <c r="GE170" i="13"/>
  <c r="GD170" i="13"/>
  <c r="GC170" i="13"/>
  <c r="GB170" i="13"/>
  <c r="GA170" i="13"/>
  <c r="FY170" i="13"/>
  <c r="FX170" i="13"/>
  <c r="FW170" i="13"/>
  <c r="FV170" i="13"/>
  <c r="FU170" i="13"/>
  <c r="FT170" i="13"/>
  <c r="FS170" i="13"/>
  <c r="FP170" i="13"/>
  <c r="FO170" i="13"/>
  <c r="FN170" i="13"/>
  <c r="FL170" i="13" s="1"/>
  <c r="GN169" i="13"/>
  <c r="GM169" i="13"/>
  <c r="GL169" i="13"/>
  <c r="GK169" i="13"/>
  <c r="GJ169" i="13"/>
  <c r="GI169" i="13"/>
  <c r="GF169" i="13"/>
  <c r="GE169" i="13"/>
  <c r="GD169" i="13"/>
  <c r="GC169" i="13"/>
  <c r="FY169" i="13"/>
  <c r="FX169" i="13"/>
  <c r="FW169" i="13"/>
  <c r="FV169" i="13"/>
  <c r="FU169" i="13"/>
  <c r="FP169" i="13"/>
  <c r="FO169" i="13"/>
  <c r="FN169" i="13"/>
  <c r="GN168" i="13"/>
  <c r="GM168" i="13"/>
  <c r="GL168" i="13"/>
  <c r="GK168" i="13"/>
  <c r="GJ168" i="13"/>
  <c r="GI168" i="13"/>
  <c r="GH168" i="13"/>
  <c r="GG168" i="13"/>
  <c r="GF168" i="13"/>
  <c r="GE168" i="13"/>
  <c r="GD168" i="13"/>
  <c r="GC168" i="13"/>
  <c r="GB168" i="13"/>
  <c r="GA168" i="13"/>
  <c r="FZ168" i="13"/>
  <c r="FY168" i="13"/>
  <c r="FX168" i="13"/>
  <c r="FW168" i="13"/>
  <c r="FV168" i="13"/>
  <c r="FU168" i="13"/>
  <c r="FT168" i="13"/>
  <c r="FS168" i="13"/>
  <c r="FR168" i="13"/>
  <c r="FQ168" i="13"/>
  <c r="FP168" i="13"/>
  <c r="FO168" i="13"/>
  <c r="FN168" i="13"/>
  <c r="GN167" i="13"/>
  <c r="GM167" i="13"/>
  <c r="GL167" i="13"/>
  <c r="GK167" i="13"/>
  <c r="GJ167" i="13"/>
  <c r="GI167" i="13"/>
  <c r="GH167" i="13"/>
  <c r="GG167" i="13"/>
  <c r="GF167" i="13"/>
  <c r="GE167" i="13"/>
  <c r="GD167" i="13"/>
  <c r="GC167" i="13"/>
  <c r="GB167" i="13"/>
  <c r="GA167" i="13"/>
  <c r="FZ167" i="13"/>
  <c r="FY167" i="13"/>
  <c r="FX167" i="13"/>
  <c r="FW167" i="13"/>
  <c r="FV167" i="13"/>
  <c r="FU167" i="13"/>
  <c r="FT167" i="13"/>
  <c r="FS167" i="13"/>
  <c r="FR167" i="13"/>
  <c r="FQ167" i="13"/>
  <c r="FP167" i="13"/>
  <c r="FO167" i="13"/>
  <c r="FN167" i="13"/>
  <c r="GN166" i="13"/>
  <c r="GM166" i="13"/>
  <c r="GL166" i="13"/>
  <c r="GK166" i="13"/>
  <c r="GJ166" i="13"/>
  <c r="GI166" i="13"/>
  <c r="GH166" i="13"/>
  <c r="GG166" i="13"/>
  <c r="GF166" i="13"/>
  <c r="GE166" i="13"/>
  <c r="GD166" i="13"/>
  <c r="GC166" i="13"/>
  <c r="GB166" i="13"/>
  <c r="GA166" i="13"/>
  <c r="FZ166" i="13"/>
  <c r="FY166" i="13"/>
  <c r="FX166" i="13"/>
  <c r="FW166" i="13"/>
  <c r="FV166" i="13"/>
  <c r="FU166" i="13"/>
  <c r="FT166" i="13"/>
  <c r="FS166" i="13"/>
  <c r="FR166" i="13"/>
  <c r="FQ166" i="13"/>
  <c r="FP166" i="13"/>
  <c r="FO166" i="13"/>
  <c r="FN166" i="13"/>
  <c r="FL166" i="13" s="1"/>
  <c r="GN165" i="13"/>
  <c r="GM165" i="13"/>
  <c r="GL165" i="13"/>
  <c r="GK165" i="13"/>
  <c r="GJ165" i="13"/>
  <c r="GI165" i="13"/>
  <c r="GH165" i="13"/>
  <c r="GG165" i="13"/>
  <c r="GF165" i="13"/>
  <c r="GE165" i="13"/>
  <c r="GD165" i="13"/>
  <c r="GC165" i="13"/>
  <c r="GB165" i="13"/>
  <c r="GA165" i="13"/>
  <c r="FZ165" i="13"/>
  <c r="FY165" i="13"/>
  <c r="FX165" i="13"/>
  <c r="FW165" i="13"/>
  <c r="FV165" i="13"/>
  <c r="FU165" i="13"/>
  <c r="FT165" i="13"/>
  <c r="FS165" i="13"/>
  <c r="FR165" i="13"/>
  <c r="FQ165" i="13"/>
  <c r="FP165" i="13"/>
  <c r="FO165" i="13"/>
  <c r="FN165" i="13"/>
  <c r="GN164" i="13"/>
  <c r="GM164" i="13"/>
  <c r="GL164" i="13"/>
  <c r="GK164" i="13"/>
  <c r="GJ164" i="13"/>
  <c r="GF164" i="13"/>
  <c r="GE164" i="13"/>
  <c r="GD164" i="13"/>
  <c r="GC164" i="13"/>
  <c r="GB164" i="13"/>
  <c r="GA164" i="13"/>
  <c r="FY164" i="13"/>
  <c r="FX164" i="13"/>
  <c r="FW164" i="13"/>
  <c r="FV164" i="13"/>
  <c r="FU164" i="13"/>
  <c r="FT164" i="13"/>
  <c r="FS164" i="13"/>
  <c r="FP164" i="13"/>
  <c r="FO164" i="13"/>
  <c r="FN164" i="13"/>
  <c r="FL164" i="13" s="1"/>
  <c r="GN163" i="13"/>
  <c r="GM163" i="13"/>
  <c r="GL163" i="13"/>
  <c r="GK163" i="13"/>
  <c r="GJ163" i="13"/>
  <c r="GI163" i="13"/>
  <c r="GH163" i="13"/>
  <c r="GG163" i="13"/>
  <c r="GF163" i="13"/>
  <c r="GE163" i="13"/>
  <c r="GD163" i="13"/>
  <c r="GC163" i="13"/>
  <c r="GB163" i="13"/>
  <c r="GA163" i="13"/>
  <c r="FZ163" i="13"/>
  <c r="FY163" i="13"/>
  <c r="FX163" i="13"/>
  <c r="FW163" i="13"/>
  <c r="FV163" i="13"/>
  <c r="FU163" i="13"/>
  <c r="FT163" i="13"/>
  <c r="FS163" i="13"/>
  <c r="FR163" i="13"/>
  <c r="FQ163" i="13"/>
  <c r="FP163" i="13"/>
  <c r="FO163" i="13"/>
  <c r="FN163" i="13"/>
  <c r="GN162" i="13"/>
  <c r="GM162" i="13"/>
  <c r="GL162" i="13"/>
  <c r="GK162" i="13"/>
  <c r="GJ162" i="13"/>
  <c r="GI162" i="13"/>
  <c r="GH162" i="13"/>
  <c r="GG162" i="13"/>
  <c r="GF162" i="13"/>
  <c r="GE162" i="13"/>
  <c r="GD162" i="13"/>
  <c r="GC162" i="13"/>
  <c r="GB162" i="13"/>
  <c r="GA162" i="13"/>
  <c r="FZ162" i="13"/>
  <c r="FY162" i="13"/>
  <c r="FX162" i="13"/>
  <c r="FW162" i="13"/>
  <c r="FV162" i="13"/>
  <c r="FU162" i="13"/>
  <c r="FT162" i="13"/>
  <c r="FS162" i="13"/>
  <c r="FR162" i="13"/>
  <c r="FQ162" i="13"/>
  <c r="FP162" i="13"/>
  <c r="FO162" i="13"/>
  <c r="FN162" i="13"/>
  <c r="FL162" i="13" s="1"/>
  <c r="GN161" i="13"/>
  <c r="GM161" i="13"/>
  <c r="GL161" i="13"/>
  <c r="GK161" i="13"/>
  <c r="GJ161" i="13"/>
  <c r="GI161" i="13"/>
  <c r="GH161" i="13"/>
  <c r="GG161" i="13"/>
  <c r="GF161" i="13"/>
  <c r="GE161" i="13"/>
  <c r="GD161" i="13"/>
  <c r="GC161" i="13"/>
  <c r="GB161" i="13"/>
  <c r="GA161" i="13"/>
  <c r="FZ161" i="13"/>
  <c r="FY161" i="13"/>
  <c r="FX161" i="13"/>
  <c r="FW161" i="13"/>
  <c r="FV161" i="13"/>
  <c r="FU161" i="13"/>
  <c r="FT161" i="13"/>
  <c r="FS161" i="13"/>
  <c r="FR161" i="13"/>
  <c r="FQ161" i="13"/>
  <c r="FP161" i="13"/>
  <c r="FO161" i="13"/>
  <c r="FN161" i="13"/>
  <c r="FL161" i="13" s="1"/>
  <c r="GN160" i="13"/>
  <c r="GM160" i="13"/>
  <c r="GL160" i="13"/>
  <c r="GK160" i="13"/>
  <c r="GJ160" i="13"/>
  <c r="GI160" i="13"/>
  <c r="GH160" i="13"/>
  <c r="GG160" i="13"/>
  <c r="GF160" i="13"/>
  <c r="GE160" i="13"/>
  <c r="GD160" i="13"/>
  <c r="GC160" i="13"/>
  <c r="GB160" i="13"/>
  <c r="GA160" i="13"/>
  <c r="FZ160" i="13"/>
  <c r="FY160" i="13"/>
  <c r="FX160" i="13"/>
  <c r="FW160" i="13"/>
  <c r="FV160" i="13"/>
  <c r="FU160" i="13"/>
  <c r="FT160" i="13"/>
  <c r="FS160" i="13"/>
  <c r="FR160" i="13"/>
  <c r="FQ160" i="13"/>
  <c r="FP160" i="13"/>
  <c r="FO160" i="13"/>
  <c r="FN160" i="13"/>
  <c r="FL160" i="13" s="1"/>
  <c r="GN159" i="13"/>
  <c r="GM159" i="13"/>
  <c r="GL159" i="13"/>
  <c r="GK159" i="13"/>
  <c r="GJ159" i="13"/>
  <c r="GI159" i="13"/>
  <c r="GH159" i="13"/>
  <c r="GG159" i="13"/>
  <c r="GF159" i="13"/>
  <c r="GE159" i="13"/>
  <c r="GD159" i="13"/>
  <c r="GC159" i="13"/>
  <c r="GB159" i="13"/>
  <c r="GA159" i="13"/>
  <c r="FZ159" i="13"/>
  <c r="FY159" i="13"/>
  <c r="FX159" i="13"/>
  <c r="FW159" i="13"/>
  <c r="FV159" i="13"/>
  <c r="FU159" i="13"/>
  <c r="FT159" i="13"/>
  <c r="FS159" i="13"/>
  <c r="FR159" i="13"/>
  <c r="FQ159" i="13"/>
  <c r="FP159" i="13"/>
  <c r="FO159" i="13"/>
  <c r="FN159" i="13"/>
  <c r="FL159" i="13" s="1"/>
  <c r="GN158" i="13"/>
  <c r="GM158" i="13"/>
  <c r="GL158" i="13"/>
  <c r="GK158" i="13"/>
  <c r="GJ158" i="13"/>
  <c r="GI158" i="13"/>
  <c r="GH158" i="13"/>
  <c r="GG158" i="13"/>
  <c r="GF158" i="13"/>
  <c r="GE158" i="13"/>
  <c r="GD158" i="13"/>
  <c r="GC158" i="13"/>
  <c r="GB158" i="13"/>
  <c r="GA158" i="13"/>
  <c r="FZ158" i="13"/>
  <c r="FY158" i="13"/>
  <c r="FX158" i="13"/>
  <c r="FW158" i="13"/>
  <c r="FV158" i="13"/>
  <c r="FU158" i="13"/>
  <c r="FT158" i="13"/>
  <c r="FS158" i="13"/>
  <c r="FR158" i="13"/>
  <c r="FQ158" i="13"/>
  <c r="FP158" i="13"/>
  <c r="FO158" i="13"/>
  <c r="FN158" i="13"/>
  <c r="FL158" i="13" s="1"/>
  <c r="GN157" i="13"/>
  <c r="GM157" i="13"/>
  <c r="GL157" i="13"/>
  <c r="GK157" i="13"/>
  <c r="GJ157" i="13"/>
  <c r="GI157" i="13"/>
  <c r="GH157" i="13"/>
  <c r="GG157" i="13"/>
  <c r="GF157" i="13"/>
  <c r="GE157" i="13"/>
  <c r="GD157" i="13"/>
  <c r="GC157" i="13"/>
  <c r="GB157" i="13"/>
  <c r="GA157" i="13"/>
  <c r="FZ157" i="13"/>
  <c r="FY157" i="13"/>
  <c r="FX157" i="13"/>
  <c r="FW157" i="13"/>
  <c r="FV157" i="13"/>
  <c r="FU157" i="13"/>
  <c r="FT157" i="13"/>
  <c r="FS157" i="13"/>
  <c r="FR157" i="13"/>
  <c r="FQ157" i="13"/>
  <c r="FP157" i="13"/>
  <c r="FO157" i="13"/>
  <c r="FN157" i="13"/>
  <c r="GN156" i="13"/>
  <c r="GM156" i="13"/>
  <c r="GL156" i="13"/>
  <c r="GK156" i="13"/>
  <c r="GJ156" i="13"/>
  <c r="GI156" i="13"/>
  <c r="GH156" i="13"/>
  <c r="GG156" i="13"/>
  <c r="GF156" i="13"/>
  <c r="GE156" i="13"/>
  <c r="GD156" i="13"/>
  <c r="GC156" i="13"/>
  <c r="GB156" i="13"/>
  <c r="GA156" i="13"/>
  <c r="FZ156" i="13"/>
  <c r="FY156" i="13"/>
  <c r="FX156" i="13"/>
  <c r="FW156" i="13"/>
  <c r="FV156" i="13"/>
  <c r="FU156" i="13"/>
  <c r="FT156" i="13"/>
  <c r="FS156" i="13"/>
  <c r="FR156" i="13"/>
  <c r="FQ156" i="13"/>
  <c r="FP156" i="13"/>
  <c r="FO156" i="13"/>
  <c r="FN156" i="13"/>
  <c r="FL156" i="13" s="1"/>
  <c r="GN155" i="13"/>
  <c r="GM155" i="13"/>
  <c r="GL155" i="13"/>
  <c r="GK155" i="13"/>
  <c r="GJ155" i="13"/>
  <c r="GI155" i="13"/>
  <c r="GH155" i="13"/>
  <c r="GG155" i="13"/>
  <c r="GF155" i="13"/>
  <c r="GE155" i="13"/>
  <c r="GD155" i="13"/>
  <c r="GC155" i="13"/>
  <c r="GB155" i="13"/>
  <c r="GA155" i="13"/>
  <c r="FZ155" i="13"/>
  <c r="FY155" i="13"/>
  <c r="FX155" i="13"/>
  <c r="FW155" i="13"/>
  <c r="FV155" i="13"/>
  <c r="FU155" i="13"/>
  <c r="FT155" i="13"/>
  <c r="FS155" i="13"/>
  <c r="FR155" i="13"/>
  <c r="FQ155" i="13"/>
  <c r="FP155" i="13"/>
  <c r="FO155" i="13"/>
  <c r="FN155" i="13"/>
  <c r="GN154" i="13"/>
  <c r="GM154" i="13"/>
  <c r="GL154" i="13"/>
  <c r="GK154" i="13"/>
  <c r="GJ154" i="13"/>
  <c r="GI154" i="13"/>
  <c r="GH154" i="13"/>
  <c r="GG154" i="13"/>
  <c r="GF154" i="13"/>
  <c r="GE154" i="13"/>
  <c r="GD154" i="13"/>
  <c r="GC154" i="13"/>
  <c r="GB154" i="13"/>
  <c r="GA154" i="13"/>
  <c r="FZ154" i="13"/>
  <c r="FY154" i="13"/>
  <c r="FX154" i="13"/>
  <c r="FW154" i="13"/>
  <c r="FV154" i="13"/>
  <c r="FU154" i="13"/>
  <c r="FT154" i="13"/>
  <c r="FS154" i="13"/>
  <c r="FR154" i="13"/>
  <c r="FQ154" i="13"/>
  <c r="FP154" i="13"/>
  <c r="FO154" i="13"/>
  <c r="FN154" i="13"/>
  <c r="GN153" i="13"/>
  <c r="GM153" i="13"/>
  <c r="GL153" i="13"/>
  <c r="GK153" i="13"/>
  <c r="GJ153" i="13"/>
  <c r="GI153" i="13"/>
  <c r="GH153" i="13"/>
  <c r="GG153" i="13"/>
  <c r="GF153" i="13"/>
  <c r="GE153" i="13"/>
  <c r="GD153" i="13"/>
  <c r="GC153" i="13"/>
  <c r="GB153" i="13"/>
  <c r="GA153" i="13"/>
  <c r="FZ153" i="13"/>
  <c r="FY153" i="13"/>
  <c r="FX153" i="13"/>
  <c r="FW153" i="13"/>
  <c r="FV153" i="13"/>
  <c r="FU153" i="13"/>
  <c r="FT153" i="13"/>
  <c r="FS153" i="13"/>
  <c r="FR153" i="13"/>
  <c r="FQ153" i="13"/>
  <c r="FP153" i="13"/>
  <c r="FO153" i="13"/>
  <c r="FN153" i="13"/>
  <c r="GN152" i="13"/>
  <c r="GM152" i="13"/>
  <c r="GL152" i="13"/>
  <c r="GK152" i="13"/>
  <c r="GJ152" i="13"/>
  <c r="GI152" i="13"/>
  <c r="GH152" i="13"/>
  <c r="GG152" i="13"/>
  <c r="GF152" i="13"/>
  <c r="GE152" i="13"/>
  <c r="GD152" i="13"/>
  <c r="GC152" i="13"/>
  <c r="GB152" i="13"/>
  <c r="GA152" i="13"/>
  <c r="FZ152" i="13"/>
  <c r="FY152" i="13"/>
  <c r="FX152" i="13"/>
  <c r="FW152" i="13"/>
  <c r="FV152" i="13"/>
  <c r="FU152" i="13"/>
  <c r="FT152" i="13"/>
  <c r="FS152" i="13"/>
  <c r="FR152" i="13"/>
  <c r="FQ152" i="13"/>
  <c r="FP152" i="13"/>
  <c r="FO152" i="13"/>
  <c r="FN152" i="13"/>
  <c r="GN151" i="13"/>
  <c r="GM151" i="13"/>
  <c r="GL151" i="13"/>
  <c r="GK151" i="13"/>
  <c r="GJ151" i="13"/>
  <c r="GI151" i="13"/>
  <c r="GH151" i="13"/>
  <c r="GG151" i="13"/>
  <c r="GF151" i="13"/>
  <c r="GE151" i="13"/>
  <c r="GD151" i="13"/>
  <c r="GC151" i="13"/>
  <c r="GB151" i="13"/>
  <c r="GA151" i="13"/>
  <c r="FZ151" i="13"/>
  <c r="FY151" i="13"/>
  <c r="FX151" i="13"/>
  <c r="FW151" i="13"/>
  <c r="FV151" i="13"/>
  <c r="FU151" i="13"/>
  <c r="FT151" i="13"/>
  <c r="FS151" i="13"/>
  <c r="FR151" i="13"/>
  <c r="FQ151" i="13"/>
  <c r="FP151" i="13"/>
  <c r="FO151" i="13"/>
  <c r="FN151" i="13"/>
  <c r="FL151" i="13" s="1"/>
  <c r="GN150" i="13"/>
  <c r="GM150" i="13"/>
  <c r="GL150" i="13"/>
  <c r="GK150" i="13"/>
  <c r="GJ150" i="13"/>
  <c r="GF150" i="13"/>
  <c r="GE150" i="13"/>
  <c r="GD150" i="13"/>
  <c r="GC150" i="13"/>
  <c r="GB150" i="13"/>
  <c r="FY150" i="13"/>
  <c r="FV150" i="13"/>
  <c r="FU150" i="13"/>
  <c r="FT150" i="13"/>
  <c r="FP150" i="13"/>
  <c r="FN150" i="13"/>
  <c r="GN149" i="13"/>
  <c r="GM149" i="13"/>
  <c r="GL149" i="13"/>
  <c r="GK149" i="13"/>
  <c r="GJ149" i="13"/>
  <c r="GF149" i="13"/>
  <c r="GE149" i="13"/>
  <c r="GD149" i="13"/>
  <c r="GC149" i="13"/>
  <c r="GB149" i="13"/>
  <c r="FY149" i="13"/>
  <c r="FV149" i="13"/>
  <c r="FU149" i="13"/>
  <c r="FT149" i="13"/>
  <c r="FP149" i="13"/>
  <c r="FN149" i="13"/>
  <c r="GN148" i="13"/>
  <c r="GM148" i="13"/>
  <c r="GL148" i="13"/>
  <c r="GK148" i="13"/>
  <c r="GJ148" i="13"/>
  <c r="GF148" i="13"/>
  <c r="GE148" i="13"/>
  <c r="GD148" i="13"/>
  <c r="GC148" i="13"/>
  <c r="GB148" i="13"/>
  <c r="FZ148" i="13"/>
  <c r="FY148" i="13"/>
  <c r="FX148" i="13"/>
  <c r="FV148" i="13"/>
  <c r="FU148" i="13"/>
  <c r="FT148" i="13"/>
  <c r="FP148" i="13"/>
  <c r="FN148" i="13"/>
  <c r="GN147" i="13"/>
  <c r="GM147" i="13"/>
  <c r="GL147" i="13"/>
  <c r="GK147" i="13"/>
  <c r="GJ147" i="13"/>
  <c r="GF147" i="13"/>
  <c r="GE147" i="13"/>
  <c r="GD147" i="13"/>
  <c r="GC147" i="13"/>
  <c r="GB147" i="13"/>
  <c r="FV147" i="13"/>
  <c r="FU147" i="13"/>
  <c r="FT147" i="13"/>
  <c r="FR147" i="13"/>
  <c r="FN147" i="13"/>
  <c r="GN146" i="13"/>
  <c r="GM146" i="13"/>
  <c r="GL146" i="13"/>
  <c r="GK146" i="13"/>
  <c r="GJ146" i="13"/>
  <c r="GH146" i="13"/>
  <c r="GF146" i="13"/>
  <c r="GE146" i="13"/>
  <c r="GD146" i="13"/>
  <c r="GC146" i="13"/>
  <c r="GB146" i="13"/>
  <c r="FV146" i="13"/>
  <c r="FU146" i="13"/>
  <c r="FT146" i="13"/>
  <c r="FN146" i="13"/>
  <c r="GN145" i="13"/>
  <c r="GM145" i="13"/>
  <c r="GL145" i="13"/>
  <c r="GK145" i="13"/>
  <c r="GJ145" i="13"/>
  <c r="GH145" i="13"/>
  <c r="GF145" i="13"/>
  <c r="GE145" i="13"/>
  <c r="GD145" i="13"/>
  <c r="GC145" i="13"/>
  <c r="GB145" i="13"/>
  <c r="FY145" i="13"/>
  <c r="FX145" i="13"/>
  <c r="FV145" i="13"/>
  <c r="FU145" i="13"/>
  <c r="FT145" i="13"/>
  <c r="FN145" i="13"/>
  <c r="FL145" i="13" s="1"/>
  <c r="GN144" i="13"/>
  <c r="GM144" i="13"/>
  <c r="GL144" i="13"/>
  <c r="GK144" i="13"/>
  <c r="GJ144" i="13"/>
  <c r="GF144" i="13"/>
  <c r="GE144" i="13"/>
  <c r="GD144" i="13"/>
  <c r="GC144" i="13"/>
  <c r="GB144" i="13"/>
  <c r="FY144" i="13"/>
  <c r="FV144" i="13"/>
  <c r="FU144" i="13"/>
  <c r="FT144" i="13"/>
  <c r="FN144" i="13"/>
  <c r="GN143" i="13"/>
  <c r="GM143" i="13"/>
  <c r="GL143" i="13"/>
  <c r="GK143" i="13"/>
  <c r="GJ143" i="13"/>
  <c r="GF143" i="13"/>
  <c r="GE143" i="13"/>
  <c r="GD143" i="13"/>
  <c r="GC143" i="13"/>
  <c r="GB143" i="13"/>
  <c r="FV143" i="13"/>
  <c r="FU143" i="13"/>
  <c r="FT143" i="13"/>
  <c r="FR143" i="13"/>
  <c r="FN143" i="13"/>
  <c r="GN142" i="13"/>
  <c r="GM142" i="13"/>
  <c r="GL142" i="13"/>
  <c r="GK142" i="13"/>
  <c r="GJ142" i="13"/>
  <c r="GH142" i="13"/>
  <c r="GF142" i="13"/>
  <c r="GE142" i="13"/>
  <c r="GD142" i="13"/>
  <c r="GC142" i="13"/>
  <c r="GB142" i="13"/>
  <c r="FV142" i="13"/>
  <c r="FU142" i="13"/>
  <c r="FT142" i="13"/>
  <c r="FN142" i="13"/>
  <c r="GN141" i="13"/>
  <c r="GM141" i="13"/>
  <c r="GL141" i="13"/>
  <c r="GK141" i="13"/>
  <c r="GJ141" i="13"/>
  <c r="GH141" i="13"/>
  <c r="GF141" i="13"/>
  <c r="GE141" i="13"/>
  <c r="GD141" i="13"/>
  <c r="GC141" i="13"/>
  <c r="GB141" i="13"/>
  <c r="FV141" i="13"/>
  <c r="FU141" i="13"/>
  <c r="FT141" i="13"/>
  <c r="FN141" i="13"/>
  <c r="GN140" i="13"/>
  <c r="GM140" i="13"/>
  <c r="GL140" i="13"/>
  <c r="GK140" i="13"/>
  <c r="GJ140" i="13"/>
  <c r="GF140" i="13"/>
  <c r="GE140" i="13"/>
  <c r="GD140" i="13"/>
  <c r="GC140" i="13"/>
  <c r="GB140" i="13"/>
  <c r="FZ140" i="13"/>
  <c r="FV140" i="13"/>
  <c r="FU140" i="13"/>
  <c r="FT140" i="13"/>
  <c r="FN140" i="13"/>
  <c r="FL140" i="13" s="1"/>
  <c r="GN139" i="13"/>
  <c r="GM139" i="13"/>
  <c r="GL139" i="13"/>
  <c r="GK139" i="13"/>
  <c r="GJ139" i="13"/>
  <c r="GF139" i="13"/>
  <c r="GE139" i="13"/>
  <c r="GD139" i="13"/>
  <c r="GC139" i="13"/>
  <c r="GB139" i="13"/>
  <c r="FZ139" i="13"/>
  <c r="FV139" i="13"/>
  <c r="FU139" i="13"/>
  <c r="FT139" i="13"/>
  <c r="FN139" i="13"/>
  <c r="FL139" i="13" s="1"/>
  <c r="GN138" i="13"/>
  <c r="GM138" i="13"/>
  <c r="GL138" i="13"/>
  <c r="GK138" i="13"/>
  <c r="GJ138" i="13"/>
  <c r="GF138" i="13"/>
  <c r="GE138" i="13"/>
  <c r="GD138" i="13"/>
  <c r="GC138" i="13"/>
  <c r="GB138" i="13"/>
  <c r="FV138" i="13"/>
  <c r="FU138" i="13"/>
  <c r="FT138" i="13"/>
  <c r="FN138" i="13"/>
  <c r="GN137" i="13"/>
  <c r="GM137" i="13"/>
  <c r="GL137" i="13"/>
  <c r="GK137" i="13"/>
  <c r="GJ137" i="13"/>
  <c r="GF137" i="13"/>
  <c r="GE137" i="13"/>
  <c r="GD137" i="13"/>
  <c r="GC137" i="13"/>
  <c r="GB137" i="13"/>
  <c r="FV137" i="13"/>
  <c r="FU137" i="13"/>
  <c r="FT137" i="13"/>
  <c r="FN137" i="13"/>
  <c r="FL137" i="13" s="1"/>
  <c r="GN136" i="13"/>
  <c r="GM136" i="13"/>
  <c r="GL136" i="13"/>
  <c r="GK136" i="13"/>
  <c r="GJ136" i="13"/>
  <c r="GF136" i="13"/>
  <c r="GE136" i="13"/>
  <c r="GD136" i="13"/>
  <c r="GC136" i="13"/>
  <c r="GB136" i="13"/>
  <c r="FV136" i="13"/>
  <c r="FU136" i="13"/>
  <c r="FT136" i="13"/>
  <c r="FR136" i="13"/>
  <c r="FN136" i="13"/>
  <c r="FL136" i="13" s="1"/>
  <c r="GN135" i="13"/>
  <c r="GM135" i="13"/>
  <c r="GL135" i="13"/>
  <c r="GK135" i="13"/>
  <c r="GJ135" i="13"/>
  <c r="GF135" i="13"/>
  <c r="GE135" i="13"/>
  <c r="GD135" i="13"/>
  <c r="GC135" i="13"/>
  <c r="GB135" i="13"/>
  <c r="FV135" i="13"/>
  <c r="FU135" i="13"/>
  <c r="FT135" i="13"/>
  <c r="FR135" i="13"/>
  <c r="FN135" i="13"/>
  <c r="FL135" i="13" s="1"/>
  <c r="GN134" i="13"/>
  <c r="GM134" i="13"/>
  <c r="GL134" i="13"/>
  <c r="GK134" i="13"/>
  <c r="GJ134" i="13"/>
  <c r="GH134" i="13"/>
  <c r="GF134" i="13"/>
  <c r="GE134" i="13"/>
  <c r="GD134" i="13"/>
  <c r="GC134" i="13"/>
  <c r="GB134" i="13"/>
  <c r="FV134" i="13"/>
  <c r="FU134" i="13"/>
  <c r="FT134" i="13"/>
  <c r="FN134" i="13"/>
  <c r="GN133" i="13"/>
  <c r="GM133" i="13"/>
  <c r="GL133" i="13"/>
  <c r="GK133" i="13"/>
  <c r="GJ133" i="13"/>
  <c r="GH133" i="13"/>
  <c r="GF133" i="13"/>
  <c r="GE133" i="13"/>
  <c r="GD133" i="13"/>
  <c r="GC133" i="13"/>
  <c r="GB133" i="13"/>
  <c r="FV133" i="13"/>
  <c r="FU133" i="13"/>
  <c r="FT133" i="13"/>
  <c r="FN133" i="13"/>
  <c r="FL133" i="13" s="1"/>
  <c r="GN132" i="13"/>
  <c r="GM132" i="13"/>
  <c r="GL132" i="13"/>
  <c r="GK132" i="13"/>
  <c r="GJ132" i="13"/>
  <c r="GF132" i="13"/>
  <c r="GE132" i="13"/>
  <c r="GD132" i="13"/>
  <c r="GC132" i="13"/>
  <c r="GB132" i="13"/>
  <c r="FZ132" i="13"/>
  <c r="FV132" i="13"/>
  <c r="FU132" i="13"/>
  <c r="FT132" i="13"/>
  <c r="FN132" i="13"/>
  <c r="FL132" i="13" s="1"/>
  <c r="GN131" i="13"/>
  <c r="GM131" i="13"/>
  <c r="GL131" i="13"/>
  <c r="GK131" i="13"/>
  <c r="GJ131" i="13"/>
  <c r="GF131" i="13"/>
  <c r="GE131" i="13"/>
  <c r="GD131" i="13"/>
  <c r="GC131" i="13"/>
  <c r="GB131" i="13"/>
  <c r="FZ131" i="13"/>
  <c r="FY131" i="13"/>
  <c r="FV131" i="13"/>
  <c r="FU131" i="13"/>
  <c r="FT131" i="13"/>
  <c r="FN131" i="13"/>
  <c r="GN130" i="13"/>
  <c r="GM130" i="13"/>
  <c r="GL130" i="13"/>
  <c r="GK130" i="13"/>
  <c r="GJ130" i="13"/>
  <c r="GF130" i="13"/>
  <c r="GE130" i="13"/>
  <c r="GD130" i="13"/>
  <c r="GC130" i="13"/>
  <c r="GB130" i="13"/>
  <c r="FY130" i="13"/>
  <c r="FV130" i="13"/>
  <c r="FU130" i="13"/>
  <c r="FT130" i="13"/>
  <c r="FR130" i="13"/>
  <c r="FN130" i="13"/>
  <c r="FL130" i="13" s="1"/>
  <c r="GN129" i="13"/>
  <c r="GM129" i="13"/>
  <c r="GL129" i="13"/>
  <c r="GK129" i="13"/>
  <c r="GJ129" i="13"/>
  <c r="GF129" i="13"/>
  <c r="GE129" i="13"/>
  <c r="GD129" i="13"/>
  <c r="GC129" i="13"/>
  <c r="GB129" i="13"/>
  <c r="FV129" i="13"/>
  <c r="FU129" i="13"/>
  <c r="FT129" i="13"/>
  <c r="FR129" i="13"/>
  <c r="FN129" i="13"/>
  <c r="FL129" i="13" s="1"/>
  <c r="GN128" i="13"/>
  <c r="GM128" i="13"/>
  <c r="GL128" i="13"/>
  <c r="GK128" i="13"/>
  <c r="GJ128" i="13"/>
  <c r="GH128" i="13"/>
  <c r="GF128" i="13"/>
  <c r="GE128" i="13"/>
  <c r="GD128" i="13"/>
  <c r="GC128" i="13"/>
  <c r="GB128" i="13"/>
  <c r="FV128" i="13"/>
  <c r="FU128" i="13"/>
  <c r="FT128" i="13"/>
  <c r="FN128" i="13"/>
  <c r="GN127" i="13"/>
  <c r="GM127" i="13"/>
  <c r="GL127" i="13"/>
  <c r="GK127" i="13"/>
  <c r="GJ127" i="13"/>
  <c r="GH127" i="13"/>
  <c r="GF127" i="13"/>
  <c r="GE127" i="13"/>
  <c r="GD127" i="13"/>
  <c r="GC127" i="13"/>
  <c r="GB127" i="13"/>
  <c r="FV127" i="13"/>
  <c r="FU127" i="13"/>
  <c r="FT127" i="13"/>
  <c r="FN127" i="13"/>
  <c r="FL127" i="13" s="1"/>
  <c r="GN126" i="13"/>
  <c r="GM126" i="13"/>
  <c r="GL126" i="13"/>
  <c r="GK126" i="13"/>
  <c r="GJ126" i="13"/>
  <c r="GF126" i="13"/>
  <c r="GE126" i="13"/>
  <c r="GD126" i="13"/>
  <c r="GC126" i="13"/>
  <c r="GB126" i="13"/>
  <c r="FZ126" i="13"/>
  <c r="FV126" i="13"/>
  <c r="FU126" i="13"/>
  <c r="FT126" i="13"/>
  <c r="FN126" i="13"/>
  <c r="FL126" i="13" s="1"/>
  <c r="GN125" i="13"/>
  <c r="GM125" i="13"/>
  <c r="GL125" i="13"/>
  <c r="GK125" i="13"/>
  <c r="GJ125" i="13"/>
  <c r="GF125" i="13"/>
  <c r="GE125" i="13"/>
  <c r="GD125" i="13"/>
  <c r="GC125" i="13"/>
  <c r="GB125" i="13"/>
  <c r="FZ125" i="13"/>
  <c r="FY125" i="13"/>
  <c r="FV125" i="13"/>
  <c r="FU125" i="13"/>
  <c r="FT125" i="13"/>
  <c r="FS125" i="13"/>
  <c r="FN125" i="13"/>
  <c r="FL125" i="13" s="1"/>
  <c r="GN124" i="13"/>
  <c r="GM124" i="13"/>
  <c r="GL124" i="13"/>
  <c r="GK124" i="13"/>
  <c r="GJ124" i="13"/>
  <c r="GI124" i="13"/>
  <c r="GF124" i="13"/>
  <c r="GE124" i="13"/>
  <c r="GD124" i="13"/>
  <c r="GC124" i="13"/>
  <c r="GB124" i="13"/>
  <c r="FY124" i="13"/>
  <c r="FV124" i="13"/>
  <c r="FU124" i="13"/>
  <c r="FT124" i="13"/>
  <c r="FP124" i="13"/>
  <c r="FN124" i="13"/>
  <c r="GN123" i="13"/>
  <c r="GM123" i="13"/>
  <c r="GL123" i="13"/>
  <c r="GK123" i="13"/>
  <c r="GJ123" i="13"/>
  <c r="GF123" i="13"/>
  <c r="GE123" i="13"/>
  <c r="GD123" i="13"/>
  <c r="GC123" i="13"/>
  <c r="GB123" i="13"/>
  <c r="FZ123" i="13"/>
  <c r="FV123" i="13"/>
  <c r="FU123" i="13"/>
  <c r="FT123" i="13"/>
  <c r="FN123" i="13"/>
  <c r="FL123" i="13" s="1"/>
  <c r="GN122" i="13"/>
  <c r="GM122" i="13"/>
  <c r="GL122" i="13"/>
  <c r="GK122" i="13"/>
  <c r="GJ122" i="13"/>
  <c r="GF122" i="13"/>
  <c r="GE122" i="13"/>
  <c r="GD122" i="13"/>
  <c r="GC122" i="13"/>
  <c r="GB122" i="13"/>
  <c r="FZ122" i="13"/>
  <c r="FV122" i="13"/>
  <c r="FU122" i="13"/>
  <c r="FT122" i="13"/>
  <c r="FN122" i="13"/>
  <c r="FL122" i="13" s="1"/>
  <c r="GN121" i="13"/>
  <c r="GM121" i="13"/>
  <c r="GL121" i="13"/>
  <c r="GK121" i="13"/>
  <c r="GJ121" i="13"/>
  <c r="GF121" i="13"/>
  <c r="GE121" i="13"/>
  <c r="GD121" i="13"/>
  <c r="GC121" i="13"/>
  <c r="GB121" i="13"/>
  <c r="FV121" i="13"/>
  <c r="FU121" i="13"/>
  <c r="FT121" i="13"/>
  <c r="FN121" i="13"/>
  <c r="GN120" i="13"/>
  <c r="GM120" i="13"/>
  <c r="GL120" i="13"/>
  <c r="GK120" i="13"/>
  <c r="GJ120" i="13"/>
  <c r="GF120" i="13"/>
  <c r="GE120" i="13"/>
  <c r="GD120" i="13"/>
  <c r="GC120" i="13"/>
  <c r="GB120" i="13"/>
  <c r="GA120" i="13"/>
  <c r="FV120" i="13"/>
  <c r="FU120" i="13"/>
  <c r="FT120" i="13"/>
  <c r="FR120" i="13"/>
  <c r="FN120" i="13"/>
  <c r="GN119" i="13"/>
  <c r="GM119" i="13"/>
  <c r="GL119" i="13"/>
  <c r="GK119" i="13"/>
  <c r="GJ119" i="13"/>
  <c r="GH119" i="13"/>
  <c r="GF119" i="13"/>
  <c r="GE119" i="13"/>
  <c r="GD119" i="13"/>
  <c r="GC119" i="13"/>
  <c r="GB119" i="13"/>
  <c r="FY119" i="13"/>
  <c r="FV119" i="13"/>
  <c r="FU119" i="13"/>
  <c r="FT119" i="13"/>
  <c r="FN119" i="13"/>
  <c r="FL119" i="13" s="1"/>
  <c r="GN118" i="13"/>
  <c r="GM118" i="13"/>
  <c r="GL118" i="13"/>
  <c r="GK118" i="13"/>
  <c r="GJ118" i="13"/>
  <c r="GF118" i="13"/>
  <c r="GE118" i="13"/>
  <c r="GD118" i="13"/>
  <c r="GC118" i="13"/>
  <c r="GB118" i="13"/>
  <c r="FZ118" i="13"/>
  <c r="FY118" i="13"/>
  <c r="FV118" i="13"/>
  <c r="FU118" i="13"/>
  <c r="FT118" i="13"/>
  <c r="FN118" i="13"/>
  <c r="GN117" i="13"/>
  <c r="GM117" i="13"/>
  <c r="GL117" i="13"/>
  <c r="GK117" i="13"/>
  <c r="GJ117" i="13"/>
  <c r="GF117" i="13"/>
  <c r="GE117" i="13"/>
  <c r="GD117" i="13"/>
  <c r="GC117" i="13"/>
  <c r="GB117" i="13"/>
  <c r="FV117" i="13"/>
  <c r="FU117" i="13"/>
  <c r="FT117" i="13"/>
  <c r="FN117" i="13"/>
  <c r="FL117" i="13" s="1"/>
  <c r="GN116" i="13"/>
  <c r="GM116" i="13"/>
  <c r="GL116" i="13"/>
  <c r="GK116" i="13"/>
  <c r="GJ116" i="13"/>
  <c r="GF116" i="13"/>
  <c r="GE116" i="13"/>
  <c r="GD116" i="13"/>
  <c r="GC116" i="13"/>
  <c r="GB116" i="13"/>
  <c r="FV116" i="13"/>
  <c r="FU116" i="13"/>
  <c r="FT116" i="13"/>
  <c r="FN116" i="13"/>
  <c r="GN115" i="13"/>
  <c r="GM115" i="13"/>
  <c r="GL115" i="13"/>
  <c r="GK115" i="13"/>
  <c r="GJ115" i="13"/>
  <c r="GF115" i="13"/>
  <c r="GE115" i="13"/>
  <c r="GD115" i="13"/>
  <c r="GC115" i="13"/>
  <c r="GB115" i="13"/>
  <c r="FV115" i="13"/>
  <c r="FU115" i="13"/>
  <c r="FT115" i="13"/>
  <c r="FR115" i="13"/>
  <c r="FN115" i="13"/>
  <c r="FL115" i="13" s="1"/>
  <c r="GN114" i="13"/>
  <c r="GM114" i="13"/>
  <c r="GL114" i="13"/>
  <c r="GH114" i="13"/>
  <c r="GG114" i="13"/>
  <c r="GF114" i="13"/>
  <c r="GE114" i="13"/>
  <c r="GD114" i="13"/>
  <c r="FZ114" i="13"/>
  <c r="FX114" i="13"/>
  <c r="FW114" i="13"/>
  <c r="FV114" i="13"/>
  <c r="FU114" i="13"/>
  <c r="FP114" i="13"/>
  <c r="FO114" i="13"/>
  <c r="GN113" i="13"/>
  <c r="GM113" i="13"/>
  <c r="GL113" i="13"/>
  <c r="GK113" i="13"/>
  <c r="GJ113" i="13"/>
  <c r="GH113" i="13"/>
  <c r="GF113" i="13"/>
  <c r="GE113" i="13"/>
  <c r="GD113" i="13"/>
  <c r="GC113" i="13"/>
  <c r="GB113" i="13"/>
  <c r="FV113" i="13"/>
  <c r="FU113" i="13"/>
  <c r="FT113" i="13"/>
  <c r="FN113" i="13"/>
  <c r="FL113" i="13" s="1"/>
  <c r="GN112" i="13"/>
  <c r="GM112" i="13"/>
  <c r="GL112" i="13"/>
  <c r="GK112" i="13"/>
  <c r="GJ112" i="13"/>
  <c r="GH112" i="13"/>
  <c r="GF112" i="13"/>
  <c r="GE112" i="13"/>
  <c r="GD112" i="13"/>
  <c r="GC112" i="13"/>
  <c r="GB112" i="13"/>
  <c r="FZ112" i="13"/>
  <c r="FV112" i="13"/>
  <c r="FU112" i="13"/>
  <c r="FT112" i="13"/>
  <c r="FR112" i="13"/>
  <c r="FN112" i="13"/>
  <c r="FL112" i="13" s="1"/>
  <c r="GN111" i="13"/>
  <c r="GM111" i="13"/>
  <c r="GL111" i="13"/>
  <c r="GK111" i="13"/>
  <c r="GJ111" i="13"/>
  <c r="GF111" i="13"/>
  <c r="GE111" i="13"/>
  <c r="GD111" i="13"/>
  <c r="GC111" i="13"/>
  <c r="GB111" i="13"/>
  <c r="FZ111" i="13"/>
  <c r="FY111" i="13"/>
  <c r="FV111" i="13"/>
  <c r="FU111" i="13"/>
  <c r="FT111" i="13"/>
  <c r="FN111" i="13"/>
  <c r="FL111" i="13" s="1"/>
  <c r="GN110" i="13"/>
  <c r="GM110" i="13"/>
  <c r="GL110" i="13"/>
  <c r="GK110" i="13"/>
  <c r="GJ110" i="13"/>
  <c r="GH110" i="13"/>
  <c r="GF110" i="13"/>
  <c r="GE110" i="13"/>
  <c r="GD110" i="13"/>
  <c r="GC110" i="13"/>
  <c r="GB110" i="13"/>
  <c r="FY110" i="13"/>
  <c r="FV110" i="13"/>
  <c r="FU110" i="13"/>
  <c r="FT110" i="13"/>
  <c r="FR110" i="13"/>
  <c r="FN110" i="13"/>
  <c r="GN109" i="13"/>
  <c r="GM109" i="13"/>
  <c r="GL109" i="13"/>
  <c r="GK109" i="13"/>
  <c r="GJ109" i="13"/>
  <c r="GF109" i="13"/>
  <c r="GE109" i="13"/>
  <c r="GD109" i="13"/>
  <c r="GC109" i="13"/>
  <c r="GB109" i="13"/>
  <c r="FZ109" i="13"/>
  <c r="FV109" i="13"/>
  <c r="FU109" i="13"/>
  <c r="FT109" i="13"/>
  <c r="FR109" i="13"/>
  <c r="FN109" i="13"/>
  <c r="GN108" i="13"/>
  <c r="GM108" i="13"/>
  <c r="GL108" i="13"/>
  <c r="GK108" i="13"/>
  <c r="GJ108" i="13"/>
  <c r="GH108" i="13"/>
  <c r="GF108" i="13"/>
  <c r="GE108" i="13"/>
  <c r="GD108" i="13"/>
  <c r="GC108" i="13"/>
  <c r="GB108" i="13"/>
  <c r="FV108" i="13"/>
  <c r="FU108" i="13"/>
  <c r="FT108" i="13"/>
  <c r="FR108" i="13"/>
  <c r="FN108" i="13"/>
  <c r="FL108" i="13" s="1"/>
  <c r="GN107" i="13"/>
  <c r="GM107" i="13"/>
  <c r="GL107" i="13"/>
  <c r="GK107" i="13"/>
  <c r="GJ107" i="13"/>
  <c r="GH107" i="13"/>
  <c r="GF107" i="13"/>
  <c r="GE107" i="13"/>
  <c r="GD107" i="13"/>
  <c r="GC107" i="13"/>
  <c r="GB107" i="13"/>
  <c r="FV107" i="13"/>
  <c r="FU107" i="13"/>
  <c r="FT107" i="13"/>
  <c r="FR107" i="13"/>
  <c r="FN107" i="13"/>
  <c r="GN106" i="13"/>
  <c r="GM106" i="13"/>
  <c r="GL106" i="13"/>
  <c r="GK106" i="13"/>
  <c r="GJ106" i="13"/>
  <c r="GH106" i="13"/>
  <c r="GF106" i="13"/>
  <c r="GE106" i="13"/>
  <c r="GD106" i="13"/>
  <c r="GC106" i="13"/>
  <c r="GB106" i="13"/>
  <c r="FZ106" i="13"/>
  <c r="FV106" i="13"/>
  <c r="FU106" i="13"/>
  <c r="FT106" i="13"/>
  <c r="FR106" i="13"/>
  <c r="FN106" i="13"/>
  <c r="FL106" i="13" s="1"/>
  <c r="GN105" i="13"/>
  <c r="GM105" i="13"/>
  <c r="GL105" i="13"/>
  <c r="GK105" i="13"/>
  <c r="GJ105" i="13"/>
  <c r="GH105" i="13"/>
  <c r="GF105" i="13"/>
  <c r="GE105" i="13"/>
  <c r="GD105" i="13"/>
  <c r="GC105" i="13"/>
  <c r="GB105" i="13"/>
  <c r="FZ105" i="13"/>
  <c r="FY105" i="13"/>
  <c r="FV105" i="13"/>
  <c r="FU105" i="13"/>
  <c r="FT105" i="13"/>
  <c r="FR105" i="13"/>
  <c r="FN105" i="13"/>
  <c r="GN104" i="13"/>
  <c r="GM104" i="13"/>
  <c r="GL104" i="13"/>
  <c r="GK104" i="13"/>
  <c r="GJ104" i="13"/>
  <c r="GH104" i="13"/>
  <c r="GF104" i="13"/>
  <c r="GE104" i="13"/>
  <c r="GD104" i="13"/>
  <c r="GC104" i="13"/>
  <c r="GB104" i="13"/>
  <c r="FZ104" i="13"/>
  <c r="FY104" i="13"/>
  <c r="FV104" i="13"/>
  <c r="FU104" i="13"/>
  <c r="FT104" i="13"/>
  <c r="FR104" i="13"/>
  <c r="FN104" i="13"/>
  <c r="GN103" i="13"/>
  <c r="GM103" i="13"/>
  <c r="GL103" i="13"/>
  <c r="GK103" i="13"/>
  <c r="GJ103" i="13"/>
  <c r="GF103" i="13"/>
  <c r="GE103" i="13"/>
  <c r="GD103" i="13"/>
  <c r="GC103" i="13"/>
  <c r="GB103" i="13"/>
  <c r="FZ103" i="13"/>
  <c r="FV103" i="13"/>
  <c r="FU103" i="13"/>
  <c r="FT103" i="13"/>
  <c r="FR103" i="13"/>
  <c r="FN103" i="13"/>
  <c r="FL103" i="13" s="1"/>
  <c r="GN102" i="13"/>
  <c r="GM102" i="13"/>
  <c r="GL102" i="13"/>
  <c r="GJ102" i="13"/>
  <c r="GH102" i="13"/>
  <c r="GG102" i="13"/>
  <c r="GF102" i="13"/>
  <c r="GE102" i="13"/>
  <c r="GD102" i="13"/>
  <c r="GB102" i="13"/>
  <c r="FZ102" i="13"/>
  <c r="FX102" i="13"/>
  <c r="FW102" i="13"/>
  <c r="FU102" i="13"/>
  <c r="FS102" i="13"/>
  <c r="FP102" i="13"/>
  <c r="FO102" i="13"/>
  <c r="GN101" i="13"/>
  <c r="GM101" i="13"/>
  <c r="GL101" i="13"/>
  <c r="GK101" i="13"/>
  <c r="GJ101" i="13"/>
  <c r="GH101" i="13"/>
  <c r="GF101" i="13"/>
  <c r="GE101" i="13"/>
  <c r="GD101" i="13"/>
  <c r="GC101" i="13"/>
  <c r="GB101" i="13"/>
  <c r="FZ101" i="13"/>
  <c r="FV101" i="13"/>
  <c r="FU101" i="13"/>
  <c r="FT101" i="13"/>
  <c r="FR101" i="13"/>
  <c r="FN101" i="13"/>
  <c r="FL101" i="13" s="1"/>
  <c r="GN100" i="13"/>
  <c r="GM100" i="13"/>
  <c r="GL100" i="13"/>
  <c r="GK100" i="13"/>
  <c r="GJ100" i="13"/>
  <c r="GH100" i="13"/>
  <c r="GF100" i="13"/>
  <c r="GE100" i="13"/>
  <c r="GD100" i="13"/>
  <c r="GC100" i="13"/>
  <c r="GB100" i="13"/>
  <c r="FZ100" i="13"/>
  <c r="FY100" i="13"/>
  <c r="FV100" i="13"/>
  <c r="FU100" i="13"/>
  <c r="FT100" i="13"/>
  <c r="FR100" i="13"/>
  <c r="FN100" i="13"/>
  <c r="GN99" i="13"/>
  <c r="GM99" i="13"/>
  <c r="GL99" i="13"/>
  <c r="GK99" i="13"/>
  <c r="GJ99" i="13"/>
  <c r="GH99" i="13"/>
  <c r="GF99" i="13"/>
  <c r="GE99" i="13"/>
  <c r="GD99" i="13"/>
  <c r="GC99" i="13"/>
  <c r="GB99" i="13"/>
  <c r="FZ99" i="13"/>
  <c r="FV99" i="13"/>
  <c r="FU99" i="13"/>
  <c r="FT99" i="13"/>
  <c r="FR99" i="13"/>
  <c r="FN99" i="13"/>
  <c r="FL99" i="13" s="1"/>
  <c r="GN98" i="13"/>
  <c r="GM98" i="13"/>
  <c r="GL98" i="13"/>
  <c r="GK98" i="13"/>
  <c r="GJ98" i="13"/>
  <c r="GH98" i="13"/>
  <c r="GF98" i="13"/>
  <c r="GE98" i="13"/>
  <c r="GD98" i="13"/>
  <c r="GC98" i="13"/>
  <c r="GB98" i="13"/>
  <c r="FZ98" i="13"/>
  <c r="FY98" i="13"/>
  <c r="FV98" i="13"/>
  <c r="FU98" i="13"/>
  <c r="FT98" i="13"/>
  <c r="FR98" i="13"/>
  <c r="FN98" i="13"/>
  <c r="FL98" i="13" s="1"/>
  <c r="GN97" i="13"/>
  <c r="GM97" i="13"/>
  <c r="GL97" i="13"/>
  <c r="GK97" i="13"/>
  <c r="GJ97" i="13"/>
  <c r="GH97" i="13"/>
  <c r="GF97" i="13"/>
  <c r="GE97" i="13"/>
  <c r="GD97" i="13"/>
  <c r="GC97" i="13"/>
  <c r="GB97" i="13"/>
  <c r="FZ97" i="13"/>
  <c r="FV97" i="13"/>
  <c r="FU97" i="13"/>
  <c r="FT97" i="13"/>
  <c r="FR97" i="13"/>
  <c r="FN97" i="13"/>
  <c r="FL97" i="13" s="1"/>
  <c r="GN96" i="13"/>
  <c r="GM96" i="13"/>
  <c r="GL96" i="13"/>
  <c r="GK96" i="13"/>
  <c r="GJ96" i="13"/>
  <c r="GH96" i="13"/>
  <c r="GF96" i="13"/>
  <c r="GE96" i="13"/>
  <c r="GD96" i="13"/>
  <c r="GC96" i="13"/>
  <c r="GB96" i="13"/>
  <c r="GA96" i="13"/>
  <c r="FZ96" i="13"/>
  <c r="FV96" i="13"/>
  <c r="FU96" i="13"/>
  <c r="FT96" i="13"/>
  <c r="FR96" i="13"/>
  <c r="FN96" i="13"/>
  <c r="GN95" i="13"/>
  <c r="GM95" i="13"/>
  <c r="GL95" i="13"/>
  <c r="GK95" i="13"/>
  <c r="GJ95" i="13"/>
  <c r="GH95" i="13"/>
  <c r="GF95" i="13"/>
  <c r="GE95" i="13"/>
  <c r="GD95" i="13"/>
  <c r="GC95" i="13"/>
  <c r="GB95" i="13"/>
  <c r="FZ95" i="13"/>
  <c r="FV95" i="13"/>
  <c r="FU95" i="13"/>
  <c r="FT95" i="13"/>
  <c r="FR95" i="13"/>
  <c r="FN95" i="13"/>
  <c r="GN94" i="13"/>
  <c r="GM94" i="13"/>
  <c r="GL94" i="13"/>
  <c r="GK94" i="13"/>
  <c r="GJ94" i="13"/>
  <c r="GH94" i="13"/>
  <c r="GF94" i="13"/>
  <c r="GE94" i="13"/>
  <c r="GD94" i="13"/>
  <c r="GC94" i="13"/>
  <c r="GB94" i="13"/>
  <c r="FZ94" i="13"/>
  <c r="FY94" i="13"/>
  <c r="FV94" i="13"/>
  <c r="FU94" i="13"/>
  <c r="FT94" i="13"/>
  <c r="FR94" i="13"/>
  <c r="FN94" i="13"/>
  <c r="FL94" i="13" s="1"/>
  <c r="GN93" i="13"/>
  <c r="GM93" i="13"/>
  <c r="GL93" i="13"/>
  <c r="GK93" i="13"/>
  <c r="GJ93" i="13"/>
  <c r="GH93" i="13"/>
  <c r="GF93" i="13"/>
  <c r="GE93" i="13"/>
  <c r="GD93" i="13"/>
  <c r="GC93" i="13"/>
  <c r="GB93" i="13"/>
  <c r="FZ93" i="13"/>
  <c r="FV93" i="13"/>
  <c r="FU93" i="13"/>
  <c r="FT93" i="13"/>
  <c r="FR93" i="13"/>
  <c r="FN93" i="13"/>
  <c r="FL93" i="13" s="1"/>
  <c r="GN92" i="13"/>
  <c r="GM92" i="13"/>
  <c r="GL92" i="13"/>
  <c r="GK92" i="13"/>
  <c r="GJ92" i="13"/>
  <c r="GH92" i="13"/>
  <c r="GF92" i="13"/>
  <c r="GE92" i="13"/>
  <c r="GD92" i="13"/>
  <c r="GC92" i="13"/>
  <c r="GB92" i="13"/>
  <c r="FZ92" i="13"/>
  <c r="FY92" i="13"/>
  <c r="FV92" i="13"/>
  <c r="FU92" i="13"/>
  <c r="FT92" i="13"/>
  <c r="FR92" i="13"/>
  <c r="FN92" i="13"/>
  <c r="GN91" i="13"/>
  <c r="GM91" i="13"/>
  <c r="GL91" i="13"/>
  <c r="GK91" i="13"/>
  <c r="GJ91" i="13"/>
  <c r="GH91" i="13"/>
  <c r="GF91" i="13"/>
  <c r="GE91" i="13"/>
  <c r="GD91" i="13"/>
  <c r="GC91" i="13"/>
  <c r="GB91" i="13"/>
  <c r="FZ91" i="13"/>
  <c r="FY91" i="13"/>
  <c r="FV91" i="13"/>
  <c r="FU91" i="13"/>
  <c r="FT91" i="13"/>
  <c r="FR91" i="13"/>
  <c r="FN91" i="13"/>
  <c r="FL91" i="13" s="1"/>
  <c r="GN90" i="13"/>
  <c r="GM90" i="13"/>
  <c r="GL90" i="13"/>
  <c r="GK90" i="13"/>
  <c r="GJ90" i="13"/>
  <c r="GH90" i="13"/>
  <c r="GF90" i="13"/>
  <c r="GE90" i="13"/>
  <c r="GD90" i="13"/>
  <c r="GC90" i="13"/>
  <c r="GB90" i="13"/>
  <c r="FZ90" i="13"/>
  <c r="FY90" i="13"/>
  <c r="FV90" i="13"/>
  <c r="FU90" i="13"/>
  <c r="FT90" i="13"/>
  <c r="FR90" i="13"/>
  <c r="FN90" i="13"/>
  <c r="FL90" i="13" s="1"/>
  <c r="GN89" i="13"/>
  <c r="GM89" i="13"/>
  <c r="GL89" i="13"/>
  <c r="GK89" i="13"/>
  <c r="GJ89" i="13"/>
  <c r="GH89" i="13"/>
  <c r="GF89" i="13"/>
  <c r="GE89" i="13"/>
  <c r="GD89" i="13"/>
  <c r="GC89" i="13"/>
  <c r="GB89" i="13"/>
  <c r="FZ89" i="13"/>
  <c r="FV89" i="13"/>
  <c r="FU89" i="13"/>
  <c r="FT89" i="13"/>
  <c r="FR89" i="13"/>
  <c r="FN89" i="13"/>
  <c r="GN88" i="13"/>
  <c r="GM88" i="13"/>
  <c r="GL88" i="13"/>
  <c r="GK88" i="13"/>
  <c r="GJ88" i="13"/>
  <c r="GH88" i="13"/>
  <c r="GF88" i="13"/>
  <c r="GE88" i="13"/>
  <c r="GD88" i="13"/>
  <c r="GC88" i="13"/>
  <c r="GB88" i="13"/>
  <c r="FZ88" i="13"/>
  <c r="FY88" i="13"/>
  <c r="FV88" i="13"/>
  <c r="FU88" i="13"/>
  <c r="FT88" i="13"/>
  <c r="FR88" i="13"/>
  <c r="FN88" i="13"/>
  <c r="FL88" i="13" s="1"/>
  <c r="GN87" i="13"/>
  <c r="GM87" i="13"/>
  <c r="GL87" i="13"/>
  <c r="GK87" i="13"/>
  <c r="GJ87" i="13"/>
  <c r="GH87" i="13"/>
  <c r="GF87" i="13"/>
  <c r="GE87" i="13"/>
  <c r="GD87" i="13"/>
  <c r="GC87" i="13"/>
  <c r="GB87" i="13"/>
  <c r="FZ87" i="13"/>
  <c r="FV87" i="13"/>
  <c r="FU87" i="13"/>
  <c r="FT87" i="13"/>
  <c r="FR87" i="13"/>
  <c r="FN87" i="13"/>
  <c r="GN86" i="13"/>
  <c r="GM86" i="13"/>
  <c r="GL86" i="13"/>
  <c r="GK86" i="13"/>
  <c r="GJ86" i="13"/>
  <c r="GH86" i="13"/>
  <c r="GF86" i="13"/>
  <c r="GE86" i="13"/>
  <c r="GD86" i="13"/>
  <c r="GC86" i="13"/>
  <c r="GB86" i="13"/>
  <c r="FZ86" i="13"/>
  <c r="FY86" i="13"/>
  <c r="FV86" i="13"/>
  <c r="FU86" i="13"/>
  <c r="FT86" i="13"/>
  <c r="FR86" i="13"/>
  <c r="FN86" i="13"/>
  <c r="FL86" i="13" s="1"/>
  <c r="GN85" i="13"/>
  <c r="GM85" i="13"/>
  <c r="GL85" i="13"/>
  <c r="GK85" i="13"/>
  <c r="GJ85" i="13"/>
  <c r="GH85" i="13"/>
  <c r="GF85" i="13"/>
  <c r="GE85" i="13"/>
  <c r="GD85" i="13"/>
  <c r="GC85" i="13"/>
  <c r="GB85" i="13"/>
  <c r="FZ85" i="13"/>
  <c r="FY85" i="13"/>
  <c r="FV85" i="13"/>
  <c r="FU85" i="13"/>
  <c r="FT85" i="13"/>
  <c r="FR85" i="13"/>
  <c r="FN85" i="13"/>
  <c r="GN84" i="13"/>
  <c r="GM84" i="13"/>
  <c r="GL84" i="13"/>
  <c r="GK84" i="13"/>
  <c r="GJ84" i="13"/>
  <c r="GH84" i="13"/>
  <c r="GF84" i="13"/>
  <c r="GE84" i="13"/>
  <c r="GD84" i="13"/>
  <c r="GC84" i="13"/>
  <c r="GB84" i="13"/>
  <c r="FZ84" i="13"/>
  <c r="FY84" i="13"/>
  <c r="FV84" i="13"/>
  <c r="FU84" i="13"/>
  <c r="FT84" i="13"/>
  <c r="FS84" i="13"/>
  <c r="FR84" i="13"/>
  <c r="FN84" i="13"/>
  <c r="FL84" i="13" s="1"/>
  <c r="GN83" i="13"/>
  <c r="GM83" i="13"/>
  <c r="GL83" i="13"/>
  <c r="GK83" i="13"/>
  <c r="GJ83" i="13"/>
  <c r="GI83" i="13"/>
  <c r="GH83" i="13"/>
  <c r="GF83" i="13"/>
  <c r="GE83" i="13"/>
  <c r="GD83" i="13"/>
  <c r="GC83" i="13"/>
  <c r="GB83" i="13"/>
  <c r="FZ83" i="13"/>
  <c r="FY83" i="13"/>
  <c r="FV83" i="13"/>
  <c r="FU83" i="13"/>
  <c r="FT83" i="13"/>
  <c r="FR83" i="13"/>
  <c r="FN83" i="13"/>
  <c r="FL83" i="13" s="1"/>
  <c r="GN82" i="13"/>
  <c r="GM82" i="13"/>
  <c r="GL82" i="13"/>
  <c r="GK82" i="13"/>
  <c r="GJ82" i="13"/>
  <c r="GH82" i="13"/>
  <c r="GF82" i="13"/>
  <c r="GE82" i="13"/>
  <c r="GD82" i="13"/>
  <c r="GC82" i="13"/>
  <c r="GB82" i="13"/>
  <c r="FZ82" i="13"/>
  <c r="FY82" i="13"/>
  <c r="FV82" i="13"/>
  <c r="FU82" i="13"/>
  <c r="FT82" i="13"/>
  <c r="FR82" i="13"/>
  <c r="FN82" i="13"/>
  <c r="GN81" i="13"/>
  <c r="GM81" i="13"/>
  <c r="GL81" i="13"/>
  <c r="GK81" i="13"/>
  <c r="GJ81" i="13"/>
  <c r="GH81" i="13"/>
  <c r="GF81" i="13"/>
  <c r="GE81" i="13"/>
  <c r="GD81" i="13"/>
  <c r="GC81" i="13"/>
  <c r="GB81" i="13"/>
  <c r="FZ81" i="13"/>
  <c r="FY81" i="13"/>
  <c r="FV81" i="13"/>
  <c r="FU81" i="13"/>
  <c r="FT81" i="13"/>
  <c r="FR81" i="13"/>
  <c r="FN81" i="13"/>
  <c r="FL81" i="13" s="1"/>
  <c r="GN80" i="13"/>
  <c r="GM80" i="13"/>
  <c r="GL80" i="13"/>
  <c r="GK80" i="13"/>
  <c r="GJ80" i="13"/>
  <c r="GH80" i="13"/>
  <c r="GF80" i="13"/>
  <c r="GE80" i="13"/>
  <c r="GD80" i="13"/>
  <c r="GC80" i="13"/>
  <c r="GB80" i="13"/>
  <c r="FZ80" i="13"/>
  <c r="FY80" i="13"/>
  <c r="FV80" i="13"/>
  <c r="FU80" i="13"/>
  <c r="FT80" i="13"/>
  <c r="FR80" i="13"/>
  <c r="FN80" i="13"/>
  <c r="GN79" i="13"/>
  <c r="GM79" i="13"/>
  <c r="GL79" i="13"/>
  <c r="GK79" i="13"/>
  <c r="GJ79" i="13"/>
  <c r="GH79" i="13"/>
  <c r="GF79" i="13"/>
  <c r="GE79" i="13"/>
  <c r="GD79" i="13"/>
  <c r="GC79" i="13"/>
  <c r="GB79" i="13"/>
  <c r="FZ79" i="13"/>
  <c r="FY79" i="13"/>
  <c r="FV79" i="13"/>
  <c r="FU79" i="13"/>
  <c r="FT79" i="13"/>
  <c r="FR79" i="13"/>
  <c r="FN79" i="13"/>
  <c r="FL79" i="13" s="1"/>
  <c r="GN78" i="13"/>
  <c r="GM78" i="13"/>
  <c r="GL78" i="13"/>
  <c r="GK78" i="13"/>
  <c r="GJ78" i="13"/>
  <c r="GH78" i="13"/>
  <c r="GF78" i="13"/>
  <c r="GE78" i="13"/>
  <c r="GD78" i="13"/>
  <c r="GC78" i="13"/>
  <c r="GB78" i="13"/>
  <c r="GA78" i="13"/>
  <c r="FZ78" i="13"/>
  <c r="FY78" i="13"/>
  <c r="FV78" i="13"/>
  <c r="FU78" i="13"/>
  <c r="FT78" i="13"/>
  <c r="FR78" i="13"/>
  <c r="FN78" i="13"/>
  <c r="FL78" i="13" s="1"/>
  <c r="GN77" i="13"/>
  <c r="GM77" i="13"/>
  <c r="GL77" i="13"/>
  <c r="GK77" i="13"/>
  <c r="GJ77" i="13"/>
  <c r="GH77" i="13"/>
  <c r="GF77" i="13"/>
  <c r="GE77" i="13"/>
  <c r="GD77" i="13"/>
  <c r="GC77" i="13"/>
  <c r="GB77" i="13"/>
  <c r="FZ77" i="13"/>
  <c r="FY77" i="13"/>
  <c r="FV77" i="13"/>
  <c r="FU77" i="13"/>
  <c r="FT77" i="13"/>
  <c r="FR77" i="13"/>
  <c r="FN77" i="13"/>
  <c r="GN76" i="13"/>
  <c r="GM76" i="13"/>
  <c r="GL76" i="13"/>
  <c r="GK76" i="13"/>
  <c r="GJ76" i="13"/>
  <c r="GH76" i="13"/>
  <c r="GF76" i="13"/>
  <c r="GE76" i="13"/>
  <c r="GD76" i="13"/>
  <c r="GC76" i="13"/>
  <c r="GB76" i="13"/>
  <c r="FZ76" i="13"/>
  <c r="FY76" i="13"/>
  <c r="FV76" i="13"/>
  <c r="FU76" i="13"/>
  <c r="FT76" i="13"/>
  <c r="FR76" i="13"/>
  <c r="FN76" i="13"/>
  <c r="FL76" i="13" s="1"/>
  <c r="GN75" i="13"/>
  <c r="GM75" i="13"/>
  <c r="GL75" i="13"/>
  <c r="GK75" i="13"/>
  <c r="GJ75" i="13"/>
  <c r="GH75" i="13"/>
  <c r="GF75" i="13"/>
  <c r="GE75" i="13"/>
  <c r="GD75" i="13"/>
  <c r="GC75" i="13"/>
  <c r="GB75" i="13"/>
  <c r="FZ75" i="13"/>
  <c r="FY75" i="13"/>
  <c r="FV75" i="13"/>
  <c r="FU75" i="13"/>
  <c r="FT75" i="13"/>
  <c r="FR75" i="13"/>
  <c r="FN75" i="13"/>
  <c r="FL75" i="13" s="1"/>
  <c r="GN74" i="13"/>
  <c r="GM74" i="13"/>
  <c r="GL74" i="13"/>
  <c r="GK74" i="13"/>
  <c r="GJ74" i="13"/>
  <c r="GI74" i="13"/>
  <c r="GH74" i="13"/>
  <c r="GF74" i="13"/>
  <c r="GE74" i="13"/>
  <c r="GD74" i="13"/>
  <c r="GC74" i="13"/>
  <c r="GB74" i="13"/>
  <c r="FZ74" i="13"/>
  <c r="FY74" i="13"/>
  <c r="FV74" i="13"/>
  <c r="FU74" i="13"/>
  <c r="FT74" i="13"/>
  <c r="FR74" i="13"/>
  <c r="FN74" i="13"/>
  <c r="FL74" i="13" s="1"/>
  <c r="GN73" i="13"/>
  <c r="GM73" i="13"/>
  <c r="GL73" i="13"/>
  <c r="GK73" i="13"/>
  <c r="GJ73" i="13"/>
  <c r="GH73" i="13"/>
  <c r="GF73" i="13"/>
  <c r="GE73" i="13"/>
  <c r="GD73" i="13"/>
  <c r="GC73" i="13"/>
  <c r="GB73" i="13"/>
  <c r="FZ73" i="13"/>
  <c r="FY73" i="13"/>
  <c r="FV73" i="13"/>
  <c r="FU73" i="13"/>
  <c r="FT73" i="13"/>
  <c r="FR73" i="13"/>
  <c r="FN73" i="13"/>
  <c r="FL73" i="13" s="1"/>
  <c r="GN72" i="13"/>
  <c r="GM72" i="13"/>
  <c r="GL72" i="13"/>
  <c r="GK72" i="13"/>
  <c r="GJ72" i="13"/>
  <c r="GH72" i="13"/>
  <c r="GF72" i="13"/>
  <c r="GE72" i="13"/>
  <c r="GD72" i="13"/>
  <c r="GC72" i="13"/>
  <c r="GB72" i="13"/>
  <c r="FZ72" i="13"/>
  <c r="FY72" i="13"/>
  <c r="FV72" i="13"/>
  <c r="FU72" i="13"/>
  <c r="FT72" i="13"/>
  <c r="FS72" i="13"/>
  <c r="FR72" i="13"/>
  <c r="FN72" i="13"/>
  <c r="GN71" i="13"/>
  <c r="GM71" i="13"/>
  <c r="GL71" i="13"/>
  <c r="GK71" i="13"/>
  <c r="GJ71" i="13"/>
  <c r="GI71" i="13"/>
  <c r="GH71" i="13"/>
  <c r="GF71" i="13"/>
  <c r="GE71" i="13"/>
  <c r="GD71" i="13"/>
  <c r="GC71" i="13"/>
  <c r="GB71" i="13"/>
  <c r="FZ71" i="13"/>
  <c r="FY71" i="13"/>
  <c r="FV71" i="13"/>
  <c r="FU71" i="13"/>
  <c r="FT71" i="13"/>
  <c r="FR71" i="13"/>
  <c r="FN71" i="13"/>
  <c r="GN70" i="13"/>
  <c r="GM70" i="13"/>
  <c r="GL70" i="13"/>
  <c r="GK70" i="13"/>
  <c r="GJ70" i="13"/>
  <c r="GH70" i="13"/>
  <c r="GF70" i="13"/>
  <c r="GE70" i="13"/>
  <c r="GD70" i="13"/>
  <c r="GC70" i="13"/>
  <c r="GB70" i="13"/>
  <c r="FZ70" i="13"/>
  <c r="FY70" i="13"/>
  <c r="FV70" i="13"/>
  <c r="FU70" i="13"/>
  <c r="FT70" i="13"/>
  <c r="FS70" i="13"/>
  <c r="FR70" i="13"/>
  <c r="FN70" i="13"/>
  <c r="GN69" i="13"/>
  <c r="GM69" i="13"/>
  <c r="GL69" i="13"/>
  <c r="GK69" i="13"/>
  <c r="GJ69" i="13"/>
  <c r="GI69" i="13"/>
  <c r="GH69" i="13"/>
  <c r="GF69" i="13"/>
  <c r="GE69" i="13"/>
  <c r="GD69" i="13"/>
  <c r="GC69" i="13"/>
  <c r="GB69" i="13"/>
  <c r="FZ69" i="13"/>
  <c r="FY69" i="13"/>
  <c r="FV69" i="13"/>
  <c r="FU69" i="13"/>
  <c r="FT69" i="13"/>
  <c r="FR69" i="13"/>
  <c r="FN69" i="13"/>
  <c r="FL69" i="13" s="1"/>
  <c r="GN68" i="13"/>
  <c r="GM68" i="13"/>
  <c r="GL68" i="13"/>
  <c r="GK68" i="13"/>
  <c r="GJ68" i="13"/>
  <c r="GH68" i="13"/>
  <c r="GF68" i="13"/>
  <c r="GE68" i="13"/>
  <c r="GD68" i="13"/>
  <c r="GC68" i="13"/>
  <c r="GB68" i="13"/>
  <c r="FZ68" i="13"/>
  <c r="FY68" i="13"/>
  <c r="FV68" i="13"/>
  <c r="FU68" i="13"/>
  <c r="FT68" i="13"/>
  <c r="FR68" i="13"/>
  <c r="FN68" i="13"/>
  <c r="FL68" i="13" s="1"/>
  <c r="GN67" i="13"/>
  <c r="GM67" i="13"/>
  <c r="GL67" i="13"/>
  <c r="GK67" i="13"/>
  <c r="GJ67" i="13"/>
  <c r="GH67" i="13"/>
  <c r="GF67" i="13"/>
  <c r="GE67" i="13"/>
  <c r="GD67" i="13"/>
  <c r="GC67" i="13"/>
  <c r="GB67" i="13"/>
  <c r="FZ67" i="13"/>
  <c r="FY67" i="13"/>
  <c r="FV67" i="13"/>
  <c r="FU67" i="13"/>
  <c r="FT67" i="13"/>
  <c r="FR67" i="13"/>
  <c r="FN67" i="13"/>
  <c r="GN66" i="13"/>
  <c r="GM66" i="13"/>
  <c r="GL66" i="13"/>
  <c r="GK66" i="13"/>
  <c r="GJ66" i="13"/>
  <c r="GH66" i="13"/>
  <c r="GF66" i="13"/>
  <c r="GE66" i="13"/>
  <c r="GD66" i="13"/>
  <c r="GC66" i="13"/>
  <c r="GB66" i="13"/>
  <c r="FZ66" i="13"/>
  <c r="FY66" i="13"/>
  <c r="FV66" i="13"/>
  <c r="FU66" i="13"/>
  <c r="FT66" i="13"/>
  <c r="FR66" i="13"/>
  <c r="FN66" i="13"/>
  <c r="GN65" i="13"/>
  <c r="GM65" i="13"/>
  <c r="GL65" i="13"/>
  <c r="GK65" i="13"/>
  <c r="GJ65" i="13"/>
  <c r="GH65" i="13"/>
  <c r="GF65" i="13"/>
  <c r="GE65" i="13"/>
  <c r="GD65" i="13"/>
  <c r="GC65" i="13"/>
  <c r="GB65" i="13"/>
  <c r="FZ65" i="13"/>
  <c r="FY65" i="13"/>
  <c r="FV65" i="13"/>
  <c r="FU65" i="13"/>
  <c r="FT65" i="13"/>
  <c r="FR65" i="13"/>
  <c r="FN65" i="13"/>
  <c r="FL65" i="13" s="1"/>
  <c r="GN64" i="13"/>
  <c r="GM64" i="13"/>
  <c r="GL64" i="13"/>
  <c r="GK64" i="13"/>
  <c r="GJ64" i="13"/>
  <c r="GH64" i="13"/>
  <c r="GF64" i="13"/>
  <c r="GE64" i="13"/>
  <c r="GD64" i="13"/>
  <c r="GC64" i="13"/>
  <c r="GB64" i="13"/>
  <c r="FZ64" i="13"/>
  <c r="FY64" i="13"/>
  <c r="FV64" i="13"/>
  <c r="FU64" i="13"/>
  <c r="FT64" i="13"/>
  <c r="FS64" i="13"/>
  <c r="FR64" i="13"/>
  <c r="FN64" i="13"/>
  <c r="GN63" i="13"/>
  <c r="GM63" i="13"/>
  <c r="GL63" i="13"/>
  <c r="GK63" i="13"/>
  <c r="GJ63" i="13"/>
  <c r="GI63" i="13"/>
  <c r="GH63" i="13"/>
  <c r="GF63" i="13"/>
  <c r="GE63" i="13"/>
  <c r="GD63" i="13"/>
  <c r="GC63" i="13"/>
  <c r="GB63" i="13"/>
  <c r="FZ63" i="13"/>
  <c r="FY63" i="13"/>
  <c r="FV63" i="13"/>
  <c r="FU63" i="13"/>
  <c r="FT63" i="13"/>
  <c r="FR63" i="13"/>
  <c r="FN63" i="13"/>
  <c r="FL63" i="13" s="1"/>
  <c r="GN62" i="13"/>
  <c r="GM62" i="13"/>
  <c r="GL62" i="13"/>
  <c r="GK62" i="13"/>
  <c r="GJ62" i="13"/>
  <c r="GH62" i="13"/>
  <c r="GF62" i="13"/>
  <c r="GE62" i="13"/>
  <c r="GD62" i="13"/>
  <c r="GC62" i="13"/>
  <c r="GB62" i="13"/>
  <c r="FZ62" i="13"/>
  <c r="FY62" i="13"/>
  <c r="FV62" i="13"/>
  <c r="FU62" i="13"/>
  <c r="FT62" i="13"/>
  <c r="FR62" i="13"/>
  <c r="FN62" i="13"/>
  <c r="FL62" i="13" s="1"/>
  <c r="GN61" i="13"/>
  <c r="GM61" i="13"/>
  <c r="GL61" i="13"/>
  <c r="GK61" i="13"/>
  <c r="GJ61" i="13"/>
  <c r="GH61" i="13"/>
  <c r="GF61" i="13"/>
  <c r="GE61" i="13"/>
  <c r="GD61" i="13"/>
  <c r="GC61" i="13"/>
  <c r="GB61" i="13"/>
  <c r="FZ61" i="13"/>
  <c r="FY61" i="13"/>
  <c r="FV61" i="13"/>
  <c r="FU61" i="13"/>
  <c r="FT61" i="13"/>
  <c r="FR61" i="13"/>
  <c r="FN61" i="13"/>
  <c r="GN60" i="13"/>
  <c r="GM60" i="13"/>
  <c r="GL60" i="13"/>
  <c r="GK60" i="13"/>
  <c r="GJ60" i="13"/>
  <c r="GH60" i="13"/>
  <c r="GF60" i="13"/>
  <c r="GE60" i="13"/>
  <c r="GD60" i="13"/>
  <c r="GC60" i="13"/>
  <c r="GB60" i="13"/>
  <c r="FZ60" i="13"/>
  <c r="FY60" i="13"/>
  <c r="FV60" i="13"/>
  <c r="FU60" i="13"/>
  <c r="FT60" i="13"/>
  <c r="FR60" i="13"/>
  <c r="FN60" i="13"/>
  <c r="GN59" i="13"/>
  <c r="GM59" i="13"/>
  <c r="GL59" i="13"/>
  <c r="GK59" i="13"/>
  <c r="GJ59" i="13"/>
  <c r="GH59" i="13"/>
  <c r="GF59" i="13"/>
  <c r="GE59" i="13"/>
  <c r="GD59" i="13"/>
  <c r="GC59" i="13"/>
  <c r="GB59" i="13"/>
  <c r="FZ59" i="13"/>
  <c r="FY59" i="13"/>
  <c r="FV59" i="13"/>
  <c r="FU59" i="13"/>
  <c r="FT59" i="13"/>
  <c r="FR59" i="13"/>
  <c r="FN59" i="13"/>
  <c r="FL59" i="13" s="1"/>
  <c r="GN58" i="13"/>
  <c r="GM58" i="13"/>
  <c r="GL58" i="13"/>
  <c r="GK58" i="13"/>
  <c r="GJ58" i="13"/>
  <c r="GH58" i="13"/>
  <c r="GF58" i="13"/>
  <c r="GE58" i="13"/>
  <c r="GD58" i="13"/>
  <c r="GC58" i="13"/>
  <c r="GB58" i="13"/>
  <c r="FZ58" i="13"/>
  <c r="FY58" i="13"/>
  <c r="FV58" i="13"/>
  <c r="FU58" i="13"/>
  <c r="FT58" i="13"/>
  <c r="FR58" i="13"/>
  <c r="FN58" i="13"/>
  <c r="FL58" i="13" s="1"/>
  <c r="GN57" i="13"/>
  <c r="GM57" i="13"/>
  <c r="GL57" i="13"/>
  <c r="GK57" i="13"/>
  <c r="GJ57" i="13"/>
  <c r="GH57" i="13"/>
  <c r="GF57" i="13"/>
  <c r="GE57" i="13"/>
  <c r="GD57" i="13"/>
  <c r="GC57" i="13"/>
  <c r="GB57" i="13"/>
  <c r="FZ57" i="13"/>
  <c r="FY57" i="13"/>
  <c r="FV57" i="13"/>
  <c r="FU57" i="13"/>
  <c r="FT57" i="13"/>
  <c r="FR57" i="13"/>
  <c r="FN57" i="13"/>
  <c r="FL57" i="13" s="1"/>
  <c r="GN56" i="13"/>
  <c r="GM56" i="13"/>
  <c r="GL56" i="13"/>
  <c r="GK56" i="13"/>
  <c r="GJ56" i="13"/>
  <c r="GH56" i="13"/>
  <c r="GF56" i="13"/>
  <c r="GE56" i="13"/>
  <c r="GD56" i="13"/>
  <c r="GC56" i="13"/>
  <c r="GB56" i="13"/>
  <c r="FZ56" i="13"/>
  <c r="FY56" i="13"/>
  <c r="FV56" i="13"/>
  <c r="FU56" i="13"/>
  <c r="FT56" i="13"/>
  <c r="FR56" i="13"/>
  <c r="FN56" i="13"/>
  <c r="FL56" i="13" s="1"/>
  <c r="GN55" i="13"/>
  <c r="GM55" i="13"/>
  <c r="GL55" i="13"/>
  <c r="GK55" i="13"/>
  <c r="GJ55" i="13"/>
  <c r="GI55" i="13"/>
  <c r="GH55" i="13"/>
  <c r="GF55" i="13"/>
  <c r="GE55" i="13"/>
  <c r="GD55" i="13"/>
  <c r="GC55" i="13"/>
  <c r="GB55" i="13"/>
  <c r="FZ55" i="13"/>
  <c r="FY55" i="13"/>
  <c r="FV55" i="13"/>
  <c r="FU55" i="13"/>
  <c r="FT55" i="13"/>
  <c r="FR55" i="13"/>
  <c r="FN55" i="13"/>
  <c r="FL55" i="13" s="1"/>
  <c r="GN54" i="13"/>
  <c r="GM54" i="13"/>
  <c r="GL54" i="13"/>
  <c r="GK54" i="13"/>
  <c r="GJ54" i="13"/>
  <c r="GH54" i="13"/>
  <c r="GF54" i="13"/>
  <c r="GE54" i="13"/>
  <c r="GD54" i="13"/>
  <c r="GC54" i="13"/>
  <c r="GB54" i="13"/>
  <c r="FZ54" i="13"/>
  <c r="FY54" i="13"/>
  <c r="FV54" i="13"/>
  <c r="FU54" i="13"/>
  <c r="FT54" i="13"/>
  <c r="FS54" i="13"/>
  <c r="FR54" i="13"/>
  <c r="FN54" i="13"/>
  <c r="FL54" i="13" s="1"/>
  <c r="GN53" i="13"/>
  <c r="GM53" i="13"/>
  <c r="GL53" i="13"/>
  <c r="GK53" i="13"/>
  <c r="GJ53" i="13"/>
  <c r="GI53" i="13"/>
  <c r="GH53" i="13"/>
  <c r="GF53" i="13"/>
  <c r="GE53" i="13"/>
  <c r="GD53" i="13"/>
  <c r="GC53" i="13"/>
  <c r="GB53" i="13"/>
  <c r="GA53" i="13"/>
  <c r="FZ53" i="13"/>
  <c r="FY53" i="13"/>
  <c r="FX53" i="13"/>
  <c r="FV53" i="13"/>
  <c r="FU53" i="13"/>
  <c r="FT53" i="13"/>
  <c r="FR53" i="13"/>
  <c r="FN53" i="13"/>
  <c r="FL53" i="13" s="1"/>
  <c r="GN52" i="13"/>
  <c r="GM52" i="13"/>
  <c r="GL52" i="13"/>
  <c r="GK52" i="13"/>
  <c r="GJ52" i="13"/>
  <c r="GH52" i="13"/>
  <c r="GF52" i="13"/>
  <c r="GE52" i="13"/>
  <c r="GD52" i="13"/>
  <c r="GC52" i="13"/>
  <c r="GB52" i="13"/>
  <c r="FZ52" i="13"/>
  <c r="FY52" i="13"/>
  <c r="FV52" i="13"/>
  <c r="FU52" i="13"/>
  <c r="FT52" i="13"/>
  <c r="FR52" i="13"/>
  <c r="FN52" i="13"/>
  <c r="FL52" i="13" s="1"/>
  <c r="GN51" i="13"/>
  <c r="GM51" i="13"/>
  <c r="GL51" i="13"/>
  <c r="GK51" i="13"/>
  <c r="GJ51" i="13"/>
  <c r="GH51" i="13"/>
  <c r="GF51" i="13"/>
  <c r="GE51" i="13"/>
  <c r="GD51" i="13"/>
  <c r="GC51" i="13"/>
  <c r="GB51" i="13"/>
  <c r="FZ51" i="13"/>
  <c r="FY51" i="13"/>
  <c r="FV51" i="13"/>
  <c r="FU51" i="13"/>
  <c r="FT51" i="13"/>
  <c r="FR51" i="13"/>
  <c r="FN51" i="13"/>
  <c r="FL51" i="13" s="1"/>
  <c r="GN50" i="13"/>
  <c r="GM50" i="13"/>
  <c r="GL50" i="13"/>
  <c r="GK50" i="13"/>
  <c r="GJ50" i="13"/>
  <c r="GH50" i="13"/>
  <c r="GF50" i="13"/>
  <c r="GE50" i="13"/>
  <c r="GD50" i="13"/>
  <c r="GC50" i="13"/>
  <c r="GB50" i="13"/>
  <c r="FZ50" i="13"/>
  <c r="FY50" i="13"/>
  <c r="FV50" i="13"/>
  <c r="FU50" i="13"/>
  <c r="FT50" i="13"/>
  <c r="FR50" i="13"/>
  <c r="FN50" i="13"/>
  <c r="GN49" i="13"/>
  <c r="GM49" i="13"/>
  <c r="GL49" i="13"/>
  <c r="GK49" i="13"/>
  <c r="GJ49" i="13"/>
  <c r="GH49" i="13"/>
  <c r="GF49" i="13"/>
  <c r="GE49" i="13"/>
  <c r="GD49" i="13"/>
  <c r="GC49" i="13"/>
  <c r="GB49" i="13"/>
  <c r="FZ49" i="13"/>
  <c r="FY49" i="13"/>
  <c r="FV49" i="13"/>
  <c r="FU49" i="13"/>
  <c r="FT49" i="13"/>
  <c r="FR49" i="13"/>
  <c r="FN49" i="13"/>
  <c r="FL49" i="13" s="1"/>
  <c r="GN48" i="13"/>
  <c r="GM48" i="13"/>
  <c r="GL48" i="13"/>
  <c r="GK48" i="13"/>
  <c r="GJ48" i="13"/>
  <c r="GH48" i="13"/>
  <c r="GF48" i="13"/>
  <c r="GE48" i="13"/>
  <c r="GD48" i="13"/>
  <c r="GC48" i="13"/>
  <c r="GB48" i="13"/>
  <c r="FZ48" i="13"/>
  <c r="FY48" i="13"/>
  <c r="FV48" i="13"/>
  <c r="FU48" i="13"/>
  <c r="FT48" i="13"/>
  <c r="FR48" i="13"/>
  <c r="FN48" i="13"/>
  <c r="FL48" i="13" s="1"/>
  <c r="GN47" i="13"/>
  <c r="GM47" i="13"/>
  <c r="GL47" i="13"/>
  <c r="GK47" i="13"/>
  <c r="GJ47" i="13"/>
  <c r="GH47" i="13"/>
  <c r="GF47" i="13"/>
  <c r="GE47" i="13"/>
  <c r="GD47" i="13"/>
  <c r="GC47" i="13"/>
  <c r="GB47" i="13"/>
  <c r="FZ47" i="13"/>
  <c r="FY47" i="13"/>
  <c r="FV47" i="13"/>
  <c r="FU47" i="13"/>
  <c r="FT47" i="13"/>
  <c r="FR47" i="13"/>
  <c r="FN47" i="13"/>
  <c r="FL47" i="13" s="1"/>
  <c r="GN46" i="13"/>
  <c r="GM46" i="13"/>
  <c r="GL46" i="13"/>
  <c r="GK46" i="13"/>
  <c r="GJ46" i="13"/>
  <c r="GH46" i="13"/>
  <c r="GF46" i="13"/>
  <c r="GE46" i="13"/>
  <c r="GD46" i="13"/>
  <c r="GC46" i="13"/>
  <c r="GB46" i="13"/>
  <c r="FZ46" i="13"/>
  <c r="FY46" i="13"/>
  <c r="FV46" i="13"/>
  <c r="FU46" i="13"/>
  <c r="FT46" i="13"/>
  <c r="FR46" i="13"/>
  <c r="FN46" i="13"/>
  <c r="GN45" i="13"/>
  <c r="GM45" i="13"/>
  <c r="GL45" i="13"/>
  <c r="GK45" i="13"/>
  <c r="GJ45" i="13"/>
  <c r="GH45" i="13"/>
  <c r="GF45" i="13"/>
  <c r="GE45" i="13"/>
  <c r="GD45" i="13"/>
  <c r="GC45" i="13"/>
  <c r="GB45" i="13"/>
  <c r="FZ45" i="13"/>
  <c r="FY45" i="13"/>
  <c r="FV45" i="13"/>
  <c r="FU45" i="13"/>
  <c r="FT45" i="13"/>
  <c r="FR45" i="13"/>
  <c r="FN45" i="13"/>
  <c r="FL45" i="13" s="1"/>
  <c r="GN44" i="13"/>
  <c r="GM44" i="13"/>
  <c r="GL44" i="13"/>
  <c r="GK44" i="13"/>
  <c r="GJ44" i="13"/>
  <c r="GH44" i="13"/>
  <c r="GF44" i="13"/>
  <c r="GE44" i="13"/>
  <c r="GD44" i="13"/>
  <c r="GC44" i="13"/>
  <c r="GB44" i="13"/>
  <c r="FZ44" i="13"/>
  <c r="FY44" i="13"/>
  <c r="FV44" i="13"/>
  <c r="FU44" i="13"/>
  <c r="FT44" i="13"/>
  <c r="FR44" i="13"/>
  <c r="FN44" i="13"/>
  <c r="FL44" i="13" s="1"/>
  <c r="GN43" i="13"/>
  <c r="GM43" i="13"/>
  <c r="GL43" i="13"/>
  <c r="GK43" i="13"/>
  <c r="GJ43" i="13"/>
  <c r="GH43" i="13"/>
  <c r="GF43" i="13"/>
  <c r="GE43" i="13"/>
  <c r="GD43" i="13"/>
  <c r="GC43" i="13"/>
  <c r="GB43" i="13"/>
  <c r="FZ43" i="13"/>
  <c r="FY43" i="13"/>
  <c r="FV43" i="13"/>
  <c r="FU43" i="13"/>
  <c r="FT43" i="13"/>
  <c r="FR43" i="13"/>
  <c r="FN43" i="13"/>
  <c r="FL43" i="13" s="1"/>
  <c r="GN42" i="13"/>
  <c r="GM42" i="13"/>
  <c r="GL42" i="13"/>
  <c r="GK42" i="13"/>
  <c r="GJ42" i="13"/>
  <c r="GH42" i="13"/>
  <c r="GF42" i="13"/>
  <c r="GE42" i="13"/>
  <c r="GD42" i="13"/>
  <c r="GC42" i="13"/>
  <c r="GB42" i="13"/>
  <c r="FZ42" i="13"/>
  <c r="FY42" i="13"/>
  <c r="FV42" i="13"/>
  <c r="FU42" i="13"/>
  <c r="FT42" i="13"/>
  <c r="FR42" i="13"/>
  <c r="FN42" i="13"/>
  <c r="FL42" i="13" s="1"/>
  <c r="GN41" i="13"/>
  <c r="GM41" i="13"/>
  <c r="GL41" i="13"/>
  <c r="GK41" i="13"/>
  <c r="GJ41" i="13"/>
  <c r="GH41" i="13"/>
  <c r="GF41" i="13"/>
  <c r="GE41" i="13"/>
  <c r="GD41" i="13"/>
  <c r="GC41" i="13"/>
  <c r="GB41" i="13"/>
  <c r="FZ41" i="13"/>
  <c r="FY41" i="13"/>
  <c r="FV41" i="13"/>
  <c r="FU41" i="13"/>
  <c r="FT41" i="13"/>
  <c r="FR41" i="13"/>
  <c r="FN41" i="13"/>
  <c r="FL41" i="13" s="1"/>
  <c r="GN40" i="13"/>
  <c r="GM40" i="13"/>
  <c r="GL40" i="13"/>
  <c r="GK40" i="13"/>
  <c r="GJ40" i="13"/>
  <c r="GH40" i="13"/>
  <c r="GF40" i="13"/>
  <c r="GE40" i="13"/>
  <c r="GD40" i="13"/>
  <c r="GC40" i="13"/>
  <c r="GB40" i="13"/>
  <c r="FZ40" i="13"/>
  <c r="FY40" i="13"/>
  <c r="FV40" i="13"/>
  <c r="FU40" i="13"/>
  <c r="FT40" i="13"/>
  <c r="FR40" i="13"/>
  <c r="FN40" i="13"/>
  <c r="FL40" i="13" s="1"/>
  <c r="GN39" i="13"/>
  <c r="GM39" i="13"/>
  <c r="GL39" i="13"/>
  <c r="GK39" i="13"/>
  <c r="GJ39" i="13"/>
  <c r="GI39" i="13"/>
  <c r="GH39" i="13"/>
  <c r="GF39" i="13"/>
  <c r="GE39" i="13"/>
  <c r="GD39" i="13"/>
  <c r="GC39" i="13"/>
  <c r="GB39" i="13"/>
  <c r="FZ39" i="13"/>
  <c r="FY39" i="13"/>
  <c r="FV39" i="13"/>
  <c r="FU39" i="13"/>
  <c r="FT39" i="13"/>
  <c r="FR39" i="13"/>
  <c r="FN39" i="13"/>
  <c r="FL39" i="13" s="1"/>
  <c r="GN38" i="13"/>
  <c r="GM38" i="13"/>
  <c r="GL38" i="13"/>
  <c r="GK38" i="13"/>
  <c r="GJ38" i="13"/>
  <c r="GH38" i="13"/>
  <c r="GF38" i="13"/>
  <c r="GE38" i="13"/>
  <c r="GD38" i="13"/>
  <c r="GC38" i="13"/>
  <c r="GB38" i="13"/>
  <c r="FZ38" i="13"/>
  <c r="FY38" i="13"/>
  <c r="FV38" i="13"/>
  <c r="FU38" i="13"/>
  <c r="FT38" i="13"/>
  <c r="FS38" i="13"/>
  <c r="FR38" i="13"/>
  <c r="FN38" i="13"/>
  <c r="FL38" i="13" s="1"/>
  <c r="GN37" i="13"/>
  <c r="GM37" i="13"/>
  <c r="GL37" i="13"/>
  <c r="GK37" i="13"/>
  <c r="GJ37" i="13"/>
  <c r="GH37" i="13"/>
  <c r="GF37" i="13"/>
  <c r="GE37" i="13"/>
  <c r="GD37" i="13"/>
  <c r="GC37" i="13"/>
  <c r="GB37" i="13"/>
  <c r="FZ37" i="13"/>
  <c r="FY37" i="13"/>
  <c r="FV37" i="13"/>
  <c r="FU37" i="13"/>
  <c r="FT37" i="13"/>
  <c r="FR37" i="13"/>
  <c r="FN37" i="13"/>
  <c r="FL37" i="13" s="1"/>
  <c r="GN36" i="13"/>
  <c r="GM36" i="13"/>
  <c r="GL36" i="13"/>
  <c r="GK36" i="13"/>
  <c r="GJ36" i="13"/>
  <c r="GH36" i="13"/>
  <c r="GF36" i="13"/>
  <c r="GE36" i="13"/>
  <c r="GD36" i="13"/>
  <c r="GC36" i="13"/>
  <c r="GB36" i="13"/>
  <c r="FZ36" i="13"/>
  <c r="FY36" i="13"/>
  <c r="FV36" i="13"/>
  <c r="FU36" i="13"/>
  <c r="FT36" i="13"/>
  <c r="FR36" i="13"/>
  <c r="FN36" i="13"/>
  <c r="GN35" i="13"/>
  <c r="GM35" i="13"/>
  <c r="GL35" i="13"/>
  <c r="GK35" i="13"/>
  <c r="GJ35" i="13"/>
  <c r="GH35" i="13"/>
  <c r="GF35" i="13"/>
  <c r="GE35" i="13"/>
  <c r="GD35" i="13"/>
  <c r="GC35" i="13"/>
  <c r="GB35" i="13"/>
  <c r="FZ35" i="13"/>
  <c r="FY35" i="13"/>
  <c r="FV35" i="13"/>
  <c r="FU35" i="13"/>
  <c r="FT35" i="13"/>
  <c r="FR35" i="13"/>
  <c r="FN35" i="13"/>
  <c r="FL35" i="13" s="1"/>
  <c r="GN34" i="13"/>
  <c r="GM34" i="13"/>
  <c r="GL34" i="13"/>
  <c r="GK34" i="13"/>
  <c r="GJ34" i="13"/>
  <c r="GH34" i="13"/>
  <c r="GF34" i="13"/>
  <c r="GE34" i="13"/>
  <c r="GD34" i="13"/>
  <c r="GC34" i="13"/>
  <c r="GB34" i="13"/>
  <c r="FZ34" i="13"/>
  <c r="FY34" i="13"/>
  <c r="FV34" i="13"/>
  <c r="FU34" i="13"/>
  <c r="FT34" i="13"/>
  <c r="FR34" i="13"/>
  <c r="FN34" i="13"/>
  <c r="FL34" i="13" s="1"/>
  <c r="GN33" i="13"/>
  <c r="GM33" i="13"/>
  <c r="GL33" i="13"/>
  <c r="GK33" i="13"/>
  <c r="GJ33" i="13"/>
  <c r="GH33" i="13"/>
  <c r="GF33" i="13"/>
  <c r="GE33" i="13"/>
  <c r="GD33" i="13"/>
  <c r="GC33" i="13"/>
  <c r="GB33" i="13"/>
  <c r="FZ33" i="13"/>
  <c r="FY33" i="13"/>
  <c r="FV33" i="13"/>
  <c r="FU33" i="13"/>
  <c r="FT33" i="13"/>
  <c r="FR33" i="13"/>
  <c r="FN33" i="13"/>
  <c r="FL33" i="13" s="1"/>
  <c r="GN32" i="13"/>
  <c r="GM32" i="13"/>
  <c r="GL32" i="13"/>
  <c r="GK32" i="13"/>
  <c r="GJ32" i="13"/>
  <c r="GH32" i="13"/>
  <c r="GF32" i="13"/>
  <c r="GE32" i="13"/>
  <c r="GD32" i="13"/>
  <c r="GC32" i="13"/>
  <c r="GB32" i="13"/>
  <c r="FZ32" i="13"/>
  <c r="FY32" i="13"/>
  <c r="FV32" i="13"/>
  <c r="FU32" i="13"/>
  <c r="FT32" i="13"/>
  <c r="FR32" i="13"/>
  <c r="FN32" i="13"/>
  <c r="FL32" i="13" s="1"/>
  <c r="GN31" i="13"/>
  <c r="GM31" i="13"/>
  <c r="GL31" i="13"/>
  <c r="GK31" i="13"/>
  <c r="GJ31" i="13"/>
  <c r="GH31" i="13"/>
  <c r="GF31" i="13"/>
  <c r="GE31" i="13"/>
  <c r="GD31" i="13"/>
  <c r="GC31" i="13"/>
  <c r="GB31" i="13"/>
  <c r="FZ31" i="13"/>
  <c r="FY31" i="13"/>
  <c r="FV31" i="13"/>
  <c r="FU31" i="13"/>
  <c r="FT31" i="13"/>
  <c r="FR31" i="13"/>
  <c r="FN31" i="13"/>
  <c r="FL31" i="13" s="1"/>
  <c r="GN30" i="13"/>
  <c r="GM30" i="13"/>
  <c r="GL30" i="13"/>
  <c r="GK30" i="13"/>
  <c r="GJ30" i="13"/>
  <c r="GH30" i="13"/>
  <c r="GF30" i="13"/>
  <c r="GE30" i="13"/>
  <c r="GD30" i="13"/>
  <c r="GC30" i="13"/>
  <c r="GB30" i="13"/>
  <c r="FZ30" i="13"/>
  <c r="FY30" i="13"/>
  <c r="FV30" i="13"/>
  <c r="FU30" i="13"/>
  <c r="FT30" i="13"/>
  <c r="FR30" i="13"/>
  <c r="FN30" i="13"/>
  <c r="FL30" i="13" s="1"/>
  <c r="GN29" i="13"/>
  <c r="GM29" i="13"/>
  <c r="GL29" i="13"/>
  <c r="GK29" i="13"/>
  <c r="GJ29" i="13"/>
  <c r="GH29" i="13"/>
  <c r="GF29" i="13"/>
  <c r="GE29" i="13"/>
  <c r="GD29" i="13"/>
  <c r="GC29" i="13"/>
  <c r="GB29" i="13"/>
  <c r="FZ29" i="13"/>
  <c r="FY29" i="13"/>
  <c r="FV29" i="13"/>
  <c r="FU29" i="13"/>
  <c r="FT29" i="13"/>
  <c r="FR29" i="13"/>
  <c r="FN29" i="13"/>
  <c r="GN28" i="13"/>
  <c r="GM28" i="13"/>
  <c r="GL28" i="13"/>
  <c r="GK28" i="13"/>
  <c r="GJ28" i="13"/>
  <c r="GH28" i="13"/>
  <c r="GF28" i="13"/>
  <c r="GE28" i="13"/>
  <c r="GD28" i="13"/>
  <c r="GC28" i="13"/>
  <c r="GB28" i="13"/>
  <c r="FZ28" i="13"/>
  <c r="FY28" i="13"/>
  <c r="FV28" i="13"/>
  <c r="FU28" i="13"/>
  <c r="FT28" i="13"/>
  <c r="FR28" i="13"/>
  <c r="FN28" i="13"/>
  <c r="GN27" i="13"/>
  <c r="GM27" i="13"/>
  <c r="GL27" i="13"/>
  <c r="GK27" i="13"/>
  <c r="GJ27" i="13"/>
  <c r="GH27" i="13"/>
  <c r="GF27" i="13"/>
  <c r="GE27" i="13"/>
  <c r="GD27" i="13"/>
  <c r="GC27" i="13"/>
  <c r="GB27" i="13"/>
  <c r="FZ27" i="13"/>
  <c r="FY27" i="13"/>
  <c r="FV27" i="13"/>
  <c r="FU27" i="13"/>
  <c r="FT27" i="13"/>
  <c r="FR27" i="13"/>
  <c r="FN27" i="13"/>
  <c r="FL27" i="13" s="1"/>
  <c r="GN26" i="13"/>
  <c r="GM26" i="13"/>
  <c r="GL26" i="13"/>
  <c r="GK26" i="13"/>
  <c r="GJ26" i="13"/>
  <c r="GH26" i="13"/>
  <c r="GF26" i="13"/>
  <c r="GE26" i="13"/>
  <c r="GD26" i="13"/>
  <c r="GC26" i="13"/>
  <c r="GB26" i="13"/>
  <c r="FZ26" i="13"/>
  <c r="FY26" i="13"/>
  <c r="FV26" i="13"/>
  <c r="FU26" i="13"/>
  <c r="FT26" i="13"/>
  <c r="FR26" i="13"/>
  <c r="FN26" i="13"/>
  <c r="FL26" i="13" s="1"/>
  <c r="GN25" i="13"/>
  <c r="GM25" i="13"/>
  <c r="GL25" i="13"/>
  <c r="GK25" i="13"/>
  <c r="GJ25" i="13"/>
  <c r="GH25" i="13"/>
  <c r="GF25" i="13"/>
  <c r="GE25" i="13"/>
  <c r="GD25" i="13"/>
  <c r="GC25" i="13"/>
  <c r="GB25" i="13"/>
  <c r="FZ25" i="13"/>
  <c r="FY25" i="13"/>
  <c r="FV25" i="13"/>
  <c r="FU25" i="13"/>
  <c r="FT25" i="13"/>
  <c r="FR25" i="13"/>
  <c r="FN25" i="13"/>
  <c r="GN24" i="13"/>
  <c r="GM24" i="13"/>
  <c r="GL24" i="13"/>
  <c r="GK24" i="13"/>
  <c r="GJ24" i="13"/>
  <c r="GH24" i="13"/>
  <c r="GF24" i="13"/>
  <c r="GE24" i="13"/>
  <c r="GD24" i="13"/>
  <c r="GC24" i="13"/>
  <c r="GB24" i="13"/>
  <c r="FZ24" i="13"/>
  <c r="FY24" i="13"/>
  <c r="FV24" i="13"/>
  <c r="FU24" i="13"/>
  <c r="FT24" i="13"/>
  <c r="FR24" i="13"/>
  <c r="FN24" i="13"/>
  <c r="FL24" i="13" s="1"/>
  <c r="GN23" i="13"/>
  <c r="GM23" i="13"/>
  <c r="GL23" i="13"/>
  <c r="GK23" i="13"/>
  <c r="GJ23" i="13"/>
  <c r="GI23" i="13"/>
  <c r="GH23" i="13"/>
  <c r="GF23" i="13"/>
  <c r="GE23" i="13"/>
  <c r="GD23" i="13"/>
  <c r="GC23" i="13"/>
  <c r="GB23" i="13"/>
  <c r="FZ23" i="13"/>
  <c r="FY23" i="13"/>
  <c r="FV23" i="13"/>
  <c r="FU23" i="13"/>
  <c r="FT23" i="13"/>
  <c r="FR23" i="13"/>
  <c r="FN23" i="13"/>
  <c r="FL23" i="13" s="1"/>
  <c r="GN22" i="13"/>
  <c r="GM22" i="13"/>
  <c r="GL22" i="13"/>
  <c r="GK22" i="13"/>
  <c r="GJ22" i="13"/>
  <c r="GH22" i="13"/>
  <c r="GF22" i="13"/>
  <c r="GE22" i="13"/>
  <c r="GD22" i="13"/>
  <c r="GC22" i="13"/>
  <c r="GB22" i="13"/>
  <c r="FZ22" i="13"/>
  <c r="FY22" i="13"/>
  <c r="FV22" i="13"/>
  <c r="FU22" i="13"/>
  <c r="FT22" i="13"/>
  <c r="FS22" i="13"/>
  <c r="FR22" i="13"/>
  <c r="FN22" i="13"/>
  <c r="GN21" i="13"/>
  <c r="GM21" i="13"/>
  <c r="GL21" i="13"/>
  <c r="GK21" i="13"/>
  <c r="GJ21" i="13"/>
  <c r="GH21" i="13"/>
  <c r="GF21" i="13"/>
  <c r="GE21" i="13"/>
  <c r="GD21" i="13"/>
  <c r="GC21" i="13"/>
  <c r="GB21" i="13"/>
  <c r="FZ21" i="13"/>
  <c r="FY21" i="13"/>
  <c r="FV21" i="13"/>
  <c r="FU21" i="13"/>
  <c r="FT21" i="13"/>
  <c r="FR21" i="13"/>
  <c r="FN21" i="13"/>
  <c r="FL21" i="13" s="1"/>
  <c r="GN20" i="13"/>
  <c r="GM20" i="13"/>
  <c r="GL20" i="13"/>
  <c r="GK20" i="13"/>
  <c r="GJ20" i="13"/>
  <c r="GH20" i="13"/>
  <c r="GF20" i="13"/>
  <c r="GE20" i="13"/>
  <c r="GD20" i="13"/>
  <c r="GC20" i="13"/>
  <c r="GB20" i="13"/>
  <c r="FZ20" i="13"/>
  <c r="FY20" i="13"/>
  <c r="FV20" i="13"/>
  <c r="FU20" i="13"/>
  <c r="FT20" i="13"/>
  <c r="FR20" i="13"/>
  <c r="FN20" i="13"/>
  <c r="FL20" i="13" s="1"/>
  <c r="GN19" i="13"/>
  <c r="GM19" i="13"/>
  <c r="GL19" i="13"/>
  <c r="GK19" i="13"/>
  <c r="GJ19" i="13"/>
  <c r="GH19" i="13"/>
  <c r="GF19" i="13"/>
  <c r="GE19" i="13"/>
  <c r="GD19" i="13"/>
  <c r="GC19" i="13"/>
  <c r="GB19" i="13"/>
  <c r="FZ19" i="13"/>
  <c r="FY19" i="13"/>
  <c r="FV19" i="13"/>
  <c r="FU19" i="13"/>
  <c r="FT19" i="13"/>
  <c r="FR19" i="13"/>
  <c r="FN19" i="13"/>
  <c r="FL19" i="13" s="1"/>
  <c r="GN18" i="13"/>
  <c r="GM18" i="13"/>
  <c r="GL18" i="13"/>
  <c r="GK18" i="13"/>
  <c r="GJ18" i="13"/>
  <c r="GH18" i="13"/>
  <c r="GF18" i="13"/>
  <c r="GE18" i="13"/>
  <c r="GD18" i="13"/>
  <c r="GC18" i="13"/>
  <c r="GB18" i="13"/>
  <c r="FZ18" i="13"/>
  <c r="FY18" i="13"/>
  <c r="FV18" i="13"/>
  <c r="FU18" i="13"/>
  <c r="FT18" i="13"/>
  <c r="FR18" i="13"/>
  <c r="FN18" i="13"/>
  <c r="FL18" i="13" s="1"/>
  <c r="GN17" i="13"/>
  <c r="GM17" i="13"/>
  <c r="GL17" i="13"/>
  <c r="GK17" i="13"/>
  <c r="GJ17" i="13"/>
  <c r="GH17" i="13"/>
  <c r="GF17" i="13"/>
  <c r="GE17" i="13"/>
  <c r="GD17" i="13"/>
  <c r="GC17" i="13"/>
  <c r="GB17" i="13"/>
  <c r="FZ17" i="13"/>
  <c r="FY17" i="13"/>
  <c r="FV17" i="13"/>
  <c r="FU17" i="13"/>
  <c r="FT17" i="13"/>
  <c r="FR17" i="13"/>
  <c r="FN17" i="13"/>
  <c r="GN16" i="13"/>
  <c r="GM16" i="13"/>
  <c r="GL16" i="13"/>
  <c r="GK16" i="13"/>
  <c r="GJ16" i="13"/>
  <c r="GH16" i="13"/>
  <c r="GF16" i="13"/>
  <c r="GE16" i="13"/>
  <c r="GD16" i="13"/>
  <c r="GC16" i="13"/>
  <c r="GB16" i="13"/>
  <c r="FZ16" i="13"/>
  <c r="FY16" i="13"/>
  <c r="FV16" i="13"/>
  <c r="FU16" i="13"/>
  <c r="FT16" i="13"/>
  <c r="FR16" i="13"/>
  <c r="FN16" i="13"/>
  <c r="FL16" i="13" s="1"/>
  <c r="GN15" i="13"/>
  <c r="GM15" i="13"/>
  <c r="GL15" i="13"/>
  <c r="GK15" i="13"/>
  <c r="GJ15" i="13"/>
  <c r="GH15" i="13"/>
  <c r="GF15" i="13"/>
  <c r="GE15" i="13"/>
  <c r="GD15" i="13"/>
  <c r="GC15" i="13"/>
  <c r="GB15" i="13"/>
  <c r="FZ15" i="13"/>
  <c r="FY15" i="13"/>
  <c r="FV15" i="13"/>
  <c r="FU15" i="13"/>
  <c r="FT15" i="13"/>
  <c r="FR15" i="13"/>
  <c r="FQ15" i="13"/>
  <c r="FN15" i="13"/>
  <c r="FL15" i="13" s="1"/>
  <c r="GN14" i="13"/>
  <c r="GM14" i="13"/>
  <c r="GL14" i="13"/>
  <c r="GK14" i="13"/>
  <c r="GJ14" i="13"/>
  <c r="GH14" i="13"/>
  <c r="GG14" i="13"/>
  <c r="GF14" i="13"/>
  <c r="GE14" i="13"/>
  <c r="GD14" i="13"/>
  <c r="GC14" i="13"/>
  <c r="GB14" i="13"/>
  <c r="FZ14" i="13"/>
  <c r="FY14" i="13"/>
  <c r="FV14" i="13"/>
  <c r="FU14" i="13"/>
  <c r="FT14" i="13"/>
  <c r="FR14" i="13"/>
  <c r="FN14" i="13"/>
  <c r="GN13" i="13"/>
  <c r="GM13" i="13"/>
  <c r="GL13" i="13"/>
  <c r="GK13" i="13"/>
  <c r="GJ13" i="13"/>
  <c r="GH13" i="13"/>
  <c r="GF13" i="13"/>
  <c r="GE13" i="13"/>
  <c r="GD13" i="13"/>
  <c r="GC13" i="13"/>
  <c r="GB13" i="13"/>
  <c r="FZ13" i="13"/>
  <c r="FY13" i="13"/>
  <c r="FV13" i="13"/>
  <c r="FU13" i="13"/>
  <c r="FT13" i="13"/>
  <c r="FR13" i="13"/>
  <c r="FN13" i="13"/>
  <c r="FL13" i="13" s="1"/>
  <c r="GN12" i="13"/>
  <c r="GM12" i="13"/>
  <c r="GL12" i="13"/>
  <c r="GK12" i="13"/>
  <c r="GJ12" i="13"/>
  <c r="GH12" i="13"/>
  <c r="GF12" i="13"/>
  <c r="GE12" i="13"/>
  <c r="GD12" i="13"/>
  <c r="GC12" i="13"/>
  <c r="GB12" i="13"/>
  <c r="FZ12" i="13"/>
  <c r="FY12" i="13"/>
  <c r="FV12" i="13"/>
  <c r="FU12" i="13"/>
  <c r="FT12" i="13"/>
  <c r="FR12" i="13"/>
  <c r="FN12" i="13"/>
  <c r="FL12" i="13" s="1"/>
  <c r="GN11" i="13"/>
  <c r="GM11" i="13"/>
  <c r="GL11" i="13"/>
  <c r="GK11" i="13"/>
  <c r="GJ11" i="13"/>
  <c r="GH11" i="13"/>
  <c r="GF11" i="13"/>
  <c r="GE11" i="13"/>
  <c r="GD11" i="13"/>
  <c r="GC11" i="13"/>
  <c r="GB11" i="13"/>
  <c r="FZ11" i="13"/>
  <c r="FY11" i="13"/>
  <c r="FV11" i="13"/>
  <c r="FU11" i="13"/>
  <c r="FS11" i="13"/>
  <c r="FQ11" i="13"/>
  <c r="FN11" i="13"/>
  <c r="FL11" i="13" s="1"/>
  <c r="GN10" i="13"/>
  <c r="GM10" i="13"/>
  <c r="GL10" i="13"/>
  <c r="GJ10" i="13"/>
  <c r="GH10" i="13"/>
  <c r="GG10" i="13"/>
  <c r="GF10" i="13"/>
  <c r="GE10" i="13"/>
  <c r="GD10" i="13"/>
  <c r="GB10" i="13"/>
  <c r="FZ10" i="13"/>
  <c r="FX10" i="13"/>
  <c r="FW10" i="13"/>
  <c r="FU10" i="13"/>
  <c r="FS10" i="13"/>
  <c r="FP10" i="13"/>
  <c r="FO10" i="13"/>
  <c r="GN9" i="13"/>
  <c r="GM9" i="13"/>
  <c r="GL9" i="13"/>
  <c r="GK9" i="13"/>
  <c r="GJ9" i="13"/>
  <c r="GH9" i="13"/>
  <c r="GF9" i="13"/>
  <c r="GE9" i="13"/>
  <c r="GD9" i="13"/>
  <c r="GC9" i="13"/>
  <c r="GB9" i="13"/>
  <c r="FZ9" i="13"/>
  <c r="FY9" i="13"/>
  <c r="FV9" i="13"/>
  <c r="FU9" i="13"/>
  <c r="FT9" i="13"/>
  <c r="FR9" i="13"/>
  <c r="FN9" i="13"/>
  <c r="FL9" i="13" s="1"/>
  <c r="GN8" i="13"/>
  <c r="GM8" i="13"/>
  <c r="GL8" i="13"/>
  <c r="GK8" i="13"/>
  <c r="GJ8" i="13"/>
  <c r="GH8" i="13"/>
  <c r="GF8" i="13"/>
  <c r="GE8" i="13"/>
  <c r="GD8" i="13"/>
  <c r="GC8" i="13"/>
  <c r="GB8" i="13"/>
  <c r="FZ8" i="13"/>
  <c r="FY8" i="13"/>
  <c r="FV8" i="13"/>
  <c r="FU8" i="13"/>
  <c r="FT8" i="13"/>
  <c r="FR8" i="13"/>
  <c r="FN8" i="13"/>
  <c r="FL8" i="13" s="1"/>
  <c r="GN7" i="13"/>
  <c r="GM7" i="13"/>
  <c r="GL7" i="13"/>
  <c r="GK7" i="13"/>
  <c r="GJ7" i="13"/>
  <c r="GH7" i="13"/>
  <c r="GF7" i="13"/>
  <c r="GE7" i="13"/>
  <c r="GD7" i="13"/>
  <c r="GC7" i="13"/>
  <c r="GB7" i="13"/>
  <c r="FZ7" i="13"/>
  <c r="FY7" i="13"/>
  <c r="FX7" i="13"/>
  <c r="FV7" i="13"/>
  <c r="FU7" i="13"/>
  <c r="FT7" i="13"/>
  <c r="FR7" i="13"/>
  <c r="FN7" i="13"/>
  <c r="GN6" i="13"/>
  <c r="GM6" i="13"/>
  <c r="GL6" i="13"/>
  <c r="GK6" i="13"/>
  <c r="GJ6" i="13"/>
  <c r="GH6" i="13"/>
  <c r="GF6" i="13"/>
  <c r="GE6" i="13"/>
  <c r="GD6" i="13"/>
  <c r="GC6" i="13"/>
  <c r="GB6" i="13"/>
  <c r="FZ6" i="13"/>
  <c r="FY6" i="13"/>
  <c r="FV6" i="13"/>
  <c r="FU6" i="13"/>
  <c r="FT6" i="13"/>
  <c r="FR6" i="13"/>
  <c r="FP6" i="13"/>
  <c r="FN6" i="13"/>
  <c r="FL6" i="13" s="1"/>
  <c r="GN5" i="13"/>
  <c r="GM5" i="13"/>
  <c r="GL5" i="13"/>
  <c r="GK5" i="13"/>
  <c r="GJ5" i="13"/>
  <c r="GH5" i="13"/>
  <c r="GF5" i="13"/>
  <c r="GE5" i="13"/>
  <c r="GD5" i="13"/>
  <c r="GC5" i="13"/>
  <c r="GB5" i="13"/>
  <c r="FZ5" i="13"/>
  <c r="FY5" i="13"/>
  <c r="FV5" i="13"/>
  <c r="FU5" i="13"/>
  <c r="FT5" i="13"/>
  <c r="FR5" i="13"/>
  <c r="FN5" i="13"/>
  <c r="FL5" i="13" s="1"/>
  <c r="FK5" i="13"/>
  <c r="FH6" i="13"/>
  <c r="FI6" i="13"/>
  <c r="FK6" i="13"/>
  <c r="FH7" i="13"/>
  <c r="FI7" i="13"/>
  <c r="FK7" i="13"/>
  <c r="FL7" i="13"/>
  <c r="FH8" i="13"/>
  <c r="FI8" i="13"/>
  <c r="FK8" i="13"/>
  <c r="FH9" i="13"/>
  <c r="FI9" i="13"/>
  <c r="FK9" i="13"/>
  <c r="FH10" i="13"/>
  <c r="FI10" i="13"/>
  <c r="FK10" i="13"/>
  <c r="FH11" i="13"/>
  <c r="FI11" i="13"/>
  <c r="FK11" i="13"/>
  <c r="FH12" i="13"/>
  <c r="FI12" i="13"/>
  <c r="FK12" i="13"/>
  <c r="FH13" i="13"/>
  <c r="FI13" i="13"/>
  <c r="FK13" i="13"/>
  <c r="FH14" i="13"/>
  <c r="FI14" i="13"/>
  <c r="FK14" i="13"/>
  <c r="FL14" i="13"/>
  <c r="FH15" i="13"/>
  <c r="FI15" i="13"/>
  <c r="FK15" i="13"/>
  <c r="FH16" i="13"/>
  <c r="FI16" i="13"/>
  <c r="FK16" i="13"/>
  <c r="FH17" i="13"/>
  <c r="FI17" i="13"/>
  <c r="FK17" i="13"/>
  <c r="FL17" i="13"/>
  <c r="FH18" i="13"/>
  <c r="FI18" i="13"/>
  <c r="FK18" i="13"/>
  <c r="FH19" i="13"/>
  <c r="FI19" i="13"/>
  <c r="FK19" i="13"/>
  <c r="FH20" i="13"/>
  <c r="FI20" i="13"/>
  <c r="FK20" i="13"/>
  <c r="FH21" i="13"/>
  <c r="FI21" i="13"/>
  <c r="FK21" i="13"/>
  <c r="FH22" i="13"/>
  <c r="FI22" i="13"/>
  <c r="FK22" i="13"/>
  <c r="FL22" i="13"/>
  <c r="FH23" i="13"/>
  <c r="FI23" i="13"/>
  <c r="FK23" i="13"/>
  <c r="FH24" i="13"/>
  <c r="FI24" i="13"/>
  <c r="FK24" i="13"/>
  <c r="FH25" i="13"/>
  <c r="FI25" i="13"/>
  <c r="FK25" i="13"/>
  <c r="FL25" i="13"/>
  <c r="FH26" i="13"/>
  <c r="FI26" i="13"/>
  <c r="FK26" i="13"/>
  <c r="FH27" i="13"/>
  <c r="FI27" i="13"/>
  <c r="FK27" i="13"/>
  <c r="FH28" i="13"/>
  <c r="FI28" i="13"/>
  <c r="FK28" i="13"/>
  <c r="FL28" i="13"/>
  <c r="FH29" i="13"/>
  <c r="FI29" i="13"/>
  <c r="FK29" i="13"/>
  <c r="FL29" i="13"/>
  <c r="FH30" i="13"/>
  <c r="FI30" i="13"/>
  <c r="FK30" i="13"/>
  <c r="FH31" i="13"/>
  <c r="FI31" i="13"/>
  <c r="FK31" i="13"/>
  <c r="FH32" i="13"/>
  <c r="FI32" i="13"/>
  <c r="FK32" i="13"/>
  <c r="FH33" i="13"/>
  <c r="FI33" i="13"/>
  <c r="FK33" i="13"/>
  <c r="FH34" i="13"/>
  <c r="FI34" i="13"/>
  <c r="FK34" i="13"/>
  <c r="FH35" i="13"/>
  <c r="FI35" i="13"/>
  <c r="FK35" i="13"/>
  <c r="FH36" i="13"/>
  <c r="FI36" i="13"/>
  <c r="FK36" i="13"/>
  <c r="FL36" i="13"/>
  <c r="FH37" i="13"/>
  <c r="FI37" i="13"/>
  <c r="FK37" i="13"/>
  <c r="FH38" i="13"/>
  <c r="FI38" i="13"/>
  <c r="FK38" i="13"/>
  <c r="FH39" i="13"/>
  <c r="FI39" i="13"/>
  <c r="FK39" i="13"/>
  <c r="FH40" i="13"/>
  <c r="FI40" i="13"/>
  <c r="FK40" i="13"/>
  <c r="FH41" i="13"/>
  <c r="FI41" i="13"/>
  <c r="FK41" i="13"/>
  <c r="FH42" i="13"/>
  <c r="FI42" i="13"/>
  <c r="FK42" i="13"/>
  <c r="FH43" i="13"/>
  <c r="FI43" i="13"/>
  <c r="FK43" i="13"/>
  <c r="FH44" i="13"/>
  <c r="FI44" i="13"/>
  <c r="FK44" i="13"/>
  <c r="FH45" i="13"/>
  <c r="FI45" i="13"/>
  <c r="FK45" i="13"/>
  <c r="FH46" i="13"/>
  <c r="FI46" i="13"/>
  <c r="FK46" i="13"/>
  <c r="FL46" i="13"/>
  <c r="FH47" i="13"/>
  <c r="FI47" i="13"/>
  <c r="FK47" i="13"/>
  <c r="FH48" i="13"/>
  <c r="FI48" i="13"/>
  <c r="FK48" i="13"/>
  <c r="FH49" i="13"/>
  <c r="FI49" i="13"/>
  <c r="FK49" i="13"/>
  <c r="FH50" i="13"/>
  <c r="FI50" i="13"/>
  <c r="FK50" i="13"/>
  <c r="FL50" i="13"/>
  <c r="FH51" i="13"/>
  <c r="FI51" i="13"/>
  <c r="FK51" i="13"/>
  <c r="FH52" i="13"/>
  <c r="FI52" i="13"/>
  <c r="FK52" i="13"/>
  <c r="FH53" i="13"/>
  <c r="FI53" i="13"/>
  <c r="FK53" i="13"/>
  <c r="FH54" i="13"/>
  <c r="FI54" i="13"/>
  <c r="FK54" i="13"/>
  <c r="FH55" i="13"/>
  <c r="FI55" i="13"/>
  <c r="FK55" i="13"/>
  <c r="FH56" i="13"/>
  <c r="FI56" i="13"/>
  <c r="FK56" i="13"/>
  <c r="FH57" i="13"/>
  <c r="FI57" i="13"/>
  <c r="FK57" i="13"/>
  <c r="FH58" i="13"/>
  <c r="FI58" i="13"/>
  <c r="FK58" i="13"/>
  <c r="FH59" i="13"/>
  <c r="FI59" i="13"/>
  <c r="FK59" i="13"/>
  <c r="FH60" i="13"/>
  <c r="FI60" i="13"/>
  <c r="FK60" i="13"/>
  <c r="FL60" i="13"/>
  <c r="FH61" i="13"/>
  <c r="FI61" i="13"/>
  <c r="FK61" i="13"/>
  <c r="FL61" i="13"/>
  <c r="FH62" i="13"/>
  <c r="FI62" i="13"/>
  <c r="FK62" i="13"/>
  <c r="FH63" i="13"/>
  <c r="FI63" i="13"/>
  <c r="FK63" i="13"/>
  <c r="FH64" i="13"/>
  <c r="FI64" i="13"/>
  <c r="FK64" i="13"/>
  <c r="FL64" i="13"/>
  <c r="FH65" i="13"/>
  <c r="FI65" i="13"/>
  <c r="FK65" i="13"/>
  <c r="FH66" i="13"/>
  <c r="FI66" i="13"/>
  <c r="FK66" i="13"/>
  <c r="FL66" i="13"/>
  <c r="FH67" i="13"/>
  <c r="FI67" i="13"/>
  <c r="FK67" i="13"/>
  <c r="FL67" i="13"/>
  <c r="FH68" i="13"/>
  <c r="FI68" i="13"/>
  <c r="FK68" i="13"/>
  <c r="FH69" i="13"/>
  <c r="FI69" i="13"/>
  <c r="FK69" i="13"/>
  <c r="FH70" i="13"/>
  <c r="FI70" i="13"/>
  <c r="FK70" i="13"/>
  <c r="FL70" i="13"/>
  <c r="FH71" i="13"/>
  <c r="FI71" i="13"/>
  <c r="FK71" i="13"/>
  <c r="FL71" i="13"/>
  <c r="FH72" i="13"/>
  <c r="FI72" i="13"/>
  <c r="FK72" i="13"/>
  <c r="FL72" i="13"/>
  <c r="FH73" i="13"/>
  <c r="FI73" i="13"/>
  <c r="FK73" i="13"/>
  <c r="FH74" i="13"/>
  <c r="FI74" i="13"/>
  <c r="FK74" i="13"/>
  <c r="FH75" i="13"/>
  <c r="FI75" i="13"/>
  <c r="FK75" i="13"/>
  <c r="FH76" i="13"/>
  <c r="FI76" i="13"/>
  <c r="FK76" i="13"/>
  <c r="FH77" i="13"/>
  <c r="FI77" i="13"/>
  <c r="FK77" i="13"/>
  <c r="FL77" i="13"/>
  <c r="FH78" i="13"/>
  <c r="FI78" i="13"/>
  <c r="FK78" i="13"/>
  <c r="FH79" i="13"/>
  <c r="FI79" i="13"/>
  <c r="FK79" i="13"/>
  <c r="FH80" i="13"/>
  <c r="FI80" i="13"/>
  <c r="FK80" i="13"/>
  <c r="FL80" i="13"/>
  <c r="FH81" i="13"/>
  <c r="FI81" i="13"/>
  <c r="FK81" i="13"/>
  <c r="FH82" i="13"/>
  <c r="FI82" i="13"/>
  <c r="FK82" i="13"/>
  <c r="FL82" i="13"/>
  <c r="FH83" i="13"/>
  <c r="FI83" i="13"/>
  <c r="FK83" i="13"/>
  <c r="FH84" i="13"/>
  <c r="FI84" i="13"/>
  <c r="FK84" i="13"/>
  <c r="FH85" i="13"/>
  <c r="FI85" i="13"/>
  <c r="FK85" i="13"/>
  <c r="FL85" i="13"/>
  <c r="FH86" i="13"/>
  <c r="FI86" i="13"/>
  <c r="FK86" i="13"/>
  <c r="FH87" i="13"/>
  <c r="FI87" i="13"/>
  <c r="FK87" i="13"/>
  <c r="FL87" i="13"/>
  <c r="FH88" i="13"/>
  <c r="FI88" i="13"/>
  <c r="FK88" i="13"/>
  <c r="FH89" i="13"/>
  <c r="FI89" i="13"/>
  <c r="FK89" i="13"/>
  <c r="FL89" i="13"/>
  <c r="FH90" i="13"/>
  <c r="FI90" i="13"/>
  <c r="FK90" i="13"/>
  <c r="FH91" i="13"/>
  <c r="FI91" i="13"/>
  <c r="FK91" i="13"/>
  <c r="FH92" i="13"/>
  <c r="FI92" i="13"/>
  <c r="FK92" i="13"/>
  <c r="FL92" i="13"/>
  <c r="FH93" i="13"/>
  <c r="FI93" i="13"/>
  <c r="FK93" i="13"/>
  <c r="FH94" i="13"/>
  <c r="FI94" i="13"/>
  <c r="FK94" i="13"/>
  <c r="FH95" i="13"/>
  <c r="FI95" i="13"/>
  <c r="FK95" i="13"/>
  <c r="FL95" i="13"/>
  <c r="FH96" i="13"/>
  <c r="FI96" i="13"/>
  <c r="FK96" i="13"/>
  <c r="FL96" i="13"/>
  <c r="FH97" i="13"/>
  <c r="FI97" i="13"/>
  <c r="FK97" i="13"/>
  <c r="FH98" i="13"/>
  <c r="FI98" i="13"/>
  <c r="FK98" i="13"/>
  <c r="FH99" i="13"/>
  <c r="FI99" i="13"/>
  <c r="FK99" i="13"/>
  <c r="FH100" i="13"/>
  <c r="FI100" i="13"/>
  <c r="FK100" i="13"/>
  <c r="FL100" i="13"/>
  <c r="FH101" i="13"/>
  <c r="FI101" i="13"/>
  <c r="FK101" i="13"/>
  <c r="FH102" i="13"/>
  <c r="FI102" i="13"/>
  <c r="FK102" i="13"/>
  <c r="FH103" i="13"/>
  <c r="FI103" i="13"/>
  <c r="FK103" i="13"/>
  <c r="FH104" i="13"/>
  <c r="FI104" i="13"/>
  <c r="FK104" i="13"/>
  <c r="FL104" i="13"/>
  <c r="FH105" i="13"/>
  <c r="FI105" i="13"/>
  <c r="FK105" i="13"/>
  <c r="FL105" i="13"/>
  <c r="FH106" i="13"/>
  <c r="FI106" i="13"/>
  <c r="FK106" i="13"/>
  <c r="FH107" i="13"/>
  <c r="FI107" i="13"/>
  <c r="FK107" i="13"/>
  <c r="FL107" i="13"/>
  <c r="FH108" i="13"/>
  <c r="FI108" i="13"/>
  <c r="FK108" i="13"/>
  <c r="FH109" i="13"/>
  <c r="FI109" i="13"/>
  <c r="FK109" i="13"/>
  <c r="FL109" i="13"/>
  <c r="FH110" i="13"/>
  <c r="FI110" i="13"/>
  <c r="FK110" i="13"/>
  <c r="FL110" i="13"/>
  <c r="FH111" i="13"/>
  <c r="FI111" i="13"/>
  <c r="FK111" i="13"/>
  <c r="FH112" i="13"/>
  <c r="FI112" i="13"/>
  <c r="FK112" i="13"/>
  <c r="FH113" i="13"/>
  <c r="FI113" i="13"/>
  <c r="FK113" i="13"/>
  <c r="FH114" i="13"/>
  <c r="FI114" i="13"/>
  <c r="FK114" i="13"/>
  <c r="FH115" i="13"/>
  <c r="FI115" i="13"/>
  <c r="FK115" i="13"/>
  <c r="FH116" i="13"/>
  <c r="FI116" i="13"/>
  <c r="FK116" i="13"/>
  <c r="FL116" i="13"/>
  <c r="FH117" i="13"/>
  <c r="FI117" i="13"/>
  <c r="FK117" i="13"/>
  <c r="FH118" i="13"/>
  <c r="FI118" i="13"/>
  <c r="FK118" i="13"/>
  <c r="FL118" i="13"/>
  <c r="FH119" i="13"/>
  <c r="FI119" i="13"/>
  <c r="FK119" i="13"/>
  <c r="FH120" i="13"/>
  <c r="FI120" i="13"/>
  <c r="FK120" i="13"/>
  <c r="FL120" i="13"/>
  <c r="FH121" i="13"/>
  <c r="FI121" i="13"/>
  <c r="FK121" i="13"/>
  <c r="FL121" i="13"/>
  <c r="FH122" i="13"/>
  <c r="FI122" i="13"/>
  <c r="FK122" i="13"/>
  <c r="FH123" i="13"/>
  <c r="FI123" i="13"/>
  <c r="FK123" i="13"/>
  <c r="FH124" i="13"/>
  <c r="FI124" i="13"/>
  <c r="FK124" i="13"/>
  <c r="FL124" i="13"/>
  <c r="FH125" i="13"/>
  <c r="FI125" i="13"/>
  <c r="FK125" i="13"/>
  <c r="FH126" i="13"/>
  <c r="FI126" i="13"/>
  <c r="FK126" i="13"/>
  <c r="FH127" i="13"/>
  <c r="FI127" i="13"/>
  <c r="FK127" i="13"/>
  <c r="FH128" i="13"/>
  <c r="FI128" i="13"/>
  <c r="FK128" i="13"/>
  <c r="FL128" i="13"/>
  <c r="FH129" i="13"/>
  <c r="FI129" i="13"/>
  <c r="FK129" i="13"/>
  <c r="FH130" i="13"/>
  <c r="FI130" i="13"/>
  <c r="FK130" i="13"/>
  <c r="FH131" i="13"/>
  <c r="FI131" i="13"/>
  <c r="FK131" i="13"/>
  <c r="FL131" i="13"/>
  <c r="FH132" i="13"/>
  <c r="FI132" i="13"/>
  <c r="FK132" i="13"/>
  <c r="FH133" i="13"/>
  <c r="FI133" i="13"/>
  <c r="FK133" i="13"/>
  <c r="FH134" i="13"/>
  <c r="FI134" i="13"/>
  <c r="FK134" i="13"/>
  <c r="FL134" i="13"/>
  <c r="FH135" i="13"/>
  <c r="FI135" i="13"/>
  <c r="FK135" i="13"/>
  <c r="FH136" i="13"/>
  <c r="FI136" i="13"/>
  <c r="FK136" i="13"/>
  <c r="FH137" i="13"/>
  <c r="FI137" i="13"/>
  <c r="FK137" i="13"/>
  <c r="FH138" i="13"/>
  <c r="FI138" i="13"/>
  <c r="FK138" i="13"/>
  <c r="FL138" i="13"/>
  <c r="FH139" i="13"/>
  <c r="FI139" i="13"/>
  <c r="FK139" i="13"/>
  <c r="FH140" i="13"/>
  <c r="FI140" i="13"/>
  <c r="FK140" i="13"/>
  <c r="FH141" i="13"/>
  <c r="FI141" i="13"/>
  <c r="FK141" i="13"/>
  <c r="FL141" i="13"/>
  <c r="FH142" i="13"/>
  <c r="FI142" i="13"/>
  <c r="FK142" i="13"/>
  <c r="FL142" i="13"/>
  <c r="FH143" i="13"/>
  <c r="FI143" i="13"/>
  <c r="FK143" i="13"/>
  <c r="FL143" i="13"/>
  <c r="FH144" i="13"/>
  <c r="FI144" i="13"/>
  <c r="FK144" i="13"/>
  <c r="FL144" i="13"/>
  <c r="FH145" i="13"/>
  <c r="FI145" i="13"/>
  <c r="FK145" i="13"/>
  <c r="FH146" i="13"/>
  <c r="FI146" i="13"/>
  <c r="FK146" i="13"/>
  <c r="FL146" i="13"/>
  <c r="FH147" i="13"/>
  <c r="FI147" i="13"/>
  <c r="FK147" i="13"/>
  <c r="FL147" i="13"/>
  <c r="FH148" i="13"/>
  <c r="FI148" i="13"/>
  <c r="FK148" i="13"/>
  <c r="FL148" i="13"/>
  <c r="FH149" i="13"/>
  <c r="FI149" i="13"/>
  <c r="FK149" i="13"/>
  <c r="FL149" i="13"/>
  <c r="FH150" i="13"/>
  <c r="FI150" i="13"/>
  <c r="FK150" i="13"/>
  <c r="FL150" i="13"/>
  <c r="FH151" i="13"/>
  <c r="FI151" i="13"/>
  <c r="FK151" i="13"/>
  <c r="FH152" i="13"/>
  <c r="FI152" i="13"/>
  <c r="FK152" i="13"/>
  <c r="FL152" i="13"/>
  <c r="FH153" i="13"/>
  <c r="FI153" i="13"/>
  <c r="FK153" i="13"/>
  <c r="FL153" i="13"/>
  <c r="FH154" i="13"/>
  <c r="FI154" i="13"/>
  <c r="FK154" i="13"/>
  <c r="FL154" i="13"/>
  <c r="FH155" i="13"/>
  <c r="FI155" i="13"/>
  <c r="FK155" i="13"/>
  <c r="FL155" i="13"/>
  <c r="FH156" i="13"/>
  <c r="FI156" i="13"/>
  <c r="FK156" i="13"/>
  <c r="FH157" i="13"/>
  <c r="FI157" i="13"/>
  <c r="FK157" i="13"/>
  <c r="FL157" i="13"/>
  <c r="FH158" i="13"/>
  <c r="FI158" i="13"/>
  <c r="FK158" i="13"/>
  <c r="FH159" i="13"/>
  <c r="FI159" i="13"/>
  <c r="FK159" i="13"/>
  <c r="FH160" i="13"/>
  <c r="FI160" i="13"/>
  <c r="FK160" i="13"/>
  <c r="FH161" i="13"/>
  <c r="FI161" i="13"/>
  <c r="FK161" i="13"/>
  <c r="FH162" i="13"/>
  <c r="FI162" i="13"/>
  <c r="FK162" i="13"/>
  <c r="FH163" i="13"/>
  <c r="FI163" i="13"/>
  <c r="FK163" i="13"/>
  <c r="FL163" i="13"/>
  <c r="FH164" i="13"/>
  <c r="FI164" i="13"/>
  <c r="FK164" i="13"/>
  <c r="FH165" i="13"/>
  <c r="FI165" i="13"/>
  <c r="FK165" i="13"/>
  <c r="FL165" i="13"/>
  <c r="FH166" i="13"/>
  <c r="FI166" i="13"/>
  <c r="FK166" i="13"/>
  <c r="FH167" i="13"/>
  <c r="FI167" i="13"/>
  <c r="FK167" i="13"/>
  <c r="FL167" i="13"/>
  <c r="FH168" i="13"/>
  <c r="FI168" i="13"/>
  <c r="FK168" i="13"/>
  <c r="FL168" i="13"/>
  <c r="FH169" i="13"/>
  <c r="FI169" i="13"/>
  <c r="FK169" i="13"/>
  <c r="FL169" i="13"/>
  <c r="FH170" i="13"/>
  <c r="FI170" i="13"/>
  <c r="FK170" i="13"/>
  <c r="FH171" i="13"/>
  <c r="FI171" i="13"/>
  <c r="FK171" i="13"/>
  <c r="FL171" i="13"/>
  <c r="FH172" i="13"/>
  <c r="FI172" i="13"/>
  <c r="FK172" i="13"/>
  <c r="FH173" i="13"/>
  <c r="FI173" i="13"/>
  <c r="FK173" i="13"/>
  <c r="FL173" i="13"/>
  <c r="FH174" i="13"/>
  <c r="FI174" i="13"/>
  <c r="FK174" i="13"/>
  <c r="FL174" i="13"/>
  <c r="FH175" i="13"/>
  <c r="FI175" i="13"/>
  <c r="FK175" i="13"/>
  <c r="FL175" i="13"/>
  <c r="FH176" i="13"/>
  <c r="FI176" i="13"/>
  <c r="FK176" i="13"/>
  <c r="FL176" i="13"/>
  <c r="FH177" i="13"/>
  <c r="FI177" i="13"/>
  <c r="FK177" i="13"/>
  <c r="FL177" i="13"/>
  <c r="FH178" i="13"/>
  <c r="FI178" i="13"/>
  <c r="FK178" i="13"/>
  <c r="FH179" i="13"/>
  <c r="FI179" i="13"/>
  <c r="FK179" i="13"/>
  <c r="FL179" i="13"/>
  <c r="FH180" i="13"/>
  <c r="FI180" i="13"/>
  <c r="FK180" i="13"/>
  <c r="FH181" i="13"/>
  <c r="FI181" i="13"/>
  <c r="FK181" i="13"/>
  <c r="FL181" i="13"/>
  <c r="FH182" i="13"/>
  <c r="FI182" i="13"/>
  <c r="FK182" i="13"/>
  <c r="FL182" i="13"/>
  <c r="FH183" i="13"/>
  <c r="FI183" i="13"/>
  <c r="FK183" i="13"/>
  <c r="FH184" i="13"/>
  <c r="FI184" i="13"/>
  <c r="FK184" i="13"/>
  <c r="FL184" i="13"/>
  <c r="FH185" i="13"/>
  <c r="FI185" i="13"/>
  <c r="FK185" i="13"/>
  <c r="FL185" i="13"/>
  <c r="FH186" i="13"/>
  <c r="FI186" i="13"/>
  <c r="FK186" i="13"/>
  <c r="FH187" i="13"/>
  <c r="FI187" i="13"/>
  <c r="FK187" i="13"/>
  <c r="FL187" i="13"/>
  <c r="FH188" i="13"/>
  <c r="FI188" i="13"/>
  <c r="FK188" i="13"/>
  <c r="FH189" i="13"/>
  <c r="FI189" i="13"/>
  <c r="FK189" i="13"/>
  <c r="FL189" i="13"/>
  <c r="FH190" i="13"/>
  <c r="FI190" i="13"/>
  <c r="FK190" i="13"/>
  <c r="FL190" i="13"/>
  <c r="FH191" i="13"/>
  <c r="FI191" i="13"/>
  <c r="FK191" i="13"/>
  <c r="FH192" i="13"/>
  <c r="FI192" i="13"/>
  <c r="FK192" i="13"/>
  <c r="FL192" i="13"/>
  <c r="FH193" i="13"/>
  <c r="FI193" i="13"/>
  <c r="FK193" i="13"/>
  <c r="FL193" i="13"/>
  <c r="FH194" i="13"/>
  <c r="FI194" i="13"/>
  <c r="FK194" i="13"/>
  <c r="FH195" i="13"/>
  <c r="FI195" i="13"/>
  <c r="FK195" i="13"/>
  <c r="FL195" i="13"/>
  <c r="FH196" i="13"/>
  <c r="FI196" i="13"/>
  <c r="FK196" i="13"/>
  <c r="FH197" i="13"/>
  <c r="FI197" i="13"/>
  <c r="FK197" i="13"/>
  <c r="FL197" i="13"/>
  <c r="FH198" i="13"/>
  <c r="FI198" i="13"/>
  <c r="FK198" i="13"/>
  <c r="FL198" i="13"/>
  <c r="FH199" i="13"/>
  <c r="FI199" i="13"/>
  <c r="FK199" i="13"/>
  <c r="FH200" i="13"/>
  <c r="FI200" i="13"/>
  <c r="FK200" i="13"/>
  <c r="FL200" i="13"/>
  <c r="FH201" i="13"/>
  <c r="FI201" i="13"/>
  <c r="FK201" i="13"/>
  <c r="FL201" i="13"/>
  <c r="FH202" i="13"/>
  <c r="FI202" i="13"/>
  <c r="FK202" i="13"/>
  <c r="FH203" i="13"/>
  <c r="FI203" i="13"/>
  <c r="FK203" i="13"/>
  <c r="FL203" i="13"/>
  <c r="FH204" i="13"/>
  <c r="FI204" i="13"/>
  <c r="FK204" i="13"/>
  <c r="FH205" i="13"/>
  <c r="FI205" i="13"/>
  <c r="FK205" i="13"/>
  <c r="FL205" i="13"/>
  <c r="FH206" i="13"/>
  <c r="FI206" i="13"/>
  <c r="FK206" i="13"/>
  <c r="FL206" i="13"/>
  <c r="FH207" i="13"/>
  <c r="FI207" i="13"/>
  <c r="FK207" i="13"/>
  <c r="FH208" i="13"/>
  <c r="FI208" i="13"/>
  <c r="FK208" i="13"/>
  <c r="FL208" i="13"/>
  <c r="FH209" i="13"/>
  <c r="FI209" i="13"/>
  <c r="FK209" i="13"/>
  <c r="FL209" i="13"/>
  <c r="FH210" i="13"/>
  <c r="FI210" i="13"/>
  <c r="FK210" i="13"/>
  <c r="FH211" i="13"/>
  <c r="FI211" i="13"/>
  <c r="FK211" i="13"/>
  <c r="FL211" i="13"/>
  <c r="FH212" i="13"/>
  <c r="FI212" i="13"/>
  <c r="FK212" i="13"/>
  <c r="FH213" i="13"/>
  <c r="FI213" i="13"/>
  <c r="FK213" i="13"/>
  <c r="FL213" i="13"/>
  <c r="FH214" i="13"/>
  <c r="FI214" i="13"/>
  <c r="FK214" i="13"/>
  <c r="FL214" i="13"/>
  <c r="FH215" i="13"/>
  <c r="FI215" i="13"/>
  <c r="FK215" i="13"/>
  <c r="FL215" i="13"/>
  <c r="FH216" i="13"/>
  <c r="FI216" i="13"/>
  <c r="FK216" i="13"/>
  <c r="FL216" i="13"/>
  <c r="FH217" i="13"/>
  <c r="FI217" i="13"/>
  <c r="FK217" i="13"/>
  <c r="FL217" i="13"/>
  <c r="FH218" i="13"/>
  <c r="FI218" i="13"/>
  <c r="FK218" i="13"/>
  <c r="FH219" i="13"/>
  <c r="FI219" i="13"/>
  <c r="FK219" i="13"/>
  <c r="FL219" i="13"/>
  <c r="FH220" i="13"/>
  <c r="FI220" i="13"/>
  <c r="FK220" i="13"/>
  <c r="FH221" i="13"/>
  <c r="FI221" i="13"/>
  <c r="FK221" i="13"/>
  <c r="FL221" i="13"/>
  <c r="FH222" i="13"/>
  <c r="FI222" i="13"/>
  <c r="FK222" i="13"/>
  <c r="FL222" i="13"/>
  <c r="FH223" i="13"/>
  <c r="FI223" i="13"/>
  <c r="FK223" i="13"/>
  <c r="FL223" i="13"/>
  <c r="FH224" i="13"/>
  <c r="FI224" i="13"/>
  <c r="FK224" i="13"/>
  <c r="FL224" i="13"/>
  <c r="FH225" i="13"/>
  <c r="FI225" i="13"/>
  <c r="FK225" i="13"/>
  <c r="FL225" i="13"/>
  <c r="FH226" i="13"/>
  <c r="FI226" i="13"/>
  <c r="FK226" i="13"/>
  <c r="FH227" i="13"/>
  <c r="FI227" i="13"/>
  <c r="FK227" i="13"/>
  <c r="FL227" i="13"/>
  <c r="FH228" i="13"/>
  <c r="FI228" i="13"/>
  <c r="FK228" i="13"/>
  <c r="FH229" i="13"/>
  <c r="FI229" i="13"/>
  <c r="FK229" i="13"/>
  <c r="FL229" i="13"/>
  <c r="FH230" i="13"/>
  <c r="FI230" i="13"/>
  <c r="FK230" i="13"/>
  <c r="FL230" i="13"/>
  <c r="FH231" i="13"/>
  <c r="FI231" i="13"/>
  <c r="FK231" i="13"/>
  <c r="FL231" i="13"/>
  <c r="FH232" i="13"/>
  <c r="FI232" i="13"/>
  <c r="FK232" i="13"/>
  <c r="FL232" i="13"/>
  <c r="FH233" i="13"/>
  <c r="FI233" i="13"/>
  <c r="FK233" i="13"/>
  <c r="FL233" i="13"/>
  <c r="FH234" i="13"/>
  <c r="FI234" i="13"/>
  <c r="FK234" i="13"/>
  <c r="FH235" i="13"/>
  <c r="FI235" i="13"/>
  <c r="FK235" i="13"/>
  <c r="FL235" i="13"/>
  <c r="FH236" i="13"/>
  <c r="FI236" i="13"/>
  <c r="FK236" i="13"/>
  <c r="FH237" i="13"/>
  <c r="FI237" i="13"/>
  <c r="FK237" i="13"/>
  <c r="FL237" i="13"/>
  <c r="FH238" i="13"/>
  <c r="FI238" i="13"/>
  <c r="FK238" i="13"/>
  <c r="FL238" i="13"/>
  <c r="FH239" i="13"/>
  <c r="FI239" i="13"/>
  <c r="FK239" i="13"/>
  <c r="FL239" i="13"/>
  <c r="FH240" i="13"/>
  <c r="FI240" i="13"/>
  <c r="FK240" i="13"/>
  <c r="FL240" i="13"/>
  <c r="FH241" i="13"/>
  <c r="FI241" i="13"/>
  <c r="FK241" i="13"/>
  <c r="FL241" i="13"/>
  <c r="FH242" i="13"/>
  <c r="FI242" i="13"/>
  <c r="FK242" i="13"/>
  <c r="FH243" i="13"/>
  <c r="FI243" i="13"/>
  <c r="FK243" i="13"/>
  <c r="FL243" i="13"/>
  <c r="FH244" i="13"/>
  <c r="FI244" i="13"/>
  <c r="FK244" i="13"/>
  <c r="FH245" i="13"/>
  <c r="FI245" i="13"/>
  <c r="FK245" i="13"/>
  <c r="FL245" i="13"/>
  <c r="FH246" i="13"/>
  <c r="FI246" i="13"/>
  <c r="FK246" i="13"/>
  <c r="FL246" i="13"/>
  <c r="FH247" i="13"/>
  <c r="FI247" i="13"/>
  <c r="FK247" i="13"/>
  <c r="FL247" i="13"/>
  <c r="FH248" i="13"/>
  <c r="FI248" i="13"/>
  <c r="FK248" i="13"/>
  <c r="FL248" i="13"/>
  <c r="FH249" i="13"/>
  <c r="FI249" i="13"/>
  <c r="FK249" i="13"/>
  <c r="FL249" i="13"/>
  <c r="FH250" i="13"/>
  <c r="FI250" i="13"/>
  <c r="FK250" i="13"/>
  <c r="FL250" i="13"/>
  <c r="FH251" i="13"/>
  <c r="FI251" i="13"/>
  <c r="FK251" i="13"/>
  <c r="FL251" i="13"/>
  <c r="FH252" i="13"/>
  <c r="FI252" i="13"/>
  <c r="FK252" i="13"/>
  <c r="FH253" i="13"/>
  <c r="FI253" i="13"/>
  <c r="FK253" i="13"/>
  <c r="FL253" i="13"/>
  <c r="FH254" i="13"/>
  <c r="FI254" i="13"/>
  <c r="FK254" i="13"/>
  <c r="FL254" i="13"/>
  <c r="FH255" i="13"/>
  <c r="FI255" i="13"/>
  <c r="FK255" i="13"/>
  <c r="FL255" i="13"/>
  <c r="FH256" i="13"/>
  <c r="FI256" i="13"/>
  <c r="FK256" i="13"/>
  <c r="FL256" i="13"/>
  <c r="FH257" i="13"/>
  <c r="FI257" i="13"/>
  <c r="FK257" i="13"/>
  <c r="FL257" i="13"/>
  <c r="FH258" i="13"/>
  <c r="FI258" i="13"/>
  <c r="FK258" i="13"/>
  <c r="FL258" i="13"/>
  <c r="FH259" i="13"/>
  <c r="FI259" i="13"/>
  <c r="FK259" i="13"/>
  <c r="FL259" i="13"/>
  <c r="FH260" i="13"/>
  <c r="FI260" i="13"/>
  <c r="FK260" i="13"/>
  <c r="FH261" i="13"/>
  <c r="FI261" i="13"/>
  <c r="FK261" i="13"/>
  <c r="FL261" i="13"/>
  <c r="FH262" i="13"/>
  <c r="FI262" i="13"/>
  <c r="FK262" i="13"/>
  <c r="FL262" i="13"/>
  <c r="FH263" i="13"/>
  <c r="FI263" i="13"/>
  <c r="FK263" i="13"/>
  <c r="FL263" i="13"/>
  <c r="FH264" i="13"/>
  <c r="FI264" i="13"/>
  <c r="FK264" i="13"/>
  <c r="FL264" i="13"/>
  <c r="FH265" i="13"/>
  <c r="FI265" i="13"/>
  <c r="FK265" i="13"/>
  <c r="FL265" i="13"/>
  <c r="FH266" i="13"/>
  <c r="FI266" i="13"/>
  <c r="FK266" i="13"/>
  <c r="FL266" i="13"/>
  <c r="FH267" i="13"/>
  <c r="FI267" i="13"/>
  <c r="FK267" i="13"/>
  <c r="FL267" i="13"/>
  <c r="FH268" i="13"/>
  <c r="FI268" i="13"/>
  <c r="FK268" i="13"/>
  <c r="FH269" i="13"/>
  <c r="FI269" i="13"/>
  <c r="FK269" i="13"/>
  <c r="FL269" i="13"/>
  <c r="FH270" i="13"/>
  <c r="FI270" i="13"/>
  <c r="FK270" i="13"/>
  <c r="FL270" i="13"/>
  <c r="FH271" i="13"/>
  <c r="FI271" i="13"/>
  <c r="FK271" i="13"/>
  <c r="FL271" i="13"/>
  <c r="FH272" i="13"/>
  <c r="FI272" i="13"/>
  <c r="FK272" i="13"/>
  <c r="FL272" i="13"/>
  <c r="FH273" i="13"/>
  <c r="FI273" i="13"/>
  <c r="FK273" i="13"/>
  <c r="FL273" i="13"/>
  <c r="FH274" i="13"/>
  <c r="FI274" i="13"/>
  <c r="FK274" i="13"/>
  <c r="FL274" i="13"/>
  <c r="FH275" i="13"/>
  <c r="FI275" i="13"/>
  <c r="FK275" i="13"/>
  <c r="FL275" i="13"/>
  <c r="FH276" i="13"/>
  <c r="FI276" i="13"/>
  <c r="FK276" i="13"/>
  <c r="FH277" i="13"/>
  <c r="FI277" i="13"/>
  <c r="FK277" i="13"/>
  <c r="FL277" i="13"/>
  <c r="FH278" i="13"/>
  <c r="FI278" i="13"/>
  <c r="FK278" i="13"/>
  <c r="FL278" i="13"/>
  <c r="FH279" i="13"/>
  <c r="FI279" i="13"/>
  <c r="FK279" i="13"/>
  <c r="FL279" i="13"/>
  <c r="FH280" i="13"/>
  <c r="FI280" i="13"/>
  <c r="FK280" i="13"/>
  <c r="FL280" i="13"/>
  <c r="FH281" i="13"/>
  <c r="FI281" i="13"/>
  <c r="FK281" i="13"/>
  <c r="FL281" i="13"/>
  <c r="FH282" i="13"/>
  <c r="FI282" i="13"/>
  <c r="FK282" i="13"/>
  <c r="FL282" i="13"/>
  <c r="FH283" i="13"/>
  <c r="FI283" i="13"/>
  <c r="FK283" i="13"/>
  <c r="FL283" i="13"/>
  <c r="FH284" i="13"/>
  <c r="FI284" i="13"/>
  <c r="FK284" i="13"/>
  <c r="FH285" i="13"/>
  <c r="FI285" i="13"/>
  <c r="FK285" i="13"/>
  <c r="FL285" i="13"/>
  <c r="FH286" i="13"/>
  <c r="FI286" i="13"/>
  <c r="FK286" i="13"/>
  <c r="FL286" i="13"/>
  <c r="FH287" i="13"/>
  <c r="FI287" i="13"/>
  <c r="FK287" i="13"/>
  <c r="FL287" i="13"/>
  <c r="FH288" i="13"/>
  <c r="FI288" i="13"/>
  <c r="FK288" i="13"/>
  <c r="FL288" i="13"/>
  <c r="FH289" i="13"/>
  <c r="FI289" i="13"/>
  <c r="FK289" i="13"/>
  <c r="FL289" i="13"/>
  <c r="FH290" i="13"/>
  <c r="FI290" i="13"/>
  <c r="FK290" i="13"/>
  <c r="FL290" i="13"/>
  <c r="FH291" i="13"/>
  <c r="FI291" i="13"/>
  <c r="FK291" i="13"/>
  <c r="FL291" i="13"/>
  <c r="FH292" i="13"/>
  <c r="FI292" i="13"/>
  <c r="FK292" i="13"/>
  <c r="FH293" i="13"/>
  <c r="FI293" i="13"/>
  <c r="FK293" i="13"/>
  <c r="FL293" i="13"/>
  <c r="FH294" i="13"/>
  <c r="FI294" i="13"/>
  <c r="FK294" i="13"/>
  <c r="FL294" i="13"/>
  <c r="FH295" i="13"/>
  <c r="FI295" i="13"/>
  <c r="FK295" i="13"/>
  <c r="FL295" i="13"/>
  <c r="FH296" i="13"/>
  <c r="FI296" i="13"/>
  <c r="FK296" i="13"/>
  <c r="FL296" i="13"/>
  <c r="FH297" i="13"/>
  <c r="FI297" i="13"/>
  <c r="FK297" i="13"/>
  <c r="FL297" i="13"/>
  <c r="FH298" i="13"/>
  <c r="FI298" i="13"/>
  <c r="FK298" i="13"/>
  <c r="FL298" i="13"/>
  <c r="FH299" i="13"/>
  <c r="FI299" i="13"/>
  <c r="FK299" i="13"/>
  <c r="FL299" i="13"/>
  <c r="FH300" i="13"/>
  <c r="FI300" i="13"/>
  <c r="FK300" i="13"/>
  <c r="FH301" i="13"/>
  <c r="FI301" i="13"/>
  <c r="FK301" i="13"/>
  <c r="FL301" i="13"/>
  <c r="FH302" i="13"/>
  <c r="FI302" i="13"/>
  <c r="FK302" i="13"/>
  <c r="FL302" i="13"/>
  <c r="FH303" i="13"/>
  <c r="FI303" i="13"/>
  <c r="FK303" i="13"/>
  <c r="FL303" i="13"/>
  <c r="FH304" i="13"/>
  <c r="FI304" i="13"/>
  <c r="FK304" i="13"/>
  <c r="FL304" i="13"/>
  <c r="FH305" i="13"/>
  <c r="FI305" i="13"/>
  <c r="FK305" i="13"/>
  <c r="FL305" i="13"/>
  <c r="FH306" i="13"/>
  <c r="FI306" i="13"/>
  <c r="FK306" i="13"/>
  <c r="FL306" i="13"/>
  <c r="FH307" i="13"/>
  <c r="FI307" i="13"/>
  <c r="FK307" i="13"/>
  <c r="FL307" i="13"/>
  <c r="FH308" i="13"/>
  <c r="FI308" i="13"/>
  <c r="FK308" i="13"/>
  <c r="FH309" i="13"/>
  <c r="FI309" i="13"/>
  <c r="FK309" i="13"/>
  <c r="FL309" i="13"/>
  <c r="FH310" i="13"/>
  <c r="FI310" i="13"/>
  <c r="FK310" i="13"/>
  <c r="FL310" i="13"/>
  <c r="FH311" i="13"/>
  <c r="FI311" i="13"/>
  <c r="FK311" i="13"/>
  <c r="FL311" i="13"/>
  <c r="FH312" i="13"/>
  <c r="FI312" i="13"/>
  <c r="FK312" i="13"/>
  <c r="FL312" i="13"/>
  <c r="FH313" i="13"/>
  <c r="FI313" i="13"/>
  <c r="FK313" i="13"/>
  <c r="FL313" i="13"/>
  <c r="FH314" i="13"/>
  <c r="FI314" i="13"/>
  <c r="FK314" i="13"/>
  <c r="FL314" i="13"/>
  <c r="FH315" i="13"/>
  <c r="FI315" i="13"/>
  <c r="FK315" i="13"/>
  <c r="FL315" i="13"/>
  <c r="FH316" i="13"/>
  <c r="FI316" i="13"/>
  <c r="FK316" i="13"/>
  <c r="FH317" i="13"/>
  <c r="FI317" i="13"/>
  <c r="FK317" i="13"/>
  <c r="FL317" i="13"/>
  <c r="FH318" i="13"/>
  <c r="FI318" i="13"/>
  <c r="FK318" i="13"/>
  <c r="FL318" i="13"/>
  <c r="FH319" i="13"/>
  <c r="FI319" i="13"/>
  <c r="FK319" i="13"/>
  <c r="FL319" i="13"/>
  <c r="FH5" i="13"/>
  <c r="FI5" i="13"/>
  <c r="GA169" i="13" l="1"/>
  <c r="FS169" i="13"/>
  <c r="FT169" i="13"/>
  <c r="GI164" i="13"/>
  <c r="GI170" i="13"/>
  <c r="GG12" i="13"/>
  <c r="FQ93" i="13"/>
  <c r="FR116" i="13"/>
  <c r="FR121" i="13"/>
  <c r="GH124" i="13"/>
  <c r="FR125" i="13"/>
  <c r="FZ127" i="13"/>
  <c r="GH129" i="13"/>
  <c r="FZ133" i="13"/>
  <c r="GH135" i="13"/>
  <c r="FR137" i="13"/>
  <c r="FZ141" i="13"/>
  <c r="GG143" i="13"/>
  <c r="FR144" i="13"/>
  <c r="FZ145" i="13"/>
  <c r="GG147" i="13"/>
  <c r="GH149" i="13"/>
  <c r="FR150" i="13"/>
  <c r="FQ169" i="13"/>
  <c r="GG169" i="13"/>
  <c r="FQ13" i="13"/>
  <c r="GH103" i="13"/>
  <c r="FZ107" i="13"/>
  <c r="GH109" i="13"/>
  <c r="FZ113" i="13"/>
  <c r="GH115" i="13"/>
  <c r="FR117" i="13"/>
  <c r="FZ119" i="13"/>
  <c r="GH120" i="13"/>
  <c r="FZ128" i="13"/>
  <c r="FR131" i="13"/>
  <c r="FZ134" i="13"/>
  <c r="GH136" i="13"/>
  <c r="FR138" i="13"/>
  <c r="FZ142" i="13"/>
  <c r="GH143" i="13"/>
  <c r="FZ146" i="13"/>
  <c r="GH147" i="13"/>
  <c r="FR148" i="13"/>
  <c r="FR169" i="13"/>
  <c r="FZ169" i="13"/>
  <c r="GH169" i="13"/>
  <c r="GG45" i="13"/>
  <c r="FQ46" i="13"/>
  <c r="GG81" i="13"/>
  <c r="FZ108" i="13"/>
  <c r="FR111" i="13"/>
  <c r="GH116" i="13"/>
  <c r="FR118" i="13"/>
  <c r="FZ120" i="13"/>
  <c r="GG121" i="13"/>
  <c r="FR122" i="13"/>
  <c r="FZ124" i="13"/>
  <c r="FZ129" i="13"/>
  <c r="GH130" i="13"/>
  <c r="FZ135" i="13"/>
  <c r="GH137" i="13"/>
  <c r="FR139" i="13"/>
  <c r="FZ143" i="13"/>
  <c r="FR145" i="13"/>
  <c r="FZ147" i="13"/>
  <c r="FZ149" i="13"/>
  <c r="GH164" i="13"/>
  <c r="FZ115" i="13"/>
  <c r="GH117" i="13"/>
  <c r="GH121" i="13"/>
  <c r="FR123" i="13"/>
  <c r="FR126" i="13"/>
  <c r="FR132" i="13"/>
  <c r="FZ136" i="13"/>
  <c r="GH138" i="13"/>
  <c r="FR140" i="13"/>
  <c r="GH144" i="13"/>
  <c r="GH150" i="13"/>
  <c r="FR164" i="13"/>
  <c r="FZ164" i="13"/>
  <c r="FQ170" i="13"/>
  <c r="GG170" i="13"/>
  <c r="FQ67" i="13"/>
  <c r="FZ116" i="13"/>
  <c r="FR119" i="13"/>
  <c r="FZ121" i="13"/>
  <c r="GH122" i="13"/>
  <c r="GH125" i="13"/>
  <c r="FR127" i="13"/>
  <c r="FZ130" i="13"/>
  <c r="GH131" i="13"/>
  <c r="FR133" i="13"/>
  <c r="FZ137" i="13"/>
  <c r="GH139" i="13"/>
  <c r="FR141" i="13"/>
  <c r="FR170" i="13"/>
  <c r="FZ170" i="13"/>
  <c r="GH170" i="13"/>
  <c r="FZ110" i="13"/>
  <c r="GH111" i="13"/>
  <c r="FR113" i="13"/>
  <c r="FZ117" i="13"/>
  <c r="GH118" i="13"/>
  <c r="GH123" i="13"/>
  <c r="FR124" i="13"/>
  <c r="GH126" i="13"/>
  <c r="FR128" i="13"/>
  <c r="GH132" i="13"/>
  <c r="FR134" i="13"/>
  <c r="FZ138" i="13"/>
  <c r="GH140" i="13"/>
  <c r="FR142" i="13"/>
  <c r="FZ144" i="13"/>
  <c r="FR146" i="13"/>
  <c r="GH148" i="13"/>
  <c r="FR149" i="13"/>
  <c r="FZ150" i="13"/>
  <c r="GG22" i="13"/>
  <c r="GG20" i="13"/>
  <c r="GG8" i="13"/>
  <c r="GG53" i="13"/>
  <c r="FQ83" i="13"/>
  <c r="GG107" i="13"/>
  <c r="GG118" i="13"/>
  <c r="FQ23" i="13"/>
  <c r="GG30" i="13"/>
  <c r="GG6" i="13"/>
  <c r="GI10" i="13"/>
  <c r="FQ16" i="13"/>
  <c r="FQ26" i="13"/>
  <c r="GG28" i="13"/>
  <c r="FQ34" i="13"/>
  <c r="GG36" i="13"/>
  <c r="GG38" i="13"/>
  <c r="FQ39" i="13"/>
  <c r="GG40" i="13"/>
  <c r="GG48" i="13"/>
  <c r="FQ56" i="13"/>
  <c r="FQ59" i="13"/>
  <c r="GG61" i="13"/>
  <c r="FQ164" i="13"/>
  <c r="GG164" i="13"/>
  <c r="FQ18" i="13"/>
  <c r="GA10" i="13"/>
  <c r="GG13" i="13"/>
  <c r="FQ14" i="13"/>
  <c r="GG21" i="13"/>
  <c r="FQ22" i="13"/>
  <c r="GG46" i="13"/>
  <c r="FQ47" i="13"/>
  <c r="GG73" i="13"/>
  <c r="GG140" i="13"/>
  <c r="GG24" i="13"/>
  <c r="GG57" i="13"/>
  <c r="GG111" i="13"/>
  <c r="FQ5" i="13"/>
  <c r="FQ9" i="13"/>
  <c r="FQ31" i="13"/>
  <c r="FQ24" i="13"/>
  <c r="FQ32" i="13"/>
  <c r="FQ42" i="13"/>
  <c r="GG44" i="13"/>
  <c r="FQ50" i="13"/>
  <c r="GG52" i="13"/>
  <c r="GG99" i="13"/>
  <c r="GG104" i="13"/>
  <c r="GG128" i="13"/>
  <c r="GG5" i="13"/>
  <c r="GG29" i="13"/>
  <c r="FQ30" i="13"/>
  <c r="GG37" i="13"/>
  <c r="FQ38" i="13"/>
  <c r="GG65" i="13"/>
  <c r="GG95" i="13"/>
  <c r="GG32" i="13"/>
  <c r="FQ6" i="13"/>
  <c r="GG7" i="13"/>
  <c r="FT10" i="13"/>
  <c r="GG16" i="13"/>
  <c r="FQ40" i="13"/>
  <c r="FQ48" i="13"/>
  <c r="GG54" i="13"/>
  <c r="FQ55" i="13"/>
  <c r="FQ75" i="13"/>
  <c r="GG87" i="13"/>
  <c r="GI117" i="13"/>
  <c r="FS118" i="13"/>
  <c r="GA125" i="13"/>
  <c r="GA9" i="13"/>
  <c r="GA11" i="13"/>
  <c r="GI11" i="13"/>
  <c r="FS12" i="13"/>
  <c r="GI66" i="13"/>
  <c r="GA68" i="13"/>
  <c r="GA80" i="13"/>
  <c r="GA89" i="13"/>
  <c r="GC102" i="13"/>
  <c r="GI113" i="13"/>
  <c r="GI131" i="13"/>
  <c r="FS132" i="13"/>
  <c r="GI135" i="13"/>
  <c r="FS136" i="13"/>
  <c r="AE25" i="6"/>
  <c r="FS146" i="13"/>
  <c r="FS143" i="13"/>
  <c r="FS141" i="13"/>
  <c r="FS128" i="13"/>
  <c r="FS126" i="13"/>
  <c r="FS121" i="13"/>
  <c r="FS105" i="13"/>
  <c r="FS100" i="13"/>
  <c r="FS93" i="13"/>
  <c r="FS90" i="13"/>
  <c r="FS85" i="13"/>
  <c r="FS82" i="13"/>
  <c r="FS79" i="13"/>
  <c r="FS73" i="13"/>
  <c r="FS55" i="13"/>
  <c r="FS47" i="13"/>
  <c r="FS39" i="13"/>
  <c r="FS31" i="13"/>
  <c r="FS23" i="13"/>
  <c r="FS15" i="13"/>
  <c r="FS8" i="13"/>
  <c r="FS150" i="13"/>
  <c r="FS139" i="13"/>
  <c r="FS137" i="13"/>
  <c r="FS135" i="13"/>
  <c r="FS133" i="13"/>
  <c r="FS119" i="13"/>
  <c r="FS88" i="13"/>
  <c r="FS68" i="13"/>
  <c r="FS62" i="13"/>
  <c r="FS59" i="13"/>
  <c r="FS51" i="13"/>
  <c r="FS43" i="13"/>
  <c r="FS35" i="13"/>
  <c r="FS27" i="13"/>
  <c r="FS19" i="13"/>
  <c r="FS9" i="13"/>
  <c r="FS144" i="13"/>
  <c r="FS122" i="13"/>
  <c r="FS106" i="13"/>
  <c r="FS91" i="13"/>
  <c r="FS86" i="13"/>
  <c r="FS131" i="13"/>
  <c r="FS124" i="13"/>
  <c r="FS110" i="13"/>
  <c r="FS108" i="13"/>
  <c r="FS103" i="13"/>
  <c r="FS98" i="13"/>
  <c r="FS96" i="13"/>
  <c r="FS83" i="13"/>
  <c r="FS77" i="13"/>
  <c r="FS74" i="13"/>
  <c r="FS71" i="13"/>
  <c r="FS65" i="13"/>
  <c r="FS56" i="13"/>
  <c r="FS48" i="13"/>
  <c r="FS40" i="13"/>
  <c r="FS32" i="13"/>
  <c r="FS24" i="13"/>
  <c r="FS16" i="13"/>
  <c r="FS129" i="13"/>
  <c r="FS117" i="13"/>
  <c r="FS113" i="13"/>
  <c r="FS101" i="13"/>
  <c r="FS115" i="13"/>
  <c r="FS147" i="13"/>
  <c r="FS142" i="13"/>
  <c r="FS127" i="13"/>
  <c r="FS120" i="13"/>
  <c r="FS94" i="13"/>
  <c r="FS89" i="13"/>
  <c r="FS75" i="13"/>
  <c r="FS69" i="13"/>
  <c r="FS66" i="13"/>
  <c r="FS63" i="13"/>
  <c r="FS60" i="13"/>
  <c r="FS52" i="13"/>
  <c r="FS49" i="13"/>
  <c r="FS44" i="13"/>
  <c r="FS41" i="13"/>
  <c r="FS36" i="13"/>
  <c r="FS33" i="13"/>
  <c r="FS28" i="13"/>
  <c r="FS25" i="13"/>
  <c r="FS20" i="13"/>
  <c r="FS17" i="13"/>
  <c r="FS148" i="13"/>
  <c r="FS145" i="13"/>
  <c r="FS109" i="13"/>
  <c r="FS104" i="13"/>
  <c r="FS97" i="13"/>
  <c r="FS92" i="13"/>
  <c r="FS87" i="13"/>
  <c r="FS81" i="13"/>
  <c r="FS67" i="13"/>
  <c r="FS53" i="13"/>
  <c r="FS50" i="13"/>
  <c r="FS45" i="13"/>
  <c r="FS42" i="13"/>
  <c r="FS37" i="13"/>
  <c r="FS34" i="13"/>
  <c r="FS29" i="13"/>
  <c r="FS26" i="13"/>
  <c r="FS21" i="13"/>
  <c r="FS18" i="13"/>
  <c r="FS13" i="13"/>
  <c r="FS149" i="13"/>
  <c r="FS130" i="13"/>
  <c r="GA140" i="13"/>
  <c r="GA138" i="13"/>
  <c r="GA136" i="13"/>
  <c r="GA134" i="13"/>
  <c r="GA132" i="13"/>
  <c r="GA104" i="13"/>
  <c r="GA99" i="13"/>
  <c r="GA92" i="13"/>
  <c r="GA81" i="13"/>
  <c r="GA67" i="13"/>
  <c r="GA50" i="13"/>
  <c r="GA45" i="13"/>
  <c r="GA42" i="13"/>
  <c r="GA37" i="13"/>
  <c r="GA34" i="13"/>
  <c r="GA29" i="13"/>
  <c r="GA26" i="13"/>
  <c r="GA21" i="13"/>
  <c r="GA18" i="13"/>
  <c r="GA13" i="13"/>
  <c r="GA7" i="13"/>
  <c r="GA149" i="13"/>
  <c r="GA130" i="13"/>
  <c r="GA118" i="13"/>
  <c r="GA109" i="13"/>
  <c r="GA97" i="13"/>
  <c r="GA87" i="13"/>
  <c r="GA76" i="13"/>
  <c r="GA70" i="13"/>
  <c r="GA64" i="13"/>
  <c r="GA61" i="13"/>
  <c r="GA58" i="13"/>
  <c r="GA54" i="13"/>
  <c r="GA46" i="13"/>
  <c r="GA38" i="13"/>
  <c r="GA30" i="13"/>
  <c r="GA22" i="13"/>
  <c r="GA14" i="13"/>
  <c r="GA126" i="13"/>
  <c r="GA121" i="13"/>
  <c r="GA119" i="13"/>
  <c r="GA93" i="13"/>
  <c r="GA88" i="13"/>
  <c r="GA123" i="13"/>
  <c r="GA116" i="13"/>
  <c r="GA112" i="13"/>
  <c r="GA107" i="13"/>
  <c r="GA105" i="13"/>
  <c r="GA100" i="13"/>
  <c r="GA95" i="13"/>
  <c r="GA90" i="13"/>
  <c r="GA85" i="13"/>
  <c r="GA82" i="13"/>
  <c r="GA79" i="13"/>
  <c r="GA73" i="13"/>
  <c r="GA55" i="13"/>
  <c r="GA47" i="13"/>
  <c r="GA39" i="13"/>
  <c r="GA31" i="13"/>
  <c r="GA23" i="13"/>
  <c r="GA15" i="13"/>
  <c r="GA8" i="13"/>
  <c r="GA128" i="13"/>
  <c r="GA150" i="13"/>
  <c r="GA146" i="13"/>
  <c r="GA143" i="13"/>
  <c r="GA141" i="13"/>
  <c r="GA139" i="13"/>
  <c r="GA137" i="13"/>
  <c r="GA135" i="13"/>
  <c r="GA133" i="13"/>
  <c r="GA131" i="13"/>
  <c r="GA124" i="13"/>
  <c r="GA110" i="13"/>
  <c r="GA98" i="13"/>
  <c r="GA83" i="13"/>
  <c r="GA77" i="13"/>
  <c r="GA74" i="13"/>
  <c r="GA71" i="13"/>
  <c r="GA65" i="13"/>
  <c r="GA56" i="13"/>
  <c r="GA48" i="13"/>
  <c r="GA40" i="13"/>
  <c r="GA32" i="13"/>
  <c r="GA24" i="13"/>
  <c r="GA16" i="13"/>
  <c r="GA129" i="13"/>
  <c r="GA122" i="13"/>
  <c r="GA117" i="13"/>
  <c r="GA115" i="13"/>
  <c r="GA113" i="13"/>
  <c r="GA106" i="13"/>
  <c r="GA101" i="13"/>
  <c r="GA94" i="13"/>
  <c r="GA75" i="13"/>
  <c r="GA69" i="13"/>
  <c r="GA66" i="13"/>
  <c r="GA63" i="13"/>
  <c r="GA60" i="13"/>
  <c r="GA52" i="13"/>
  <c r="GA49" i="13"/>
  <c r="GA44" i="13"/>
  <c r="GA41" i="13"/>
  <c r="GA36" i="13"/>
  <c r="GA33" i="13"/>
  <c r="GA28" i="13"/>
  <c r="GA25" i="13"/>
  <c r="GA20" i="13"/>
  <c r="GA17" i="13"/>
  <c r="GA148" i="13"/>
  <c r="GA147" i="13"/>
  <c r="GA145" i="13"/>
  <c r="GA142" i="13"/>
  <c r="GI148" i="13"/>
  <c r="GI145" i="13"/>
  <c r="GI142" i="13"/>
  <c r="GI140" i="13"/>
  <c r="GI127" i="13"/>
  <c r="GI125" i="13"/>
  <c r="GI120" i="13"/>
  <c r="GI104" i="13"/>
  <c r="GI99" i="13"/>
  <c r="GI89" i="13"/>
  <c r="GI84" i="13"/>
  <c r="GI81" i="13"/>
  <c r="GI78" i="13"/>
  <c r="GI72" i="13"/>
  <c r="GI45" i="13"/>
  <c r="GI37" i="13"/>
  <c r="GI29" i="13"/>
  <c r="GI21" i="13"/>
  <c r="GI13" i="13"/>
  <c r="GI7" i="13"/>
  <c r="GI138" i="13"/>
  <c r="GI136" i="13"/>
  <c r="GI134" i="13"/>
  <c r="GI132" i="13"/>
  <c r="GI118" i="13"/>
  <c r="GI92" i="13"/>
  <c r="GI87" i="13"/>
  <c r="GI67" i="13"/>
  <c r="GI61" i="13"/>
  <c r="GI54" i="13"/>
  <c r="GI50" i="13"/>
  <c r="GI46" i="13"/>
  <c r="GI42" i="13"/>
  <c r="GI38" i="13"/>
  <c r="GI34" i="13"/>
  <c r="GI30" i="13"/>
  <c r="GI26" i="13"/>
  <c r="GI22" i="13"/>
  <c r="GI18" i="13"/>
  <c r="GI14" i="13"/>
  <c r="GI128" i="13"/>
  <c r="GI116" i="13"/>
  <c r="GI100" i="13"/>
  <c r="GI82" i="13"/>
  <c r="GI149" i="13"/>
  <c r="GI130" i="13"/>
  <c r="GI109" i="13"/>
  <c r="GI107" i="13"/>
  <c r="GI97" i="13"/>
  <c r="GI95" i="13"/>
  <c r="GI76" i="13"/>
  <c r="GI73" i="13"/>
  <c r="GI70" i="13"/>
  <c r="GI64" i="13"/>
  <c r="GI58" i="13"/>
  <c r="GI8" i="13"/>
  <c r="GI123" i="13"/>
  <c r="GI121" i="13"/>
  <c r="GI105" i="13"/>
  <c r="GI143" i="13"/>
  <c r="GI112" i="13"/>
  <c r="GI90" i="13"/>
  <c r="GI85" i="13"/>
  <c r="GI150" i="13"/>
  <c r="GI146" i="13"/>
  <c r="GI141" i="13"/>
  <c r="GI126" i="13"/>
  <c r="GI119" i="13"/>
  <c r="GI93" i="13"/>
  <c r="GI88" i="13"/>
  <c r="GI68" i="13"/>
  <c r="GI65" i="13"/>
  <c r="GI62" i="13"/>
  <c r="GI59" i="13"/>
  <c r="GI51" i="13"/>
  <c r="GI48" i="13"/>
  <c r="GI43" i="13"/>
  <c r="GI40" i="13"/>
  <c r="GI35" i="13"/>
  <c r="GI32" i="13"/>
  <c r="GI27" i="13"/>
  <c r="GI24" i="13"/>
  <c r="GI19" i="13"/>
  <c r="GI16" i="13"/>
  <c r="GI9" i="13"/>
  <c r="GI144" i="13"/>
  <c r="GI108" i="13"/>
  <c r="GI103" i="13"/>
  <c r="GI96" i="13"/>
  <c r="GI91" i="13"/>
  <c r="GI86" i="13"/>
  <c r="GI80" i="13"/>
  <c r="GI52" i="13"/>
  <c r="GI44" i="13"/>
  <c r="GI36" i="13"/>
  <c r="GI28" i="13"/>
  <c r="GI20" i="13"/>
  <c r="GI147" i="13"/>
  <c r="GI129" i="13"/>
  <c r="FY102" i="13"/>
  <c r="GK102" i="13"/>
  <c r="GI5" i="13"/>
  <c r="GA6" i="13"/>
  <c r="GI6" i="13"/>
  <c r="FS7" i="13"/>
  <c r="GI17" i="13"/>
  <c r="GA19" i="13"/>
  <c r="GI33" i="13"/>
  <c r="GA35" i="13"/>
  <c r="GI49" i="13"/>
  <c r="GA51" i="13"/>
  <c r="GI79" i="13"/>
  <c r="FS80" i="13"/>
  <c r="GA86" i="13"/>
  <c r="GI94" i="13"/>
  <c r="FS95" i="13"/>
  <c r="GI101" i="13"/>
  <c r="GA127" i="13"/>
  <c r="GA5" i="13"/>
  <c r="FS14" i="13"/>
  <c r="GI15" i="13"/>
  <c r="FS30" i="13"/>
  <c r="GI31" i="13"/>
  <c r="FS46" i="13"/>
  <c r="GI47" i="13"/>
  <c r="GA57" i="13"/>
  <c r="GI57" i="13"/>
  <c r="FS58" i="13"/>
  <c r="GI77" i="13"/>
  <c r="FS78" i="13"/>
  <c r="GI98" i="13"/>
  <c r="FS99" i="13"/>
  <c r="GI115" i="13"/>
  <c r="FS116" i="13"/>
  <c r="GI122" i="13"/>
  <c r="FS123" i="13"/>
  <c r="FQ114" i="13"/>
  <c r="GC114" i="13"/>
  <c r="GC10" i="13"/>
  <c r="FS5" i="13"/>
  <c r="FS6" i="13"/>
  <c r="GA59" i="13"/>
  <c r="GA108" i="13"/>
  <c r="GA111" i="13"/>
  <c r="GI111" i="13"/>
  <c r="FS112" i="13"/>
  <c r="GI133" i="13"/>
  <c r="FS134" i="13"/>
  <c r="GI137" i="13"/>
  <c r="FS138" i="13"/>
  <c r="GA144" i="13"/>
  <c r="FN114" i="13"/>
  <c r="FL114" i="13" s="1"/>
  <c r="FN10" i="13"/>
  <c r="FL10" i="13" s="1"/>
  <c r="GI56" i="13"/>
  <c r="FS57" i="13"/>
  <c r="GI60" i="13"/>
  <c r="FS61" i="13"/>
  <c r="GA72" i="13"/>
  <c r="GI75" i="13"/>
  <c r="FS76" i="13"/>
  <c r="GA84" i="13"/>
  <c r="GA91" i="13"/>
  <c r="GI106" i="13"/>
  <c r="FS107" i="13"/>
  <c r="GA12" i="13"/>
  <c r="GI12" i="13"/>
  <c r="GI25" i="13"/>
  <c r="GA27" i="13"/>
  <c r="GI41" i="13"/>
  <c r="GA43" i="13"/>
  <c r="GA62" i="13"/>
  <c r="GI110" i="13"/>
  <c r="FS111" i="13"/>
  <c r="GK10" i="13"/>
  <c r="FQ7" i="13"/>
  <c r="FQ8" i="13"/>
  <c r="GG15" i="13"/>
  <c r="FQ17" i="13"/>
  <c r="GG23" i="13"/>
  <c r="FQ25" i="13"/>
  <c r="GG31" i="13"/>
  <c r="FQ33" i="13"/>
  <c r="GG39" i="13"/>
  <c r="FQ41" i="13"/>
  <c r="GG47" i="13"/>
  <c r="FQ49" i="13"/>
  <c r="GG56" i="13"/>
  <c r="FQ58" i="13"/>
  <c r="GG64" i="13"/>
  <c r="FQ66" i="13"/>
  <c r="GG72" i="13"/>
  <c r="FQ74" i="13"/>
  <c r="GG80" i="13"/>
  <c r="FQ82" i="13"/>
  <c r="GG91" i="13"/>
  <c r="GG103" i="13"/>
  <c r="GG117" i="13"/>
  <c r="GG125" i="13"/>
  <c r="GG134" i="13"/>
  <c r="GG137" i="13"/>
  <c r="FQ144" i="13"/>
  <c r="GG148" i="13"/>
  <c r="GG149" i="13"/>
  <c r="GG150" i="13"/>
  <c r="GG55" i="13"/>
  <c r="FQ57" i="13"/>
  <c r="GG63" i="13"/>
  <c r="FQ65" i="13"/>
  <c r="GG71" i="13"/>
  <c r="FQ73" i="13"/>
  <c r="GG79" i="13"/>
  <c r="FQ81" i="13"/>
  <c r="GG86" i="13"/>
  <c r="GG90" i="13"/>
  <c r="GG98" i="13"/>
  <c r="FQ104" i="13"/>
  <c r="GG110" i="13"/>
  <c r="GG113" i="13"/>
  <c r="FQ118" i="13"/>
  <c r="GG131" i="13"/>
  <c r="GG142" i="13"/>
  <c r="FQ148" i="13"/>
  <c r="FY114" i="13"/>
  <c r="GG62" i="13"/>
  <c r="FQ64" i="13"/>
  <c r="GG70" i="13"/>
  <c r="FQ72" i="13"/>
  <c r="GG78" i="13"/>
  <c r="FQ80" i="13"/>
  <c r="FQ87" i="13"/>
  <c r="GG89" i="13"/>
  <c r="FQ91" i="13"/>
  <c r="GG94" i="13"/>
  <c r="GG97" i="13"/>
  <c r="FQ99" i="13"/>
  <c r="GG101" i="13"/>
  <c r="GG106" i="13"/>
  <c r="GG109" i="13"/>
  <c r="GG116" i="13"/>
  <c r="GG120" i="13"/>
  <c r="GG123" i="13"/>
  <c r="GG124" i="13"/>
  <c r="GG127" i="13"/>
  <c r="GG136" i="13"/>
  <c r="GG139" i="13"/>
  <c r="FQ143" i="13"/>
  <c r="GG146" i="13"/>
  <c r="FQ149" i="13"/>
  <c r="FQ150" i="13"/>
  <c r="FQ63" i="13"/>
  <c r="GG69" i="13"/>
  <c r="FQ71" i="13"/>
  <c r="GG77" i="13"/>
  <c r="FQ79" i="13"/>
  <c r="GG85" i="13"/>
  <c r="FQ90" i="13"/>
  <c r="FQ98" i="13"/>
  <c r="FQ103" i="13"/>
  <c r="FQ110" i="13"/>
  <c r="FQ117" i="13"/>
  <c r="GG130" i="13"/>
  <c r="GG133" i="13"/>
  <c r="FQ137" i="13"/>
  <c r="FS114" i="13"/>
  <c r="GG19" i="13"/>
  <c r="FQ21" i="13"/>
  <c r="GG27" i="13"/>
  <c r="FQ29" i="13"/>
  <c r="GG35" i="13"/>
  <c r="FQ37" i="13"/>
  <c r="GG43" i="13"/>
  <c r="FQ45" i="13"/>
  <c r="GG51" i="13"/>
  <c r="FQ53" i="13"/>
  <c r="FQ54" i="13"/>
  <c r="GG60" i="13"/>
  <c r="FQ62" i="13"/>
  <c r="GG68" i="13"/>
  <c r="FQ70" i="13"/>
  <c r="GG76" i="13"/>
  <c r="FQ78" i="13"/>
  <c r="GG84" i="13"/>
  <c r="GG93" i="13"/>
  <c r="GG96" i="13"/>
  <c r="GG108" i="13"/>
  <c r="GG112" i="13"/>
  <c r="GG122" i="13"/>
  <c r="FQ124" i="13"/>
  <c r="GG129" i="13"/>
  <c r="GG141" i="13"/>
  <c r="GG9" i="13"/>
  <c r="FQ12" i="13"/>
  <c r="GG18" i="13"/>
  <c r="FQ20" i="13"/>
  <c r="GG26" i="13"/>
  <c r="FQ28" i="13"/>
  <c r="GG34" i="13"/>
  <c r="FQ36" i="13"/>
  <c r="GG42" i="13"/>
  <c r="FQ44" i="13"/>
  <c r="GG50" i="13"/>
  <c r="FQ52" i="13"/>
  <c r="GG59" i="13"/>
  <c r="FQ61" i="13"/>
  <c r="GG67" i="13"/>
  <c r="FQ69" i="13"/>
  <c r="GG75" i="13"/>
  <c r="FQ77" i="13"/>
  <c r="GG83" i="13"/>
  <c r="FQ85" i="13"/>
  <c r="GG88" i="13"/>
  <c r="FQ97" i="13"/>
  <c r="GG100" i="13"/>
  <c r="GG105" i="13"/>
  <c r="FQ109" i="13"/>
  <c r="GG115" i="13"/>
  <c r="GG119" i="13"/>
  <c r="FQ123" i="13"/>
  <c r="GG126" i="13"/>
  <c r="FQ130" i="13"/>
  <c r="GG135" i="13"/>
  <c r="GG138" i="13"/>
  <c r="GG145" i="13"/>
  <c r="GG17" i="13"/>
  <c r="FQ19" i="13"/>
  <c r="GG25" i="13"/>
  <c r="FQ27" i="13"/>
  <c r="GG33" i="13"/>
  <c r="FQ35" i="13"/>
  <c r="GG41" i="13"/>
  <c r="FQ43" i="13"/>
  <c r="GG49" i="13"/>
  <c r="FQ51" i="13"/>
  <c r="GG58" i="13"/>
  <c r="FQ60" i="13"/>
  <c r="GG66" i="13"/>
  <c r="FQ68" i="13"/>
  <c r="GG74" i="13"/>
  <c r="FQ76" i="13"/>
  <c r="GG82" i="13"/>
  <c r="FQ84" i="13"/>
  <c r="GG92" i="13"/>
  <c r="GG132" i="13"/>
  <c r="GG144" i="13"/>
  <c r="FO145" i="13"/>
  <c r="AA25" i="8"/>
  <c r="FW145" i="13"/>
  <c r="AI25" i="8"/>
  <c r="FP143" i="13"/>
  <c r="AB25" i="8"/>
  <c r="FX144" i="13"/>
  <c r="AJ25" i="8"/>
  <c r="FQ142" i="13"/>
  <c r="AC25" i="8"/>
  <c r="FY143" i="13"/>
  <c r="AK25" i="8"/>
  <c r="FW58" i="13"/>
  <c r="FX150" i="13"/>
  <c r="FO149" i="13"/>
  <c r="FW149" i="13"/>
  <c r="FX149" i="13"/>
  <c r="FW34" i="13"/>
  <c r="FO26" i="13"/>
  <c r="FO150" i="13"/>
  <c r="FW150" i="13"/>
  <c r="FO18" i="13"/>
  <c r="FO50" i="13"/>
  <c r="FW82" i="13"/>
  <c r="FO98" i="13"/>
  <c r="FO130" i="13"/>
  <c r="FW26" i="13"/>
  <c r="FO82" i="13"/>
  <c r="FO122" i="13"/>
  <c r="FO148" i="13"/>
  <c r="FW148" i="13"/>
  <c r="FO58" i="13"/>
  <c r="FW106" i="13"/>
  <c r="FW146" i="13"/>
  <c r="FO34" i="13"/>
  <c r="FW66" i="13"/>
  <c r="FW138" i="13"/>
  <c r="FW42" i="13"/>
  <c r="FO66" i="13"/>
  <c r="FW90" i="13"/>
  <c r="FO106" i="13"/>
  <c r="FO146" i="13"/>
  <c r="FO42" i="13"/>
  <c r="FW74" i="13"/>
  <c r="FO90" i="13"/>
  <c r="FO138" i="13"/>
  <c r="FW18" i="13"/>
  <c r="FW50" i="13"/>
  <c r="FO74" i="13"/>
  <c r="FW98" i="13"/>
  <c r="FW122" i="13"/>
  <c r="FW130" i="13"/>
  <c r="FX21" i="13"/>
  <c r="FX79" i="13"/>
  <c r="FP84" i="13"/>
  <c r="FX105" i="13"/>
  <c r="FX131" i="13"/>
  <c r="FX47" i="13"/>
  <c r="FP52" i="13"/>
  <c r="FP110" i="13"/>
  <c r="FP118" i="13"/>
  <c r="FX15" i="13"/>
  <c r="FP20" i="13"/>
  <c r="FX73" i="13"/>
  <c r="FP78" i="13"/>
  <c r="FP144" i="13"/>
  <c r="FX41" i="13"/>
  <c r="FP46" i="13"/>
  <c r="FP104" i="13"/>
  <c r="FP14" i="13"/>
  <c r="FX59" i="13"/>
  <c r="FP72" i="13"/>
  <c r="FX125" i="13"/>
  <c r="FX27" i="13"/>
  <c r="FP40" i="13"/>
  <c r="FX85" i="13"/>
  <c r="FX91" i="13"/>
  <c r="FX111" i="13"/>
  <c r="FX119" i="13"/>
  <c r="FP7" i="13"/>
  <c r="FX8" i="13"/>
  <c r="FP34" i="13"/>
  <c r="FP59" i="13"/>
  <c r="FP79" i="13"/>
  <c r="FP85" i="13"/>
  <c r="FX86" i="13"/>
  <c r="FP91" i="13"/>
  <c r="FX92" i="13"/>
  <c r="FP98" i="13"/>
  <c r="FX98" i="13"/>
  <c r="FP105" i="13"/>
  <c r="FP111" i="13"/>
  <c r="FX112" i="13"/>
  <c r="FP119" i="13"/>
  <c r="FX120" i="13"/>
  <c r="FP125" i="13"/>
  <c r="FX126" i="13"/>
  <c r="FP131" i="13"/>
  <c r="FX132" i="13"/>
  <c r="FP138" i="13"/>
  <c r="FX138" i="13"/>
  <c r="FP145" i="13"/>
  <c r="FP21" i="13"/>
  <c r="FX34" i="13"/>
  <c r="FX66" i="13"/>
  <c r="FP73" i="13"/>
  <c r="FP8" i="13"/>
  <c r="FX9" i="13"/>
  <c r="FX17" i="13"/>
  <c r="FX23" i="13"/>
  <c r="FP28" i="13"/>
  <c r="FX35" i="13"/>
  <c r="FP48" i="13"/>
  <c r="FX49" i="13"/>
  <c r="FP54" i="13"/>
  <c r="FX55" i="13"/>
  <c r="FP60" i="13"/>
  <c r="FX61" i="13"/>
  <c r="FX67" i="13"/>
  <c r="FP80" i="13"/>
  <c r="FX81" i="13"/>
  <c r="FP86" i="13"/>
  <c r="FX87" i="13"/>
  <c r="FP92" i="13"/>
  <c r="FX93" i="13"/>
  <c r="FX99" i="13"/>
  <c r="FQ105" i="13"/>
  <c r="FQ111" i="13"/>
  <c r="FP112" i="13"/>
  <c r="FY112" i="13"/>
  <c r="FX113" i="13"/>
  <c r="FQ119" i="13"/>
  <c r="FP120" i="13"/>
  <c r="FY120" i="13"/>
  <c r="FX121" i="13"/>
  <c r="FQ125" i="13"/>
  <c r="FP126" i="13"/>
  <c r="FY126" i="13"/>
  <c r="FX127" i="13"/>
  <c r="FQ131" i="13"/>
  <c r="FP132" i="13"/>
  <c r="FY132" i="13"/>
  <c r="FX133" i="13"/>
  <c r="FQ138" i="13"/>
  <c r="FY138" i="13"/>
  <c r="FX139" i="13"/>
  <c r="FQ145" i="13"/>
  <c r="FP66" i="13"/>
  <c r="FX80" i="13"/>
  <c r="FP16" i="13"/>
  <c r="FP22" i="13"/>
  <c r="FX29" i="13"/>
  <c r="FP9" i="13"/>
  <c r="FP17" i="13"/>
  <c r="FP23" i="13"/>
  <c r="FX24" i="13"/>
  <c r="FP29" i="13"/>
  <c r="FX30" i="13"/>
  <c r="FP35" i="13"/>
  <c r="FX36" i="13"/>
  <c r="FP42" i="13"/>
  <c r="FX42" i="13"/>
  <c r="FP49" i="13"/>
  <c r="FP55" i="13"/>
  <c r="FX56" i="13"/>
  <c r="FP61" i="13"/>
  <c r="FX62" i="13"/>
  <c r="FP67" i="13"/>
  <c r="FX68" i="13"/>
  <c r="FP74" i="13"/>
  <c r="FX74" i="13"/>
  <c r="FP81" i="13"/>
  <c r="FQ86" i="13"/>
  <c r="FP87" i="13"/>
  <c r="FY87" i="13"/>
  <c r="FX88" i="13"/>
  <c r="FQ92" i="13"/>
  <c r="FP93" i="13"/>
  <c r="FY93" i="13"/>
  <c r="FX94" i="13"/>
  <c r="FP99" i="13"/>
  <c r="FY99" i="13"/>
  <c r="FX100" i="13"/>
  <c r="FP106" i="13"/>
  <c r="FX106" i="13"/>
  <c r="FQ112" i="13"/>
  <c r="FP113" i="13"/>
  <c r="FY113" i="13"/>
  <c r="FQ120" i="13"/>
  <c r="FP121" i="13"/>
  <c r="FY121" i="13"/>
  <c r="FQ126" i="13"/>
  <c r="FP127" i="13"/>
  <c r="FY127" i="13"/>
  <c r="FX128" i="13"/>
  <c r="FQ132" i="13"/>
  <c r="FP133" i="13"/>
  <c r="FY133" i="13"/>
  <c r="FX134" i="13"/>
  <c r="FP139" i="13"/>
  <c r="FY139" i="13"/>
  <c r="FX140" i="13"/>
  <c r="FP146" i="13"/>
  <c r="FX146" i="13"/>
  <c r="FX16" i="13"/>
  <c r="FX22" i="13"/>
  <c r="FX28" i="13"/>
  <c r="FX54" i="13"/>
  <c r="FP24" i="13"/>
  <c r="FX25" i="13"/>
  <c r="FP30" i="13"/>
  <c r="FX31" i="13"/>
  <c r="FP36" i="13"/>
  <c r="FX37" i="13"/>
  <c r="FX43" i="13"/>
  <c r="FP56" i="13"/>
  <c r="FX57" i="13"/>
  <c r="FP62" i="13"/>
  <c r="FX63" i="13"/>
  <c r="FP68" i="13"/>
  <c r="FX69" i="13"/>
  <c r="FX75" i="13"/>
  <c r="FP88" i="13"/>
  <c r="FX89" i="13"/>
  <c r="FP94" i="13"/>
  <c r="FX95" i="13"/>
  <c r="FP100" i="13"/>
  <c r="FX101" i="13"/>
  <c r="FQ106" i="13"/>
  <c r="FY106" i="13"/>
  <c r="FX107" i="13"/>
  <c r="FQ113" i="13"/>
  <c r="FX115" i="13"/>
  <c r="FQ121" i="13"/>
  <c r="FQ127" i="13"/>
  <c r="FP128" i="13"/>
  <c r="FY128" i="13"/>
  <c r="FX129" i="13"/>
  <c r="FQ133" i="13"/>
  <c r="FP134" i="13"/>
  <c r="FY134" i="13"/>
  <c r="FX135" i="13"/>
  <c r="FQ139" i="13"/>
  <c r="FP140" i="13"/>
  <c r="FY140" i="13"/>
  <c r="FX141" i="13"/>
  <c r="FQ146" i="13"/>
  <c r="FY146" i="13"/>
  <c r="FX147" i="13"/>
  <c r="FP27" i="13"/>
  <c r="FP47" i="13"/>
  <c r="FX12" i="13"/>
  <c r="FP18" i="13"/>
  <c r="FX18" i="13"/>
  <c r="FP25" i="13"/>
  <c r="FP31" i="13"/>
  <c r="FX32" i="13"/>
  <c r="FP37" i="13"/>
  <c r="FX38" i="13"/>
  <c r="FP43" i="13"/>
  <c r="FX44" i="13"/>
  <c r="FP50" i="13"/>
  <c r="FX50" i="13"/>
  <c r="FP57" i="13"/>
  <c r="FP63" i="13"/>
  <c r="FX64" i="13"/>
  <c r="FP69" i="13"/>
  <c r="FX70" i="13"/>
  <c r="FP75" i="13"/>
  <c r="FX76" i="13"/>
  <c r="FP82" i="13"/>
  <c r="FX82" i="13"/>
  <c r="FQ88" i="13"/>
  <c r="FP89" i="13"/>
  <c r="FY89" i="13"/>
  <c r="FQ94" i="13"/>
  <c r="FP95" i="13"/>
  <c r="FY95" i="13"/>
  <c r="FX96" i="13"/>
  <c r="FQ100" i="13"/>
  <c r="FP101" i="13"/>
  <c r="FY101" i="13"/>
  <c r="FP107" i="13"/>
  <c r="FY107" i="13"/>
  <c r="FX108" i="13"/>
  <c r="FP115" i="13"/>
  <c r="FY115" i="13"/>
  <c r="FX116" i="13"/>
  <c r="FP122" i="13"/>
  <c r="FX122" i="13"/>
  <c r="FQ128" i="13"/>
  <c r="FP129" i="13"/>
  <c r="FY129" i="13"/>
  <c r="FQ134" i="13"/>
  <c r="FP135" i="13"/>
  <c r="FY135" i="13"/>
  <c r="FX136" i="13"/>
  <c r="FQ140" i="13"/>
  <c r="FP141" i="13"/>
  <c r="FY141" i="13"/>
  <c r="FX142" i="13"/>
  <c r="FP147" i="13"/>
  <c r="FY147" i="13"/>
  <c r="FP15" i="13"/>
  <c r="FX48" i="13"/>
  <c r="FP53" i="13"/>
  <c r="FX5" i="13"/>
  <c r="FR10" i="13"/>
  <c r="FP12" i="13"/>
  <c r="FX13" i="13"/>
  <c r="FX19" i="13"/>
  <c r="FP32" i="13"/>
  <c r="FX33" i="13"/>
  <c r="FP38" i="13"/>
  <c r="FX39" i="13"/>
  <c r="FP44" i="13"/>
  <c r="FX45" i="13"/>
  <c r="FX51" i="13"/>
  <c r="FP64" i="13"/>
  <c r="FX65" i="13"/>
  <c r="FP70" i="13"/>
  <c r="FX71" i="13"/>
  <c r="FP76" i="13"/>
  <c r="FX77" i="13"/>
  <c r="FX83" i="13"/>
  <c r="FQ89" i="13"/>
  <c r="FQ95" i="13"/>
  <c r="FP96" i="13"/>
  <c r="FY96" i="13"/>
  <c r="FX97" i="13"/>
  <c r="FQ101" i="13"/>
  <c r="FX103" i="13"/>
  <c r="FQ107" i="13"/>
  <c r="FP108" i="13"/>
  <c r="FY108" i="13"/>
  <c r="FX109" i="13"/>
  <c r="FQ115" i="13"/>
  <c r="FP116" i="13"/>
  <c r="FY116" i="13"/>
  <c r="FX117" i="13"/>
  <c r="FQ122" i="13"/>
  <c r="FY122" i="13"/>
  <c r="FX123" i="13"/>
  <c r="FQ129" i="13"/>
  <c r="FQ135" i="13"/>
  <c r="FP136" i="13"/>
  <c r="FY136" i="13"/>
  <c r="FX137" i="13"/>
  <c r="FQ141" i="13"/>
  <c r="FP142" i="13"/>
  <c r="FY142" i="13"/>
  <c r="FX143" i="13"/>
  <c r="FQ147" i="13"/>
  <c r="FP41" i="13"/>
  <c r="FX60" i="13"/>
  <c r="FP5" i="13"/>
  <c r="FX6" i="13"/>
  <c r="FP13" i="13"/>
  <c r="FX14" i="13"/>
  <c r="FP19" i="13"/>
  <c r="FX20" i="13"/>
  <c r="FP26" i="13"/>
  <c r="FX26" i="13"/>
  <c r="FP33" i="13"/>
  <c r="FP39" i="13"/>
  <c r="FX40" i="13"/>
  <c r="FP45" i="13"/>
  <c r="FX46" i="13"/>
  <c r="FP51" i="13"/>
  <c r="FX52" i="13"/>
  <c r="FP58" i="13"/>
  <c r="FX58" i="13"/>
  <c r="FP65" i="13"/>
  <c r="FP71" i="13"/>
  <c r="FX72" i="13"/>
  <c r="FP77" i="13"/>
  <c r="FX78" i="13"/>
  <c r="FP83" i="13"/>
  <c r="FX84" i="13"/>
  <c r="FP90" i="13"/>
  <c r="FX90" i="13"/>
  <c r="FQ96" i="13"/>
  <c r="FP97" i="13"/>
  <c r="FY97" i="13"/>
  <c r="FP103" i="13"/>
  <c r="FY103" i="13"/>
  <c r="FX104" i="13"/>
  <c r="FQ108" i="13"/>
  <c r="FP109" i="13"/>
  <c r="FY109" i="13"/>
  <c r="FX110" i="13"/>
  <c r="FQ116" i="13"/>
  <c r="FP117" i="13"/>
  <c r="FY117" i="13"/>
  <c r="FX118" i="13"/>
  <c r="FP123" i="13"/>
  <c r="FY123" i="13"/>
  <c r="FX124" i="13"/>
  <c r="FP130" i="13"/>
  <c r="FX130" i="13"/>
  <c r="FQ136" i="13"/>
  <c r="FP137" i="13"/>
  <c r="FY137" i="13"/>
  <c r="FM161" i="13"/>
  <c r="GP161" i="13" s="1"/>
  <c r="FM157" i="13"/>
  <c r="GO157" i="13" s="1"/>
  <c r="FO12" i="13"/>
  <c r="FW12" i="13"/>
  <c r="FO20" i="13"/>
  <c r="FW20" i="13"/>
  <c r="FO28" i="13"/>
  <c r="FW28" i="13"/>
  <c r="FO36" i="13"/>
  <c r="FW36" i="13"/>
  <c r="FO44" i="13"/>
  <c r="FW44" i="13"/>
  <c r="FO52" i="13"/>
  <c r="FW52" i="13"/>
  <c r="FO60" i="13"/>
  <c r="FW60" i="13"/>
  <c r="FO68" i="13"/>
  <c r="FW68" i="13"/>
  <c r="FO76" i="13"/>
  <c r="FW76" i="13"/>
  <c r="FO84" i="13"/>
  <c r="FW84" i="13"/>
  <c r="FO92" i="13"/>
  <c r="FW92" i="13"/>
  <c r="FO100" i="13"/>
  <c r="FW100" i="13"/>
  <c r="FO108" i="13"/>
  <c r="FW108" i="13"/>
  <c r="FO116" i="13"/>
  <c r="FW116" i="13"/>
  <c r="FO124" i="13"/>
  <c r="FW124" i="13"/>
  <c r="FO132" i="13"/>
  <c r="FW132" i="13"/>
  <c r="FO140" i="13"/>
  <c r="FW140" i="13"/>
  <c r="FM155" i="13"/>
  <c r="GP155" i="13" s="1"/>
  <c r="FO7" i="13"/>
  <c r="FW7" i="13"/>
  <c r="FO15" i="13"/>
  <c r="FW15" i="13"/>
  <c r="FO23" i="13"/>
  <c r="FW23" i="13"/>
  <c r="FO31" i="13"/>
  <c r="FW31" i="13"/>
  <c r="FO39" i="13"/>
  <c r="FW39" i="13"/>
  <c r="FO47" i="13"/>
  <c r="FW47" i="13"/>
  <c r="FO55" i="13"/>
  <c r="FW55" i="13"/>
  <c r="FO63" i="13"/>
  <c r="FW63" i="13"/>
  <c r="FO71" i="13"/>
  <c r="FW71" i="13"/>
  <c r="FO79" i="13"/>
  <c r="FW79" i="13"/>
  <c r="FO87" i="13"/>
  <c r="FW87" i="13"/>
  <c r="FO95" i="13"/>
  <c r="FW95" i="13"/>
  <c r="FO103" i="13"/>
  <c r="FW103" i="13"/>
  <c r="FO111" i="13"/>
  <c r="FW111" i="13"/>
  <c r="FO119" i="13"/>
  <c r="FW119" i="13"/>
  <c r="FO127" i="13"/>
  <c r="FW127" i="13"/>
  <c r="FO135" i="13"/>
  <c r="FW135" i="13"/>
  <c r="FO143" i="13"/>
  <c r="FW143" i="13"/>
  <c r="FO5" i="13"/>
  <c r="FW5" i="13"/>
  <c r="FO13" i="13"/>
  <c r="FW13" i="13"/>
  <c r="FO21" i="13"/>
  <c r="FW21" i="13"/>
  <c r="FO29" i="13"/>
  <c r="FW29" i="13"/>
  <c r="FO37" i="13"/>
  <c r="FW37" i="13"/>
  <c r="FO45" i="13"/>
  <c r="FW45" i="13"/>
  <c r="FO53" i="13"/>
  <c r="FW53" i="13"/>
  <c r="FO61" i="13"/>
  <c r="FW61" i="13"/>
  <c r="FO69" i="13"/>
  <c r="FW69" i="13"/>
  <c r="FO77" i="13"/>
  <c r="FW77" i="13"/>
  <c r="FO85" i="13"/>
  <c r="FW85" i="13"/>
  <c r="FO93" i="13"/>
  <c r="FW93" i="13"/>
  <c r="FO101" i="13"/>
  <c r="FW101" i="13"/>
  <c r="FO109" i="13"/>
  <c r="FW109" i="13"/>
  <c r="FO117" i="13"/>
  <c r="FW117" i="13"/>
  <c r="FO125" i="13"/>
  <c r="FW125" i="13"/>
  <c r="FO133" i="13"/>
  <c r="FW133" i="13"/>
  <c r="FO141" i="13"/>
  <c r="FW141" i="13"/>
  <c r="FO8" i="13"/>
  <c r="FW8" i="13"/>
  <c r="FQ10" i="13"/>
  <c r="FY10" i="13"/>
  <c r="FO16" i="13"/>
  <c r="FW16" i="13"/>
  <c r="FO24" i="13"/>
  <c r="FW24" i="13"/>
  <c r="FO32" i="13"/>
  <c r="FW32" i="13"/>
  <c r="FO40" i="13"/>
  <c r="FW40" i="13"/>
  <c r="FO48" i="13"/>
  <c r="FW48" i="13"/>
  <c r="FO56" i="13"/>
  <c r="FW56" i="13"/>
  <c r="FO64" i="13"/>
  <c r="FW64" i="13"/>
  <c r="FO72" i="13"/>
  <c r="FW72" i="13"/>
  <c r="FO80" i="13"/>
  <c r="FW80" i="13"/>
  <c r="FO88" i="13"/>
  <c r="FW88" i="13"/>
  <c r="FO96" i="13"/>
  <c r="FW96" i="13"/>
  <c r="FO104" i="13"/>
  <c r="FW104" i="13"/>
  <c r="FO112" i="13"/>
  <c r="FW112" i="13"/>
  <c r="FO120" i="13"/>
  <c r="FW120" i="13"/>
  <c r="FO128" i="13"/>
  <c r="FW128" i="13"/>
  <c r="FO136" i="13"/>
  <c r="FW136" i="13"/>
  <c r="FO144" i="13"/>
  <c r="FW144" i="13"/>
  <c r="FO19" i="13"/>
  <c r="FW19" i="13"/>
  <c r="FO27" i="13"/>
  <c r="FW27" i="13"/>
  <c r="FO35" i="13"/>
  <c r="FW35" i="13"/>
  <c r="FO43" i="13"/>
  <c r="FW43" i="13"/>
  <c r="FO51" i="13"/>
  <c r="FW51" i="13"/>
  <c r="FO59" i="13"/>
  <c r="FW59" i="13"/>
  <c r="FO67" i="13"/>
  <c r="FW67" i="13"/>
  <c r="FO75" i="13"/>
  <c r="FW75" i="13"/>
  <c r="FO83" i="13"/>
  <c r="FW83" i="13"/>
  <c r="FO91" i="13"/>
  <c r="FW91" i="13"/>
  <c r="FO99" i="13"/>
  <c r="FW99" i="13"/>
  <c r="FO107" i="13"/>
  <c r="FW107" i="13"/>
  <c r="FO115" i="13"/>
  <c r="FW115" i="13"/>
  <c r="FO123" i="13"/>
  <c r="FW123" i="13"/>
  <c r="FO131" i="13"/>
  <c r="FW131" i="13"/>
  <c r="FO139" i="13"/>
  <c r="FW139" i="13"/>
  <c r="FO147" i="13"/>
  <c r="FW147" i="13"/>
  <c r="FO6" i="13"/>
  <c r="FW6" i="13"/>
  <c r="FO14" i="13"/>
  <c r="FW14" i="13"/>
  <c r="FO22" i="13"/>
  <c r="FW22" i="13"/>
  <c r="FO30" i="13"/>
  <c r="FW30" i="13"/>
  <c r="FO38" i="13"/>
  <c r="FW38" i="13"/>
  <c r="FO46" i="13"/>
  <c r="FW46" i="13"/>
  <c r="FO54" i="13"/>
  <c r="FW54" i="13"/>
  <c r="FO62" i="13"/>
  <c r="FW62" i="13"/>
  <c r="FO70" i="13"/>
  <c r="FW70" i="13"/>
  <c r="FO78" i="13"/>
  <c r="FW78" i="13"/>
  <c r="FO86" i="13"/>
  <c r="FW86" i="13"/>
  <c r="FO94" i="13"/>
  <c r="FW94" i="13"/>
  <c r="FO110" i="13"/>
  <c r="FW110" i="13"/>
  <c r="FO118" i="13"/>
  <c r="FW118" i="13"/>
  <c r="FO126" i="13"/>
  <c r="FW126" i="13"/>
  <c r="FO134" i="13"/>
  <c r="FW134" i="13"/>
  <c r="FO142" i="13"/>
  <c r="FW142" i="13"/>
  <c r="FO9" i="13"/>
  <c r="FW9" i="13"/>
  <c r="FO17" i="13"/>
  <c r="FW17" i="13"/>
  <c r="FO25" i="13"/>
  <c r="FW25" i="13"/>
  <c r="FO33" i="13"/>
  <c r="FW33" i="13"/>
  <c r="FO41" i="13"/>
  <c r="FW41" i="13"/>
  <c r="FO49" i="13"/>
  <c r="FW49" i="13"/>
  <c r="FO57" i="13"/>
  <c r="FW57" i="13"/>
  <c r="FO65" i="13"/>
  <c r="FW65" i="13"/>
  <c r="FO73" i="13"/>
  <c r="FW73" i="13"/>
  <c r="FO81" i="13"/>
  <c r="FW81" i="13"/>
  <c r="FO89" i="13"/>
  <c r="FW89" i="13"/>
  <c r="FO97" i="13"/>
  <c r="FW97" i="13"/>
  <c r="FO105" i="13"/>
  <c r="FW105" i="13"/>
  <c r="FO113" i="13"/>
  <c r="FW113" i="13"/>
  <c r="FO121" i="13"/>
  <c r="FW121" i="13"/>
  <c r="FO129" i="13"/>
  <c r="FW129" i="13"/>
  <c r="FO137" i="13"/>
  <c r="FW137" i="13"/>
  <c r="FM163" i="13"/>
  <c r="GO163" i="13" s="1"/>
  <c r="FM171" i="13"/>
  <c r="GP171" i="13" s="1"/>
  <c r="FM188" i="13"/>
  <c r="GO188" i="13" s="1"/>
  <c r="FM315" i="13"/>
  <c r="GP315" i="13" s="1"/>
  <c r="FM309" i="13"/>
  <c r="GP309" i="13" s="1"/>
  <c r="FM303" i="13"/>
  <c r="GO303" i="13" s="1"/>
  <c r="FM297" i="13"/>
  <c r="GO297" i="13" s="1"/>
  <c r="FM285" i="13"/>
  <c r="GO285" i="13" s="1"/>
  <c r="FM281" i="13"/>
  <c r="GO281" i="13" s="1"/>
  <c r="FM277" i="13"/>
  <c r="GO277" i="13" s="1"/>
  <c r="FM261" i="13"/>
  <c r="GO261" i="13" s="1"/>
  <c r="FM187" i="13"/>
  <c r="GO187" i="13" s="1"/>
  <c r="FM181" i="13"/>
  <c r="GO181" i="13" s="1"/>
  <c r="FM179" i="13"/>
  <c r="GO179" i="13" s="1"/>
  <c r="FM173" i="13"/>
  <c r="GO173" i="13" s="1"/>
  <c r="FM319" i="13"/>
  <c r="GP319" i="13" s="1"/>
  <c r="FM313" i="13"/>
  <c r="GP313" i="13" s="1"/>
  <c r="FM307" i="13"/>
  <c r="GP307" i="13" s="1"/>
  <c r="FM301" i="13"/>
  <c r="GP301" i="13" s="1"/>
  <c r="FM295" i="13"/>
  <c r="GP295" i="13" s="1"/>
  <c r="FM169" i="13"/>
  <c r="GO169" i="13" s="1"/>
  <c r="FM167" i="13"/>
  <c r="GP167" i="13" s="1"/>
  <c r="FM165" i="13"/>
  <c r="GO165" i="13" s="1"/>
  <c r="FM318" i="13"/>
  <c r="GP318" i="13" s="1"/>
  <c r="FM310" i="13"/>
  <c r="GO310" i="13" s="1"/>
  <c r="FM300" i="13"/>
  <c r="GO300" i="13" s="1"/>
  <c r="FM292" i="13"/>
  <c r="GO292" i="13" s="1"/>
  <c r="FM153" i="13"/>
  <c r="GO153" i="13" s="1"/>
  <c r="FM316" i="13"/>
  <c r="GO316" i="13" s="1"/>
  <c r="FM308" i="13"/>
  <c r="GO308" i="13" s="1"/>
  <c r="FM302" i="13"/>
  <c r="GO302" i="13" s="1"/>
  <c r="FM294" i="13"/>
  <c r="GO294" i="13" s="1"/>
  <c r="FM312" i="13"/>
  <c r="GP312" i="13" s="1"/>
  <c r="FM304" i="13"/>
  <c r="GP304" i="13" s="1"/>
  <c r="FM296" i="13"/>
  <c r="GO296" i="13" s="1"/>
  <c r="FM11" i="13"/>
  <c r="GO11" i="13" s="1"/>
  <c r="FM314" i="13"/>
  <c r="GP314" i="13" s="1"/>
  <c r="FM306" i="13"/>
  <c r="GP306" i="13" s="1"/>
  <c r="FM298" i="13"/>
  <c r="GO298" i="13" s="1"/>
  <c r="FM290" i="13"/>
  <c r="GO290" i="13" s="1"/>
  <c r="FM317" i="13"/>
  <c r="GO317" i="13" s="1"/>
  <c r="FM311" i="13"/>
  <c r="GO311" i="13" s="1"/>
  <c r="FM305" i="13"/>
  <c r="GO305" i="13" s="1"/>
  <c r="FM299" i="13"/>
  <c r="GP299" i="13" s="1"/>
  <c r="FM293" i="13"/>
  <c r="GO293" i="13" s="1"/>
  <c r="FM269" i="13"/>
  <c r="GO269" i="13" s="1"/>
  <c r="FM265" i="13"/>
  <c r="GO265" i="13" s="1"/>
  <c r="FM253" i="13"/>
  <c r="GP253" i="13" s="1"/>
  <c r="FM251" i="13"/>
  <c r="GO251" i="13" s="1"/>
  <c r="FM245" i="13"/>
  <c r="GP245" i="13" s="1"/>
  <c r="FM243" i="13"/>
  <c r="GO243" i="13" s="1"/>
  <c r="FM235" i="13"/>
  <c r="GO235" i="13" s="1"/>
  <c r="FM231" i="13"/>
  <c r="GO231" i="13" s="1"/>
  <c r="FM229" i="13"/>
  <c r="GO229" i="13" s="1"/>
  <c r="FM221" i="13"/>
  <c r="GP221" i="13" s="1"/>
  <c r="FM219" i="13"/>
  <c r="GO219" i="13" s="1"/>
  <c r="FM213" i="13"/>
  <c r="GO213" i="13" s="1"/>
  <c r="FM211" i="13"/>
  <c r="GO211" i="13" s="1"/>
  <c r="FM203" i="13"/>
  <c r="GO203" i="13" s="1"/>
  <c r="FM197" i="13"/>
  <c r="GO197" i="13" s="1"/>
  <c r="FM189" i="13"/>
  <c r="GO189" i="13" s="1"/>
  <c r="FM250" i="13"/>
  <c r="GO250" i="13" s="1"/>
  <c r="FM242" i="13"/>
  <c r="GO242" i="13" s="1"/>
  <c r="FM218" i="13"/>
  <c r="FM210" i="13"/>
  <c r="GO210" i="13" s="1"/>
  <c r="FM278" i="13"/>
  <c r="GO278" i="13" s="1"/>
  <c r="FM262" i="13"/>
  <c r="GO262" i="13" s="1"/>
  <c r="FM254" i="13"/>
  <c r="GO254" i="13" s="1"/>
  <c r="FM230" i="13"/>
  <c r="GO230" i="13" s="1"/>
  <c r="FM222" i="13"/>
  <c r="GO222" i="13" s="1"/>
  <c r="FM288" i="13"/>
  <c r="GO288" i="13" s="1"/>
  <c r="FM198" i="13"/>
  <c r="GO198" i="13" s="1"/>
  <c r="FM190" i="13"/>
  <c r="GO190" i="13" s="1"/>
  <c r="FM182" i="13"/>
  <c r="FM280" i="13"/>
  <c r="FM279" i="13"/>
  <c r="FM264" i="13"/>
  <c r="FM263" i="13"/>
  <c r="FM241" i="13"/>
  <c r="FM232" i="13"/>
  <c r="FM209" i="13"/>
  <c r="FM200" i="13"/>
  <c r="FM199" i="13"/>
  <c r="FM177" i="13"/>
  <c r="FM291" i="13"/>
  <c r="FM282" i="13"/>
  <c r="FM266" i="13"/>
  <c r="FM244" i="13"/>
  <c r="FM212" i="13"/>
  <c r="FM180" i="13"/>
  <c r="FM151" i="13"/>
  <c r="FM252" i="13"/>
  <c r="FM284" i="13"/>
  <c r="FM283" i="13"/>
  <c r="FM268" i="13"/>
  <c r="FM267" i="13"/>
  <c r="FM256" i="13"/>
  <c r="FM255" i="13"/>
  <c r="FM234" i="13"/>
  <c r="FM233" i="13"/>
  <c r="FM224" i="13"/>
  <c r="FM223" i="13"/>
  <c r="FM202" i="13"/>
  <c r="FM201" i="13"/>
  <c r="FM192" i="13"/>
  <c r="FM191" i="13"/>
  <c r="FM186" i="13"/>
  <c r="FM289" i="13"/>
  <c r="FM286" i="13"/>
  <c r="FM270" i="13"/>
  <c r="FM246" i="13"/>
  <c r="FM236" i="13"/>
  <c r="FM214" i="13"/>
  <c r="FM204" i="13"/>
  <c r="FM159" i="13"/>
  <c r="FM287" i="13"/>
  <c r="FM272" i="13"/>
  <c r="FM271" i="13"/>
  <c r="FM258" i="13"/>
  <c r="FM257" i="13"/>
  <c r="FM248" i="13"/>
  <c r="FM247" i="13"/>
  <c r="FM226" i="13"/>
  <c r="FM225" i="13"/>
  <c r="FM216" i="13"/>
  <c r="FM215" i="13"/>
  <c r="FM194" i="13"/>
  <c r="FM193" i="13"/>
  <c r="FM184" i="13"/>
  <c r="FM183" i="13"/>
  <c r="FM178" i="13"/>
  <c r="FM274" i="13"/>
  <c r="FM273" i="13"/>
  <c r="FM260" i="13"/>
  <c r="FM259" i="13"/>
  <c r="FM238" i="13"/>
  <c r="FM237" i="13"/>
  <c r="FM228" i="13"/>
  <c r="FM227" i="13"/>
  <c r="FM206" i="13"/>
  <c r="FM205" i="13"/>
  <c r="FM196" i="13"/>
  <c r="FM195" i="13"/>
  <c r="FM220" i="13"/>
  <c r="FM276" i="13"/>
  <c r="FM275" i="13"/>
  <c r="FM249" i="13"/>
  <c r="FM240" i="13"/>
  <c r="FM239" i="13"/>
  <c r="FM217" i="13"/>
  <c r="FM208" i="13"/>
  <c r="FM207" i="13"/>
  <c r="FM185" i="13"/>
  <c r="FM176" i="13"/>
  <c r="FM175" i="13"/>
  <c r="FM162" i="13"/>
  <c r="FM154" i="13"/>
  <c r="FM168" i="13"/>
  <c r="FM160" i="13"/>
  <c r="FM152" i="13"/>
  <c r="FM174" i="13"/>
  <c r="FM166" i="13"/>
  <c r="FM158" i="13"/>
  <c r="FM172" i="13"/>
  <c r="FM164" i="13"/>
  <c r="FM156" i="13"/>
  <c r="FM170" i="13" l="1"/>
  <c r="GP170" i="13" s="1"/>
  <c r="FM102" i="13"/>
  <c r="GO102" i="13" s="1"/>
  <c r="FM114" i="13"/>
  <c r="GO114" i="13" s="1"/>
  <c r="FM148" i="13"/>
  <c r="GP148" i="13" s="1"/>
  <c r="FM18" i="13"/>
  <c r="GO18" i="13" s="1"/>
  <c r="FM50" i="13"/>
  <c r="GO50" i="13" s="1"/>
  <c r="FM133" i="13"/>
  <c r="GP133" i="13" s="1"/>
  <c r="FM19" i="13"/>
  <c r="GO19" i="13" s="1"/>
  <c r="FM80" i="13"/>
  <c r="GO80" i="13" s="1"/>
  <c r="FM20" i="13"/>
  <c r="GP20" i="13" s="1"/>
  <c r="FM37" i="13"/>
  <c r="GO37" i="13" s="1"/>
  <c r="FM144" i="13"/>
  <c r="GO144" i="13" s="1"/>
  <c r="FM106" i="13"/>
  <c r="GP106" i="13" s="1"/>
  <c r="FM82" i="13"/>
  <c r="GP82" i="13" s="1"/>
  <c r="FM150" i="13"/>
  <c r="GO150" i="13" s="1"/>
  <c r="FM13" i="13"/>
  <c r="GO13" i="13" s="1"/>
  <c r="FM95" i="13"/>
  <c r="GP95" i="13" s="1"/>
  <c r="FM49" i="13"/>
  <c r="GP49" i="13" s="1"/>
  <c r="FM17" i="13"/>
  <c r="GO17" i="13" s="1"/>
  <c r="FM56" i="13"/>
  <c r="GP56" i="13" s="1"/>
  <c r="FM126" i="13"/>
  <c r="GO126" i="13" s="1"/>
  <c r="FM124" i="13"/>
  <c r="GP124" i="13" s="1"/>
  <c r="FM60" i="13"/>
  <c r="GP60" i="13" s="1"/>
  <c r="FM28" i="13"/>
  <c r="GO28" i="13" s="1"/>
  <c r="FM26" i="13"/>
  <c r="GP26" i="13" s="1"/>
  <c r="FM145" i="13"/>
  <c r="GP145" i="13" s="1"/>
  <c r="FM109" i="13"/>
  <c r="GP109" i="13" s="1"/>
  <c r="FM86" i="13"/>
  <c r="GO86" i="13" s="1"/>
  <c r="FM22" i="13"/>
  <c r="GO22" i="13" s="1"/>
  <c r="FM75" i="13"/>
  <c r="GO75" i="13" s="1"/>
  <c r="FM16" i="13"/>
  <c r="GO16" i="13" s="1"/>
  <c r="FM130" i="13"/>
  <c r="GO130" i="13" s="1"/>
  <c r="FM149" i="13"/>
  <c r="GO149" i="13" s="1"/>
  <c r="FM138" i="13"/>
  <c r="GO138" i="13" s="1"/>
  <c r="FM83" i="13"/>
  <c r="GO83" i="13" s="1"/>
  <c r="FM76" i="13"/>
  <c r="GP76" i="13" s="1"/>
  <c r="FM69" i="13"/>
  <c r="GO69" i="13" s="1"/>
  <c r="FM63" i="13"/>
  <c r="GO63" i="13" s="1"/>
  <c r="FM74" i="13"/>
  <c r="GO74" i="13" s="1"/>
  <c r="FM23" i="13"/>
  <c r="GP23" i="13" s="1"/>
  <c r="FM36" i="13"/>
  <c r="GP36" i="13" s="1"/>
  <c r="FM90" i="13"/>
  <c r="GO90" i="13" s="1"/>
  <c r="FM87" i="13"/>
  <c r="GO87" i="13" s="1"/>
  <c r="FM34" i="13"/>
  <c r="GO34" i="13" s="1"/>
  <c r="FM45" i="13"/>
  <c r="GO45" i="13" s="1"/>
  <c r="FM54" i="13"/>
  <c r="GO54" i="13" s="1"/>
  <c r="FM137" i="13"/>
  <c r="GP137" i="13" s="1"/>
  <c r="FM105" i="13"/>
  <c r="GO105" i="13" s="1"/>
  <c r="FM73" i="13"/>
  <c r="GO73" i="13" s="1"/>
  <c r="FM41" i="13"/>
  <c r="GO41" i="13" s="1"/>
  <c r="FM118" i="13"/>
  <c r="GO118" i="13" s="1"/>
  <c r="FM14" i="13"/>
  <c r="GO14" i="13" s="1"/>
  <c r="FM99" i="13"/>
  <c r="GO99" i="13" s="1"/>
  <c r="FM67" i="13"/>
  <c r="GO67" i="13" s="1"/>
  <c r="FM35" i="13"/>
  <c r="GO35" i="13" s="1"/>
  <c r="FM136" i="13"/>
  <c r="GP136" i="13" s="1"/>
  <c r="FM104" i="13"/>
  <c r="GO104" i="13" s="1"/>
  <c r="FM72" i="13"/>
  <c r="GP72" i="13" s="1"/>
  <c r="FM40" i="13"/>
  <c r="GP40" i="13" s="1"/>
  <c r="FM93" i="13"/>
  <c r="GO93" i="13" s="1"/>
  <c r="FM61" i="13"/>
  <c r="GP61" i="13" s="1"/>
  <c r="FM29" i="13"/>
  <c r="GO29" i="13" s="1"/>
  <c r="FM143" i="13"/>
  <c r="GP143" i="13" s="1"/>
  <c r="FM47" i="13"/>
  <c r="GP47" i="13" s="1"/>
  <c r="FM15" i="13"/>
  <c r="GO15" i="13" s="1"/>
  <c r="FM132" i="13"/>
  <c r="GO132" i="13" s="1"/>
  <c r="FM100" i="13"/>
  <c r="GP100" i="13" s="1"/>
  <c r="FM108" i="13"/>
  <c r="GO108" i="13" s="1"/>
  <c r="FM58" i="13"/>
  <c r="GO58" i="13" s="1"/>
  <c r="FM5" i="13"/>
  <c r="GO5" i="13" s="1"/>
  <c r="FM77" i="13"/>
  <c r="GP77" i="13" s="1"/>
  <c r="FM44" i="13"/>
  <c r="GP44" i="13" s="1"/>
  <c r="FM141" i="13"/>
  <c r="GO141" i="13" s="1"/>
  <c r="FM107" i="13"/>
  <c r="GP107" i="13" s="1"/>
  <c r="FM43" i="13"/>
  <c r="GO43" i="13" s="1"/>
  <c r="FM12" i="13"/>
  <c r="GO12" i="13" s="1"/>
  <c r="FM140" i="13"/>
  <c r="GO140" i="13" s="1"/>
  <c r="FM128" i="13"/>
  <c r="GO128" i="13" s="1"/>
  <c r="FM31" i="13"/>
  <c r="GO31" i="13" s="1"/>
  <c r="FM146" i="13"/>
  <c r="GO146" i="13" s="1"/>
  <c r="FM113" i="13"/>
  <c r="GO113" i="13" s="1"/>
  <c r="FM55" i="13"/>
  <c r="GP55" i="13" s="1"/>
  <c r="FM119" i="13"/>
  <c r="GO119" i="13" s="1"/>
  <c r="FM116" i="13"/>
  <c r="GO116" i="13" s="1"/>
  <c r="FM84" i="13"/>
  <c r="GP84" i="13" s="1"/>
  <c r="FM30" i="13"/>
  <c r="GO30" i="13" s="1"/>
  <c r="FM111" i="13"/>
  <c r="GP111" i="13" s="1"/>
  <c r="FM79" i="13"/>
  <c r="GO79" i="13" s="1"/>
  <c r="FM46" i="13"/>
  <c r="GO46" i="13" s="1"/>
  <c r="FM10" i="13"/>
  <c r="GP10" i="13" s="1"/>
  <c r="FM129" i="13"/>
  <c r="GO129" i="13" s="1"/>
  <c r="FM65" i="13"/>
  <c r="GO65" i="13" s="1"/>
  <c r="FM33" i="13"/>
  <c r="GO33" i="13" s="1"/>
  <c r="FM142" i="13"/>
  <c r="GO142" i="13" s="1"/>
  <c r="FM110" i="13"/>
  <c r="GP110" i="13" s="1"/>
  <c r="FM70" i="13"/>
  <c r="GO70" i="13" s="1"/>
  <c r="FM38" i="13"/>
  <c r="GP38" i="13" s="1"/>
  <c r="FM6" i="13"/>
  <c r="GO6" i="13" s="1"/>
  <c r="FM123" i="13"/>
  <c r="GO123" i="13" s="1"/>
  <c r="FM91" i="13"/>
  <c r="GP91" i="13" s="1"/>
  <c r="FM59" i="13"/>
  <c r="GP59" i="13" s="1"/>
  <c r="FM27" i="13"/>
  <c r="GP27" i="13" s="1"/>
  <c r="FM96" i="13"/>
  <c r="GP96" i="13" s="1"/>
  <c r="FM64" i="13"/>
  <c r="GO64" i="13" s="1"/>
  <c r="FM32" i="13"/>
  <c r="GO32" i="13" s="1"/>
  <c r="FM8" i="13"/>
  <c r="GO8" i="13" s="1"/>
  <c r="FM117" i="13"/>
  <c r="GO117" i="13" s="1"/>
  <c r="FM85" i="13"/>
  <c r="GO85" i="13" s="1"/>
  <c r="FM53" i="13"/>
  <c r="GP53" i="13" s="1"/>
  <c r="FM21" i="13"/>
  <c r="GO21" i="13" s="1"/>
  <c r="FM135" i="13"/>
  <c r="GP135" i="13" s="1"/>
  <c r="FM103" i="13"/>
  <c r="GO103" i="13" s="1"/>
  <c r="FM71" i="13"/>
  <c r="GO71" i="13" s="1"/>
  <c r="FM39" i="13"/>
  <c r="GP39" i="13" s="1"/>
  <c r="FM7" i="13"/>
  <c r="GO7" i="13" s="1"/>
  <c r="FM52" i="13"/>
  <c r="GO52" i="13" s="1"/>
  <c r="FM51" i="13"/>
  <c r="GO51" i="13" s="1"/>
  <c r="FM115" i="13"/>
  <c r="GO115" i="13" s="1"/>
  <c r="FM122" i="13"/>
  <c r="GO122" i="13" s="1"/>
  <c r="FM101" i="13"/>
  <c r="GP101" i="13" s="1"/>
  <c r="FM88" i="13"/>
  <c r="GP88" i="13" s="1"/>
  <c r="FM94" i="13"/>
  <c r="GP94" i="13" s="1"/>
  <c r="FM24" i="13"/>
  <c r="GO24" i="13" s="1"/>
  <c r="FM139" i="13"/>
  <c r="GO139" i="13" s="1"/>
  <c r="FM127" i="13"/>
  <c r="GP127" i="13" s="1"/>
  <c r="FM92" i="13"/>
  <c r="GO92" i="13" s="1"/>
  <c r="FM68" i="13"/>
  <c r="GP68" i="13" s="1"/>
  <c r="FM42" i="13"/>
  <c r="GO42" i="13" s="1"/>
  <c r="FM9" i="13"/>
  <c r="GO9" i="13" s="1"/>
  <c r="FM112" i="13"/>
  <c r="GO112" i="13" s="1"/>
  <c r="FM48" i="13"/>
  <c r="GO48" i="13" s="1"/>
  <c r="FM66" i="13"/>
  <c r="GP66" i="13" s="1"/>
  <c r="FM98" i="13"/>
  <c r="GO98" i="13" s="1"/>
  <c r="FM125" i="13"/>
  <c r="GP125" i="13" s="1"/>
  <c r="FM78" i="13"/>
  <c r="GO78" i="13" s="1"/>
  <c r="FM131" i="13"/>
  <c r="GO131" i="13" s="1"/>
  <c r="FM97" i="13"/>
  <c r="GO97" i="13" s="1"/>
  <c r="FM121" i="13"/>
  <c r="GO121" i="13" s="1"/>
  <c r="FM89" i="13"/>
  <c r="GO89" i="13" s="1"/>
  <c r="FM57" i="13"/>
  <c r="GO57" i="13" s="1"/>
  <c r="FM25" i="13"/>
  <c r="GO25" i="13" s="1"/>
  <c r="FM134" i="13"/>
  <c r="GP134" i="13" s="1"/>
  <c r="FM62" i="13"/>
  <c r="GP62" i="13" s="1"/>
  <c r="FM147" i="13"/>
  <c r="GO147" i="13" s="1"/>
  <c r="FM120" i="13"/>
  <c r="GP120" i="13" s="1"/>
  <c r="FM81" i="13"/>
  <c r="GP81" i="13" s="1"/>
  <c r="GO313" i="13"/>
  <c r="GO155" i="13"/>
  <c r="GO171" i="13"/>
  <c r="GO161" i="13"/>
  <c r="GP157" i="13"/>
  <c r="GO221" i="13"/>
  <c r="GO295" i="13"/>
  <c r="GP281" i="13"/>
  <c r="GP285" i="13"/>
  <c r="GO56" i="13"/>
  <c r="GP278" i="13"/>
  <c r="GO306" i="13"/>
  <c r="GP211" i="13"/>
  <c r="GP303" i="13"/>
  <c r="GP153" i="13"/>
  <c r="GP181" i="13"/>
  <c r="GP308" i="13"/>
  <c r="GP277" i="13"/>
  <c r="GO245" i="13"/>
  <c r="GO253" i="13"/>
  <c r="GO307" i="13"/>
  <c r="GP173" i="13"/>
  <c r="GP297" i="13"/>
  <c r="GP11" i="13"/>
  <c r="GP294" i="13"/>
  <c r="GP251" i="13"/>
  <c r="GP213" i="13"/>
  <c r="GP311" i="13"/>
  <c r="GO301" i="13"/>
  <c r="GP188" i="13"/>
  <c r="GP317" i="13"/>
  <c r="GP179" i="13"/>
  <c r="GP265" i="13"/>
  <c r="GP163" i="13"/>
  <c r="GO312" i="13"/>
  <c r="GP292" i="13"/>
  <c r="GP302" i="13"/>
  <c r="GP219" i="13"/>
  <c r="GP169" i="13"/>
  <c r="GP243" i="13"/>
  <c r="GP298" i="13"/>
  <c r="GP203" i="13"/>
  <c r="GP262" i="13"/>
  <c r="GO167" i="13"/>
  <c r="GP305" i="13"/>
  <c r="GP250" i="13"/>
  <c r="GP242" i="13"/>
  <c r="GP165" i="13"/>
  <c r="GP254" i="13"/>
  <c r="GP235" i="13"/>
  <c r="GP231" i="13"/>
  <c r="GP261" i="13"/>
  <c r="GO318" i="13"/>
  <c r="GP187" i="13"/>
  <c r="GP293" i="13"/>
  <c r="GP290" i="13"/>
  <c r="GO299" i="13"/>
  <c r="GP197" i="13"/>
  <c r="GO315" i="13"/>
  <c r="GO304" i="13"/>
  <c r="GP198" i="13"/>
  <c r="GP269" i="13"/>
  <c r="GP189" i="13"/>
  <c r="GO309" i="13"/>
  <c r="GP300" i="13"/>
  <c r="GP229" i="13"/>
  <c r="GO319" i="13"/>
  <c r="GP316" i="13"/>
  <c r="GO314" i="13"/>
  <c r="GP296" i="13"/>
  <c r="GP310" i="13"/>
  <c r="GP230" i="13"/>
  <c r="GP288" i="13"/>
  <c r="GP210" i="13"/>
  <c r="GO218" i="13"/>
  <c r="GP218" i="13"/>
  <c r="GP222" i="13"/>
  <c r="GP190" i="13"/>
  <c r="GO217" i="13"/>
  <c r="GP217" i="13"/>
  <c r="GO224" i="13"/>
  <c r="GP224" i="13"/>
  <c r="GO199" i="13"/>
  <c r="GP199" i="13"/>
  <c r="GO195" i="13"/>
  <c r="GP195" i="13"/>
  <c r="GO238" i="13"/>
  <c r="GP238" i="13"/>
  <c r="GO184" i="13"/>
  <c r="GP184" i="13"/>
  <c r="GO236" i="13"/>
  <c r="GP236" i="13"/>
  <c r="GO233" i="13"/>
  <c r="GP233" i="13"/>
  <c r="GO200" i="13"/>
  <c r="GP200" i="13"/>
  <c r="GO279" i="13"/>
  <c r="GP279" i="13"/>
  <c r="GO220" i="13"/>
  <c r="GP220" i="13"/>
  <c r="GO183" i="13"/>
  <c r="GP183" i="13"/>
  <c r="GO284" i="13"/>
  <c r="GP284" i="13"/>
  <c r="GP151" i="13"/>
  <c r="GO151" i="13"/>
  <c r="GO291" i="13"/>
  <c r="GP291" i="13"/>
  <c r="GO264" i="13"/>
  <c r="GP264" i="13"/>
  <c r="GO172" i="13"/>
  <c r="GP172" i="13"/>
  <c r="GO152" i="13"/>
  <c r="GP152" i="13"/>
  <c r="GO175" i="13"/>
  <c r="GP175" i="13"/>
  <c r="GO239" i="13"/>
  <c r="GP239" i="13"/>
  <c r="GO196" i="13"/>
  <c r="GP196" i="13"/>
  <c r="GO193" i="13"/>
  <c r="GP193" i="13"/>
  <c r="GO247" i="13"/>
  <c r="GP247" i="13"/>
  <c r="GO287" i="13"/>
  <c r="GP287" i="13"/>
  <c r="GO286" i="13"/>
  <c r="GP286" i="13"/>
  <c r="GO186" i="13"/>
  <c r="GP186" i="13"/>
  <c r="GO234" i="13"/>
  <c r="GP234" i="13"/>
  <c r="GO212" i="13"/>
  <c r="GP212" i="13"/>
  <c r="GO209" i="13"/>
  <c r="GP209" i="13"/>
  <c r="GO280" i="13"/>
  <c r="GP280" i="13"/>
  <c r="GO156" i="13"/>
  <c r="GP156" i="13"/>
  <c r="GO237" i="13"/>
  <c r="GP237" i="13"/>
  <c r="GO176" i="13"/>
  <c r="GP176" i="13"/>
  <c r="GO259" i="13"/>
  <c r="GP259" i="13"/>
  <c r="GO204" i="13"/>
  <c r="GP204" i="13"/>
  <c r="GO289" i="13"/>
  <c r="GP289" i="13"/>
  <c r="GO191" i="13"/>
  <c r="GP191" i="13"/>
  <c r="GO182" i="13"/>
  <c r="GP182" i="13"/>
  <c r="GO158" i="13"/>
  <c r="GP158" i="13"/>
  <c r="GO255" i="13"/>
  <c r="GP255" i="13"/>
  <c r="GO166" i="13"/>
  <c r="GP166" i="13"/>
  <c r="GO168" i="13"/>
  <c r="GP168" i="13"/>
  <c r="GO185" i="13"/>
  <c r="GP185" i="13"/>
  <c r="GO249" i="13"/>
  <c r="GP249" i="13"/>
  <c r="GO206" i="13"/>
  <c r="GP206" i="13"/>
  <c r="GO260" i="13"/>
  <c r="GP260" i="13"/>
  <c r="GO257" i="13"/>
  <c r="GP257" i="13"/>
  <c r="GO246" i="13"/>
  <c r="GP246" i="13"/>
  <c r="GO192" i="13"/>
  <c r="GP192" i="13"/>
  <c r="GO256" i="13"/>
  <c r="GP256" i="13"/>
  <c r="GO266" i="13"/>
  <c r="GP266" i="13"/>
  <c r="GO164" i="13"/>
  <c r="GP164" i="13"/>
  <c r="GO272" i="13"/>
  <c r="GP272" i="13"/>
  <c r="GO205" i="13"/>
  <c r="GP205" i="13"/>
  <c r="GO248" i="13"/>
  <c r="GP248" i="13"/>
  <c r="GO174" i="13"/>
  <c r="GP174" i="13"/>
  <c r="GO273" i="13"/>
  <c r="GP273" i="13"/>
  <c r="GO215" i="13"/>
  <c r="GP215" i="13"/>
  <c r="GO258" i="13"/>
  <c r="GP258" i="13"/>
  <c r="GO201" i="13"/>
  <c r="GP201" i="13"/>
  <c r="GO267" i="13"/>
  <c r="GP267" i="13"/>
  <c r="GO252" i="13"/>
  <c r="GP252" i="13"/>
  <c r="GO180" i="13"/>
  <c r="GP180" i="13"/>
  <c r="GO232" i="13"/>
  <c r="GP232" i="13"/>
  <c r="GO170" i="13"/>
  <c r="GO226" i="13"/>
  <c r="GP226" i="13"/>
  <c r="GO160" i="13"/>
  <c r="GP160" i="13"/>
  <c r="GO240" i="13"/>
  <c r="GP240" i="13"/>
  <c r="GO194" i="13"/>
  <c r="GP194" i="13"/>
  <c r="GO154" i="13"/>
  <c r="GP154" i="13"/>
  <c r="GO207" i="13"/>
  <c r="GP207" i="13"/>
  <c r="GO275" i="13"/>
  <c r="GP275" i="13"/>
  <c r="GO227" i="13"/>
  <c r="GP227" i="13"/>
  <c r="GO274" i="13"/>
  <c r="GP274" i="13"/>
  <c r="GO216" i="13"/>
  <c r="GP216" i="13"/>
  <c r="GP159" i="13"/>
  <c r="GO159" i="13"/>
  <c r="GO214" i="13"/>
  <c r="GP214" i="13"/>
  <c r="GO202" i="13"/>
  <c r="GP202" i="13"/>
  <c r="GO268" i="13"/>
  <c r="GP268" i="13"/>
  <c r="GO241" i="13"/>
  <c r="GP241" i="13"/>
  <c r="GO162" i="13"/>
  <c r="GP162" i="13"/>
  <c r="GO208" i="13"/>
  <c r="GP208" i="13"/>
  <c r="GO276" i="13"/>
  <c r="GP276" i="13"/>
  <c r="GO228" i="13"/>
  <c r="GP228" i="13"/>
  <c r="GO178" i="13"/>
  <c r="GP178" i="13"/>
  <c r="GO225" i="13"/>
  <c r="GP225" i="13"/>
  <c r="GO271" i="13"/>
  <c r="GP271" i="13"/>
  <c r="GO270" i="13"/>
  <c r="GP270" i="13"/>
  <c r="GO223" i="13"/>
  <c r="GP223" i="13"/>
  <c r="GO283" i="13"/>
  <c r="GP283" i="13"/>
  <c r="GO244" i="13"/>
  <c r="GP244" i="13"/>
  <c r="GO282" i="13"/>
  <c r="GP282" i="13"/>
  <c r="GO177" i="13"/>
  <c r="GP177" i="13"/>
  <c r="GO263" i="13"/>
  <c r="GP263" i="13"/>
  <c r="GP102" i="13" l="1"/>
  <c r="GP18" i="13"/>
  <c r="GP114" i="13"/>
  <c r="GO148" i="13"/>
  <c r="GP50" i="13"/>
  <c r="GO106" i="13"/>
  <c r="GO20" i="13"/>
  <c r="GO133" i="13"/>
  <c r="GP13" i="13"/>
  <c r="GP37" i="13"/>
  <c r="GP19" i="13"/>
  <c r="GP144" i="13"/>
  <c r="GO95" i="13"/>
  <c r="GP80" i="13"/>
  <c r="GO82" i="13"/>
  <c r="GP17" i="13"/>
  <c r="GP150" i="13"/>
  <c r="GO49" i="13"/>
  <c r="GP126" i="13"/>
  <c r="GP75" i="13"/>
  <c r="GP86" i="13"/>
  <c r="GO124" i="13"/>
  <c r="GP28" i="13"/>
  <c r="GO26" i="13"/>
  <c r="GO145" i="13"/>
  <c r="GO109" i="13"/>
  <c r="GO60" i="13"/>
  <c r="GP16" i="13"/>
  <c r="GP22" i="13"/>
  <c r="GP149" i="13"/>
  <c r="GO36" i="13"/>
  <c r="GP130" i="13"/>
  <c r="GP83" i="13"/>
  <c r="GP138" i="13"/>
  <c r="GO23" i="13"/>
  <c r="GP63" i="13"/>
  <c r="GP74" i="13"/>
  <c r="GO76" i="13"/>
  <c r="GP69" i="13"/>
  <c r="GP45" i="13"/>
  <c r="GP87" i="13"/>
  <c r="GP90" i="13"/>
  <c r="GP34" i="13"/>
  <c r="GP41" i="13"/>
  <c r="GP67" i="13"/>
  <c r="GO143" i="13"/>
  <c r="GO44" i="13"/>
  <c r="GO77" i="13"/>
  <c r="GP105" i="13"/>
  <c r="GO111" i="13"/>
  <c r="GO47" i="13"/>
  <c r="GO136" i="13"/>
  <c r="GP15" i="13"/>
  <c r="GP31" i="13"/>
  <c r="GP35" i="13"/>
  <c r="GP29" i="13"/>
  <c r="GP146" i="13"/>
  <c r="GO137" i="13"/>
  <c r="GP79" i="13"/>
  <c r="GP78" i="13"/>
  <c r="GP73" i="13"/>
  <c r="GP54" i="13"/>
  <c r="GP113" i="13"/>
  <c r="GP46" i="13"/>
  <c r="GP14" i="13"/>
  <c r="GP108" i="13"/>
  <c r="GP12" i="13"/>
  <c r="GP116" i="13"/>
  <c r="GP128" i="13"/>
  <c r="GP5" i="13"/>
  <c r="GP93" i="13"/>
  <c r="GP104" i="13"/>
  <c r="GP141" i="13"/>
  <c r="GO61" i="13"/>
  <c r="GO84" i="13"/>
  <c r="GP58" i="13"/>
  <c r="GP140" i="13"/>
  <c r="GP99" i="13"/>
  <c r="GP33" i="13"/>
  <c r="GP132" i="13"/>
  <c r="GO55" i="13"/>
  <c r="GO107" i="13"/>
  <c r="GP43" i="13"/>
  <c r="GO72" i="13"/>
  <c r="GO100" i="13"/>
  <c r="GP118" i="13"/>
  <c r="GO40" i="13"/>
  <c r="GP119" i="13"/>
  <c r="GO96" i="13"/>
  <c r="GP30" i="13"/>
  <c r="GO10" i="13"/>
  <c r="GO110" i="13"/>
  <c r="GO127" i="13"/>
  <c r="GO53" i="13"/>
  <c r="GO134" i="13"/>
  <c r="GO27" i="13"/>
  <c r="GO125" i="13"/>
  <c r="GP115" i="13"/>
  <c r="GP129" i="13"/>
  <c r="GP123" i="13"/>
  <c r="GP21" i="13"/>
  <c r="GO39" i="13"/>
  <c r="GP121" i="13"/>
  <c r="GP92" i="13"/>
  <c r="GP71" i="13"/>
  <c r="GO59" i="13"/>
  <c r="GO135" i="13"/>
  <c r="GP142" i="13"/>
  <c r="GO81" i="13"/>
  <c r="GP117" i="13"/>
  <c r="GO66" i="13"/>
  <c r="GP85" i="13"/>
  <c r="GP51" i="13"/>
  <c r="GP25" i="13"/>
  <c r="GP64" i="13"/>
  <c r="GO38" i="13"/>
  <c r="GP98" i="13"/>
  <c r="GP103" i="13"/>
  <c r="GO68" i="13"/>
  <c r="GP52" i="13"/>
  <c r="GP7" i="13"/>
  <c r="GP122" i="13"/>
  <c r="GO91" i="13"/>
  <c r="GP89" i="13"/>
  <c r="GP65" i="13"/>
  <c r="GP147" i="13"/>
  <c r="GO101" i="13"/>
  <c r="GP48" i="13"/>
  <c r="GP70" i="13"/>
  <c r="GP131" i="13"/>
  <c r="GP57" i="13"/>
  <c r="GP139" i="13"/>
  <c r="GP24" i="13"/>
  <c r="GP42" i="13"/>
  <c r="GP112" i="13"/>
  <c r="GP32" i="13"/>
  <c r="GO94" i="13"/>
  <c r="GP6" i="13"/>
  <c r="GP97" i="13"/>
  <c r="GP9" i="13"/>
  <c r="GP8" i="13"/>
  <c r="GO62" i="13"/>
  <c r="GO120" i="13"/>
  <c r="GO88" i="13"/>
  <c r="P21" i="6"/>
  <c r="D20" i="6"/>
  <c r="E20" i="6" s="1"/>
  <c r="F20" i="6" s="1"/>
  <c r="G20" i="6" s="1"/>
  <c r="H20" i="6" s="1"/>
  <c r="I20" i="6" s="1"/>
  <c r="J20" i="6" s="1"/>
  <c r="K20" i="6" s="1"/>
  <c r="L20" i="6" s="1"/>
  <c r="M20" i="6" s="1"/>
  <c r="N20" i="6" s="1"/>
  <c r="O20" i="6" s="1"/>
  <c r="P19" i="6"/>
  <c r="P18" i="6"/>
  <c r="E16" i="6"/>
  <c r="F16" i="6" s="1"/>
  <c r="G16" i="6" s="1"/>
  <c r="H16" i="6" s="1"/>
  <c r="I16" i="6" s="1"/>
  <c r="J16" i="6" s="1"/>
  <c r="K16" i="6" s="1"/>
  <c r="L16" i="6" s="1"/>
  <c r="M16" i="6" s="1"/>
  <c r="N16" i="6" s="1"/>
  <c r="O16" i="6" s="1"/>
  <c r="E15" i="6"/>
  <c r="F15" i="6" s="1"/>
  <c r="G15" i="6" s="1"/>
  <c r="H15" i="6" s="1"/>
  <c r="I15" i="6" s="1"/>
  <c r="J15" i="6" s="1"/>
  <c r="K15" i="6" s="1"/>
  <c r="L15" i="6" s="1"/>
  <c r="M15" i="6" s="1"/>
  <c r="N15" i="6" s="1"/>
  <c r="O15" i="6" s="1"/>
  <c r="E14" i="6"/>
  <c r="F14" i="6" s="1"/>
  <c r="G14" i="6" s="1"/>
  <c r="H14" i="6" s="1"/>
  <c r="I14" i="6" s="1"/>
  <c r="J14" i="6" s="1"/>
  <c r="K14" i="6" s="1"/>
  <c r="L14" i="6" s="1"/>
  <c r="M14" i="6" s="1"/>
  <c r="N14" i="6" s="1"/>
  <c r="O14" i="6" s="1"/>
  <c r="P13" i="6"/>
  <c r="E13" i="6"/>
  <c r="F13" i="6" s="1"/>
  <c r="G13" i="6" s="1"/>
  <c r="H13" i="6" s="1"/>
  <c r="I13" i="6" s="1"/>
  <c r="J13" i="6" s="1"/>
  <c r="K13" i="6" s="1"/>
  <c r="L13" i="6" s="1"/>
  <c r="M13" i="6" s="1"/>
  <c r="N13" i="6" s="1"/>
  <c r="O13" i="6" s="1"/>
  <c r="E11" i="6"/>
  <c r="F11" i="6" s="1"/>
  <c r="G11" i="6" s="1"/>
  <c r="H11" i="6" s="1"/>
  <c r="I11" i="6" s="1"/>
  <c r="J11" i="6" s="1"/>
  <c r="K11" i="6" s="1"/>
  <c r="L11" i="6" s="1"/>
  <c r="M11" i="6" s="1"/>
  <c r="N11" i="6" s="1"/>
  <c r="O11" i="6" s="1"/>
  <c r="E10" i="6"/>
  <c r="F10" i="6" s="1"/>
  <c r="G10" i="6" s="1"/>
  <c r="H10" i="6" s="1"/>
  <c r="I10" i="6" s="1"/>
  <c r="J10" i="6" s="1"/>
  <c r="K10" i="6" s="1"/>
  <c r="L10" i="6" s="1"/>
  <c r="M10" i="6" s="1"/>
  <c r="N10" i="6" s="1"/>
  <c r="O10" i="6" s="1"/>
  <c r="P9" i="6"/>
  <c r="P10" i="6" s="1"/>
  <c r="E9" i="6"/>
  <c r="F9" i="6" s="1"/>
  <c r="G9" i="6" s="1"/>
  <c r="H9" i="6" s="1"/>
  <c r="I9" i="6" s="1"/>
  <c r="J9" i="6" s="1"/>
  <c r="K9" i="6" s="1"/>
  <c r="L9" i="6" s="1"/>
  <c r="M9" i="6" s="1"/>
  <c r="N9" i="6" s="1"/>
  <c r="O9" i="6" s="1"/>
  <c r="E8" i="6"/>
  <c r="F8" i="6" s="1"/>
  <c r="G8" i="6" s="1"/>
  <c r="H8" i="6" s="1"/>
  <c r="I8" i="6" s="1"/>
  <c r="J8" i="6" s="1"/>
  <c r="K8" i="6" s="1"/>
  <c r="L8" i="6" s="1"/>
  <c r="M8" i="6" s="1"/>
  <c r="N8" i="6" s="1"/>
  <c r="O8" i="6" s="1"/>
  <c r="F6" i="6"/>
  <c r="G6" i="6" s="1"/>
  <c r="H6" i="6" s="1"/>
  <c r="I6" i="6" s="1"/>
  <c r="J6" i="6" s="1"/>
  <c r="K6" i="6" s="1"/>
  <c r="L6" i="6" s="1"/>
  <c r="M6" i="6" s="1"/>
  <c r="N6" i="6" s="1"/>
  <c r="O6" i="6" s="1"/>
  <c r="E6" i="6"/>
  <c r="E5" i="6"/>
  <c r="F5" i="6" s="1"/>
  <c r="G5" i="6" s="1"/>
  <c r="H5" i="6" s="1"/>
  <c r="I5" i="6" s="1"/>
  <c r="J5" i="6" s="1"/>
  <c r="K5" i="6" s="1"/>
  <c r="L5" i="6" s="1"/>
  <c r="M5" i="6" s="1"/>
  <c r="N5" i="6" s="1"/>
  <c r="O5" i="6" s="1"/>
  <c r="F4" i="6"/>
  <c r="G4" i="6" s="1"/>
  <c r="H4" i="6" s="1"/>
  <c r="I4" i="6" s="1"/>
  <c r="J4" i="6" s="1"/>
  <c r="K4" i="6" s="1"/>
  <c r="L4" i="6" s="1"/>
  <c r="M4" i="6" s="1"/>
  <c r="N4" i="6" s="1"/>
  <c r="O4" i="6" s="1"/>
  <c r="E4" i="6"/>
  <c r="P3" i="6"/>
  <c r="E3" i="6"/>
  <c r="F3" i="6" s="1"/>
  <c r="G3" i="6" s="1"/>
  <c r="H3" i="6" s="1"/>
  <c r="I3" i="6" s="1"/>
  <c r="J3" i="6" s="1"/>
  <c r="K3" i="6" s="1"/>
  <c r="L3" i="6" s="1"/>
  <c r="M3" i="6" s="1"/>
  <c r="N3" i="6" s="1"/>
  <c r="O3" i="6" s="1"/>
  <c r="P5" i="6" l="1"/>
  <c r="P15" i="6"/>
  <c r="P11" i="6"/>
  <c r="P4" i="6"/>
  <c r="P14" i="6"/>
  <c r="P6" i="6" l="1"/>
  <c r="P16" i="6"/>
  <c r="AV4" i="24" l="1"/>
  <c r="AV5" i="24"/>
  <c r="AW5" i="24"/>
  <c r="AX5" i="24"/>
  <c r="AY5" i="24"/>
  <c r="AZ5" i="24"/>
  <c r="BA5" i="24"/>
  <c r="BB5" i="24"/>
  <c r="BC5" i="24"/>
  <c r="BD5" i="24"/>
  <c r="BE5" i="24"/>
  <c r="BF5" i="24"/>
  <c r="BG5" i="24"/>
  <c r="AX4" i="24"/>
  <c r="AY4" i="24"/>
  <c r="AZ4" i="24"/>
  <c r="BA4" i="24"/>
  <c r="BB4" i="24"/>
  <c r="BC4" i="24"/>
  <c r="BD4" i="24"/>
  <c r="BE4" i="24"/>
  <c r="BF4" i="24"/>
  <c r="BG4" i="24"/>
  <c r="AW4" i="24"/>
  <c r="N4" i="24"/>
  <c r="N9" i="24" s="1"/>
  <c r="B22" i="24"/>
  <c r="N5" i="24"/>
  <c r="M5" i="24"/>
  <c r="L5" i="24"/>
  <c r="K5" i="24"/>
  <c r="J5" i="24"/>
  <c r="I5" i="24"/>
  <c r="H5" i="24"/>
  <c r="G5" i="24"/>
  <c r="F5" i="24"/>
  <c r="E5" i="24"/>
  <c r="D5" i="24"/>
  <c r="C5" i="24"/>
  <c r="M4" i="24"/>
  <c r="M9" i="24" s="1"/>
  <c r="L4" i="24"/>
  <c r="L9" i="24" s="1"/>
  <c r="K4" i="24"/>
  <c r="K9" i="24" s="1"/>
  <c r="J4" i="24"/>
  <c r="J9" i="24" s="1"/>
  <c r="I4" i="24"/>
  <c r="I9" i="24" s="1"/>
  <c r="H4" i="24"/>
  <c r="H9" i="24" s="1"/>
  <c r="G4" i="24"/>
  <c r="G9" i="24" s="1"/>
  <c r="F4" i="24"/>
  <c r="F9" i="24" s="1"/>
  <c r="E4" i="24"/>
  <c r="E9" i="24" s="1"/>
  <c r="D4" i="24"/>
  <c r="D9" i="24" s="1"/>
  <c r="C4" i="24"/>
  <c r="C9" i="24" s="1"/>
  <c r="C10" i="24" l="1"/>
  <c r="O10" i="24" s="1"/>
  <c r="K10" i="24"/>
  <c r="K11" i="24" s="1"/>
  <c r="M10" i="24"/>
  <c r="M11" i="24" s="1"/>
  <c r="D10" i="24"/>
  <c r="D11" i="24" s="1"/>
  <c r="H10" i="24"/>
  <c r="H11" i="24" s="1"/>
  <c r="G10" i="24"/>
  <c r="G11" i="24" s="1"/>
  <c r="N10" i="24"/>
  <c r="N11" i="24" s="1"/>
  <c r="F10" i="24"/>
  <c r="F15" i="24" s="1"/>
  <c r="E10" i="24"/>
  <c r="E11" i="24" s="1"/>
  <c r="L10" i="24"/>
  <c r="L11" i="24" s="1"/>
  <c r="J10" i="24"/>
  <c r="J15" i="24" s="1"/>
  <c r="O9" i="24"/>
  <c r="I10" i="24"/>
  <c r="I15" i="24" s="1"/>
  <c r="N14" i="24"/>
  <c r="I14" i="24"/>
  <c r="K14" i="24"/>
  <c r="O5" i="24"/>
  <c r="O4" i="24"/>
  <c r="J14" i="24"/>
  <c r="L14" i="24"/>
  <c r="C14" i="24"/>
  <c r="D14" i="24"/>
  <c r="M14" i="24"/>
  <c r="E14" i="24"/>
  <c r="F14" i="24"/>
  <c r="G14" i="24"/>
  <c r="C6" i="24"/>
  <c r="H14" i="24"/>
  <c r="E6" i="24"/>
  <c r="M6" i="24"/>
  <c r="F6" i="24"/>
  <c r="N6" i="24"/>
  <c r="H6" i="24"/>
  <c r="G6" i="24"/>
  <c r="J6" i="24"/>
  <c r="I6" i="24"/>
  <c r="D6" i="24"/>
  <c r="L6" i="24"/>
  <c r="K6" i="24"/>
  <c r="O11" i="24" l="1"/>
  <c r="I16" i="24"/>
  <c r="F16" i="24"/>
  <c r="J16" i="24"/>
  <c r="F11" i="24"/>
  <c r="C11" i="24"/>
  <c r="C15" i="24"/>
  <c r="C16" i="24" s="1"/>
  <c r="H15" i="24"/>
  <c r="H16" i="24" s="1"/>
  <c r="M15" i="24"/>
  <c r="M16" i="24" s="1"/>
  <c r="E15" i="24"/>
  <c r="E16" i="24" s="1"/>
  <c r="L15" i="24"/>
  <c r="L16" i="24" s="1"/>
  <c r="D15" i="24"/>
  <c r="D16" i="24" s="1"/>
  <c r="K15" i="24"/>
  <c r="K16" i="24" s="1"/>
  <c r="J11" i="24"/>
  <c r="G15" i="24"/>
  <c r="G16" i="24" s="1"/>
  <c r="N15" i="24"/>
  <c r="N16" i="24" s="1"/>
  <c r="I11" i="24"/>
  <c r="O14" i="24"/>
  <c r="O6" i="24"/>
  <c r="O15" i="24" l="1"/>
  <c r="O16" i="24"/>
  <c r="FO2" i="13" l="1"/>
  <c r="EA2" i="13"/>
  <c r="DO2" i="13"/>
  <c r="DC2" i="13"/>
  <c r="CQ2" i="13"/>
  <c r="CK2" i="13"/>
  <c r="BM2" i="13"/>
  <c r="BA2" i="13"/>
  <c r="AO2" i="13"/>
  <c r="AC2" i="13"/>
  <c r="C60" i="16" l="1"/>
  <c r="C8" i="16"/>
  <c r="F89" i="16"/>
  <c r="F25" i="16"/>
  <c r="E64" i="16"/>
  <c r="D82" i="16"/>
  <c r="D21" i="16"/>
  <c r="F76" i="16"/>
  <c r="F16" i="16"/>
  <c r="E87" i="16"/>
  <c r="E24" i="16"/>
  <c r="D94" i="16"/>
  <c r="F40" i="16"/>
  <c r="C96" i="16"/>
  <c r="C55" i="16"/>
  <c r="F82" i="16"/>
  <c r="F21" i="16"/>
  <c r="E104" i="16"/>
  <c r="E57" i="16"/>
  <c r="E6" i="16"/>
  <c r="D77" i="16"/>
  <c r="D17" i="16"/>
  <c r="C92" i="16"/>
  <c r="C35" i="16"/>
  <c r="F65" i="16"/>
  <c r="F13" i="16"/>
  <c r="D91" i="16"/>
  <c r="D32" i="16"/>
  <c r="F81" i="16"/>
  <c r="F26" i="16"/>
  <c r="F101" i="16"/>
  <c r="C94" i="16"/>
  <c r="F77" i="16"/>
  <c r="F17" i="16"/>
  <c r="D113" i="16"/>
  <c r="D14" i="16"/>
  <c r="C89" i="16"/>
  <c r="C25" i="16"/>
  <c r="F60" i="16"/>
  <c r="F8" i="16"/>
  <c r="E76" i="16"/>
  <c r="E16" i="16"/>
  <c r="D87" i="16"/>
  <c r="D24" i="16"/>
  <c r="F27" i="16"/>
  <c r="C91" i="16"/>
  <c r="C32" i="16"/>
  <c r="F113" i="16"/>
  <c r="F68" i="16"/>
  <c r="F14" i="16"/>
  <c r="E92" i="16"/>
  <c r="E35" i="16"/>
  <c r="D64" i="16"/>
  <c r="C82" i="16"/>
  <c r="C21" i="16"/>
  <c r="F96" i="16"/>
  <c r="F55" i="16"/>
  <c r="E65" i="16"/>
  <c r="E13" i="16"/>
  <c r="C87" i="16"/>
  <c r="C24" i="16"/>
  <c r="F106" i="16"/>
  <c r="F64" i="16"/>
  <c r="F12" i="16"/>
  <c r="E89" i="16"/>
  <c r="E25" i="16"/>
  <c r="D104" i="16"/>
  <c r="D57" i="16"/>
  <c r="D6" i="16"/>
  <c r="C77" i="16"/>
  <c r="C17" i="16"/>
  <c r="F94" i="16"/>
  <c r="E60" i="16"/>
  <c r="E8" i="16"/>
  <c r="D76" i="16"/>
  <c r="D16" i="16"/>
  <c r="F104" i="16"/>
  <c r="F57" i="16"/>
  <c r="F6" i="16"/>
  <c r="E82" i="16"/>
  <c r="E21" i="16"/>
  <c r="C113" i="16"/>
  <c r="C14" i="16"/>
  <c r="F91" i="16"/>
  <c r="F32" i="16"/>
  <c r="E96" i="16"/>
  <c r="E55" i="16"/>
  <c r="D65" i="16"/>
  <c r="D13" i="16"/>
  <c r="F78" i="16"/>
  <c r="C76" i="16"/>
  <c r="C16" i="16"/>
  <c r="E77" i="16"/>
  <c r="E17" i="16"/>
  <c r="D92" i="16"/>
  <c r="D35" i="16"/>
  <c r="C64" i="16"/>
  <c r="F87" i="16"/>
  <c r="F24" i="16"/>
  <c r="E94" i="16"/>
  <c r="D60" i="16"/>
  <c r="D8" i="16"/>
  <c r="C65" i="16"/>
  <c r="C13" i="16"/>
  <c r="F92" i="16"/>
  <c r="F35" i="16"/>
  <c r="E113" i="16"/>
  <c r="E14" i="16"/>
  <c r="D89" i="16"/>
  <c r="D25" i="16"/>
  <c r="C104" i="16"/>
  <c r="C57" i="16"/>
  <c r="C6" i="16"/>
  <c r="F20" i="16"/>
  <c r="E91" i="16"/>
  <c r="E32" i="16"/>
  <c r="D96" i="16"/>
  <c r="D55" i="16"/>
  <c r="S26" i="6"/>
  <c r="AN3" i="6" l="1"/>
  <c r="D20" i="16"/>
  <c r="E20" i="16"/>
  <c r="E68" i="16"/>
  <c r="M53" i="16" s="1"/>
  <c r="E12" i="16"/>
  <c r="M12" i="16" s="1"/>
  <c r="C20" i="16"/>
  <c r="D68" i="16"/>
  <c r="L53" i="16" s="1"/>
  <c r="C68" i="16"/>
  <c r="K53" i="16" s="1"/>
  <c r="E106" i="16"/>
  <c r="M87" i="16" s="1"/>
  <c r="L49" i="16"/>
  <c r="K74" i="16"/>
  <c r="L74" i="16"/>
  <c r="M50" i="16"/>
  <c r="K19" i="16"/>
  <c r="L62" i="16"/>
  <c r="L75" i="16"/>
  <c r="K6" i="16"/>
  <c r="L50" i="16"/>
  <c r="K44" i="16"/>
  <c r="M62" i="16"/>
  <c r="K72" i="16"/>
  <c r="M6" i="16"/>
  <c r="K8" i="16"/>
  <c r="L42" i="16"/>
  <c r="K85" i="16"/>
  <c r="M42" i="16"/>
  <c r="K62" i="16"/>
  <c r="M75" i="16"/>
  <c r="M44" i="16"/>
  <c r="L19" i="16"/>
  <c r="K50" i="16"/>
  <c r="L61" i="16"/>
  <c r="L6" i="16"/>
  <c r="M85" i="16"/>
  <c r="L67" i="16"/>
  <c r="L8" i="16"/>
  <c r="K49" i="16"/>
  <c r="M67" i="16"/>
  <c r="M8" i="16"/>
  <c r="L44" i="16"/>
  <c r="M61" i="16"/>
  <c r="M72" i="16"/>
  <c r="M74" i="16"/>
  <c r="K61" i="16"/>
  <c r="L85" i="16"/>
  <c r="K67" i="16"/>
  <c r="M49" i="16"/>
  <c r="L72" i="16"/>
  <c r="M19" i="16"/>
  <c r="K75" i="16"/>
  <c r="K42" i="16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2" i="18"/>
  <c r="D12" i="16" l="1"/>
  <c r="L12" i="16" s="1"/>
  <c r="C12" i="16"/>
  <c r="K12" i="16" s="1"/>
  <c r="C106" i="16"/>
  <c r="K87" i="16" s="1"/>
  <c r="D106" i="16"/>
  <c r="L87" i="16" s="1"/>
  <c r="C103" i="19"/>
  <c r="D103" i="19" s="1"/>
  <c r="C65" i="19"/>
  <c r="D65" i="19" s="1"/>
  <c r="C90" i="19"/>
  <c r="D90" i="19" s="1"/>
  <c r="C63" i="19"/>
  <c r="D63" i="19" s="1"/>
  <c r="C28" i="19"/>
  <c r="D28" i="19" s="1"/>
  <c r="C89" i="19"/>
  <c r="D89" i="19" s="1"/>
  <c r="C60" i="19"/>
  <c r="D60" i="19" s="1"/>
  <c r="C25" i="19"/>
  <c r="D25" i="19" s="1"/>
  <c r="C85" i="19"/>
  <c r="D85" i="19" s="1"/>
  <c r="C54" i="19"/>
  <c r="D54" i="19" s="1"/>
  <c r="C23" i="19"/>
  <c r="D23" i="19" s="1"/>
  <c r="C81" i="19"/>
  <c r="D81" i="19" s="1"/>
  <c r="C50" i="19"/>
  <c r="D50" i="19" s="1"/>
  <c r="C22" i="19"/>
  <c r="D22" i="19" s="1"/>
  <c r="C79" i="19"/>
  <c r="D79" i="19" s="1"/>
  <c r="C37" i="19"/>
  <c r="D37" i="19" s="1"/>
  <c r="C20" i="19"/>
  <c r="D20" i="19" s="1"/>
  <c r="C70" i="19"/>
  <c r="D70" i="19" s="1"/>
  <c r="C31" i="19"/>
  <c r="D31" i="19" s="1"/>
  <c r="C14" i="19"/>
  <c r="D14" i="19" s="1"/>
  <c r="C29" i="19"/>
  <c r="D29" i="19" s="1"/>
  <c r="C69" i="19"/>
  <c r="D69" i="19" s="1"/>
  <c r="C30" i="19"/>
  <c r="D30" i="19" s="1"/>
  <c r="C3" i="19"/>
  <c r="D3" i="19" s="1"/>
  <c r="AF30" i="14" l="1"/>
  <c r="E27" i="16" l="1"/>
  <c r="E40" i="16"/>
  <c r="M29" i="16" s="1"/>
  <c r="E81" i="16"/>
  <c r="M66" i="16" s="1"/>
  <c r="E78" i="16" l="1"/>
  <c r="M63" i="16" s="1"/>
  <c r="C101" i="16"/>
  <c r="K82" i="16" s="1"/>
  <c r="E101" i="16"/>
  <c r="M82" i="16" s="1"/>
  <c r="E26" i="16"/>
  <c r="M20" i="16" s="1"/>
  <c r="D101" i="16"/>
  <c r="L82" i="16" s="1"/>
  <c r="D78" i="16"/>
  <c r="L63" i="16" s="1"/>
  <c r="D27" i="16"/>
  <c r="C27" i="16"/>
  <c r="C40" i="16"/>
  <c r="K29" i="16" s="1"/>
  <c r="D40" i="16"/>
  <c r="L29" i="16" s="1"/>
  <c r="D81" i="16"/>
  <c r="L66" i="16" s="1"/>
  <c r="C81" i="16"/>
  <c r="K66" i="16" s="1"/>
  <c r="EM2" i="13"/>
  <c r="BY2" i="13"/>
  <c r="C78" i="16" l="1"/>
  <c r="K63" i="16" s="1"/>
  <c r="D26" i="16"/>
  <c r="L20" i="16" s="1"/>
  <c r="C26" i="16"/>
  <c r="K20" i="16" s="1"/>
  <c r="F114" i="16"/>
  <c r="AR23" i="8"/>
  <c r="AR24" i="8" s="1"/>
  <c r="AR26" i="8" s="1"/>
  <c r="AN26" i="8" l="1"/>
  <c r="E1" i="8" l="1"/>
  <c r="S26" i="8" l="1"/>
  <c r="D20" i="8"/>
  <c r="E20" i="8" s="1"/>
  <c r="F20" i="8" s="1"/>
  <c r="G20" i="8" s="1"/>
  <c r="H20" i="8" s="1"/>
  <c r="I20" i="8" s="1"/>
  <c r="J20" i="8" s="1"/>
  <c r="K20" i="8" s="1"/>
  <c r="L20" i="8" s="1"/>
  <c r="M20" i="8" s="1"/>
  <c r="N20" i="8" s="1"/>
  <c r="O20" i="8" s="1"/>
  <c r="E16" i="8"/>
  <c r="F16" i="8" s="1"/>
  <c r="G16" i="8" s="1"/>
  <c r="H16" i="8" s="1"/>
  <c r="I16" i="8" s="1"/>
  <c r="J16" i="8" s="1"/>
  <c r="K16" i="8" s="1"/>
  <c r="L16" i="8" s="1"/>
  <c r="M16" i="8" s="1"/>
  <c r="N16" i="8" s="1"/>
  <c r="O16" i="8" s="1"/>
  <c r="E15" i="8"/>
  <c r="F15" i="8" s="1"/>
  <c r="G15" i="8" s="1"/>
  <c r="H15" i="8" s="1"/>
  <c r="I15" i="8" s="1"/>
  <c r="J15" i="8" s="1"/>
  <c r="K15" i="8" s="1"/>
  <c r="L15" i="8" s="1"/>
  <c r="M15" i="8" s="1"/>
  <c r="N15" i="8" s="1"/>
  <c r="O15" i="8" s="1"/>
  <c r="E14" i="8"/>
  <c r="F14" i="8" s="1"/>
  <c r="G14" i="8" s="1"/>
  <c r="H14" i="8" s="1"/>
  <c r="I14" i="8" s="1"/>
  <c r="J14" i="8" s="1"/>
  <c r="K14" i="8" s="1"/>
  <c r="L14" i="8" s="1"/>
  <c r="M14" i="8" s="1"/>
  <c r="N14" i="8" s="1"/>
  <c r="O14" i="8" s="1"/>
  <c r="P13" i="8"/>
  <c r="E13" i="8"/>
  <c r="F13" i="8" s="1"/>
  <c r="G13" i="8" s="1"/>
  <c r="H13" i="8" s="1"/>
  <c r="I13" i="8" s="1"/>
  <c r="J13" i="8" s="1"/>
  <c r="K13" i="8" s="1"/>
  <c r="L13" i="8" s="1"/>
  <c r="M13" i="8" s="1"/>
  <c r="N13" i="8" s="1"/>
  <c r="O13" i="8" s="1"/>
  <c r="E11" i="8"/>
  <c r="F11" i="8" s="1"/>
  <c r="G11" i="8" s="1"/>
  <c r="H11" i="8" s="1"/>
  <c r="I11" i="8" s="1"/>
  <c r="J11" i="8" s="1"/>
  <c r="K11" i="8" s="1"/>
  <c r="L11" i="8" s="1"/>
  <c r="M11" i="8" s="1"/>
  <c r="N11" i="8" s="1"/>
  <c r="O11" i="8" s="1"/>
  <c r="E10" i="8"/>
  <c r="F10" i="8" s="1"/>
  <c r="G10" i="8" s="1"/>
  <c r="H10" i="8" s="1"/>
  <c r="I10" i="8" s="1"/>
  <c r="J10" i="8" s="1"/>
  <c r="K10" i="8" s="1"/>
  <c r="L10" i="8" s="1"/>
  <c r="M10" i="8" s="1"/>
  <c r="N10" i="8" s="1"/>
  <c r="O10" i="8" s="1"/>
  <c r="P9" i="8"/>
  <c r="P4" i="8" s="1"/>
  <c r="E9" i="8"/>
  <c r="F9" i="8" s="1"/>
  <c r="G9" i="8" s="1"/>
  <c r="H9" i="8" s="1"/>
  <c r="I9" i="8" s="1"/>
  <c r="J9" i="8" s="1"/>
  <c r="K9" i="8" s="1"/>
  <c r="L9" i="8" s="1"/>
  <c r="M9" i="8" s="1"/>
  <c r="N9" i="8" s="1"/>
  <c r="O9" i="8" s="1"/>
  <c r="E8" i="8"/>
  <c r="F8" i="8" s="1"/>
  <c r="G8" i="8" s="1"/>
  <c r="H8" i="8" s="1"/>
  <c r="I8" i="8" s="1"/>
  <c r="J8" i="8" s="1"/>
  <c r="K8" i="8" s="1"/>
  <c r="L8" i="8" s="1"/>
  <c r="M8" i="8" s="1"/>
  <c r="N8" i="8" s="1"/>
  <c r="O8" i="8" s="1"/>
  <c r="E6" i="8"/>
  <c r="F6" i="8" s="1"/>
  <c r="G6" i="8" s="1"/>
  <c r="H6" i="8" s="1"/>
  <c r="I6" i="8" s="1"/>
  <c r="J6" i="8" s="1"/>
  <c r="K6" i="8" s="1"/>
  <c r="L6" i="8" s="1"/>
  <c r="M6" i="8" s="1"/>
  <c r="N6" i="8" s="1"/>
  <c r="O6" i="8" s="1"/>
  <c r="E5" i="8"/>
  <c r="F5" i="8" s="1"/>
  <c r="G5" i="8" s="1"/>
  <c r="H5" i="8" s="1"/>
  <c r="I5" i="8" s="1"/>
  <c r="J5" i="8" s="1"/>
  <c r="K5" i="8" s="1"/>
  <c r="L5" i="8" s="1"/>
  <c r="M5" i="8" s="1"/>
  <c r="N5" i="8" s="1"/>
  <c r="O5" i="8" s="1"/>
  <c r="E4" i="8"/>
  <c r="F4" i="8" s="1"/>
  <c r="G4" i="8" s="1"/>
  <c r="H4" i="8" s="1"/>
  <c r="I4" i="8" s="1"/>
  <c r="J4" i="8" s="1"/>
  <c r="K4" i="8" s="1"/>
  <c r="L4" i="8" s="1"/>
  <c r="M4" i="8" s="1"/>
  <c r="N4" i="8" s="1"/>
  <c r="O4" i="8" s="1"/>
  <c r="P3" i="8"/>
  <c r="E3" i="8"/>
  <c r="F3" i="8" s="1"/>
  <c r="G3" i="8" s="1"/>
  <c r="H3" i="8" s="1"/>
  <c r="I3" i="8" s="1"/>
  <c r="J3" i="8" s="1"/>
  <c r="K3" i="8" s="1"/>
  <c r="L3" i="8" s="1"/>
  <c r="M3" i="8" s="1"/>
  <c r="N3" i="8" s="1"/>
  <c r="O3" i="8" s="1"/>
  <c r="P19" i="8"/>
  <c r="E1" i="6"/>
  <c r="E114" i="16" l="1"/>
  <c r="AX11" i="6"/>
  <c r="AY16" i="8"/>
  <c r="AQ16" i="8"/>
  <c r="AU15" i="8"/>
  <c r="AY14" i="8"/>
  <c r="AQ14" i="8"/>
  <c r="AU12" i="8"/>
  <c r="AY11" i="8"/>
  <c r="AQ11" i="8"/>
  <c r="AU9" i="8"/>
  <c r="AY8" i="8"/>
  <c r="AQ8" i="8"/>
  <c r="AU6" i="8"/>
  <c r="AY5" i="8"/>
  <c r="AQ5" i="8"/>
  <c r="AU4" i="8"/>
  <c r="AY3" i="8"/>
  <c r="AQ3" i="8"/>
  <c r="AO3" i="8"/>
  <c r="AR15" i="8"/>
  <c r="AR12" i="8"/>
  <c r="AR9" i="8"/>
  <c r="AR6" i="8"/>
  <c r="AV3" i="8"/>
  <c r="AQ4" i="8"/>
  <c r="AT16" i="8"/>
  <c r="AX12" i="8"/>
  <c r="AP9" i="8"/>
  <c r="AP6" i="8"/>
  <c r="AT3" i="8"/>
  <c r="AS14" i="8"/>
  <c r="AS11" i="8"/>
  <c r="AS8" i="8"/>
  <c r="AS5" i="8"/>
  <c r="AS3" i="8"/>
  <c r="AN15" i="8"/>
  <c r="AN9" i="8"/>
  <c r="AX16" i="8"/>
  <c r="AP16" i="8"/>
  <c r="AT15" i="8"/>
  <c r="AX14" i="8"/>
  <c r="AP14" i="8"/>
  <c r="AT12" i="8"/>
  <c r="AX11" i="8"/>
  <c r="AP11" i="8"/>
  <c r="AT9" i="8"/>
  <c r="AX8" i="8"/>
  <c r="AP8" i="8"/>
  <c r="AT6" i="8"/>
  <c r="AX5" i="8"/>
  <c r="AP5" i="8"/>
  <c r="AT4" i="8"/>
  <c r="AX3" i="8"/>
  <c r="AP3" i="8"/>
  <c r="AW3" i="8"/>
  <c r="AN16" i="8"/>
  <c r="AV11" i="8"/>
  <c r="AV8" i="8"/>
  <c r="AV5" i="8"/>
  <c r="AR4" i="8"/>
  <c r="AQ6" i="8"/>
  <c r="AU3" i="8"/>
  <c r="AT14" i="8"/>
  <c r="AT11" i="8"/>
  <c r="AX6" i="8"/>
  <c r="AP4" i="8"/>
  <c r="AO15" i="8"/>
  <c r="AO9" i="8"/>
  <c r="AO6" i="8"/>
  <c r="AO4" i="8"/>
  <c r="AV15" i="8"/>
  <c r="AV12" i="8"/>
  <c r="AV9" i="8"/>
  <c r="AV6" i="8"/>
  <c r="AV4" i="8"/>
  <c r="AR3" i="8"/>
  <c r="AW16" i="8"/>
  <c r="AO16" i="8"/>
  <c r="AS15" i="8"/>
  <c r="AW14" i="8"/>
  <c r="AO14" i="8"/>
  <c r="AS12" i="8"/>
  <c r="AW11" i="8"/>
  <c r="AO11" i="8"/>
  <c r="AS9" i="8"/>
  <c r="AW8" i="8"/>
  <c r="AO8" i="8"/>
  <c r="AS6" i="8"/>
  <c r="AW5" i="8"/>
  <c r="AO5" i="8"/>
  <c r="AS4" i="8"/>
  <c r="AV16" i="8"/>
  <c r="AV14" i="8"/>
  <c r="AN14" i="8"/>
  <c r="AN11" i="8"/>
  <c r="AN8" i="8"/>
  <c r="AN5" i="8"/>
  <c r="AN3" i="8"/>
  <c r="AU5" i="8"/>
  <c r="AX15" i="8"/>
  <c r="AX9" i="8"/>
  <c r="AT5" i="8"/>
  <c r="AW15" i="8"/>
  <c r="AR14" i="8"/>
  <c r="AR11" i="8"/>
  <c r="AN6" i="8"/>
  <c r="AN4" i="8"/>
  <c r="AU16" i="8"/>
  <c r="AY15" i="8"/>
  <c r="AQ15" i="8"/>
  <c r="AU14" i="8"/>
  <c r="AY12" i="8"/>
  <c r="AQ12" i="8"/>
  <c r="AU11" i="8"/>
  <c r="AY9" i="8"/>
  <c r="AQ9" i="8"/>
  <c r="AU8" i="8"/>
  <c r="AY6" i="8"/>
  <c r="AY4" i="8"/>
  <c r="AP15" i="8"/>
  <c r="AP12" i="8"/>
  <c r="AT8" i="8"/>
  <c r="AX4" i="8"/>
  <c r="AS16" i="8"/>
  <c r="AW12" i="8"/>
  <c r="AO12" i="8"/>
  <c r="AW9" i="8"/>
  <c r="AW6" i="8"/>
  <c r="AW4" i="8"/>
  <c r="AR16" i="8"/>
  <c r="AN12" i="8"/>
  <c r="AR8" i="8"/>
  <c r="AR5" i="8"/>
  <c r="AK16" i="8"/>
  <c r="AC16" i="8"/>
  <c r="AG15" i="8"/>
  <c r="AK14" i="8"/>
  <c r="AC14" i="8"/>
  <c r="AG12" i="8"/>
  <c r="AK11" i="8"/>
  <c r="AC11" i="8"/>
  <c r="AG9" i="8"/>
  <c r="AK8" i="8"/>
  <c r="AC8" i="8"/>
  <c r="AG6" i="8"/>
  <c r="AK5" i="8"/>
  <c r="AC5" i="8"/>
  <c r="AG4" i="8"/>
  <c r="AK3" i="8"/>
  <c r="AC3" i="8"/>
  <c r="AB15" i="8"/>
  <c r="AB6" i="8"/>
  <c r="AA15" i="8"/>
  <c r="AA9" i="8"/>
  <c r="Z15" i="8"/>
  <c r="Z12" i="8"/>
  <c r="AD8" i="8"/>
  <c r="AD5" i="8"/>
  <c r="AJ16" i="8"/>
  <c r="AB16" i="8"/>
  <c r="AF15" i="8"/>
  <c r="AJ14" i="8"/>
  <c r="AB14" i="8"/>
  <c r="AF12" i="8"/>
  <c r="AJ11" i="8"/>
  <c r="AB11" i="8"/>
  <c r="AF9" i="8"/>
  <c r="AJ8" i="8"/>
  <c r="AB8" i="8"/>
  <c r="AF6" i="8"/>
  <c r="AJ5" i="8"/>
  <c r="AB5" i="8"/>
  <c r="AF4" i="8"/>
  <c r="AJ3" i="8"/>
  <c r="AB3" i="8"/>
  <c r="AJ15" i="8"/>
  <c r="AF11" i="8"/>
  <c r="AB9" i="8"/>
  <c r="AJ4" i="8"/>
  <c r="AE16" i="8"/>
  <c r="AE11" i="8"/>
  <c r="AA6" i="8"/>
  <c r="AA4" i="8"/>
  <c r="AH15" i="8"/>
  <c r="AD11" i="8"/>
  <c r="AH6" i="8"/>
  <c r="Z4" i="8"/>
  <c r="AI16" i="8"/>
  <c r="AA16" i="8"/>
  <c r="AE15" i="8"/>
  <c r="AI14" i="8"/>
  <c r="AA14" i="8"/>
  <c r="AE12" i="8"/>
  <c r="AI11" i="8"/>
  <c r="AA11" i="8"/>
  <c r="AE9" i="8"/>
  <c r="AI8" i="8"/>
  <c r="AA8" i="8"/>
  <c r="AE6" i="8"/>
  <c r="AI5" i="8"/>
  <c r="AA5" i="8"/>
  <c r="AE4" i="8"/>
  <c r="AI3" i="8"/>
  <c r="AA3" i="8"/>
  <c r="AF14" i="8"/>
  <c r="AF8" i="8"/>
  <c r="AE14" i="8"/>
  <c r="AI6" i="8"/>
  <c r="AE3" i="8"/>
  <c r="AH12" i="8"/>
  <c r="AH16" i="8"/>
  <c r="Z16" i="8"/>
  <c r="AD15" i="8"/>
  <c r="AH14" i="8"/>
  <c r="Z14" i="8"/>
  <c r="AD12" i="8"/>
  <c r="AH11" i="8"/>
  <c r="Z11" i="8"/>
  <c r="AD9" i="8"/>
  <c r="AH8" i="8"/>
  <c r="Z8" i="8"/>
  <c r="AD6" i="8"/>
  <c r="AH5" i="8"/>
  <c r="Z5" i="8"/>
  <c r="AD4" i="8"/>
  <c r="AH3" i="8"/>
  <c r="Z3" i="8"/>
  <c r="AJ12" i="8"/>
  <c r="AJ6" i="8"/>
  <c r="AB4" i="8"/>
  <c r="AI12" i="8"/>
  <c r="AE5" i="8"/>
  <c r="AD14" i="8"/>
  <c r="Z9" i="8"/>
  <c r="AH4" i="8"/>
  <c r="AG16" i="8"/>
  <c r="AK15" i="8"/>
  <c r="AC15" i="8"/>
  <c r="AG14" i="8"/>
  <c r="AK12" i="8"/>
  <c r="AC12" i="8"/>
  <c r="AG11" i="8"/>
  <c r="AK9" i="8"/>
  <c r="AC9" i="8"/>
  <c r="AG8" i="8"/>
  <c r="AK6" i="8"/>
  <c r="AC6" i="8"/>
  <c r="AG5" i="8"/>
  <c r="AK4" i="8"/>
  <c r="AC4" i="8"/>
  <c r="AG3" i="8"/>
  <c r="AF16" i="8"/>
  <c r="AB12" i="8"/>
  <c r="AJ9" i="8"/>
  <c r="AF5" i="8"/>
  <c r="AF3" i="8"/>
  <c r="AI15" i="8"/>
  <c r="AA12" i="8"/>
  <c r="AI9" i="8"/>
  <c r="AE8" i="8"/>
  <c r="AI4" i="8"/>
  <c r="AD16" i="8"/>
  <c r="AH9" i="8"/>
  <c r="Z6" i="8"/>
  <c r="AD3" i="8"/>
  <c r="AY16" i="6"/>
  <c r="AQ16" i="6"/>
  <c r="AU15" i="6"/>
  <c r="AY14" i="6"/>
  <c r="AQ14" i="6"/>
  <c r="AU12" i="6"/>
  <c r="AY11" i="6"/>
  <c r="AQ11" i="6"/>
  <c r="AU9" i="6"/>
  <c r="AY8" i="6"/>
  <c r="AQ8" i="6"/>
  <c r="AU6" i="6"/>
  <c r="AY5" i="6"/>
  <c r="AQ5" i="6"/>
  <c r="AU4" i="6"/>
  <c r="AY3" i="6"/>
  <c r="AQ3" i="6"/>
  <c r="AX16" i="6"/>
  <c r="AP16" i="6"/>
  <c r="AT15" i="6"/>
  <c r="AX14" i="6"/>
  <c r="AP14" i="6"/>
  <c r="AT12" i="6"/>
  <c r="AP11" i="6"/>
  <c r="AT9" i="6"/>
  <c r="AX8" i="6"/>
  <c r="AP8" i="6"/>
  <c r="AT6" i="6"/>
  <c r="AX5" i="6"/>
  <c r="AP5" i="6"/>
  <c r="AT4" i="6"/>
  <c r="AX3" i="6"/>
  <c r="AS15" i="6"/>
  <c r="AS12" i="6"/>
  <c r="AO8" i="6"/>
  <c r="AW3" i="6"/>
  <c r="AV16" i="6"/>
  <c r="AN16" i="6"/>
  <c r="AR15" i="6"/>
  <c r="AV14" i="6"/>
  <c r="AN14" i="6"/>
  <c r="AR12" i="6"/>
  <c r="AV11" i="6"/>
  <c r="AN11" i="6"/>
  <c r="AR9" i="6"/>
  <c r="AV8" i="6"/>
  <c r="AN8" i="6"/>
  <c r="AR6" i="6"/>
  <c r="AV5" i="6"/>
  <c r="AN5" i="6"/>
  <c r="AR4" i="6"/>
  <c r="AV3" i="6"/>
  <c r="AX6" i="6"/>
  <c r="AX4" i="6"/>
  <c r="AW9" i="6"/>
  <c r="AO4" i="6"/>
  <c r="AN12" i="6"/>
  <c r="AV6" i="6"/>
  <c r="AR3" i="6"/>
  <c r="AO14" i="6"/>
  <c r="AW8" i="6"/>
  <c r="AS4" i="6"/>
  <c r="AU16" i="6"/>
  <c r="AY15" i="6"/>
  <c r="AQ15" i="6"/>
  <c r="AU14" i="6"/>
  <c r="AY12" i="6"/>
  <c r="AQ12" i="6"/>
  <c r="AU11" i="6"/>
  <c r="AY9" i="6"/>
  <c r="AQ9" i="6"/>
  <c r="AU8" i="6"/>
  <c r="AY6" i="6"/>
  <c r="AQ6" i="6"/>
  <c r="AU5" i="6"/>
  <c r="AY4" i="6"/>
  <c r="AQ4" i="6"/>
  <c r="AU3" i="6"/>
  <c r="AP12" i="6"/>
  <c r="AP9" i="6"/>
  <c r="AP6" i="6"/>
  <c r="AP4" i="6"/>
  <c r="AS8" i="6"/>
  <c r="AS5" i="6"/>
  <c r="AR16" i="6"/>
  <c r="AR14" i="6"/>
  <c r="AV12" i="6"/>
  <c r="AR11" i="6"/>
  <c r="AV9" i="6"/>
  <c r="AN6" i="6"/>
  <c r="AP3" i="6"/>
  <c r="AW14" i="6"/>
  <c r="AW11" i="6"/>
  <c r="AS6" i="6"/>
  <c r="AT16" i="6"/>
  <c r="AX15" i="6"/>
  <c r="AP15" i="6"/>
  <c r="AT14" i="6"/>
  <c r="AX12" i="6"/>
  <c r="AT11" i="6"/>
  <c r="AX9" i="6"/>
  <c r="AT8" i="6"/>
  <c r="AT5" i="6"/>
  <c r="AT3" i="6"/>
  <c r="AW6" i="6"/>
  <c r="AW4" i="6"/>
  <c r="AS3" i="6"/>
  <c r="AV15" i="6"/>
  <c r="AR8" i="6"/>
  <c r="AR5" i="6"/>
  <c r="AN4" i="6"/>
  <c r="AW16" i="6"/>
  <c r="AO11" i="6"/>
  <c r="AW5" i="6"/>
  <c r="AO3" i="6"/>
  <c r="AS16" i="6"/>
  <c r="AW15" i="6"/>
  <c r="AO15" i="6"/>
  <c r="AS14" i="6"/>
  <c r="AW12" i="6"/>
  <c r="AO12" i="6"/>
  <c r="AS11" i="6"/>
  <c r="AO9" i="6"/>
  <c r="AO6" i="6"/>
  <c r="AN15" i="6"/>
  <c r="AN9" i="6"/>
  <c r="AV4" i="6"/>
  <c r="AO16" i="6"/>
  <c r="AS9" i="6"/>
  <c r="AO5" i="6"/>
  <c r="AK16" i="6"/>
  <c r="AJ16" i="6"/>
  <c r="AI16" i="6"/>
  <c r="AA16" i="6"/>
  <c r="AE15" i="6"/>
  <c r="AI14" i="6"/>
  <c r="AA14" i="6"/>
  <c r="AE12" i="6"/>
  <c r="AI11" i="6"/>
  <c r="AA11" i="6"/>
  <c r="AE9" i="6"/>
  <c r="AI8" i="6"/>
  <c r="AA8" i="6"/>
  <c r="AE6" i="6"/>
  <c r="AI5" i="6"/>
  <c r="AA5" i="6"/>
  <c r="AE4" i="6"/>
  <c r="AI3" i="6"/>
  <c r="AA3" i="6"/>
  <c r="Z16" i="6"/>
  <c r="AH14" i="6"/>
  <c r="AD12" i="6"/>
  <c r="AD9" i="6"/>
  <c r="Z8" i="6"/>
  <c r="AH5" i="6"/>
  <c r="Z3" i="6"/>
  <c r="AC15" i="6"/>
  <c r="AG14" i="6"/>
  <c r="AC12" i="6"/>
  <c r="AC9" i="6"/>
  <c r="AK6" i="6"/>
  <c r="AG5" i="6"/>
  <c r="AK4" i="6"/>
  <c r="AG3" i="6"/>
  <c r="AJ15" i="6"/>
  <c r="AJ12" i="6"/>
  <c r="AB9" i="6"/>
  <c r="AJ6" i="6"/>
  <c r="AJ4" i="6"/>
  <c r="AF3" i="6"/>
  <c r="AA15" i="6"/>
  <c r="AA12" i="6"/>
  <c r="AA9" i="6"/>
  <c r="AE8" i="6"/>
  <c r="AA6" i="6"/>
  <c r="AI4" i="6"/>
  <c r="AE3" i="6"/>
  <c r="AH15" i="6"/>
  <c r="AH12" i="6"/>
  <c r="AH9" i="6"/>
  <c r="AD8" i="6"/>
  <c r="AD5" i="6"/>
  <c r="Z4" i="6"/>
  <c r="AG15" i="6"/>
  <c r="AG12" i="6"/>
  <c r="AC11" i="6"/>
  <c r="AC8" i="6"/>
  <c r="AK5" i="6"/>
  <c r="AG4" i="6"/>
  <c r="AB16" i="6"/>
  <c r="AJ14" i="6"/>
  <c r="AJ11" i="6"/>
  <c r="AB8" i="6"/>
  <c r="AJ5" i="6"/>
  <c r="AF4" i="6"/>
  <c r="AH16" i="6"/>
  <c r="AD15" i="6"/>
  <c r="Z14" i="6"/>
  <c r="AH11" i="6"/>
  <c r="Z11" i="6"/>
  <c r="AH8" i="6"/>
  <c r="AD6" i="6"/>
  <c r="Z5" i="6"/>
  <c r="AD4" i="6"/>
  <c r="AH3" i="6"/>
  <c r="AK15" i="6"/>
  <c r="AK12" i="6"/>
  <c r="AG11" i="6"/>
  <c r="AK9" i="6"/>
  <c r="AG8" i="6"/>
  <c r="AC6" i="6"/>
  <c r="AC4" i="6"/>
  <c r="AF16" i="6"/>
  <c r="AB15" i="6"/>
  <c r="AF14" i="6"/>
  <c r="AB12" i="6"/>
  <c r="AF11" i="6"/>
  <c r="AJ9" i="6"/>
  <c r="AF8" i="6"/>
  <c r="AB6" i="6"/>
  <c r="AF5" i="6"/>
  <c r="AB4" i="6"/>
  <c r="AI15" i="6"/>
  <c r="AE14" i="6"/>
  <c r="AI12" i="6"/>
  <c r="AE11" i="6"/>
  <c r="AI9" i="6"/>
  <c r="AI6" i="6"/>
  <c r="AE5" i="6"/>
  <c r="AA4" i="6"/>
  <c r="AD16" i="6"/>
  <c r="Z15" i="6"/>
  <c r="AD14" i="6"/>
  <c r="Z12" i="6"/>
  <c r="AD11" i="6"/>
  <c r="Z9" i="6"/>
  <c r="AH6" i="6"/>
  <c r="Z6" i="6"/>
  <c r="AH4" i="6"/>
  <c r="AD3" i="6"/>
  <c r="AC16" i="6"/>
  <c r="AK14" i="6"/>
  <c r="AC14" i="6"/>
  <c r="AK11" i="6"/>
  <c r="AG9" i="6"/>
  <c r="AK8" i="6"/>
  <c r="AG6" i="6"/>
  <c r="AC5" i="6"/>
  <c r="AK3" i="6"/>
  <c r="AC3" i="6"/>
  <c r="AF15" i="6"/>
  <c r="AB14" i="6"/>
  <c r="AF12" i="6"/>
  <c r="AB11" i="6"/>
  <c r="AF9" i="6"/>
  <c r="AJ8" i="6"/>
  <c r="AF6" i="6"/>
  <c r="AB5" i="6"/>
  <c r="AJ3" i="6"/>
  <c r="AB3" i="6"/>
  <c r="AG16" i="6"/>
  <c r="AE16" i="6"/>
  <c r="P18" i="8"/>
  <c r="P14" i="8"/>
  <c r="P10" i="8"/>
  <c r="P11" i="8" s="1"/>
  <c r="P16" i="8" s="1"/>
  <c r="P21" i="8"/>
  <c r="AD7" i="8" l="1"/>
  <c r="AD19" i="8" s="1"/>
  <c r="M94" i="16"/>
  <c r="D114" i="16"/>
  <c r="C114" i="16"/>
  <c r="C76" i="19"/>
  <c r="I69" i="19" s="1"/>
  <c r="C58" i="19"/>
  <c r="D58" i="19" s="1"/>
  <c r="C4" i="19"/>
  <c r="I4" i="19" s="1"/>
  <c r="C71" i="19"/>
  <c r="I64" i="19" s="1"/>
  <c r="C96" i="19"/>
  <c r="D96" i="19" s="1"/>
  <c r="C55" i="19"/>
  <c r="D55" i="19" s="1"/>
  <c r="C12" i="19"/>
  <c r="I12" i="19" s="1"/>
  <c r="C97" i="19"/>
  <c r="D97" i="19" s="1"/>
  <c r="C91" i="19"/>
  <c r="D91" i="19" s="1"/>
  <c r="I17" i="19"/>
  <c r="I81" i="19"/>
  <c r="I25" i="19"/>
  <c r="I53" i="19"/>
  <c r="C83" i="19"/>
  <c r="D83" i="19" s="1"/>
  <c r="C24" i="19"/>
  <c r="D24" i="19" s="1"/>
  <c r="C61" i="19"/>
  <c r="I54" i="19" s="1"/>
  <c r="I56" i="19"/>
  <c r="C18" i="19"/>
  <c r="D18" i="19" s="1"/>
  <c r="I62" i="19"/>
  <c r="I26" i="19"/>
  <c r="I77" i="19"/>
  <c r="C86" i="19"/>
  <c r="D86" i="19" s="1"/>
  <c r="C49" i="19"/>
  <c r="I43" i="19" s="1"/>
  <c r="I73" i="19"/>
  <c r="I24" i="19"/>
  <c r="I47" i="19"/>
  <c r="I19" i="19"/>
  <c r="C57" i="19"/>
  <c r="I50" i="19" s="1"/>
  <c r="C19" i="19"/>
  <c r="D19" i="19" s="1"/>
  <c r="I63" i="19"/>
  <c r="I44" i="19"/>
  <c r="I80" i="19"/>
  <c r="C80" i="19"/>
  <c r="I72" i="19" s="1"/>
  <c r="I32" i="19"/>
  <c r="C15" i="19"/>
  <c r="D15" i="19" s="1"/>
  <c r="I20" i="19"/>
  <c r="C59" i="19"/>
  <c r="I52" i="19" s="1"/>
  <c r="I58" i="19"/>
  <c r="I3" i="19"/>
  <c r="C98" i="19"/>
  <c r="I89" i="19" s="1"/>
  <c r="C21" i="19"/>
  <c r="D21" i="19" s="1"/>
  <c r="C39" i="19"/>
  <c r="I34" i="19" s="1"/>
  <c r="C105" i="19"/>
  <c r="D105" i="19" s="1"/>
  <c r="C95" i="19"/>
  <c r="I86" i="19" s="1"/>
  <c r="C6" i="19"/>
  <c r="I6" i="19" s="1"/>
  <c r="C33" i="19"/>
  <c r="D33" i="19" s="1"/>
  <c r="C43" i="19"/>
  <c r="D43" i="19" s="1"/>
  <c r="C68" i="19"/>
  <c r="D68" i="19" s="1"/>
  <c r="C13" i="19"/>
  <c r="D13" i="19" s="1"/>
  <c r="C36" i="19"/>
  <c r="I31" i="19" s="1"/>
  <c r="C44" i="19"/>
  <c r="I39" i="19" s="1"/>
  <c r="C93" i="19"/>
  <c r="I84" i="19" s="1"/>
  <c r="C56" i="19"/>
  <c r="D56" i="19" s="1"/>
  <c r="C64" i="19"/>
  <c r="I57" i="19" s="1"/>
  <c r="C92" i="19"/>
  <c r="I83" i="19" s="1"/>
  <c r="C62" i="19"/>
  <c r="D62" i="19" s="1"/>
  <c r="C48" i="19"/>
  <c r="D48" i="19" s="1"/>
  <c r="C11" i="19"/>
  <c r="D11" i="19" s="1"/>
  <c r="C78" i="19"/>
  <c r="D78" i="19" s="1"/>
  <c r="C34" i="19"/>
  <c r="D34" i="19" s="1"/>
  <c r="C100" i="19"/>
  <c r="I91" i="19" s="1"/>
  <c r="C72" i="19"/>
  <c r="I65" i="19" s="1"/>
  <c r="C8" i="19"/>
  <c r="I8" i="19" s="1"/>
  <c r="C74" i="19"/>
  <c r="D74" i="19" s="1"/>
  <c r="C102" i="19"/>
  <c r="D102" i="19" s="1"/>
  <c r="C42" i="19"/>
  <c r="D42" i="19" s="1"/>
  <c r="C46" i="19"/>
  <c r="D46" i="19" s="1"/>
  <c r="C75" i="19"/>
  <c r="I68" i="19" s="1"/>
  <c r="C94" i="19"/>
  <c r="I85" i="19" s="1"/>
  <c r="C101" i="19"/>
  <c r="D101" i="19" s="1"/>
  <c r="C10" i="19"/>
  <c r="D10" i="19" s="1"/>
  <c r="C88" i="19"/>
  <c r="D88" i="19" s="1"/>
  <c r="C51" i="19"/>
  <c r="C73" i="19"/>
  <c r="C104" i="19"/>
  <c r="C82" i="19"/>
  <c r="C87" i="19"/>
  <c r="D87" i="19" s="1"/>
  <c r="C47" i="19"/>
  <c r="C52" i="19"/>
  <c r="C27" i="19"/>
  <c r="C45" i="19"/>
  <c r="C41" i="19"/>
  <c r="C67" i="19"/>
  <c r="C7" i="19"/>
  <c r="C2" i="19"/>
  <c r="C99" i="19"/>
  <c r="C35" i="19"/>
  <c r="BK5" i="6"/>
  <c r="BK4" i="6"/>
  <c r="BJ6" i="6"/>
  <c r="BD8" i="6"/>
  <c r="BI15" i="6"/>
  <c r="BC6" i="6"/>
  <c r="BH11" i="6"/>
  <c r="BM4" i="6"/>
  <c r="BE12" i="6"/>
  <c r="BC14" i="6"/>
  <c r="BF9" i="6"/>
  <c r="BL14" i="6"/>
  <c r="BE14" i="6"/>
  <c r="BK16" i="6"/>
  <c r="BG5" i="6"/>
  <c r="BL5" i="6"/>
  <c r="BG16" i="6"/>
  <c r="BJ15" i="6"/>
  <c r="BK14" i="6"/>
  <c r="BC9" i="6"/>
  <c r="BC3" i="6"/>
  <c r="BG3" i="6"/>
  <c r="BL12" i="6"/>
  <c r="BG8" i="6"/>
  <c r="BI5" i="6"/>
  <c r="BM12" i="6"/>
  <c r="BF3" i="6"/>
  <c r="BJ3" i="6"/>
  <c r="BB11" i="6"/>
  <c r="BH6" i="6"/>
  <c r="BI6" i="6"/>
  <c r="BM14" i="6"/>
  <c r="BB6" i="6"/>
  <c r="BI14" i="6"/>
  <c r="BD16" i="6"/>
  <c r="BD4" i="6"/>
  <c r="BC16" i="6"/>
  <c r="BG14" i="6"/>
  <c r="BH5" i="6"/>
  <c r="BH16" i="6"/>
  <c r="BD12" i="6"/>
  <c r="BE9" i="6"/>
  <c r="BI16" i="6"/>
  <c r="BD11" i="6"/>
  <c r="BM3" i="6"/>
  <c r="BM5" i="6"/>
  <c r="BE6" i="6"/>
  <c r="BH15" i="6"/>
  <c r="BG11" i="6"/>
  <c r="BF4" i="6"/>
  <c r="BJ11" i="6"/>
  <c r="BC8" i="6"/>
  <c r="BE8" i="6"/>
  <c r="BG9" i="6"/>
  <c r="BC12" i="6"/>
  <c r="BC11" i="6"/>
  <c r="BK6" i="6"/>
  <c r="BD15" i="6"/>
  <c r="BJ9" i="6"/>
  <c r="BD6" i="6"/>
  <c r="BM6" i="6"/>
  <c r="BE15" i="6"/>
  <c r="BB12" i="6"/>
  <c r="BB5" i="6"/>
  <c r="BF12" i="6"/>
  <c r="BG12" i="6"/>
  <c r="BL8" i="6"/>
  <c r="BL16" i="6"/>
  <c r="BM8" i="6"/>
  <c r="BE16" i="6"/>
  <c r="BK3" i="6"/>
  <c r="BC5" i="6"/>
  <c r="BH14" i="6"/>
  <c r="BK12" i="6"/>
  <c r="BH3" i="6"/>
  <c r="BL15" i="6"/>
  <c r="BF11" i="6"/>
  <c r="BD9" i="6"/>
  <c r="BI8" i="6"/>
  <c r="BM15" i="6"/>
  <c r="BC4" i="6"/>
  <c r="BJ5" i="6"/>
  <c r="BB14" i="6"/>
  <c r="BG15" i="6"/>
  <c r="BH9" i="6"/>
  <c r="BE3" i="6"/>
  <c r="BI9" i="6"/>
  <c r="BM16" i="6"/>
  <c r="BL11" i="6"/>
  <c r="BD3" i="6"/>
  <c r="BJ4" i="6"/>
  <c r="BK9" i="6"/>
  <c r="BJ14" i="6"/>
  <c r="BB9" i="6"/>
  <c r="BC15" i="6"/>
  <c r="BF5" i="6"/>
  <c r="BH8" i="6"/>
  <c r="BG6" i="6"/>
  <c r="BF14" i="6"/>
  <c r="BI3" i="6"/>
  <c r="BM9" i="6"/>
  <c r="BG4" i="6"/>
  <c r="BL4" i="6"/>
  <c r="BB8" i="6"/>
  <c r="BF15" i="6"/>
  <c r="BH4" i="6"/>
  <c r="BH12" i="6"/>
  <c r="BI4" i="6"/>
  <c r="BM11" i="6"/>
  <c r="BJ16" i="6"/>
  <c r="BB4" i="6"/>
  <c r="BJ12" i="6"/>
  <c r="BF6" i="6"/>
  <c r="BL3" i="6"/>
  <c r="BE11" i="6"/>
  <c r="BB15" i="6"/>
  <c r="BK15" i="6"/>
  <c r="BF8" i="6"/>
  <c r="BL9" i="6"/>
  <c r="BK11" i="6"/>
  <c r="BF16" i="6"/>
  <c r="BE4" i="6"/>
  <c r="BI11" i="6"/>
  <c r="BK8" i="6"/>
  <c r="BL6" i="6"/>
  <c r="BJ8" i="6"/>
  <c r="BB16" i="6"/>
  <c r="BD5" i="6"/>
  <c r="BD14" i="6"/>
  <c r="BE5" i="6"/>
  <c r="BI12" i="6"/>
  <c r="BB3" i="6"/>
  <c r="AQ10" i="8"/>
  <c r="AR10" i="8"/>
  <c r="AY13" i="8"/>
  <c r="AU10" i="8"/>
  <c r="AS10" i="8"/>
  <c r="AT10" i="8"/>
  <c r="AN10" i="8"/>
  <c r="AY10" i="8"/>
  <c r="AQ13" i="8"/>
  <c r="AP13" i="8"/>
  <c r="AX13" i="8"/>
  <c r="AU7" i="8"/>
  <c r="AU19" i="8" s="1"/>
  <c r="AU13" i="8"/>
  <c r="AV13" i="8"/>
  <c r="AX10" i="8"/>
  <c r="AY7" i="8"/>
  <c r="AY19" i="8" s="1"/>
  <c r="AS7" i="8"/>
  <c r="AS19" i="8" s="1"/>
  <c r="AT7" i="8"/>
  <c r="AT19" i="8" s="1"/>
  <c r="AT13" i="8"/>
  <c r="AO13" i="8"/>
  <c r="AR13" i="8"/>
  <c r="AS13" i="8"/>
  <c r="AW13" i="8"/>
  <c r="AW7" i="8"/>
  <c r="AW19" i="8" s="1"/>
  <c r="AO10" i="8"/>
  <c r="AO7" i="8"/>
  <c r="AO19" i="8" s="1"/>
  <c r="AQ7" i="8"/>
  <c r="AQ19" i="8" s="1"/>
  <c r="AV7" i="8"/>
  <c r="AV19" i="8" s="1"/>
  <c r="AV10" i="8"/>
  <c r="AW10" i="8"/>
  <c r="AP7" i="8"/>
  <c r="AP19" i="8" s="1"/>
  <c r="AR7" i="8"/>
  <c r="AR19" i="8" s="1"/>
  <c r="AX7" i="8"/>
  <c r="AX19" i="8" s="1"/>
  <c r="AP10" i="8"/>
  <c r="AN13" i="8"/>
  <c r="AN7" i="8"/>
  <c r="AN19" i="8" s="1"/>
  <c r="Z10" i="8"/>
  <c r="AS10" i="6"/>
  <c r="AT10" i="6"/>
  <c r="AR13" i="6"/>
  <c r="AR10" i="6"/>
  <c r="AP7" i="6"/>
  <c r="AU10" i="6"/>
  <c r="AX10" i="6"/>
  <c r="AQ10" i="6"/>
  <c r="AS13" i="6"/>
  <c r="AW13" i="6"/>
  <c r="AO13" i="6"/>
  <c r="AP13" i="6"/>
  <c r="AX13" i="6"/>
  <c r="AQ13" i="6"/>
  <c r="AT13" i="6"/>
  <c r="AU13" i="6"/>
  <c r="AY13" i="6"/>
  <c r="AV13" i="6"/>
  <c r="AW10" i="6"/>
  <c r="AY10" i="6"/>
  <c r="AV10" i="6"/>
  <c r="AO10" i="6"/>
  <c r="AP10" i="6"/>
  <c r="AN13" i="6"/>
  <c r="AN10" i="6"/>
  <c r="AU7" i="6"/>
  <c r="AY7" i="6"/>
  <c r="AO7" i="6"/>
  <c r="AS7" i="6"/>
  <c r="AR7" i="6"/>
  <c r="AV7" i="6"/>
  <c r="AW7" i="6"/>
  <c r="AT7" i="6"/>
  <c r="AX7" i="6"/>
  <c r="AQ7" i="6"/>
  <c r="AN7" i="6"/>
  <c r="AI10" i="8"/>
  <c r="AF10" i="6"/>
  <c r="AA10" i="8"/>
  <c r="P6" i="8"/>
  <c r="P15" i="8"/>
  <c r="P5" i="8"/>
  <c r="AJ10" i="6"/>
  <c r="Z10" i="6"/>
  <c r="AK10" i="8"/>
  <c r="AE13" i="8"/>
  <c r="AG10" i="6"/>
  <c r="AC7" i="8"/>
  <c r="Z7" i="8"/>
  <c r="AI10" i="6"/>
  <c r="AE10" i="6"/>
  <c r="AA10" i="6"/>
  <c r="AH10" i="6"/>
  <c r="AE13" i="6"/>
  <c r="AJ7" i="6"/>
  <c r="AI7" i="8"/>
  <c r="AB13" i="8"/>
  <c r="AF10" i="8"/>
  <c r="AK10" i="6"/>
  <c r="Z7" i="6"/>
  <c r="AI7" i="6"/>
  <c r="AE7" i="6"/>
  <c r="AE19" i="6" s="1"/>
  <c r="AC7" i="6"/>
  <c r="AA13" i="8"/>
  <c r="AH10" i="8"/>
  <c r="AH13" i="6"/>
  <c r="AB10" i="6"/>
  <c r="Z13" i="8"/>
  <c r="AE10" i="8"/>
  <c r="AG13" i="6"/>
  <c r="AF7" i="6"/>
  <c r="AF19" i="6" s="1"/>
  <c r="AC10" i="6"/>
  <c r="AD10" i="6"/>
  <c r="AJ13" i="6"/>
  <c r="AK7" i="8"/>
  <c r="AA7" i="8"/>
  <c r="AB7" i="6"/>
  <c r="AG7" i="6"/>
  <c r="AK13" i="6"/>
  <c r="AA7" i="6"/>
  <c r="AG7" i="8"/>
  <c r="AE7" i="8"/>
  <c r="AE19" i="8" s="1"/>
  <c r="AF7" i="8"/>
  <c r="AF19" i="8" s="1"/>
  <c r="AF13" i="8"/>
  <c r="AJ10" i="8"/>
  <c r="AG10" i="8"/>
  <c r="AB7" i="8"/>
  <c r="AD10" i="8"/>
  <c r="AF13" i="6"/>
  <c r="AH7" i="8"/>
  <c r="AK7" i="6"/>
  <c r="AK19" i="6" s="1"/>
  <c r="AB13" i="6"/>
  <c r="AD13" i="8"/>
  <c r="AI13" i="6"/>
  <c r="AA13" i="6"/>
  <c r="AC10" i="8"/>
  <c r="AH13" i="8"/>
  <c r="AH7" i="6"/>
  <c r="AB10" i="8"/>
  <c r="AJ7" i="8"/>
  <c r="AC13" i="8"/>
  <c r="AG13" i="8"/>
  <c r="AI13" i="8"/>
  <c r="AD7" i="6"/>
  <c r="AD19" i="6" s="1"/>
  <c r="AC13" i="6"/>
  <c r="AJ13" i="8"/>
  <c r="AK13" i="8"/>
  <c r="Z13" i="6"/>
  <c r="AD13" i="6"/>
  <c r="K94" i="16" l="1"/>
  <c r="L94" i="16"/>
  <c r="I51" i="19"/>
  <c r="I82" i="19"/>
  <c r="I48" i="19"/>
  <c r="D76" i="19"/>
  <c r="D4" i="19"/>
  <c r="I87" i="19"/>
  <c r="D12" i="19"/>
  <c r="D71" i="19"/>
  <c r="I88" i="19"/>
  <c r="D61" i="19"/>
  <c r="I75" i="19"/>
  <c r="D98" i="19"/>
  <c r="D49" i="19"/>
  <c r="D57" i="19"/>
  <c r="I21" i="19"/>
  <c r="I78" i="19"/>
  <c r="I18" i="19"/>
  <c r="D59" i="19"/>
  <c r="I14" i="19"/>
  <c r="D80" i="19"/>
  <c r="D95" i="19"/>
  <c r="D39" i="19"/>
  <c r="I95" i="19"/>
  <c r="D44" i="19"/>
  <c r="D36" i="19"/>
  <c r="I38" i="19"/>
  <c r="D6" i="19"/>
  <c r="I13" i="19"/>
  <c r="I10" i="19"/>
  <c r="I61" i="19"/>
  <c r="I71" i="19"/>
  <c r="I28" i="19"/>
  <c r="I93" i="19"/>
  <c r="D94" i="19"/>
  <c r="I11" i="19"/>
  <c r="I92" i="19"/>
  <c r="I37" i="19"/>
  <c r="I67" i="19"/>
  <c r="D100" i="19"/>
  <c r="D92" i="19"/>
  <c r="I79" i="19"/>
  <c r="I55" i="19"/>
  <c r="D93" i="19"/>
  <c r="I42" i="19"/>
  <c r="D72" i="19"/>
  <c r="I49" i="19"/>
  <c r="D8" i="19"/>
  <c r="D75" i="19"/>
  <c r="D64" i="19"/>
  <c r="I29" i="19"/>
  <c r="D45" i="19"/>
  <c r="D47" i="19"/>
  <c r="I41" i="19"/>
  <c r="I66" i="19"/>
  <c r="D73" i="19"/>
  <c r="D35" i="19"/>
  <c r="I30" i="19"/>
  <c r="D104" i="19"/>
  <c r="I94" i="19"/>
  <c r="D82" i="19"/>
  <c r="I74" i="19"/>
  <c r="D99" i="19"/>
  <c r="I90" i="19"/>
  <c r="D67" i="19"/>
  <c r="I60" i="19"/>
  <c r="I23" i="19"/>
  <c r="D27" i="19"/>
  <c r="D2" i="19"/>
  <c r="I2" i="19"/>
  <c r="D51" i="19"/>
  <c r="I45" i="19"/>
  <c r="I7" i="19"/>
  <c r="D7" i="19"/>
  <c r="I36" i="19"/>
  <c r="D41" i="19"/>
  <c r="I46" i="19"/>
  <c r="D52" i="19"/>
  <c r="BH10" i="6"/>
  <c r="BF10" i="6"/>
  <c r="BC13" i="6"/>
  <c r="BF13" i="6"/>
  <c r="BK10" i="6"/>
  <c r="BM10" i="6"/>
  <c r="BD13" i="6"/>
  <c r="BB13" i="6"/>
  <c r="BI13" i="6"/>
  <c r="AX19" i="6"/>
  <c r="BL7" i="6"/>
  <c r="AU19" i="6"/>
  <c r="BI7" i="6"/>
  <c r="BJ13" i="6"/>
  <c r="BK13" i="6"/>
  <c r="AT19" i="6"/>
  <c r="BH7" i="6"/>
  <c r="BB10" i="6"/>
  <c r="BM13" i="6"/>
  <c r="BG13" i="6"/>
  <c r="BG10" i="6"/>
  <c r="AO19" i="6"/>
  <c r="BC7" i="6"/>
  <c r="AY19" i="6"/>
  <c r="BM7" i="6"/>
  <c r="AW19" i="6"/>
  <c r="BK7" i="6"/>
  <c r="BE10" i="6"/>
  <c r="AN19" i="6"/>
  <c r="BB7" i="6"/>
  <c r="AQ19" i="6"/>
  <c r="BE7" i="6"/>
  <c r="AV19" i="6"/>
  <c r="BJ7" i="6"/>
  <c r="BD10" i="6"/>
  <c r="BH13" i="6"/>
  <c r="BL10" i="6"/>
  <c r="AR19" i="6"/>
  <c r="BF7" i="6"/>
  <c r="BC10" i="6"/>
  <c r="BE13" i="6"/>
  <c r="BI10" i="6"/>
  <c r="AS19" i="6"/>
  <c r="BG7" i="6"/>
  <c r="BJ10" i="6"/>
  <c r="BL13" i="6"/>
  <c r="AP19" i="6"/>
  <c r="BD7" i="6"/>
  <c r="Z28" i="6"/>
  <c r="C2" i="14" s="1" a="1"/>
  <c r="C2" i="14" s="1"/>
  <c r="AA19" i="8"/>
  <c r="AA28" i="8"/>
  <c r="AB28" i="8"/>
  <c r="V11" i="14" s="1" a="1"/>
  <c r="V11" i="14" s="1"/>
  <c r="AJ28" i="8"/>
  <c r="AD11" i="14" s="1" a="1"/>
  <c r="AD11" i="14" s="1"/>
  <c r="AJ19" i="8"/>
  <c r="AD28" i="8"/>
  <c r="X11" i="14" s="1" a="1"/>
  <c r="X11" i="14" s="1"/>
  <c r="AK28" i="8"/>
  <c r="AE11" i="14" s="1" a="1"/>
  <c r="AE11" i="14" s="1"/>
  <c r="AK19" i="8"/>
  <c r="AG28" i="8"/>
  <c r="AA11" i="14" s="1" a="1"/>
  <c r="AA11" i="14" s="1"/>
  <c r="AG19" i="8"/>
  <c r="AH28" i="8"/>
  <c r="AB11" i="14" s="1" a="1"/>
  <c r="AB11" i="14" s="1"/>
  <c r="AH19" i="8"/>
  <c r="AB19" i="8"/>
  <c r="AI28" i="8"/>
  <c r="AC11" i="14" s="1" a="1"/>
  <c r="AC11" i="14" s="1"/>
  <c r="AI19" i="8"/>
  <c r="AC28" i="8"/>
  <c r="W11" i="14" s="1" a="1"/>
  <c r="W11" i="14" s="1"/>
  <c r="AC19" i="8"/>
  <c r="AE17" i="8" s="1"/>
  <c r="Z28" i="8"/>
  <c r="T2" i="14" s="1" a="1"/>
  <c r="T2" i="14" s="1"/>
  <c r="Z19" i="8"/>
  <c r="AF28" i="8"/>
  <c r="Z11" i="14" s="1" a="1"/>
  <c r="Z11" i="14" s="1"/>
  <c r="AE28" i="8"/>
  <c r="Y11" i="14" s="1" a="1"/>
  <c r="Y11" i="14" s="1"/>
  <c r="AB28" i="6"/>
  <c r="AB19" i="6"/>
  <c r="AI28" i="6"/>
  <c r="AI19" i="6"/>
  <c r="AH28" i="6"/>
  <c r="AH23" i="6" s="1"/>
  <c r="AH19" i="6"/>
  <c r="AA28" i="6"/>
  <c r="AA19" i="6"/>
  <c r="AF28" i="6"/>
  <c r="AC28" i="6"/>
  <c r="AC19" i="6"/>
  <c r="AE17" i="6" s="1"/>
  <c r="AJ28" i="6"/>
  <c r="AJ19" i="6"/>
  <c r="AG28" i="6"/>
  <c r="AG19" i="6"/>
  <c r="AH17" i="6" s="1"/>
  <c r="AK28" i="6"/>
  <c r="Z19" i="6"/>
  <c r="AD28" i="6"/>
  <c r="AE28" i="6"/>
  <c r="AL29" i="8"/>
  <c r="Z29" i="8"/>
  <c r="AL29" i="6"/>
  <c r="AL20" i="6" l="1"/>
  <c r="AK17" i="6"/>
  <c r="AB17" i="8"/>
  <c r="AL20" i="8"/>
  <c r="E2" i="14" a="1"/>
  <c r="E2" i="14" s="1"/>
  <c r="E6" i="14" s="1"/>
  <c r="E4" i="14" s="1"/>
  <c r="E8" i="14" s="1"/>
  <c r="E11" i="14" a="1"/>
  <c r="E11" i="14" s="1"/>
  <c r="F2" i="14" a="1"/>
  <c r="F2" i="14" s="1"/>
  <c r="F6" i="14" s="1"/>
  <c r="F4" i="14" s="1"/>
  <c r="F8" i="14" s="1"/>
  <c r="F11" i="14" a="1"/>
  <c r="F11" i="14" s="1"/>
  <c r="F12" i="14" s="1"/>
  <c r="F10" i="14" s="1"/>
  <c r="D2" i="14" a="1"/>
  <c r="D2" i="14" s="1"/>
  <c r="D11" i="14" a="1"/>
  <c r="D11" i="14" s="1"/>
  <c r="D12" i="14" s="1"/>
  <c r="D10" i="14" s="1"/>
  <c r="C6" i="14"/>
  <c r="C11" i="14" a="1"/>
  <c r="C11" i="14" s="1"/>
  <c r="AE12" i="14"/>
  <c r="AE10" i="14" s="1"/>
  <c r="AE2" i="14" a="1"/>
  <c r="AE2" i="14" s="1"/>
  <c r="AE6" i="14" s="1"/>
  <c r="AE4" i="14" s="1"/>
  <c r="AE8" i="14" s="1"/>
  <c r="AJ23" i="8"/>
  <c r="AD2" i="14" a="1"/>
  <c r="AD2" i="14" s="1"/>
  <c r="AD6" i="14" s="1"/>
  <c r="AD4" i="14" s="1"/>
  <c r="AD8" i="14" s="1"/>
  <c r="AI23" i="8"/>
  <c r="AC2" i="14" a="1"/>
  <c r="AC2" i="14" s="1"/>
  <c r="AC6" i="14" s="1"/>
  <c r="AC4" i="14" s="1"/>
  <c r="AC8" i="14" s="1"/>
  <c r="AH23" i="8"/>
  <c r="AB2" i="14" a="1"/>
  <c r="AB2" i="14" s="1"/>
  <c r="AB6" i="14" s="1"/>
  <c r="AB4" i="14" s="1"/>
  <c r="AB8" i="14" s="1"/>
  <c r="AG23" i="8"/>
  <c r="AA2" i="14" a="1"/>
  <c r="AA2" i="14" s="1"/>
  <c r="AA6" i="14" s="1"/>
  <c r="AA4" i="14" s="1"/>
  <c r="AA8" i="14" s="1"/>
  <c r="AF23" i="8"/>
  <c r="Z2" i="14" a="1"/>
  <c r="Z2" i="14" s="1"/>
  <c r="Z6" i="14" s="1"/>
  <c r="Z4" i="14" s="1"/>
  <c r="Z8" i="14" s="1"/>
  <c r="AE23" i="8"/>
  <c r="Y2" i="14" a="1"/>
  <c r="Y2" i="14" s="1"/>
  <c r="AD23" i="8"/>
  <c r="X2" i="14" a="1"/>
  <c r="X2" i="14" s="1"/>
  <c r="X6" i="14" s="1"/>
  <c r="X4" i="14" s="1"/>
  <c r="X8" i="14" s="1"/>
  <c r="AC23" i="8"/>
  <c r="W2" i="14" a="1"/>
  <c r="W2" i="14" s="1"/>
  <c r="W6" i="14" s="1"/>
  <c r="W4" i="14" s="1"/>
  <c r="W8" i="14" s="1"/>
  <c r="V2" i="14" a="1"/>
  <c r="V2" i="14" s="1"/>
  <c r="V6" i="14" s="1"/>
  <c r="V4" i="14" s="1"/>
  <c r="V8" i="14" s="1"/>
  <c r="U2" i="14" a="1"/>
  <c r="U2" i="14" s="1"/>
  <c r="U6" i="14" s="1"/>
  <c r="U4" i="14" s="1"/>
  <c r="U8" i="14" s="1"/>
  <c r="U11" i="14" a="1"/>
  <c r="U11" i="14" s="1"/>
  <c r="U12" i="14" s="1"/>
  <c r="U10" i="14" s="1"/>
  <c r="T11" i="14" a="1"/>
  <c r="T11" i="14" s="1"/>
  <c r="T12" i="14" s="1"/>
  <c r="AK23" i="6"/>
  <c r="AJ23" i="6"/>
  <c r="AI23" i="6"/>
  <c r="AF23" i="6"/>
  <c r="AD23" i="6"/>
  <c r="AC23" i="6"/>
  <c r="Z23" i="6"/>
  <c r="AB23" i="6"/>
  <c r="AG23" i="6"/>
  <c r="AA23" i="6"/>
  <c r="AE23" i="6"/>
  <c r="AA29" i="8"/>
  <c r="AB29" i="8" s="1"/>
  <c r="AC29" i="8" s="1"/>
  <c r="AD29" i="8" s="1"/>
  <c r="AE29" i="8" s="1"/>
  <c r="AF29" i="8" s="1"/>
  <c r="AG29" i="8" s="1"/>
  <c r="AH29" i="8" s="1"/>
  <c r="AI29" i="8" s="1"/>
  <c r="AJ29" i="8" s="1"/>
  <c r="AK29" i="8" s="1"/>
  <c r="AL19" i="8"/>
  <c r="Z12" i="14"/>
  <c r="Z10" i="14" s="1"/>
  <c r="AB23" i="8"/>
  <c r="Y12" i="14"/>
  <c r="Y10" i="14" s="1"/>
  <c r="AB12" i="14"/>
  <c r="AB10" i="14" s="1"/>
  <c r="AA23" i="8"/>
  <c r="AC12" i="14"/>
  <c r="AC10" i="14" s="1"/>
  <c r="AK23" i="8"/>
  <c r="X12" i="14"/>
  <c r="X10" i="14" s="1"/>
  <c r="AA12" i="14"/>
  <c r="AA10" i="14" s="1"/>
  <c r="Z23" i="8"/>
  <c r="V12" i="14"/>
  <c r="V10" i="14" s="1"/>
  <c r="AL23" i="8" l="1"/>
  <c r="D22" i="14"/>
  <c r="C22" i="14"/>
  <c r="AE16" i="14"/>
  <c r="AE18" i="14" s="1"/>
  <c r="AE20" i="14" s="1"/>
  <c r="E22" i="14"/>
  <c r="Z16" i="14"/>
  <c r="Z18" i="14" s="1"/>
  <c r="Z20" i="14" s="1"/>
  <c r="D6" i="14"/>
  <c r="D4" i="14" s="1"/>
  <c r="D8" i="14" s="1"/>
  <c r="D16" i="14" s="1"/>
  <c r="W22" i="14"/>
  <c r="W24" i="14" s="1"/>
  <c r="W12" i="14"/>
  <c r="W10" i="14" s="1"/>
  <c r="W16" i="14" s="1"/>
  <c r="W18" i="14" s="1"/>
  <c r="W20" i="14" s="1"/>
  <c r="C12" i="14"/>
  <c r="AD22" i="14"/>
  <c r="AD24" i="14" s="1"/>
  <c r="Y22" i="14"/>
  <c r="Y24" i="14" s="1"/>
  <c r="Y6" i="14"/>
  <c r="Y4" i="14" s="1"/>
  <c r="Y8" i="14" s="1"/>
  <c r="Y16" i="14" s="1"/>
  <c r="Y18" i="14" s="1"/>
  <c r="Y20" i="14" s="1"/>
  <c r="X16" i="14"/>
  <c r="X18" i="14" s="1"/>
  <c r="X20" i="14" s="1"/>
  <c r="V22" i="14"/>
  <c r="V24" i="14" s="1"/>
  <c r="AB16" i="14"/>
  <c r="AB18" i="14" s="1"/>
  <c r="AB20" i="14" s="1"/>
  <c r="AD12" i="14"/>
  <c r="AD10" i="14" s="1"/>
  <c r="AD16" i="14" s="1"/>
  <c r="AD18" i="14" s="1"/>
  <c r="AD20" i="14" s="1"/>
  <c r="AB22" i="14"/>
  <c r="AB24" i="14" s="1"/>
  <c r="AE22" i="14"/>
  <c r="AE24" i="14" s="1"/>
  <c r="Z22" i="14"/>
  <c r="Z24" i="14" s="1"/>
  <c r="AA16" i="14"/>
  <c r="AA18" i="14" s="1"/>
  <c r="AA20" i="14" s="1"/>
  <c r="AC16" i="14"/>
  <c r="AC18" i="14" s="1"/>
  <c r="AC20" i="14" s="1"/>
  <c r="X22" i="14"/>
  <c r="X24" i="14" s="1"/>
  <c r="AC22" i="14"/>
  <c r="AC24" i="14" s="1"/>
  <c r="U16" i="14"/>
  <c r="U18" i="14" s="1"/>
  <c r="U20" i="14" s="1"/>
  <c r="U22" i="14"/>
  <c r="U24" i="14" s="1"/>
  <c r="AF2" i="14"/>
  <c r="AA22" i="14"/>
  <c r="AA24" i="14" s="1"/>
  <c r="AF11" i="14"/>
  <c r="T10" i="14"/>
  <c r="T6" i="14"/>
  <c r="T4" i="14" s="1"/>
  <c r="T22" i="14"/>
  <c r="T24" i="14" s="1"/>
  <c r="F22" i="14"/>
  <c r="E12" i="14"/>
  <c r="E10" i="14" s="1"/>
  <c r="E16" i="14" s="1"/>
  <c r="E18" i="14" s="1"/>
  <c r="V16" i="14"/>
  <c r="V18" i="14" s="1"/>
  <c r="V20" i="14" s="1"/>
  <c r="C4" i="14"/>
  <c r="F16" i="14"/>
  <c r="F24" i="14" l="1"/>
  <c r="C24" i="14"/>
  <c r="D24" i="14"/>
  <c r="E24" i="14"/>
  <c r="C10" i="14"/>
  <c r="AF4" i="14"/>
  <c r="AF10" i="14"/>
  <c r="AF12" i="14"/>
  <c r="AF6" i="14"/>
  <c r="T8" i="14"/>
  <c r="AF8" i="14" s="1"/>
  <c r="AF22" i="14"/>
  <c r="E20" i="14"/>
  <c r="F18" i="14"/>
  <c r="F20" i="14" s="1"/>
  <c r="C8" i="14"/>
  <c r="D18" i="14"/>
  <c r="D20" i="14" s="1"/>
  <c r="D28" i="14" l="1"/>
  <c r="T16" i="14"/>
  <c r="T18" i="14" s="1"/>
  <c r="AF18" i="14" s="1"/>
  <c r="AF24" i="14"/>
  <c r="C16" i="14"/>
  <c r="AF16" i="14" l="1"/>
  <c r="T20" i="14"/>
  <c r="AF20" i="14" s="1"/>
  <c r="C18" i="14"/>
  <c r="C20" i="14" l="1"/>
  <c r="Z29" i="6" l="1"/>
  <c r="AA29" i="6" s="1"/>
  <c r="AB29" i="6" s="1"/>
  <c r="AC29" i="6" s="1"/>
  <c r="AD29" i="6" s="1"/>
  <c r="AE29" i="6" s="1"/>
  <c r="AF29" i="6" s="1"/>
  <c r="AG29" i="6" s="1"/>
  <c r="AH29" i="6" s="1"/>
  <c r="AI29" i="6" s="1"/>
  <c r="AJ29" i="6" s="1"/>
  <c r="AK29" i="6" s="1"/>
  <c r="Z30" i="6" l="1"/>
  <c r="AA30" i="6" s="1"/>
  <c r="AB30" i="6" s="1"/>
  <c r="AC30" i="6" s="1"/>
  <c r="AD30" i="6" s="1"/>
  <c r="AE30" i="6" s="1"/>
  <c r="AF30" i="6" s="1"/>
  <c r="AG30" i="6" s="1"/>
  <c r="AH30" i="6" s="1"/>
  <c r="AI30" i="6" s="1"/>
  <c r="AJ30" i="6" s="1"/>
  <c r="AK30" i="6" s="1"/>
  <c r="Z30" i="8" s="1"/>
  <c r="AA30" i="8" s="1"/>
  <c r="AB30" i="8" s="1"/>
  <c r="AC30" i="8" s="1"/>
  <c r="AD30" i="8" s="1"/>
  <c r="AE30" i="8" s="1"/>
  <c r="AF30" i="8" s="1"/>
  <c r="AG30" i="8" s="1"/>
  <c r="AH30" i="8" s="1"/>
  <c r="AI30" i="8" s="1"/>
  <c r="AJ30" i="8" s="1"/>
  <c r="AK30" i="8" s="1"/>
  <c r="E13" i="17" l="1"/>
  <c r="F13" i="17"/>
  <c r="C13" i="17"/>
  <c r="D13" i="17"/>
  <c r="C12" i="17" l="1"/>
  <c r="F11" i="17"/>
  <c r="E12" i="17"/>
  <c r="D12" i="17"/>
  <c r="F12" i="17"/>
  <c r="E11" i="17"/>
  <c r="D11" i="17"/>
  <c r="C11" i="17" l="1"/>
  <c r="E4" i="16" l="1"/>
  <c r="C38" i="19"/>
  <c r="M4" i="16" l="1"/>
  <c r="D38" i="19"/>
  <c r="I33" i="19"/>
  <c r="AH12" i="17" l="1"/>
  <c r="AH11" i="17"/>
  <c r="AH13" i="17"/>
  <c r="AI11" i="17"/>
  <c r="AI12" i="17"/>
  <c r="AI13" i="17"/>
  <c r="AJ11" i="17"/>
  <c r="AJ12" i="17"/>
  <c r="AJ13" i="17"/>
  <c r="AC12" i="17"/>
  <c r="AC13" i="17"/>
  <c r="AK12" i="17"/>
  <c r="AK13" i="17"/>
  <c r="AK11" i="17"/>
  <c r="AD13" i="17"/>
  <c r="AD11" i="17"/>
  <c r="AD12" i="17"/>
  <c r="AL13" i="17"/>
  <c r="AL11" i="17"/>
  <c r="AL12" i="17"/>
  <c r="AE13" i="17"/>
  <c r="AE11" i="17"/>
  <c r="AE12" i="17"/>
  <c r="AF13" i="17"/>
  <c r="AF11" i="17"/>
  <c r="AF12" i="17"/>
  <c r="AG11" i="17"/>
  <c r="AG12" i="17"/>
  <c r="AG13" i="17"/>
  <c r="K13" i="17"/>
  <c r="N19" i="24"/>
  <c r="AA13" i="17"/>
  <c r="N13" i="17"/>
  <c r="H19" i="24"/>
  <c r="U13" i="17"/>
  <c r="S13" i="17"/>
  <c r="F19" i="24"/>
  <c r="L13" i="17"/>
  <c r="M13" i="17"/>
  <c r="I19" i="24"/>
  <c r="V13" i="17"/>
  <c r="G19" i="24"/>
  <c r="T13" i="17"/>
  <c r="G13" i="17"/>
  <c r="J19" i="24"/>
  <c r="W13" i="17"/>
  <c r="H13" i="17"/>
  <c r="P13" i="17"/>
  <c r="C19" i="24"/>
  <c r="X13" i="17"/>
  <c r="K19" i="24"/>
  <c r="I13" i="17"/>
  <c r="Q13" i="17"/>
  <c r="D19" i="24"/>
  <c r="Y13" i="17"/>
  <c r="L19" i="24"/>
  <c r="J13" i="17"/>
  <c r="R13" i="17"/>
  <c r="E19" i="24"/>
  <c r="Z13" i="17"/>
  <c r="M19" i="24"/>
  <c r="O19" i="24" l="1"/>
  <c r="AC11" i="17"/>
  <c r="H12" i="17"/>
  <c r="G12" i="17"/>
  <c r="T12" i="17"/>
  <c r="AA12" i="17"/>
  <c r="I12" i="17"/>
  <c r="J12" i="17"/>
  <c r="X11" i="17"/>
  <c r="R11" i="17"/>
  <c r="X12" i="17"/>
  <c r="W12" i="17"/>
  <c r="Z12" i="17"/>
  <c r="R12" i="17"/>
  <c r="Q11" i="17"/>
  <c r="N12" i="17"/>
  <c r="Z11" i="17"/>
  <c r="M12" i="17"/>
  <c r="L12" i="17"/>
  <c r="Y11" i="17"/>
  <c r="P11" i="17"/>
  <c r="W11" i="17"/>
  <c r="K12" i="17"/>
  <c r="Q12" i="17"/>
  <c r="S11" i="17"/>
  <c r="U11" i="17"/>
  <c r="Y12" i="17"/>
  <c r="V11" i="17"/>
  <c r="T11" i="17"/>
  <c r="S12" i="17"/>
  <c r="U12" i="17"/>
  <c r="AA11" i="17"/>
  <c r="P12" i="17"/>
  <c r="V12" i="17"/>
  <c r="O11" i="17"/>
  <c r="O13" i="17"/>
  <c r="O12" i="17"/>
  <c r="M2" i="14" l="1" a="1"/>
  <c r="M2" i="14" s="1"/>
  <c r="M11" i="14" a="1"/>
  <c r="M11" i="14" s="1"/>
  <c r="M12" i="14" s="1"/>
  <c r="M10" i="14" s="1"/>
  <c r="L2" i="14" a="1"/>
  <c r="L2" i="14" s="1"/>
  <c r="L11" i="14" a="1"/>
  <c r="L11" i="14" s="1"/>
  <c r="L12" i="14" s="1"/>
  <c r="L10" i="14" s="1"/>
  <c r="H11" i="17"/>
  <c r="H2" i="14" a="1"/>
  <c r="H2" i="14" s="1"/>
  <c r="H11" i="14" a="1"/>
  <c r="H11" i="14" s="1"/>
  <c r="H12" i="14" s="1"/>
  <c r="H10" i="14" s="1"/>
  <c r="I11" i="17"/>
  <c r="K11" i="17"/>
  <c r="I2" i="14" a="1"/>
  <c r="I2" i="14" s="1"/>
  <c r="I11" i="14" a="1"/>
  <c r="I11" i="14" s="1"/>
  <c r="I12" i="14" s="1"/>
  <c r="I10" i="14" s="1"/>
  <c r="K2" i="14" a="1"/>
  <c r="K2" i="14" s="1"/>
  <c r="K11" i="14" a="1"/>
  <c r="K11" i="14" s="1"/>
  <c r="K12" i="14" s="1"/>
  <c r="K10" i="14" s="1"/>
  <c r="J11" i="17"/>
  <c r="G11" i="17"/>
  <c r="N11" i="17"/>
  <c r="J2" i="14" a="1"/>
  <c r="J2" i="14" s="1"/>
  <c r="J11" i="14" a="1"/>
  <c r="J11" i="14" s="1"/>
  <c r="J12" i="14" s="1"/>
  <c r="J10" i="14" s="1"/>
  <c r="G2" i="14" a="1"/>
  <c r="G2" i="14" s="1"/>
  <c r="G11" i="14" a="1"/>
  <c r="G11" i="14" s="1"/>
  <c r="N2" i="14" a="1"/>
  <c r="N2" i="14" s="1"/>
  <c r="N11" i="14" a="1"/>
  <c r="N11" i="14" s="1"/>
  <c r="N12" i="14" s="1"/>
  <c r="N10" i="14" s="1"/>
  <c r="M11" i="17"/>
  <c r="L11" i="17"/>
  <c r="F36" i="16" l="1"/>
  <c r="F80" i="16"/>
  <c r="F59" i="16"/>
  <c r="F67" i="16"/>
  <c r="F45" i="16"/>
  <c r="F46" i="16"/>
  <c r="G12" i="14"/>
  <c r="R11" i="14"/>
  <c r="P11" i="14"/>
  <c r="P2" i="14"/>
  <c r="R2" i="14"/>
  <c r="J6" i="14"/>
  <c r="J4" i="14" s="1"/>
  <c r="J8" i="14" s="1"/>
  <c r="J16" i="14" s="1"/>
  <c r="J18" i="14" s="1"/>
  <c r="J20" i="14" s="1"/>
  <c r="J22" i="14"/>
  <c r="J24" i="14" s="1"/>
  <c r="I6" i="14"/>
  <c r="I4" i="14" s="1"/>
  <c r="I8" i="14" s="1"/>
  <c r="I16" i="14" s="1"/>
  <c r="I18" i="14" s="1"/>
  <c r="I20" i="14" s="1"/>
  <c r="I22" i="14"/>
  <c r="I24" i="14" s="1"/>
  <c r="N6" i="14"/>
  <c r="N4" i="14" s="1"/>
  <c r="N8" i="14" s="1"/>
  <c r="N16" i="14" s="1"/>
  <c r="N18" i="14" s="1"/>
  <c r="N20" i="14" s="1"/>
  <c r="N22" i="14"/>
  <c r="N24" i="14" s="1"/>
  <c r="F29" i="16"/>
  <c r="F4" i="16"/>
  <c r="G22" i="14"/>
  <c r="G24" i="14" s="1"/>
  <c r="G6" i="14"/>
  <c r="L6" i="14"/>
  <c r="L4" i="14" s="1"/>
  <c r="L8" i="14" s="1"/>
  <c r="L16" i="14" s="1"/>
  <c r="L22" i="14"/>
  <c r="L24" i="14" s="1"/>
  <c r="K22" i="14"/>
  <c r="K24" i="14" s="1"/>
  <c r="K6" i="14"/>
  <c r="K4" i="14" s="1"/>
  <c r="K8" i="14" s="1"/>
  <c r="K16" i="14" s="1"/>
  <c r="K18" i="14" s="1"/>
  <c r="K20" i="14" s="1"/>
  <c r="H6" i="14"/>
  <c r="H4" i="14" s="1"/>
  <c r="H8" i="14" s="1"/>
  <c r="H16" i="14" s="1"/>
  <c r="H18" i="14" s="1"/>
  <c r="H20" i="14" s="1"/>
  <c r="H22" i="14"/>
  <c r="H24" i="14" s="1"/>
  <c r="M6" i="14"/>
  <c r="M4" i="14" s="1"/>
  <c r="M8" i="14" s="1"/>
  <c r="M16" i="14" s="1"/>
  <c r="M18" i="14" s="1"/>
  <c r="M20" i="14" s="1"/>
  <c r="M22" i="14"/>
  <c r="M24" i="14" s="1"/>
  <c r="F95" i="16" l="1"/>
  <c r="E95" i="16"/>
  <c r="M77" i="16" s="1"/>
  <c r="C95" i="16"/>
  <c r="K77" i="16" s="1"/>
  <c r="D95" i="16"/>
  <c r="L77" i="16" s="1"/>
  <c r="F105" i="16"/>
  <c r="F48" i="16"/>
  <c r="F79" i="16"/>
  <c r="F61" i="16"/>
  <c r="F47" i="16"/>
  <c r="F44" i="16"/>
  <c r="F42" i="16"/>
  <c r="F63" i="16"/>
  <c r="F69" i="16"/>
  <c r="F15" i="16"/>
  <c r="F109" i="16"/>
  <c r="F54" i="16"/>
  <c r="F71" i="16"/>
  <c r="F3" i="16"/>
  <c r="F19" i="16"/>
  <c r="F53" i="16"/>
  <c r="F56" i="16"/>
  <c r="F116" i="16"/>
  <c r="F33" i="16"/>
  <c r="F38" i="16"/>
  <c r="F28" i="16"/>
  <c r="F72" i="16"/>
  <c r="F2" i="16"/>
  <c r="F39" i="16"/>
  <c r="F74" i="16"/>
  <c r="F70" i="16"/>
  <c r="F51" i="16"/>
  <c r="F107" i="16"/>
  <c r="F108" i="16"/>
  <c r="D67" i="16"/>
  <c r="L52" i="16" s="1"/>
  <c r="F41" i="16"/>
  <c r="F18" i="16"/>
  <c r="F58" i="16"/>
  <c r="F110" i="16"/>
  <c r="F22" i="16"/>
  <c r="F11" i="16"/>
  <c r="F84" i="16"/>
  <c r="F30" i="16"/>
  <c r="F66" i="16"/>
  <c r="F10" i="16"/>
  <c r="F52" i="16"/>
  <c r="F86" i="16"/>
  <c r="F99" i="16"/>
  <c r="F102" i="16"/>
  <c r="F90" i="16"/>
  <c r="F9" i="16"/>
  <c r="F88" i="16"/>
  <c r="F103" i="16"/>
  <c r="F49" i="16"/>
  <c r="F115" i="16"/>
  <c r="F111" i="16"/>
  <c r="F112" i="16"/>
  <c r="F75" i="16"/>
  <c r="F50" i="16"/>
  <c r="F85" i="16"/>
  <c r="F100" i="16"/>
  <c r="F73" i="16"/>
  <c r="F93" i="16"/>
  <c r="F5" i="16"/>
  <c r="E49" i="16"/>
  <c r="M37" i="16" s="1"/>
  <c r="F34" i="16"/>
  <c r="F117" i="16"/>
  <c r="F7" i="16"/>
  <c r="F23" i="16"/>
  <c r="F83" i="16"/>
  <c r="F31" i="16"/>
  <c r="E47" i="16"/>
  <c r="M35" i="16" s="1"/>
  <c r="D47" i="16"/>
  <c r="L35" i="16" s="1"/>
  <c r="C47" i="16"/>
  <c r="K35" i="16" s="1"/>
  <c r="D44" i="16"/>
  <c r="E44" i="16"/>
  <c r="C44" i="16"/>
  <c r="D69" i="16"/>
  <c r="L54" i="16" s="1"/>
  <c r="D51" i="16"/>
  <c r="P22" i="14"/>
  <c r="P24" i="14" s="1"/>
  <c r="R22" i="14"/>
  <c r="W2" i="6" s="1"/>
  <c r="G4" i="14"/>
  <c r="P6" i="14"/>
  <c r="R6" i="14"/>
  <c r="G10" i="14"/>
  <c r="R12" i="14"/>
  <c r="P12" i="14"/>
  <c r="F98" i="16"/>
  <c r="F37" i="16"/>
  <c r="E28" i="16"/>
  <c r="M21" i="16" s="1"/>
  <c r="E33" i="16"/>
  <c r="M24" i="16" s="1"/>
  <c r="E11" i="16"/>
  <c r="M11" i="16" s="1"/>
  <c r="E52" i="16"/>
  <c r="M39" i="16" s="1"/>
  <c r="E3" i="16"/>
  <c r="M3" i="16" s="1"/>
  <c r="E116" i="16"/>
  <c r="M95" i="16" s="1"/>
  <c r="E88" i="16"/>
  <c r="M71" i="16" s="1"/>
  <c r="F97" i="16"/>
  <c r="C4" i="16"/>
  <c r="K4" i="16" s="1"/>
  <c r="E43" i="16"/>
  <c r="M32" i="16" s="1"/>
  <c r="E62" i="16"/>
  <c r="M47" i="16" s="1"/>
  <c r="F62" i="16"/>
  <c r="C26" i="19"/>
  <c r="C32" i="19"/>
  <c r="E98" i="16"/>
  <c r="M79" i="16" s="1"/>
  <c r="F43" i="16"/>
  <c r="E38" i="16"/>
  <c r="C106" i="19"/>
  <c r="L18" i="14"/>
  <c r="L20" i="14" s="1"/>
  <c r="E86" i="16"/>
  <c r="M70" i="16" s="1"/>
  <c r="E105" i="16" l="1"/>
  <c r="M86" i="16" s="1"/>
  <c r="D105" i="16"/>
  <c r="L86" i="16" s="1"/>
  <c r="C105" i="16"/>
  <c r="K86" i="16" s="1"/>
  <c r="C38" i="16"/>
  <c r="K27" i="16" s="1"/>
  <c r="E79" i="16"/>
  <c r="M64" i="16" s="1"/>
  <c r="D79" i="16"/>
  <c r="L64" i="16" s="1"/>
  <c r="C79" i="16"/>
  <c r="K64" i="16" s="1"/>
  <c r="C48" i="16"/>
  <c r="K36" i="16" s="1"/>
  <c r="C80" i="16"/>
  <c r="K65" i="16" s="1"/>
  <c r="D36" i="16"/>
  <c r="D59" i="16"/>
  <c r="C61" i="16"/>
  <c r="K46" i="16" s="1"/>
  <c r="D46" i="16"/>
  <c r="L34" i="16" s="1"/>
  <c r="C53" i="16"/>
  <c r="K40" i="16" s="1"/>
  <c r="E67" i="16"/>
  <c r="M52" i="16" s="1"/>
  <c r="C67" i="16"/>
  <c r="K52" i="16" s="1"/>
  <c r="D110" i="16"/>
  <c r="L91" i="16" s="1"/>
  <c r="D42" i="16"/>
  <c r="L31" i="16" s="1"/>
  <c r="D2" i="16"/>
  <c r="L2" i="16" s="1"/>
  <c r="C84" i="16"/>
  <c r="K68" i="16" s="1"/>
  <c r="E84" i="16"/>
  <c r="M68" i="16" s="1"/>
  <c r="D45" i="16"/>
  <c r="L33" i="16" s="1"/>
  <c r="C41" i="16"/>
  <c r="K30" i="16" s="1"/>
  <c r="D74" i="16"/>
  <c r="L59" i="16" s="1"/>
  <c r="D56" i="16"/>
  <c r="L43" i="16" s="1"/>
  <c r="C72" i="16"/>
  <c r="K57" i="16" s="1"/>
  <c r="D49" i="16"/>
  <c r="L37" i="16" s="1"/>
  <c r="C49" i="16"/>
  <c r="K37" i="16" s="1"/>
  <c r="C117" i="16"/>
  <c r="D99" i="16"/>
  <c r="L80" i="16" s="1"/>
  <c r="D58" i="16"/>
  <c r="L45" i="16" s="1"/>
  <c r="C34" i="16"/>
  <c r="K25" i="16" s="1"/>
  <c r="C30" i="16"/>
  <c r="C70" i="16"/>
  <c r="K55" i="16" s="1"/>
  <c r="C39" i="16"/>
  <c r="E115" i="16"/>
  <c r="M13" i="16" s="1"/>
  <c r="C115" i="16"/>
  <c r="K13" i="16" s="1"/>
  <c r="D111" i="16"/>
  <c r="L92" i="16" s="1"/>
  <c r="C103" i="16"/>
  <c r="K84" i="16" s="1"/>
  <c r="C54" i="16"/>
  <c r="K41" i="16" s="1"/>
  <c r="M27" i="16"/>
  <c r="P10" i="14"/>
  <c r="R10" i="14"/>
  <c r="G8" i="14"/>
  <c r="P4" i="14"/>
  <c r="R4" i="14"/>
  <c r="AF27" i="14"/>
  <c r="AF28" i="14" s="1"/>
  <c r="C28" i="14"/>
  <c r="E28" i="14" s="1"/>
  <c r="R24" i="14"/>
  <c r="E100" i="16"/>
  <c r="M81" i="16" s="1"/>
  <c r="E73" i="16"/>
  <c r="M58" i="16" s="1"/>
  <c r="E39" i="16"/>
  <c r="E99" i="16"/>
  <c r="M80" i="16" s="1"/>
  <c r="D28" i="16"/>
  <c r="L21" i="16" s="1"/>
  <c r="D37" i="16"/>
  <c r="C69" i="16"/>
  <c r="K54" i="16" s="1"/>
  <c r="D38" i="16"/>
  <c r="L27" i="16" s="1"/>
  <c r="D4" i="16"/>
  <c r="L4" i="16" s="1"/>
  <c r="C2" i="16"/>
  <c r="K2" i="16" s="1"/>
  <c r="E2" i="16"/>
  <c r="M2" i="16" s="1"/>
  <c r="D116" i="16"/>
  <c r="L95" i="16" s="1"/>
  <c r="D86" i="16"/>
  <c r="L70" i="16" s="1"/>
  <c r="E58" i="16"/>
  <c r="M45" i="16" s="1"/>
  <c r="E111" i="16"/>
  <c r="M92" i="16" s="1"/>
  <c r="C98" i="16"/>
  <c r="K79" i="16" s="1"/>
  <c r="D11" i="16"/>
  <c r="L11" i="16" s="1"/>
  <c r="E51" i="16"/>
  <c r="C9" i="19"/>
  <c r="I9" i="19" s="1"/>
  <c r="E37" i="16"/>
  <c r="E69" i="16"/>
  <c r="M54" i="16" s="1"/>
  <c r="E80" i="16"/>
  <c r="M65" i="16" s="1"/>
  <c r="D80" i="16"/>
  <c r="L65" i="16" s="1"/>
  <c r="C15" i="16"/>
  <c r="K14" i="16" s="1"/>
  <c r="D33" i="16"/>
  <c r="L24" i="16" s="1"/>
  <c r="C51" i="16"/>
  <c r="C28" i="16"/>
  <c r="K21" i="16" s="1"/>
  <c r="C33" i="16"/>
  <c r="K24" i="16" s="1"/>
  <c r="D100" i="16"/>
  <c r="L81" i="16" s="1"/>
  <c r="D88" i="16"/>
  <c r="L71" i="16" s="1"/>
  <c r="C116" i="16"/>
  <c r="K95" i="16" s="1"/>
  <c r="D84" i="16"/>
  <c r="L68" i="16" s="1"/>
  <c r="E15" i="16"/>
  <c r="M14" i="16" s="1"/>
  <c r="D62" i="16"/>
  <c r="L47" i="16" s="1"/>
  <c r="D52" i="16"/>
  <c r="L39" i="16" s="1"/>
  <c r="E70" i="16"/>
  <c r="M55" i="16" s="1"/>
  <c r="D115" i="16"/>
  <c r="L13" i="16" s="1"/>
  <c r="C100" i="16"/>
  <c r="K81" i="16" s="1"/>
  <c r="C73" i="16"/>
  <c r="K58" i="16" s="1"/>
  <c r="C52" i="16"/>
  <c r="K39" i="16" s="1"/>
  <c r="D70" i="16"/>
  <c r="L55" i="16" s="1"/>
  <c r="C99" i="16"/>
  <c r="K80" i="16" s="1"/>
  <c r="D54" i="16"/>
  <c r="L41" i="16" s="1"/>
  <c r="E54" i="16"/>
  <c r="M41" i="16" s="1"/>
  <c r="C111" i="16"/>
  <c r="K92" i="16" s="1"/>
  <c r="C86" i="16"/>
  <c r="K70" i="16" s="1"/>
  <c r="D108" i="16"/>
  <c r="L89" i="16" s="1"/>
  <c r="E108" i="16"/>
  <c r="M89" i="16" s="1"/>
  <c r="C3" i="16"/>
  <c r="K3" i="16" s="1"/>
  <c r="D73" i="16"/>
  <c r="L58" i="16" s="1"/>
  <c r="D3" i="16"/>
  <c r="L3" i="16" s="1"/>
  <c r="C108" i="16"/>
  <c r="K89" i="16" s="1"/>
  <c r="C58" i="16"/>
  <c r="K45" i="16" s="1"/>
  <c r="E109" i="16"/>
  <c r="M90" i="16" s="1"/>
  <c r="D109" i="16"/>
  <c r="L90" i="16" s="1"/>
  <c r="C109" i="16"/>
  <c r="K90" i="16" s="1"/>
  <c r="C23" i="16"/>
  <c r="K18" i="16" s="1"/>
  <c r="D23" i="16"/>
  <c r="L18" i="16" s="1"/>
  <c r="E23" i="16"/>
  <c r="M18" i="16" s="1"/>
  <c r="E9" i="16"/>
  <c r="M9" i="16" s="1"/>
  <c r="D9" i="16"/>
  <c r="L9" i="16" s="1"/>
  <c r="C9" i="16"/>
  <c r="K9" i="16" s="1"/>
  <c r="D41" i="16"/>
  <c r="L30" i="16" s="1"/>
  <c r="E41" i="16"/>
  <c r="M30" i="16" s="1"/>
  <c r="C71" i="16"/>
  <c r="K56" i="16" s="1"/>
  <c r="E71" i="16"/>
  <c r="M56" i="16" s="1"/>
  <c r="D71" i="16"/>
  <c r="L56" i="16" s="1"/>
  <c r="E75" i="16"/>
  <c r="M60" i="16" s="1"/>
  <c r="C75" i="16"/>
  <c r="K60" i="16" s="1"/>
  <c r="D75" i="16"/>
  <c r="L60" i="16" s="1"/>
  <c r="C56" i="16"/>
  <c r="K43" i="16" s="1"/>
  <c r="E56" i="16"/>
  <c r="M43" i="16" s="1"/>
  <c r="C18" i="16"/>
  <c r="K15" i="16" s="1"/>
  <c r="E18" i="16"/>
  <c r="M15" i="16" s="1"/>
  <c r="D18" i="16"/>
  <c r="L15" i="16" s="1"/>
  <c r="C16" i="19"/>
  <c r="C88" i="16"/>
  <c r="K71" i="16" s="1"/>
  <c r="E34" i="16"/>
  <c r="M25" i="16" s="1"/>
  <c r="D34" i="16"/>
  <c r="L25" i="16" s="1"/>
  <c r="E31" i="16"/>
  <c r="D31" i="16"/>
  <c r="C31" i="16"/>
  <c r="E112" i="16"/>
  <c r="M93" i="16" s="1"/>
  <c r="D112" i="16"/>
  <c r="L93" i="16" s="1"/>
  <c r="C112" i="16"/>
  <c r="K93" i="16" s="1"/>
  <c r="C62" i="16"/>
  <c r="K47" i="16" s="1"/>
  <c r="E85" i="16"/>
  <c r="M69" i="16" s="1"/>
  <c r="D85" i="16"/>
  <c r="L69" i="16" s="1"/>
  <c r="C85" i="16"/>
  <c r="K69" i="16" s="1"/>
  <c r="C77" i="19"/>
  <c r="D39" i="16"/>
  <c r="E90" i="16"/>
  <c r="M73" i="16" s="1"/>
  <c r="C90" i="16"/>
  <c r="K73" i="16" s="1"/>
  <c r="D90" i="16"/>
  <c r="L73" i="16" s="1"/>
  <c r="E48" i="16"/>
  <c r="M36" i="16" s="1"/>
  <c r="D48" i="16"/>
  <c r="L36" i="16" s="1"/>
  <c r="D15" i="16"/>
  <c r="L14" i="16" s="1"/>
  <c r="E93" i="16"/>
  <c r="M76" i="16" s="1"/>
  <c r="D93" i="16"/>
  <c r="L76" i="16" s="1"/>
  <c r="C84" i="19"/>
  <c r="C93" i="16"/>
  <c r="K76" i="16" s="1"/>
  <c r="E72" i="16"/>
  <c r="M57" i="16" s="1"/>
  <c r="D72" i="16"/>
  <c r="L57" i="16" s="1"/>
  <c r="E36" i="16"/>
  <c r="C36" i="16"/>
  <c r="E97" i="16"/>
  <c r="M78" i="16" s="1"/>
  <c r="C97" i="16"/>
  <c r="K78" i="16" s="1"/>
  <c r="D97" i="16"/>
  <c r="L78" i="16" s="1"/>
  <c r="D43" i="16"/>
  <c r="L32" i="16" s="1"/>
  <c r="E5" i="16"/>
  <c r="M5" i="16" s="1"/>
  <c r="C5" i="16"/>
  <c r="K5" i="16" s="1"/>
  <c r="D5" i="16"/>
  <c r="L5" i="16" s="1"/>
  <c r="D106" i="19"/>
  <c r="I96" i="19"/>
  <c r="C66" i="19"/>
  <c r="E74" i="16"/>
  <c r="M59" i="16" s="1"/>
  <c r="C74" i="16"/>
  <c r="K59" i="16" s="1"/>
  <c r="E83" i="16"/>
  <c r="C83" i="16"/>
  <c r="D83" i="16"/>
  <c r="I27" i="19"/>
  <c r="D32" i="19"/>
  <c r="I22" i="19"/>
  <c r="D26" i="19"/>
  <c r="E7" i="16"/>
  <c r="M7" i="16" s="1"/>
  <c r="C7" i="16"/>
  <c r="K7" i="16" s="1"/>
  <c r="C5" i="19"/>
  <c r="D7" i="16"/>
  <c r="L7" i="16" s="1"/>
  <c r="C59" i="16"/>
  <c r="C53" i="19"/>
  <c r="E59" i="16"/>
  <c r="C43" i="16"/>
  <c r="K32" i="16" s="1"/>
  <c r="E10" i="16"/>
  <c r="M10" i="16" s="1"/>
  <c r="C10" i="16"/>
  <c r="K10" i="16" s="1"/>
  <c r="D10" i="16"/>
  <c r="L10" i="16" s="1"/>
  <c r="E42" i="16"/>
  <c r="M31" i="16" s="1"/>
  <c r="C42" i="16"/>
  <c r="K31" i="16" s="1"/>
  <c r="E50" i="16"/>
  <c r="D50" i="16"/>
  <c r="C50" i="16"/>
  <c r="D61" i="16"/>
  <c r="L46" i="16" s="1"/>
  <c r="E61" i="16"/>
  <c r="M46" i="16" s="1"/>
  <c r="D98" i="16"/>
  <c r="L79" i="16" s="1"/>
  <c r="E53" i="16"/>
  <c r="M40" i="16" s="1"/>
  <c r="D53" i="16"/>
  <c r="L40" i="16" s="1"/>
  <c r="C37" i="16"/>
  <c r="E110" i="16"/>
  <c r="M91" i="16" s="1"/>
  <c r="C110" i="16"/>
  <c r="K91" i="16" s="1"/>
  <c r="E22" i="16"/>
  <c r="M17" i="16" s="1"/>
  <c r="D22" i="16"/>
  <c r="L17" i="16" s="1"/>
  <c r="C22" i="16"/>
  <c r="K17" i="16" s="1"/>
  <c r="E103" i="16"/>
  <c r="M84" i="16" s="1"/>
  <c r="D103" i="16"/>
  <c r="L84" i="16" s="1"/>
  <c r="E66" i="16"/>
  <c r="M51" i="16" s="1"/>
  <c r="D66" i="16"/>
  <c r="L51" i="16" s="1"/>
  <c r="C66" i="16"/>
  <c r="K51" i="16" s="1"/>
  <c r="C11" i="16"/>
  <c r="K11" i="16" s="1"/>
  <c r="E29" i="16"/>
  <c r="D29" i="16"/>
  <c r="C29" i="16"/>
  <c r="E117" i="16"/>
  <c r="D117" i="16"/>
  <c r="E19" i="16"/>
  <c r="M16" i="16" s="1"/>
  <c r="D19" i="16"/>
  <c r="L16" i="16" s="1"/>
  <c r="C19" i="16"/>
  <c r="K16" i="16" s="1"/>
  <c r="C17" i="19"/>
  <c r="E30" i="16"/>
  <c r="D30" i="16"/>
  <c r="D107" i="16"/>
  <c r="L88" i="16" s="1"/>
  <c r="E107" i="16"/>
  <c r="M88" i="16" s="1"/>
  <c r="C107" i="16"/>
  <c r="K88" i="16" s="1"/>
  <c r="E46" i="16"/>
  <c r="M34" i="16" s="1"/>
  <c r="C46" i="16"/>
  <c r="K34" i="16" s="1"/>
  <c r="E45" i="16"/>
  <c r="M33" i="16" s="1"/>
  <c r="C40" i="19"/>
  <c r="C45" i="16"/>
  <c r="K33" i="16" s="1"/>
  <c r="E63" i="16"/>
  <c r="M48" i="16" s="1"/>
  <c r="D63" i="16"/>
  <c r="L48" i="16" s="1"/>
  <c r="C63" i="16"/>
  <c r="K48" i="16" s="1"/>
  <c r="E102" i="16"/>
  <c r="M83" i="16" s="1"/>
  <c r="C102" i="16"/>
  <c r="K83" i="16" s="1"/>
  <c r="D102" i="16"/>
  <c r="L83" i="16" s="1"/>
  <c r="M28" i="16" l="1"/>
  <c r="G16" i="14"/>
  <c r="R8" i="14"/>
  <c r="P8" i="14"/>
  <c r="D9" i="19"/>
  <c r="K26" i="16"/>
  <c r="M26" i="16"/>
  <c r="M38" i="16"/>
  <c r="L26" i="16"/>
  <c r="L22" i="16"/>
  <c r="I70" i="19"/>
  <c r="D77" i="19"/>
  <c r="K23" i="16"/>
  <c r="L23" i="16"/>
  <c r="I40" i="19"/>
  <c r="D53" i="19"/>
  <c r="K28" i="16"/>
  <c r="M23" i="16"/>
  <c r="D16" i="19"/>
  <c r="I15" i="19"/>
  <c r="D17" i="19"/>
  <c r="I16" i="19"/>
  <c r="K22" i="16"/>
  <c r="L38" i="16"/>
  <c r="D84" i="19"/>
  <c r="I76" i="19"/>
  <c r="D66" i="19"/>
  <c r="I59" i="19"/>
  <c r="M22" i="16"/>
  <c r="K38" i="16"/>
  <c r="I35" i="19"/>
  <c r="D40" i="19"/>
  <c r="D5" i="19"/>
  <c r="I5" i="19"/>
  <c r="L28" i="16"/>
  <c r="R16" i="14" l="1"/>
  <c r="P16" i="14"/>
  <c r="G18" i="14"/>
  <c r="M98" i="16"/>
  <c r="G20" i="14" l="1"/>
  <c r="P18" i="14"/>
  <c r="R18" i="14"/>
  <c r="AB12" i="17"/>
  <c r="AB13" i="17"/>
  <c r="R20" i="14" l="1"/>
  <c r="P20" i="14"/>
  <c r="AB11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tc={E53D0C6B-5CD3-47BC-98A7-6C278F7B593D}</author>
    <author>tc={820A6096-F17C-49AE-AFA6-F5DE54C68C2B}</author>
    <author>tc={AB334986-34BD-495E-B99D-BBEA87F02D61}</author>
    <author>Flavia Lanzetti Daher De Deus</author>
    <author>tc={9763A58B-1500-443E-9DB0-32D927CE576B}</author>
    <author>tc={98C04994-B9A5-4D21-8FB2-F25B19CA4218}</author>
    <author>tc={9AD7986C-65C4-473F-8B34-EB88AC063C84}</author>
    <author>tc={3C1090B9-726A-4086-AED7-A2C221CE12D1}</author>
    <author>tc={CAE7E39C-E588-4A7F-AC95-139A53AE15A5}</author>
    <author>tc={D9FF1D28-0035-4484-9602-B421451A7FDA}</author>
    <author>tc={F1197678-0CBA-42DA-AC46-5BB8137B7F75}</author>
    <author>tc={313985AA-B0E7-477C-9D0E-02612DDE2563}</author>
    <author>tc={0FE3B76D-DC58-434F-A53C-6A3C3F5B83D1}</author>
  </authors>
  <commentList>
    <comment ref="J6" authorId="0" shapeId="0" xr:uid="{E53D0C6B-5CD3-47BC-98A7-6C278F7B593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Alteração realizada em 21/09/2021</t>
      </text>
    </comment>
    <comment ref="AA6" authorId="1" shapeId="0" xr:uid="{820A6096-F17C-49AE-AFA6-F5DE54C68C2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Distrato assinado em 20/09/2021</t>
      </text>
    </comment>
    <comment ref="S7" authorId="2" shapeId="0" xr:uid="{AB334986-34BD-495E-B99D-BBEA87F02D6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Alteração de garantia para interveniente anuente - Brookfield Energia</t>
      </text>
    </comment>
    <comment ref="Y7" authorId="3" shapeId="0" xr:uid="{D308792B-CD47-47D6-B1F3-C5E470FA8CC9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Fazer termo aditivo mudando a data base para ago/21 e garantia para corporatia</t>
        </r>
      </text>
    </comment>
    <comment ref="S8" authorId="3" shapeId="0" xr:uid="{6D724A11-70AA-4315-B61F-2D36FE91C184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Corporativa
Reajuste pelo IPCA, data base 01 de setembro de 2021, garantia financeira de 2 meses na modalidade de fiança corporativa padrão Light.</t>
        </r>
      </text>
    </comment>
    <comment ref="Y8" authorId="3" shapeId="0" xr:uid="{6E221E4E-C798-4359-9649-DA0C31A53135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fazer termo aditivo mudando garantia para corporativa e já apresentar a garantia</t>
        </r>
      </text>
    </comment>
    <comment ref="S10" authorId="3" shapeId="0" xr:uid="{4AB5FDEA-B869-47F2-828B-8B36CC46F316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aditivo para registro contra pagamento</t>
        </r>
      </text>
    </comment>
    <comment ref="S11" authorId="3" shapeId="0" xr:uid="{ED165F51-0ECB-4BB9-8DE5-268F7B434FCE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aditivo para registro contra pagamento</t>
        </r>
      </text>
    </comment>
    <comment ref="S12" authorId="4" shapeId="0" xr:uid="{9763A58B-1500-443E-9DB0-32D927CE576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aditivo para registro contra pagamento</t>
      </text>
    </comment>
    <comment ref="S13" authorId="3" shapeId="0" xr:uid="{5817798F-5A8B-486D-AC29-91B1A9E11FB7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aditivo para registro contra pagamento</t>
        </r>
      </text>
    </comment>
    <comment ref="S17" authorId="5" shapeId="0" xr:uid="{98C04994-B9A5-4D21-8FB2-F25B19CA421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TERMO ADITIVO MUDANDO PARA GARANTIA CONTRA PAGAMENTO</t>
      </text>
    </comment>
    <comment ref="U29" authorId="6" shapeId="0" xr:uid="{9AD7986C-65C4-473F-8B34-EB88AC063C8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Termo aditivo alterando a data de reajuste para jan/23.</t>
      </text>
    </comment>
    <comment ref="U32" authorId="3" shapeId="0" xr:uid="{3B0F7779-0BA7-4880-B7F4-4061C65DCB24}">
      <text>
        <r>
          <rPr>
            <b/>
            <sz val="9"/>
            <color indexed="81"/>
            <rFont val="Tahoma"/>
            <family val="2"/>
          </rPr>
          <t>Flavia Lanzetti Daher De Deus:</t>
        </r>
        <r>
          <rPr>
            <sz val="9"/>
            <color indexed="81"/>
            <rFont val="Tahoma"/>
            <family val="2"/>
          </rPr>
          <t xml:space="preserve">
Reajuste em jan/23</t>
        </r>
      </text>
    </comment>
    <comment ref="U40" authorId="7" shapeId="0" xr:uid="{3C1090B9-726A-4086-AED7-A2C221CE12D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TA mudando a data base do reajuste de ago/22 para set/22</t>
      </text>
    </comment>
    <comment ref="U43" authorId="8" shapeId="0" xr:uid="{CAE7E39C-E588-4A7F-AC95-139A53AE15A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Reajuste em jan/23</t>
      </text>
    </comment>
    <comment ref="U44" authorId="9" shapeId="0" xr:uid="{D9FF1D28-0035-4484-9602-B421451A7FD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Reajuste em jan/23</t>
      </text>
    </comment>
    <comment ref="S113" authorId="10" shapeId="0" xr:uid="{F1197678-0CBA-42DA-AC46-5BB8137B7F7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Acordado e registrado na boleta detalhada.</t>
      </text>
    </comment>
    <comment ref="S118" authorId="11" shapeId="0" xr:uid="{313985AA-B0E7-477C-9D0E-02612DDE25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Acordado e registrado na boleta detalhada.</t>
      </text>
    </comment>
    <comment ref="S169" authorId="12" shapeId="0" xr:uid="{0FE3B76D-DC58-434F-A53C-6A3C3F5B83D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alterado na boleta detalhada do eHub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<sst xmlns="http://schemas.openxmlformats.org/spreadsheetml/2006/main" count="5325" uniqueCount="629">
  <si>
    <t>FECHAMENTO</t>
  </si>
  <si>
    <t>OPERACAO</t>
  </si>
  <si>
    <t>VENDEDOR</t>
  </si>
  <si>
    <t>COMPRADOR</t>
  </si>
  <si>
    <t>FONTE</t>
  </si>
  <si>
    <t>SUBMERCADO</t>
  </si>
  <si>
    <t>BBCE</t>
  </si>
  <si>
    <t>SSJ</t>
  </si>
  <si>
    <t>Controle de Minutas</t>
  </si>
  <si>
    <t>GARANTIAS</t>
  </si>
  <si>
    <t>VOLUME (MWm)</t>
  </si>
  <si>
    <t xml:space="preserve"> </t>
  </si>
  <si>
    <t>CNPJ VENDEDOR</t>
  </si>
  <si>
    <t>CNPJ COMPRADOR</t>
  </si>
  <si>
    <t>INICIO</t>
  </si>
  <si>
    <t>FIM</t>
  </si>
  <si>
    <t>VOL (MWm)</t>
  </si>
  <si>
    <t>SPREAD</t>
  </si>
  <si>
    <t>MOD PREÇO</t>
  </si>
  <si>
    <t>Enviada</t>
  </si>
  <si>
    <t>Arquivada</t>
  </si>
  <si>
    <t>PAGAMENTO</t>
  </si>
  <si>
    <t>SE</t>
  </si>
  <si>
    <t>Compra/venda</t>
  </si>
  <si>
    <t>Controle Port.</t>
  </si>
  <si>
    <t>N</t>
  </si>
  <si>
    <t>NE</t>
  </si>
  <si>
    <t>S</t>
  </si>
  <si>
    <t>TOTAL OPERAÇÕES</t>
  </si>
  <si>
    <t>I1</t>
  </si>
  <si>
    <t>I5</t>
  </si>
  <si>
    <t>SALDO I50 (MWh) =</t>
  </si>
  <si>
    <t>I0</t>
  </si>
  <si>
    <t>CONV</t>
  </si>
  <si>
    <t>Dez</t>
  </si>
  <si>
    <t>Nov</t>
  </si>
  <si>
    <t>Out</t>
  </si>
  <si>
    <t>Set</t>
  </si>
  <si>
    <t>Ago</t>
  </si>
  <si>
    <t>Jul</t>
  </si>
  <si>
    <t>Jun</t>
  </si>
  <si>
    <t>Mai</t>
  </si>
  <si>
    <t>Abr</t>
  </si>
  <si>
    <t>Mar</t>
  </si>
  <si>
    <t>Fev</t>
  </si>
  <si>
    <t>Jan</t>
  </si>
  <si>
    <t xml:space="preserve"> I1 (MW)</t>
  </si>
  <si>
    <t xml:space="preserve"> I5 (MW)</t>
  </si>
  <si>
    <t>ENA PESSIMISTA</t>
  </si>
  <si>
    <t xml:space="preserve"> I0 (MW)</t>
  </si>
  <si>
    <t>LASTRO INCENTIVADA</t>
  </si>
  <si>
    <t xml:space="preserve"> CQI5 (MW)</t>
  </si>
  <si>
    <t xml:space="preserve"> Conv (MW)</t>
  </si>
  <si>
    <t>LASTRO CONV (MW)</t>
  </si>
  <si>
    <t>ENA BASE</t>
  </si>
  <si>
    <t>ENERGIA (MW)  - Total</t>
  </si>
  <si>
    <t>ENERGIA (MW) - N</t>
  </si>
  <si>
    <t>ENERGIA (MW) - NE</t>
  </si>
  <si>
    <t>ENERGIA (MW) - S</t>
  </si>
  <si>
    <t>ENERGIA (MW) - SE</t>
  </si>
  <si>
    <t>ENA OTIMISTA</t>
  </si>
  <si>
    <t>POSIÇÃO BOOK</t>
  </si>
  <si>
    <t>TOTAL</t>
  </si>
  <si>
    <t>VISTO GERENTE</t>
  </si>
  <si>
    <t>ENERGIA (MWm) - SE</t>
  </si>
  <si>
    <t>ENERGIA (MWm) - S</t>
  </si>
  <si>
    <t>ENERGIA (MWm) - NE</t>
  </si>
  <si>
    <t>ENERGIA (MWm) - N</t>
  </si>
  <si>
    <t>ENERGIA (MWm)  - Total</t>
  </si>
  <si>
    <t>LASTRO CONV (MWm)</t>
  </si>
  <si>
    <t xml:space="preserve"> Conv (MWm)</t>
  </si>
  <si>
    <t xml:space="preserve"> CQI5 (MWm)</t>
  </si>
  <si>
    <t xml:space="preserve"> I0 (MWm)</t>
  </si>
  <si>
    <t xml:space="preserve"> I5 (MWm)</t>
  </si>
  <si>
    <t xml:space="preserve"> I1 (MWm)</t>
  </si>
  <si>
    <t>ENERGIA (MWm)  - Compra</t>
  </si>
  <si>
    <t>ENERGIA (MWm)  - Venda</t>
  </si>
  <si>
    <t>Posições Abertas</t>
  </si>
  <si>
    <t>ENERGIA (MWm)</t>
  </si>
  <si>
    <t>PREÇOS PONDERADOS (R$/MWh)</t>
  </si>
  <si>
    <t>PREÇO DE MERCADO (R$/MWh)</t>
  </si>
  <si>
    <t>MARCAÇÃO A MERCADO (R$ MM)</t>
  </si>
  <si>
    <t>ÍNDICE</t>
  </si>
  <si>
    <t>DATA BASE</t>
  </si>
  <si>
    <t>VOLUME</t>
  </si>
  <si>
    <t>BOOK</t>
  </si>
  <si>
    <t>ESTIMADO</t>
  </si>
  <si>
    <t>REAJUSTE</t>
  </si>
  <si>
    <t>PREÇO REAJUSTADO</t>
  </si>
  <si>
    <t>COD_WBC</t>
  </si>
  <si>
    <t>PREÇO</t>
  </si>
  <si>
    <t>FORNECIMENTO</t>
  </si>
  <si>
    <t>GERENCIAL</t>
  </si>
  <si>
    <t>1º mês do ano seguinte</t>
  </si>
  <si>
    <t>MÉDIA MÓVEL INCENTIVADA (MWm)</t>
  </si>
  <si>
    <t>Receita Operacional Bruta (R$)</t>
  </si>
  <si>
    <t>Deduções Receita (R$)</t>
  </si>
  <si>
    <t>ICMS (R$)</t>
  </si>
  <si>
    <t>PIS/COFINS (R$)</t>
  </si>
  <si>
    <t>Receita Operacional Líquida (R$)</t>
  </si>
  <si>
    <t>Despesa Operacional (R$)</t>
  </si>
  <si>
    <t>Compra de Energia (R$)</t>
  </si>
  <si>
    <t>Crédito PIS/COFINS</t>
  </si>
  <si>
    <t>Pessoal</t>
  </si>
  <si>
    <t>Material</t>
  </si>
  <si>
    <t>Resultado Operacional/Ebitda  (R$)</t>
  </si>
  <si>
    <t>IR</t>
  </si>
  <si>
    <t>Lucro Líquido (R$)</t>
  </si>
  <si>
    <t>PREÇO CURVA FORWARD (R$/MWh)</t>
  </si>
  <si>
    <t>Resultado Bruto DRE Trading</t>
  </si>
  <si>
    <t>Actual + MtM Book Trading (Risco)</t>
  </si>
  <si>
    <t>Δ Trading - Risco</t>
  </si>
  <si>
    <t>Total</t>
  </si>
  <si>
    <t>P/L (R$ milhões)</t>
  </si>
  <si>
    <t>Produtos (Preço Fixo)</t>
  </si>
  <si>
    <t>Posições Abertas (Preço Fixo)</t>
  </si>
  <si>
    <t>Produtos (Preço Variável)</t>
  </si>
  <si>
    <t>Posições Abertas (Preço Variável)</t>
  </si>
  <si>
    <t>volume vendido</t>
  </si>
  <si>
    <t>preço venda</t>
  </si>
  <si>
    <t>Mercado</t>
  </si>
  <si>
    <t>Marcação</t>
  </si>
  <si>
    <t>PREÇO (R$/MWm)</t>
  </si>
  <si>
    <t>Venda</t>
  </si>
  <si>
    <t>BROOKFIELD ENERGIA COMERCIALIZADORA LTDA.</t>
  </si>
  <si>
    <t>Otimização</t>
  </si>
  <si>
    <t>Conv</t>
  </si>
  <si>
    <t>Fixo</t>
  </si>
  <si>
    <t>6º du</t>
  </si>
  <si>
    <t>IPCA</t>
  </si>
  <si>
    <t>Compra</t>
  </si>
  <si>
    <t>CPFL Comercialização Brasil S.A.</t>
  </si>
  <si>
    <t>Boleta Eletrônica</t>
  </si>
  <si>
    <t>Contra Pgto.</t>
  </si>
  <si>
    <t>Digital</t>
  </si>
  <si>
    <t>VOTORANTIM CIMENTOS S.A.</t>
  </si>
  <si>
    <t>ENGIE TRADING COMERCIALIZADORA DE ENERGIA LTDA</t>
  </si>
  <si>
    <t>Trading</t>
  </si>
  <si>
    <t>Energisa Comercializadora de Energia Ltda</t>
  </si>
  <si>
    <t>Statkraft Energia do Brasil Ltda</t>
  </si>
  <si>
    <t>Eletrobras CGT Eletrosul</t>
  </si>
  <si>
    <t>CESP - COMPANHIA ENERGÉTICA DE SÃO PAULO</t>
  </si>
  <si>
    <t>WX Energy Comercializadora de Energia Ltda</t>
  </si>
  <si>
    <t>Newcom Comercializadora de Energia Elétrica Ltda</t>
  </si>
  <si>
    <t>Votener - Votorantim Comercializadora de Energia Ltda</t>
  </si>
  <si>
    <t>Portfólio</t>
  </si>
  <si>
    <t>Sem Minuta</t>
  </si>
  <si>
    <t>CESP COMERCIALIZADORA DE ENERGIA S.A.</t>
  </si>
  <si>
    <t>Focus Energia LTDA</t>
  </si>
  <si>
    <t>Principal Comercializadora de Energia Ltda</t>
  </si>
  <si>
    <t>Compass Comercializadora de Energia Elétrica Ltda</t>
  </si>
  <si>
    <t>Matrix Comercializadora de Energia Elétrica SA</t>
  </si>
  <si>
    <t>EDP - Comercializacao E Servicos De Energia Ltda</t>
  </si>
  <si>
    <t>BC Comercializadora de Energia Ltda</t>
  </si>
  <si>
    <t>Bunge BP (Usina Guariroba)</t>
  </si>
  <si>
    <t>COMERC Comercializadora de Energia Elétrica Ltda.</t>
  </si>
  <si>
    <t>Garantia</t>
  </si>
  <si>
    <t>MPC Enex Comercializadora de Energia Ltda</t>
  </si>
  <si>
    <t>JBS S.A.</t>
  </si>
  <si>
    <t>Prime Energy Comercializadora de Energia EIRELI</t>
  </si>
  <si>
    <t>CTG BRASIL TRADING LTDA.</t>
  </si>
  <si>
    <t>Banco BTG Pactual S.A.</t>
  </si>
  <si>
    <t>Deal Comercializadora de Energia Ltda</t>
  </si>
  <si>
    <t>NC Energia S/A</t>
  </si>
  <si>
    <t>PLURAL COMERCIALIZADORA DE ENERGIA ELÉTRICA LTDA</t>
  </si>
  <si>
    <t>Tempo Energia S.A</t>
  </si>
  <si>
    <t>MAXIMA ENERGIA COMERCIALIZADORA LTDA.</t>
  </si>
  <si>
    <t>Tradener Ltda</t>
  </si>
  <si>
    <t>BP Comercializadora de Energia LTDA</t>
  </si>
  <si>
    <t>New Energies Soluções em Energia Ltda</t>
  </si>
  <si>
    <t>RBE Gestão Estratégica de Energia Ltda</t>
  </si>
  <si>
    <t>Delta Comercializadora de Energia Ltda</t>
  </si>
  <si>
    <t>Gold Comercializadora de Energia Ltda</t>
  </si>
  <si>
    <t>Bioenergia Barra Ltda - Grupo Raizen</t>
  </si>
  <si>
    <t>Brasil Comercializadora de Energias Ltda</t>
  </si>
  <si>
    <t>Capitale Energia Comercializadora Ltda</t>
  </si>
  <si>
    <t>ENEL TRADING BRASIL S.A</t>
  </si>
  <si>
    <t>SHELL ENERGY DO BRASIL LTDA</t>
  </si>
  <si>
    <t>Electra Comercializadora de Energia Ltda</t>
  </si>
  <si>
    <t>Stima Energia Ltda</t>
  </si>
  <si>
    <t>LOG ENERGIA COMERCIALIZADORA S.A.</t>
  </si>
  <si>
    <t>Safira Administração e Comercialização de Energia Ltda</t>
  </si>
  <si>
    <t>Norsk Hydro Energia Ltda</t>
  </si>
  <si>
    <t>MERCURIO COMERCIALIZADORA DE ENERGIA LTDA.</t>
  </si>
  <si>
    <t>Libra Comercializadora de Energia Ltda</t>
  </si>
  <si>
    <t>Biosev Comercializadora de Energia S.A.</t>
  </si>
  <si>
    <t>Alupar Investimento S.A.</t>
  </si>
  <si>
    <t>Esfera Comercializadora de Energia Ltda</t>
  </si>
  <si>
    <t>Atmo Comercializadora de Energia Ltda</t>
  </si>
  <si>
    <t>Trinity Comercializadora de Energia Elétrica Ltda</t>
  </si>
  <si>
    <t>America Energia S/A</t>
  </si>
  <si>
    <t>IDEAL ENERGIA COMERCIALIZADORA LTDA</t>
  </si>
  <si>
    <t>Nova Energia Comercializadora S.A.</t>
  </si>
  <si>
    <t>Genial Energy Comercializadora de Energia Elétrica Ltda</t>
  </si>
  <si>
    <t>ECEL - Elétron Comercializadora de Energia Ltda</t>
  </si>
  <si>
    <t>V</t>
  </si>
  <si>
    <t>C</t>
  </si>
  <si>
    <t>ok</t>
  </si>
  <si>
    <t>BP Bioenergia Itumbiara S.A.</t>
  </si>
  <si>
    <t>PowerCom Comercializadora de Energia S.A.</t>
  </si>
  <si>
    <t>Flow Energia Comercializadora LTDA</t>
  </si>
  <si>
    <t>THERA TRADING COMERCIALIZADORA DE ENERGIA LTDA</t>
  </si>
  <si>
    <t>Argon Comercializadora de Energia Ltda</t>
  </si>
  <si>
    <t>INFINITY TRADING COMERCIALIZADORA DE ENERGIA LTDA</t>
  </si>
  <si>
    <t>Santander Corretora de Seguros, Investimentos e Serviços S.A.</t>
  </si>
  <si>
    <t>True Comercializadora de Energia LTDA</t>
  </si>
  <si>
    <t>CEMIG GERACAO E TRANSMISSAO S.A</t>
  </si>
  <si>
    <t>Zeta Comercializadora de Energia S.A</t>
  </si>
  <si>
    <t>CENTRAL COMERCIALIZADORA DE ENERGIA LTDA</t>
  </si>
  <si>
    <t>ENGIE BRASIL ENERGIA COMERCIALIZADORA LTDA</t>
  </si>
  <si>
    <t>Kroma Comercializadora de Energia Ltda</t>
  </si>
  <si>
    <t>Evo Energia LTDA</t>
  </si>
  <si>
    <t>Eneva Comercializadora de Energia Ltda</t>
  </si>
  <si>
    <t>Targus Comercializadora de Energia S.A.</t>
  </si>
  <si>
    <t>COPEL COMERCIALIZAÇÃO S.A.</t>
  </si>
  <si>
    <t>Solenergias Comercializadora de Energia S/A</t>
  </si>
  <si>
    <t>Pacto Comercializadora de Energia Elétrica e Gás Natural S/A</t>
  </si>
  <si>
    <t>ITAU UNIBANCO COMERCIALIZADORA DE ENERGIA LTDA</t>
  </si>
  <si>
    <t>Lightcom Comercializadora de Energia S/A</t>
  </si>
  <si>
    <t>Bolt Serviços e Comercialização de Energia Ltda</t>
  </si>
  <si>
    <t>2W Energia S.A</t>
  </si>
  <si>
    <t>Rio Paranapanema Energia S.A. - Grupo CTG</t>
  </si>
  <si>
    <t>OMEGA GERACAO S.A.</t>
  </si>
  <si>
    <t>GERDAU AÇOS LONGOS S.A</t>
  </si>
  <si>
    <t>Migratio Gestão e Comercialização de Energia Elétrica Ltda - ME</t>
  </si>
  <si>
    <t>Simple Energy Comercializadora de Energia Ltda</t>
  </si>
  <si>
    <t>Minerva Comercializadora de Energia Ltda</t>
  </si>
  <si>
    <t>Ekoa Comercializadora de Energia LTDA</t>
  </si>
  <si>
    <t>Diferencial Comercializadora de Energia Ltda.</t>
  </si>
  <si>
    <t>Lux Energy Comercializadora de Energia LTDA.</t>
  </si>
  <si>
    <t>Ecom Energia Ltda</t>
  </si>
  <si>
    <t>BEP Comercializadora de Energia Elétrica Ltda</t>
  </si>
  <si>
    <t>Bunge Açúcar e Bioenergia S.A.</t>
  </si>
  <si>
    <t>Celesc Distribuição S.A.</t>
  </si>
  <si>
    <t>VIVAZ Energia Ltda</t>
  </si>
  <si>
    <t>SSJ 8489</t>
  </si>
  <si>
    <t>Bolt Energy Comercializadora de Energia Ltda.</t>
  </si>
  <si>
    <t>MtM Incentivo</t>
  </si>
  <si>
    <t>Geramamoré Participações e Comercializadora de Energia LTDA</t>
  </si>
  <si>
    <t>EXPONENCIAL ENERGIA LTDA</t>
  </si>
  <si>
    <t>INFINITY COMERCIALIZADORA DE ENERGIA LTDA</t>
  </si>
  <si>
    <t>Produtos (TOTAL)</t>
  </si>
  <si>
    <t>OMEGA COMERCIALIZADORA DE ENERGIA S.A.</t>
  </si>
  <si>
    <t>AES Tietê Energia S.A.</t>
  </si>
  <si>
    <t>Merito Comercialização de Energia Elétrica Ltda</t>
  </si>
  <si>
    <t>PARATY ENERGIA LTDA</t>
  </si>
  <si>
    <t>CPFL Energias Renovaveis S.A.</t>
  </si>
  <si>
    <t>Meses</t>
  </si>
  <si>
    <t>Casa dos Ventos Energias Renovaveis S/A</t>
  </si>
  <si>
    <t>Garantia Corporativa</t>
  </si>
  <si>
    <t>Empresas</t>
  </si>
  <si>
    <t>Posição Fechada</t>
  </si>
  <si>
    <t>R$ TOTAL</t>
  </si>
  <si>
    <t>Data da Curva:</t>
  </si>
  <si>
    <t>Curva Forward</t>
  </si>
  <si>
    <t>Conv SE</t>
  </si>
  <si>
    <t>I5 SE</t>
  </si>
  <si>
    <t>I1 SE</t>
  </si>
  <si>
    <t>Conv S</t>
  </si>
  <si>
    <t>Conv NE</t>
  </si>
  <si>
    <t>Conv N</t>
  </si>
  <si>
    <t>Resultado Operação (Delta R$)*(MWm)</t>
  </si>
  <si>
    <t>I0 SE</t>
  </si>
  <si>
    <t>I0 NE</t>
  </si>
  <si>
    <t>I0 S</t>
  </si>
  <si>
    <t>Contraparte</t>
  </si>
  <si>
    <t>MtM Passado</t>
  </si>
  <si>
    <t>MtM Aberto</t>
  </si>
  <si>
    <t>MtM em Aberto</t>
  </si>
  <si>
    <t>Grupo</t>
  </si>
  <si>
    <t>Bolt</t>
  </si>
  <si>
    <t>Bunge</t>
  </si>
  <si>
    <t>CESP</t>
  </si>
  <si>
    <t>CPFL</t>
  </si>
  <si>
    <t>ENGIE</t>
  </si>
  <si>
    <t>OMEGA</t>
  </si>
  <si>
    <t>VOTORANTIM</t>
  </si>
  <si>
    <t>VIGENTE</t>
  </si>
  <si>
    <t>CTG</t>
  </si>
  <si>
    <t>Mês</t>
  </si>
  <si>
    <t>F230588</t>
  </si>
  <si>
    <t>Back to Back FMC</t>
  </si>
  <si>
    <t>Furnas Centrais Elétricas S.A.</t>
  </si>
  <si>
    <t>F233188</t>
  </si>
  <si>
    <t>Back to Back Help Tech</t>
  </si>
  <si>
    <t>NÚMERO ÍNDICE
(DEZ 93 = 100)</t>
  </si>
  <si>
    <t>MtM positivo</t>
  </si>
  <si>
    <t>MtM negativo</t>
  </si>
  <si>
    <t>MtM Positivo</t>
  </si>
  <si>
    <t>MtM Negativo</t>
  </si>
  <si>
    <t>Raizen</t>
  </si>
  <si>
    <t>BP Bunge</t>
  </si>
  <si>
    <t>Deal</t>
  </si>
  <si>
    <t>Delta</t>
  </si>
  <si>
    <t>COMERC</t>
  </si>
  <si>
    <t>Engie</t>
  </si>
  <si>
    <t>Omega</t>
  </si>
  <si>
    <t>Termo aditivo - SSJ 10506</t>
  </si>
  <si>
    <t>Termo aditivo - SSJ 10662</t>
  </si>
  <si>
    <t>CTG Brasil Negócios de Energia S.A</t>
  </si>
  <si>
    <t>14.295.008/0001-37</t>
  </si>
  <si>
    <t>Back to Back condomínio 17007</t>
  </si>
  <si>
    <t>Back to Back Prometeon</t>
  </si>
  <si>
    <t>CASA DOS VENTOS COMERCIALIZADORA DE ENERGIA S.A</t>
  </si>
  <si>
    <t>GERDAU AÇOS LONGOS S.A. - Filial</t>
  </si>
  <si>
    <t>_</t>
  </si>
  <si>
    <t>Aliança Geração de Energia S.A.</t>
  </si>
  <si>
    <t>EDP Trading Comercialização e Serviços De Energia S.A</t>
  </si>
  <si>
    <t>ABC BRASIL COMERCIALIZADORA DE ENERGIA LTDA.</t>
  </si>
  <si>
    <t>F251869</t>
  </si>
  <si>
    <t>Back to Back C&amp;A</t>
  </si>
  <si>
    <t>09.149.503/0003-60</t>
  </si>
  <si>
    <t>F252126</t>
  </si>
  <si>
    <t>IBITU COMERCIALIZADORA DE ENERGIA LTDA</t>
  </si>
  <si>
    <t>F252536</t>
  </si>
  <si>
    <t>F252490</t>
  </si>
  <si>
    <t>I54</t>
  </si>
  <si>
    <t>Back to back C&amp;A</t>
  </si>
  <si>
    <t>SSJ 11030</t>
  </si>
  <si>
    <t>2035</t>
  </si>
  <si>
    <t>XP COMERCIALIZADORA DE ENERGIA S.A.</t>
  </si>
  <si>
    <t>Olympe Comercializadora de Energia Ltda.</t>
  </si>
  <si>
    <t>CEMIG H</t>
  </si>
  <si>
    <t>Vibra Comercializadora de Energia S.A.</t>
  </si>
  <si>
    <t>F265017</t>
  </si>
  <si>
    <t>F266098</t>
  </si>
  <si>
    <t>W7 ENERGIA S.A</t>
  </si>
  <si>
    <t>Casa dos Ventos</t>
  </si>
  <si>
    <t>CEMIG</t>
  </si>
  <si>
    <t>GERDAU</t>
  </si>
  <si>
    <t>F268477</t>
  </si>
  <si>
    <t>SSJ 11785</t>
  </si>
  <si>
    <t>34.475.373/0001-30</t>
  </si>
  <si>
    <t>Preço Reaj - Preço fech.</t>
  </si>
  <si>
    <t>F276290</t>
  </si>
  <si>
    <t>F276273</t>
  </si>
  <si>
    <t>F276804</t>
  </si>
  <si>
    <t>F277014</t>
  </si>
  <si>
    <t>F276960</t>
  </si>
  <si>
    <t>F276832</t>
  </si>
  <si>
    <t>I76</t>
  </si>
  <si>
    <t>MEZ COMERCIALIZADORA DE ENERGIA ELETRICA LTDA.</t>
  </si>
  <si>
    <t>GENCO ENERGIA LTDA</t>
  </si>
  <si>
    <t>ECEL ELETRON COMERCIALIZADORA DE ENERGIA S.A</t>
  </si>
  <si>
    <t>F287053</t>
  </si>
  <si>
    <t>Reequilibrio Balanço BER e BIF II - ES# 20220720-360</t>
  </si>
  <si>
    <t>F287051</t>
  </si>
  <si>
    <t>18.185.035/0001-08</t>
  </si>
  <si>
    <t>03.780.401/0001-08</t>
  </si>
  <si>
    <t>Reequilibrio Balanço BER e BIF II - ES# 20220810-364</t>
  </si>
  <si>
    <t>FEN22H0000257F</t>
  </si>
  <si>
    <t>07.358.761/0056-32</t>
  </si>
  <si>
    <t>Telefônica</t>
  </si>
  <si>
    <t>FEN22H0000552F</t>
  </si>
  <si>
    <t>04.973.790/0001-42</t>
  </si>
  <si>
    <t>FEN22H0000553F</t>
  </si>
  <si>
    <t>FEN22H0000555F</t>
  </si>
  <si>
    <t>18.483.400/0001-60</t>
  </si>
  <si>
    <t>FEN22H0000509F</t>
  </si>
  <si>
    <t>Auren Comercializadora de Energia Ltda</t>
  </si>
  <si>
    <t>03.984.862/0001-94</t>
  </si>
  <si>
    <t>30.840.548/0001-00</t>
  </si>
  <si>
    <t>FEN22H0000842F</t>
  </si>
  <si>
    <t>18.384.740/0001-34</t>
  </si>
  <si>
    <t>EVO ENERGIA LTDA</t>
  </si>
  <si>
    <t>30.902.608/0001-72</t>
  </si>
  <si>
    <t>FEN22H0000999F</t>
  </si>
  <si>
    <t>FEN22H0001037F</t>
  </si>
  <si>
    <t>08.773.135/0001-00</t>
  </si>
  <si>
    <t>FEN22H0001007F</t>
  </si>
  <si>
    <t>29.000.095/0001-25</t>
  </si>
  <si>
    <t>FEN22H0001384F</t>
  </si>
  <si>
    <t>09.185.485/0001-00</t>
  </si>
  <si>
    <t>FEN22H0001531F</t>
  </si>
  <si>
    <t>FEN22H0001516F</t>
  </si>
  <si>
    <t>SAFIRA VAREJO COMERCIALIZACAO DE ENERGIA LTDA</t>
  </si>
  <si>
    <t>11.482.752/0001-52</t>
  </si>
  <si>
    <t>Venda Q1 BER - ES# 20220504-333</t>
  </si>
  <si>
    <t>11.182.210/0001-64</t>
  </si>
  <si>
    <t>15.087.610/0001-41</t>
  </si>
  <si>
    <t>13.338.734/0001-27</t>
  </si>
  <si>
    <t>Brookfield Energia Comercializadora LTDA</t>
  </si>
  <si>
    <t>SAFIRA ADMINISTRACAO E COMERCIALIZACAO DE ENERGIA S.A.</t>
  </si>
  <si>
    <t>09.495.582/0001-07</t>
  </si>
  <si>
    <t>36.537.518/0001-06</t>
  </si>
  <si>
    <t>FEN22I0000901F</t>
  </si>
  <si>
    <t>FEN22I0001125F</t>
  </si>
  <si>
    <t>FEN22I0001932F</t>
  </si>
  <si>
    <t>FEN22I0001929F</t>
  </si>
  <si>
    <t>FEN22I0002243F</t>
  </si>
  <si>
    <t>STATKRAFT ENERGIA DO BRASIL LTDA.</t>
  </si>
  <si>
    <t>08.573.833/0001-53</t>
  </si>
  <si>
    <t>FEN22I0000626B</t>
  </si>
  <si>
    <t>SSJ 12297</t>
  </si>
  <si>
    <t>SSJ 12296</t>
  </si>
  <si>
    <t>SSJ 12294</t>
  </si>
  <si>
    <t xml:space="preserve">SSJ 12293 </t>
  </si>
  <si>
    <t>FEN22I0000716B</t>
  </si>
  <si>
    <t>15.732.189/0001-84</t>
  </si>
  <si>
    <t>FEN22I0002384F</t>
  </si>
  <si>
    <t>SSJ 12322</t>
  </si>
  <si>
    <t>SSJ 12327</t>
  </si>
  <si>
    <t>I79 / 26738</t>
  </si>
  <si>
    <t>I80 / 27026</t>
  </si>
  <si>
    <t>FEN22I0002709F</t>
  </si>
  <si>
    <t>58.177.643/0001-95</t>
  </si>
  <si>
    <t>FEN22I0002671F</t>
  </si>
  <si>
    <t>SSJ 10891</t>
  </si>
  <si>
    <t>FEN22I0003395F</t>
  </si>
  <si>
    <t>GOLD COMERCIALIZADORA DE ENERGIA LTDA</t>
  </si>
  <si>
    <t>30.483.222/0001-73</t>
  </si>
  <si>
    <t>FEN22I0003387F</t>
  </si>
  <si>
    <t>FEN22I0003372F</t>
  </si>
  <si>
    <t>11.599.292/0001-47</t>
  </si>
  <si>
    <t>FEN22J0001371F</t>
  </si>
  <si>
    <t>22.109.465/0001-18</t>
  </si>
  <si>
    <t>Sazo Proinfa - ES# 20220927-372</t>
  </si>
  <si>
    <t>FEN22J0001441F</t>
  </si>
  <si>
    <t>AES COMERCIALIZADORA DE ENERGIA LTDA</t>
  </si>
  <si>
    <t>43.412.008/0001-78</t>
  </si>
  <si>
    <t>FEN22J0001370F</t>
  </si>
  <si>
    <t>FEN22J0000231B</t>
  </si>
  <si>
    <t>FEN22J0001361F</t>
  </si>
  <si>
    <t>FEN22J0001568F</t>
  </si>
  <si>
    <t>FEN22J0001532F</t>
  </si>
  <si>
    <t>FEN22J0001649F</t>
  </si>
  <si>
    <t>FEN22J0001625F</t>
  </si>
  <si>
    <t>FEN22J0000271B</t>
  </si>
  <si>
    <t>14.555.633/0001-70</t>
  </si>
  <si>
    <t>FEN22J0001860F</t>
  </si>
  <si>
    <t>FEN22J0001856F</t>
  </si>
  <si>
    <t>FEN22J0001845F</t>
  </si>
  <si>
    <t>FEN22J0002135F</t>
  </si>
  <si>
    <t>11.322.550/0002-24</t>
  </si>
  <si>
    <t>FEN22J0002134F</t>
  </si>
  <si>
    <t>FEN22J0002205F</t>
  </si>
  <si>
    <t>FEN22J0000389B</t>
  </si>
  <si>
    <t>07.685.694/0005-10</t>
  </si>
  <si>
    <t>Hedge BER e BIF IV - ES# 20220927-373</t>
  </si>
  <si>
    <t>FEN22J0002295F</t>
  </si>
  <si>
    <t>FEN22J0002297F</t>
  </si>
  <si>
    <t>FEN22J0002294F</t>
  </si>
  <si>
    <t>FEN22J0002293F</t>
  </si>
  <si>
    <t>FEN22J0002281F</t>
  </si>
  <si>
    <t>11.085.823/0001-83</t>
  </si>
  <si>
    <t>FEN22J0002282F</t>
  </si>
  <si>
    <t>FEN22J0000414B</t>
  </si>
  <si>
    <t>FEN22J0000413B</t>
  </si>
  <si>
    <t>FEN22J0002265F</t>
  </si>
  <si>
    <t>FEN22J0002268F</t>
  </si>
  <si>
    <t>FEN22J0002267F</t>
  </si>
  <si>
    <t>FEN22J0002391F</t>
  </si>
  <si>
    <t>03.631.957/0001-24</t>
  </si>
  <si>
    <t>FEN22J0002390F</t>
  </si>
  <si>
    <t>FEN22J0002544F</t>
  </si>
  <si>
    <t>FEN22J0002863F</t>
  </si>
  <si>
    <t>I85 / 27348</t>
  </si>
  <si>
    <t>I86 /  27346</t>
  </si>
  <si>
    <t>I83 / 27342</t>
  </si>
  <si>
    <t>I84 / 27336</t>
  </si>
  <si>
    <t>I82 / 27332</t>
  </si>
  <si>
    <t>I81 / 27328</t>
  </si>
  <si>
    <t>FEN22K0000021B</t>
  </si>
  <si>
    <t>04.802.543/0001-83</t>
  </si>
  <si>
    <t>FEN22K0000055F</t>
  </si>
  <si>
    <t>FEN22K0000224B</t>
  </si>
  <si>
    <t>FEN22K0001292F</t>
  </si>
  <si>
    <t>EDP TRADING COMERCIALIZACAO E SERVICOS DE ENERGIA SA</t>
  </si>
  <si>
    <t>04.149.295/0001-13</t>
  </si>
  <si>
    <t>FEN22K0001610F</t>
  </si>
  <si>
    <t>11.315.117/0001-80</t>
  </si>
  <si>
    <t>FEN22K0001717F</t>
  </si>
  <si>
    <t>04.270.778/0001-71</t>
  </si>
  <si>
    <t>FEN22K0001719F</t>
  </si>
  <si>
    <t>11.820.864/0001-76</t>
  </si>
  <si>
    <t>Vendas 24/25 ES# 20221110-386</t>
  </si>
  <si>
    <t>FEN22K0001943F</t>
  </si>
  <si>
    <t>FEN22K0002517F</t>
  </si>
  <si>
    <t>FEN22K0002382F</t>
  </si>
  <si>
    <t>FEN22K0002383F</t>
  </si>
  <si>
    <t>FEN22K0002359F</t>
  </si>
  <si>
    <t>FEN22L0000191F</t>
  </si>
  <si>
    <t>FEN22L0000761F</t>
  </si>
  <si>
    <t>Venda Hydro 2025 - ES# 20221205-395</t>
  </si>
  <si>
    <t>v</t>
  </si>
  <si>
    <t>c</t>
  </si>
  <si>
    <t>FEN22L0001527F</t>
  </si>
  <si>
    <t>FEN22L0001526F</t>
  </si>
  <si>
    <t>FEN22L0000347B</t>
  </si>
  <si>
    <t>I87 / 27731</t>
  </si>
  <si>
    <t>FEN22L0001705F</t>
  </si>
  <si>
    <t>URCA COMERCIALIZADORA DE ENERGIA LTDA</t>
  </si>
  <si>
    <t>32.185.360/0001-00</t>
  </si>
  <si>
    <t>I88 / 27723</t>
  </si>
  <si>
    <t>I89 / 27721</t>
  </si>
  <si>
    <t>FEN22L0001774F</t>
  </si>
  <si>
    <t>Sazo 2023 - ES# 20221219-402</t>
  </si>
  <si>
    <t>FEN22L0001773F</t>
  </si>
  <si>
    <t>FEN22L0000390B</t>
  </si>
  <si>
    <t>FEN22L0000389B</t>
  </si>
  <si>
    <t>Trading Extra 23</t>
  </si>
  <si>
    <t>I90</t>
  </si>
  <si>
    <t>I91</t>
  </si>
  <si>
    <t>I92</t>
  </si>
  <si>
    <t>FEN22L0001870F</t>
  </si>
  <si>
    <t>FEN22L0001865F</t>
  </si>
  <si>
    <t>FEN22L0001837F</t>
  </si>
  <si>
    <t>FEN22L0000401B</t>
  </si>
  <si>
    <t>FEN22L0001832F</t>
  </si>
  <si>
    <t>FEN22L0000394B</t>
  </si>
  <si>
    <t>01/01/2023</t>
  </si>
  <si>
    <t>01/02/2023</t>
  </si>
  <si>
    <t>01/03/2023</t>
  </si>
  <si>
    <t>01/04/2023</t>
  </si>
  <si>
    <t>01/05/2023</t>
  </si>
  <si>
    <t>01/06/2023</t>
  </si>
  <si>
    <t>01/07/2023</t>
  </si>
  <si>
    <t>01/08/2023</t>
  </si>
  <si>
    <t>01/09/2023</t>
  </si>
  <si>
    <t>01/10/2023</t>
  </si>
  <si>
    <t>01/11/2023</t>
  </si>
  <si>
    <t>01/12/2023</t>
  </si>
  <si>
    <t>01/01/2023_25</t>
  </si>
  <si>
    <t>01/02/2023_26</t>
  </si>
  <si>
    <t>01/03/2023_27</t>
  </si>
  <si>
    <t>01/04/2023_28</t>
  </si>
  <si>
    <t>01/05/2023_29</t>
  </si>
  <si>
    <t>01/06/2023_30</t>
  </si>
  <si>
    <t>01/07/2023_31</t>
  </si>
  <si>
    <t>01/08/2023_32</t>
  </si>
  <si>
    <t>01/09/2023_33</t>
  </si>
  <si>
    <t>01/10/2023_34</t>
  </si>
  <si>
    <t>01/11/2023_35</t>
  </si>
  <si>
    <t>01/12/2023_36</t>
  </si>
  <si>
    <t>Operações Fechadas</t>
  </si>
  <si>
    <t>Preços Fechados</t>
  </si>
  <si>
    <t>BD EXTRA 2023</t>
  </si>
  <si>
    <t>Compra (MWm)</t>
  </si>
  <si>
    <t>Venda (MWm)</t>
  </si>
  <si>
    <t>Compra (R$/MWh)</t>
  </si>
  <si>
    <t>Venda (R$/MWh)</t>
  </si>
  <si>
    <t>Saldo (MWm)</t>
  </si>
  <si>
    <t>Resultado</t>
  </si>
  <si>
    <t>Compra (R$)</t>
  </si>
  <si>
    <t>Venda (R$)</t>
  </si>
  <si>
    <t>Total (R$)</t>
  </si>
  <si>
    <t>Delta (R$/MWh)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</si>
  <si>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</si>
  <si>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</si>
  <si>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</si>
  <si>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</si>
  <si>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</si>
  <si>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</si>
  <si>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</si>
  <si>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</si>
  <si>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</si>
  <si>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</si>
  <si>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</si>
  <si>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</si>
  <si>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PREÇO/MWh</t>
  </si>
  <si>
    <t>PREÇO/MWm</t>
  </si>
  <si>
    <t>Preço (R$/MWh)</t>
  </si>
  <si>
    <t>Preços Mercado</t>
  </si>
  <si>
    <t>FEN22L0001884F</t>
  </si>
  <si>
    <t>FEN22L0000407B</t>
  </si>
  <si>
    <t>I93</t>
  </si>
  <si>
    <t>FEN22L0001958F</t>
  </si>
  <si>
    <t>TRADENER LIMITADA</t>
  </si>
  <si>
    <t>02.691.745/0001-70</t>
  </si>
  <si>
    <t>FEN22L0002027F</t>
  </si>
  <si>
    <t>FEN22L0002044F</t>
  </si>
  <si>
    <t>FEN22L0000434B</t>
  </si>
  <si>
    <t>FEN23A0000861F</t>
  </si>
  <si>
    <t>FEN23A0000863F</t>
  </si>
  <si>
    <t>FEN23A0000102B</t>
  </si>
  <si>
    <t>I94</t>
  </si>
  <si>
    <t>I95</t>
  </si>
  <si>
    <t>FEN23A0000142B</t>
  </si>
  <si>
    <t/>
  </si>
  <si>
    <t>F210150</t>
  </si>
  <si>
    <t>Cancelada devido ao distrato com a Brasil</t>
  </si>
  <si>
    <t>Termo aditivo - SSJ 9782</t>
  </si>
  <si>
    <t>FEN23A0001720F</t>
  </si>
  <si>
    <t>13.777.004/0001-22</t>
  </si>
  <si>
    <t>I96</t>
  </si>
  <si>
    <t>I97</t>
  </si>
  <si>
    <t>WBC</t>
  </si>
  <si>
    <t>ssj</t>
  </si>
  <si>
    <t>FEN23A0002221F</t>
  </si>
  <si>
    <t>Electra Comercializadora de Energia S.A.</t>
  </si>
  <si>
    <t>04.518.259/0001-80</t>
  </si>
  <si>
    <t>I98</t>
  </si>
  <si>
    <t>Companhia Energética de Minas Gerais - CEMIG</t>
  </si>
  <si>
    <t>FEN23A0002394F</t>
  </si>
  <si>
    <t>PLD + Spread</t>
  </si>
  <si>
    <t>CP Jan - ES# 20230125-416</t>
  </si>
  <si>
    <t>Balanço</t>
  </si>
  <si>
    <t>FEN23A0002510F</t>
  </si>
  <si>
    <t>FEN23A0002543F</t>
  </si>
  <si>
    <t>Forecast 2023</t>
  </si>
  <si>
    <t>Forecast 2024</t>
  </si>
  <si>
    <t>2023</t>
  </si>
  <si>
    <t>2036</t>
  </si>
  <si>
    <t>FEN23A0002829F</t>
  </si>
  <si>
    <t>FEN23A0002830F</t>
  </si>
  <si>
    <t>FEN23A0002822F</t>
  </si>
  <si>
    <t>27.690.671/0001-88</t>
  </si>
  <si>
    <t>FEN23A0002826F</t>
  </si>
  <si>
    <t>FEN23A0002816F</t>
  </si>
  <si>
    <t>Pacifico Energia Comercializadora Ltda</t>
  </si>
  <si>
    <t>45.829.681/0001-33</t>
  </si>
  <si>
    <t>FEN23B0000026B</t>
  </si>
  <si>
    <t>29.198.324/0001-68</t>
  </si>
  <si>
    <t>FEN23B0000154F</t>
  </si>
  <si>
    <t>FEN23B0000106F</t>
  </si>
  <si>
    <t>TRINITY ENERGIAS RENOVÁVEIS S.A</t>
  </si>
  <si>
    <t>17.077.752/0001-53</t>
  </si>
  <si>
    <t>FEN23B0000039B</t>
  </si>
  <si>
    <t>07.393.256/0001-55</t>
  </si>
  <si>
    <t>CP Jan I0 - ES# 20230202-420</t>
  </si>
  <si>
    <t>FEN23B0000423F</t>
  </si>
  <si>
    <t>FEN23B0000364F</t>
  </si>
  <si>
    <t>FEN23B0000310F</t>
  </si>
  <si>
    <t>FEN23B0000686F</t>
  </si>
  <si>
    <t>FEN23B0000573F</t>
  </si>
  <si>
    <t>FEN23B0000817F</t>
  </si>
  <si>
    <t>FEN23B0000949F</t>
  </si>
  <si>
    <t>ESFERA COMERCIALIZADORA DE ENERGIA LTDA</t>
  </si>
  <si>
    <t>26.940.979/0001-71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</si>
</sst>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_-&quot;R$&quot;* #,##0.00_-;\-&quot;R$&quot;* #,##0.00_-;_-&quot;R$&quot;* &quot;-&quot;??_-;_-@_-"/>
    <numFmt numFmtId="166" formatCode="_(&quot;R$&quot;* #,##0.00_);_(&quot;R$&quot;* \(#,##0.00\);_(&quot;R$&quot;* &quot;-&quot;??_);_(@_)"/>
    <numFmt numFmtId="167" formatCode="0.0"/>
    <numFmt numFmtId="168" formatCode="0.000"/>
    <numFmt numFmtId="169" formatCode="#,##0_ ;[Red]\-#,##0\ "/>
    <numFmt numFmtId="170" formatCode="#,##0.0"/>
    <numFmt numFmtId="171" formatCode="#,##0.0_ ;[Red]\-#,##0.0\ "/>
    <numFmt numFmtId="172" formatCode="0.0_ ;[Red]\-0.0\ "/>
    <numFmt numFmtId="173" formatCode="#,##0.00_ ;[Red]\-#,##0.00\ "/>
    <numFmt numFmtId="174" formatCode="0_ ;[Red]\-0\ "/>
    <numFmt numFmtId="175" formatCode="#,##0.000"/>
    <numFmt numFmtId="176" formatCode="&quot;R$&quot;#,##0.00_);[Red]\(&quot;R$&quot;#,##0.00\)"/>
    <numFmt numFmtId="177" formatCode="mmm"/>
    <numFmt numFmtId="178" formatCode="00&quot;.&quot;000&quot;.&quot;000&quot;/&quot;0000&quot;-&quot;00"/>
    <numFmt numFmtId="179" formatCode="_(* #,##0_);_(* \(#,##0\);_(* &quot;-&quot;??_);_(@_)"/>
    <numFmt numFmtId="180" formatCode="0.000000"/>
    <numFmt numFmtId="181" formatCode="#,##0.000_ ;[Red]\-#,##0.000\ "/>
    <numFmt numFmtId="182" formatCode="_-* #,##0_-;\-* #,##0_-;_-* &quot;-&quot;??_-;_-@_-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8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4456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/>
      <right style="dashed">
        <color indexed="64"/>
      </right>
      <top/>
      <bottom style="medium">
        <color theme="1" tint="0.2499465926084170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rgb="FF00206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00206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23">
    <xf numFmtId="0" fontId="0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31" fillId="0" borderId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23" borderId="0" applyNumberFormat="0" applyBorder="0" applyAlignment="0" applyProtection="0"/>
    <xf numFmtId="0" fontId="32" fillId="27" borderId="0" applyNumberFormat="0" applyBorder="0" applyAlignment="0" applyProtection="0"/>
    <xf numFmtId="0" fontId="32" fillId="30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23" borderId="0" applyNumberFormat="0" applyBorder="0" applyAlignment="0" applyProtection="0"/>
    <xf numFmtId="0" fontId="32" fillId="27" borderId="0" applyNumberFormat="0" applyBorder="0" applyAlignment="0" applyProtection="0"/>
    <xf numFmtId="0" fontId="32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4" borderId="0" applyNumberFormat="0" applyBorder="0" applyAlignment="0" applyProtection="0"/>
    <xf numFmtId="0" fontId="38" fillId="31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4" borderId="0" applyNumberFormat="0" applyBorder="0" applyAlignment="0" applyProtection="0"/>
    <xf numFmtId="0" fontId="38" fillId="35" borderId="0" applyNumberFormat="0" applyBorder="0" applyAlignment="0" applyProtection="0"/>
    <xf numFmtId="0" fontId="38" fillId="36" borderId="0" applyNumberFormat="0" applyBorder="0" applyAlignment="0" applyProtection="0"/>
    <xf numFmtId="0" fontId="38" fillId="37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8" borderId="0" applyNumberFormat="0" applyBorder="0" applyAlignment="0" applyProtection="0"/>
    <xf numFmtId="0" fontId="43" fillId="21" borderId="0" applyNumberFormat="0" applyBorder="0" applyAlignment="0" applyProtection="0"/>
    <xf numFmtId="0" fontId="39" fillId="22" borderId="0" applyNumberFormat="0" applyBorder="0" applyAlignment="0" applyProtection="0"/>
    <xf numFmtId="0" fontId="40" fillId="26" borderId="57" applyNumberFormat="0" applyAlignment="0" applyProtection="0"/>
    <xf numFmtId="0" fontId="40" fillId="26" borderId="57" applyNumberFormat="0" applyAlignment="0" applyProtection="0"/>
    <xf numFmtId="0" fontId="41" fillId="39" borderId="58" applyNumberFormat="0" applyAlignment="0" applyProtection="0"/>
    <xf numFmtId="0" fontId="33" fillId="0" borderId="59" applyNumberFormat="0" applyFill="0" applyAlignment="0" applyProtection="0"/>
    <xf numFmtId="0" fontId="41" fillId="39" borderId="58" applyNumberFormat="0" applyAlignment="0" applyProtection="0"/>
    <xf numFmtId="0" fontId="38" fillId="35" borderId="0" applyNumberFormat="0" applyBorder="0" applyAlignment="0" applyProtection="0"/>
    <xf numFmtId="0" fontId="38" fillId="36" borderId="0" applyNumberFormat="0" applyBorder="0" applyAlignment="0" applyProtection="0"/>
    <xf numFmtId="0" fontId="38" fillId="37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8" borderId="0" applyNumberFormat="0" applyBorder="0" applyAlignment="0" applyProtection="0"/>
    <xf numFmtId="0" fontId="42" fillId="26" borderId="57" applyNumberFormat="0" applyAlignment="0" applyProtection="0"/>
    <xf numFmtId="0" fontId="47" fillId="0" borderId="0" applyNumberFormat="0" applyFill="0" applyBorder="0" applyAlignment="0" applyProtection="0"/>
    <xf numFmtId="0" fontId="39" fillId="22" borderId="0" applyNumberFormat="0" applyBorder="0" applyAlignment="0" applyProtection="0"/>
    <xf numFmtId="0" fontId="35" fillId="0" borderId="60" applyNumberFormat="0" applyFill="0" applyAlignment="0" applyProtection="0"/>
    <xf numFmtId="0" fontId="36" fillId="0" borderId="61" applyNumberFormat="0" applyFill="0" applyAlignment="0" applyProtection="0"/>
    <xf numFmtId="0" fontId="37" fillId="0" borderId="62" applyNumberFormat="0" applyFill="0" applyAlignment="0" applyProtection="0"/>
    <xf numFmtId="0" fontId="37" fillId="0" borderId="0" applyNumberFormat="0" applyFill="0" applyBorder="0" applyAlignment="0" applyProtection="0"/>
    <xf numFmtId="0" fontId="42" fillId="25" borderId="57" applyNumberFormat="0" applyAlignment="0" applyProtection="0"/>
    <xf numFmtId="0" fontId="33" fillId="0" borderId="59" applyNumberFormat="0" applyFill="0" applyAlignment="0" applyProtection="0"/>
    <xf numFmtId="0" fontId="44" fillId="40" borderId="0" applyNumberFormat="0" applyBorder="0" applyAlignment="0" applyProtection="0"/>
    <xf numFmtId="0" fontId="31" fillId="0" borderId="0"/>
    <xf numFmtId="0" fontId="31" fillId="41" borderId="63" applyNumberFormat="0" applyFont="0" applyAlignment="0" applyProtection="0"/>
    <xf numFmtId="0" fontId="32" fillId="41" borderId="63" applyNumberFormat="0" applyFont="0" applyAlignment="0" applyProtection="0"/>
    <xf numFmtId="0" fontId="45" fillId="26" borderId="64" applyNumberFormat="0" applyAlignment="0" applyProtection="0"/>
    <xf numFmtId="0" fontId="45" fillId="26" borderId="64" applyNumberFormat="0" applyAlignment="0" applyProtection="0"/>
    <xf numFmtId="0" fontId="46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60" applyNumberFormat="0" applyFill="0" applyAlignment="0" applyProtection="0"/>
    <xf numFmtId="0" fontId="36" fillId="0" borderId="61" applyNumberFormat="0" applyFill="0" applyAlignment="0" applyProtection="0"/>
    <xf numFmtId="0" fontId="37" fillId="0" borderId="62" applyNumberFormat="0" applyFill="0" applyAlignment="0" applyProtection="0"/>
    <xf numFmtId="0" fontId="37" fillId="0" borderId="0" applyNumberFormat="0" applyFill="0" applyBorder="0" applyAlignment="0" applyProtection="0"/>
    <xf numFmtId="0" fontId="48" fillId="0" borderId="65" applyNumberFormat="0" applyFill="0" applyAlignment="0" applyProtection="0"/>
    <xf numFmtId="0" fontId="46" fillId="0" borderId="0" applyNumberFormat="0" applyFill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23" borderId="0" applyNumberFormat="0" applyBorder="0" applyAlignment="0" applyProtection="0"/>
    <xf numFmtId="0" fontId="32" fillId="27" borderId="0" applyNumberFormat="0" applyBorder="0" applyAlignment="0" applyProtection="0"/>
    <xf numFmtId="0" fontId="32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4" borderId="0" applyNumberFormat="0" applyBorder="0" applyAlignment="0" applyProtection="0"/>
    <xf numFmtId="0" fontId="40" fillId="26" borderId="57" applyNumberFormat="0" applyAlignment="0" applyProtection="0"/>
    <xf numFmtId="0" fontId="38" fillId="35" borderId="0" applyNumberFormat="0" applyBorder="0" applyAlignment="0" applyProtection="0"/>
    <xf numFmtId="0" fontId="38" fillId="36" borderId="0" applyNumberFormat="0" applyBorder="0" applyAlignment="0" applyProtection="0"/>
    <xf numFmtId="0" fontId="38" fillId="37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8" borderId="0" applyNumberFormat="0" applyBorder="0" applyAlignment="0" applyProtection="0"/>
    <xf numFmtId="0" fontId="45" fillId="26" borderId="64" applyNumberFormat="0" applyAlignment="0" applyProtection="0"/>
    <xf numFmtId="0" fontId="4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60" applyNumberFormat="0" applyFill="0" applyAlignment="0" applyProtection="0"/>
    <xf numFmtId="0" fontId="36" fillId="0" borderId="61" applyNumberFormat="0" applyFill="0" applyAlignment="0" applyProtection="0"/>
    <xf numFmtId="0" fontId="37" fillId="0" borderId="62" applyNumberFormat="0" applyFill="0" applyAlignment="0" applyProtection="0"/>
    <xf numFmtId="0" fontId="37" fillId="0" borderId="0" applyNumberFormat="0" applyFill="0" applyBorder="0" applyAlignment="0" applyProtection="0"/>
  </cellStyleXfs>
  <cellXfs count="311">
    <xf numFmtId="0" fontId="0" fillId="0" borderId="0" xfId="0"/>
    <xf numFmtId="0" fontId="0" fillId="2" borderId="0" xfId="0" applyFill="1" applyAlignment="1">
      <alignment horizontal="center"/>
    </xf>
    <xf numFmtId="20" fontId="0" fillId="2" borderId="0" xfId="0" applyNumberFormat="1" applyFill="1" applyAlignment="1">
      <alignment horizontal="center"/>
    </xf>
    <xf numFmtId="0" fontId="0" fillId="2" borderId="0" xfId="0" applyFill="1" applyAlignment="1">
      <alignment horizontal="right"/>
    </xf>
    <xf numFmtId="0" fontId="2" fillId="3" borderId="8" xfId="0" applyFont="1" applyFill="1" applyBorder="1" applyAlignment="1">
      <alignment horizontal="center"/>
    </xf>
    <xf numFmtId="17" fontId="2" fillId="3" borderId="7" xfId="0" applyNumberFormat="1" applyFont="1" applyFill="1" applyBorder="1" applyAlignment="1">
      <alignment horizontal="right"/>
    </xf>
    <xf numFmtId="0" fontId="0" fillId="0" borderId="11" xfId="0" applyBorder="1"/>
    <xf numFmtId="0" fontId="0" fillId="0" borderId="12" xfId="0" applyBorder="1" applyAlignment="1">
      <alignment horizontal="center"/>
    </xf>
    <xf numFmtId="14" fontId="0" fillId="0" borderId="13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17" fontId="0" fillId="0" borderId="14" xfId="0" applyNumberFormat="1" applyBorder="1" applyAlignment="1">
      <alignment horizontal="center"/>
    </xf>
    <xf numFmtId="17" fontId="0" fillId="0" borderId="11" xfId="0" applyNumberFormat="1" applyBorder="1" applyAlignment="1">
      <alignment horizontal="center"/>
    </xf>
    <xf numFmtId="0" fontId="0" fillId="0" borderId="13" xfId="0" applyBorder="1"/>
    <xf numFmtId="0" fontId="0" fillId="0" borderId="11" xfId="0" applyBorder="1" applyAlignment="1">
      <alignment horizontal="center"/>
    </xf>
    <xf numFmtId="0" fontId="0" fillId="0" borderId="14" xfId="0" applyBorder="1"/>
    <xf numFmtId="167" fontId="0" fillId="0" borderId="14" xfId="0" applyNumberFormat="1" applyBorder="1"/>
    <xf numFmtId="0" fontId="0" fillId="2" borderId="0" xfId="0" applyFill="1" applyAlignment="1">
      <alignment horizontal="center" vertical="center"/>
    </xf>
    <xf numFmtId="0" fontId="0" fillId="4" borderId="15" xfId="0" applyFill="1" applyBorder="1"/>
    <xf numFmtId="0" fontId="6" fillId="5" borderId="17" xfId="0" applyFont="1" applyFill="1" applyBorder="1" applyAlignment="1">
      <alignment vertical="center" wrapText="1"/>
    </xf>
    <xf numFmtId="0" fontId="0" fillId="0" borderId="19" xfId="0" applyBorder="1"/>
    <xf numFmtId="0" fontId="0" fillId="2" borderId="0" xfId="0" applyFill="1"/>
    <xf numFmtId="4" fontId="0" fillId="2" borderId="0" xfId="0" applyNumberFormat="1" applyFill="1"/>
    <xf numFmtId="0" fontId="10" fillId="2" borderId="20" xfId="0" applyFont="1" applyFill="1" applyBorder="1" applyAlignment="1">
      <alignment vertical="center"/>
    </xf>
    <xf numFmtId="171" fontId="0" fillId="2" borderId="0" xfId="0" applyNumberFormat="1" applyFill="1" applyAlignment="1">
      <alignment horizontal="center" vertical="center"/>
    </xf>
    <xf numFmtId="0" fontId="12" fillId="8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" fontId="4" fillId="2" borderId="0" xfId="0" applyNumberFormat="1" applyFont="1" applyFill="1" applyAlignment="1">
      <alignment horizontal="center" vertical="center"/>
    </xf>
    <xf numFmtId="172" fontId="0" fillId="2" borderId="0" xfId="0" applyNumberFormat="1" applyFill="1" applyAlignment="1">
      <alignment horizontal="center" vertical="center"/>
    </xf>
    <xf numFmtId="0" fontId="11" fillId="7" borderId="25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/>
    </xf>
    <xf numFmtId="166" fontId="0" fillId="2" borderId="0" xfId="2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/>
    </xf>
    <xf numFmtId="173" fontId="0" fillId="2" borderId="0" xfId="0" applyNumberFormat="1" applyFill="1"/>
    <xf numFmtId="0" fontId="9" fillId="2" borderId="0" xfId="0" applyFont="1" applyFill="1"/>
    <xf numFmtId="0" fontId="14" fillId="2" borderId="0" xfId="0" applyFont="1" applyFill="1"/>
    <xf numFmtId="3" fontId="7" fillId="2" borderId="27" xfId="0" applyNumberFormat="1" applyFont="1" applyFill="1" applyBorder="1" applyAlignment="1">
      <alignment horizontal="center" vertical="center"/>
    </xf>
    <xf numFmtId="174" fontId="7" fillId="2" borderId="10" xfId="0" applyNumberFormat="1" applyFont="1" applyFill="1" applyBorder="1" applyAlignment="1">
      <alignment horizontal="center" vertical="center"/>
    </xf>
    <xf numFmtId="174" fontId="7" fillId="2" borderId="7" xfId="0" applyNumberFormat="1" applyFont="1" applyFill="1" applyBorder="1" applyAlignment="1">
      <alignment horizontal="center" vertical="center"/>
    </xf>
    <xf numFmtId="0" fontId="11" fillId="10" borderId="27" xfId="0" applyFont="1" applyFill="1" applyBorder="1" applyAlignment="1">
      <alignment horizontal="center" vertical="center"/>
    </xf>
    <xf numFmtId="175" fontId="0" fillId="2" borderId="0" xfId="0" applyNumberFormat="1" applyFill="1" applyAlignment="1">
      <alignment horizontal="center" vertical="center"/>
    </xf>
    <xf numFmtId="170" fontId="0" fillId="2" borderId="0" xfId="0" applyNumberFormat="1" applyFill="1" applyAlignment="1">
      <alignment horizontal="center" vertical="center"/>
    </xf>
    <xf numFmtId="3" fontId="7" fillId="2" borderId="28" xfId="0" applyNumberFormat="1" applyFont="1" applyFill="1" applyBorder="1" applyAlignment="1">
      <alignment horizontal="center" vertical="center"/>
    </xf>
    <xf numFmtId="174" fontId="7" fillId="2" borderId="8" xfId="0" applyNumberFormat="1" applyFont="1" applyFill="1" applyBorder="1" applyAlignment="1">
      <alignment horizontal="center" vertical="center"/>
    </xf>
    <xf numFmtId="174" fontId="7" fillId="2" borderId="25" xfId="0" applyNumberFormat="1" applyFont="1" applyFill="1" applyBorder="1" applyAlignment="1">
      <alignment horizontal="center" vertical="center"/>
    </xf>
    <xf numFmtId="0" fontId="11" fillId="10" borderId="28" xfId="0" applyFont="1" applyFill="1" applyBorder="1" applyAlignment="1">
      <alignment horizontal="center" vertical="center"/>
    </xf>
    <xf numFmtId="169" fontId="0" fillId="9" borderId="29" xfId="0" applyNumberFormat="1" applyFill="1" applyBorder="1" applyAlignment="1">
      <alignment horizontal="center" vertical="center"/>
    </xf>
    <xf numFmtId="169" fontId="0" fillId="9" borderId="30" xfId="0" applyNumberForma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  <xf numFmtId="3" fontId="7" fillId="2" borderId="32" xfId="0" applyNumberFormat="1" applyFont="1" applyFill="1" applyBorder="1" applyAlignment="1">
      <alignment horizontal="center" vertical="center"/>
    </xf>
    <xf numFmtId="0" fontId="11" fillId="10" borderId="32" xfId="0" applyFont="1" applyFill="1" applyBorder="1" applyAlignment="1">
      <alignment horizontal="center" vertical="center"/>
    </xf>
    <xf numFmtId="173" fontId="0" fillId="2" borderId="5" xfId="0" applyNumberFormat="1" applyFill="1" applyBorder="1" applyAlignment="1">
      <alignment horizontal="center"/>
    </xf>
    <xf numFmtId="0" fontId="4" fillId="2" borderId="30" xfId="0" applyFont="1" applyFill="1" applyBorder="1" applyAlignment="1">
      <alignment horizontal="center" vertical="center"/>
    </xf>
    <xf numFmtId="3" fontId="7" fillId="2" borderId="33" xfId="0" applyNumberFormat="1" applyFont="1" applyFill="1" applyBorder="1" applyAlignment="1">
      <alignment horizontal="center" vertical="center"/>
    </xf>
    <xf numFmtId="174" fontId="7" fillId="2" borderId="21" xfId="0" applyNumberFormat="1" applyFont="1" applyFill="1" applyBorder="1" applyAlignment="1">
      <alignment horizontal="center" vertical="center"/>
    </xf>
    <xf numFmtId="174" fontId="7" fillId="2" borderId="5" xfId="0" applyNumberFormat="1" applyFont="1" applyFill="1" applyBorder="1" applyAlignment="1">
      <alignment horizontal="center" vertical="center"/>
    </xf>
    <xf numFmtId="174" fontId="7" fillId="2" borderId="2" xfId="0" applyNumberFormat="1" applyFont="1" applyFill="1" applyBorder="1" applyAlignment="1">
      <alignment horizontal="center" vertical="center"/>
    </xf>
    <xf numFmtId="0" fontId="11" fillId="10" borderId="33" xfId="0" applyFont="1" applyFill="1" applyBorder="1" applyAlignment="1">
      <alignment horizontal="center" vertical="center"/>
    </xf>
    <xf numFmtId="169" fontId="4" fillId="9" borderId="26" xfId="0" applyNumberFormat="1" applyFont="1" applyFill="1" applyBorder="1" applyAlignment="1">
      <alignment horizontal="center"/>
    </xf>
    <xf numFmtId="3" fontId="9" fillId="2" borderId="0" xfId="0" applyNumberFormat="1" applyFont="1" applyFill="1"/>
    <xf numFmtId="0" fontId="7" fillId="2" borderId="0" xfId="0" applyFont="1" applyFill="1"/>
    <xf numFmtId="0" fontId="15" fillId="2" borderId="0" xfId="0" applyFont="1" applyFill="1"/>
    <xf numFmtId="0" fontId="11" fillId="7" borderId="8" xfId="0" applyFont="1" applyFill="1" applyBorder="1" applyAlignment="1">
      <alignment horizontal="center" vertical="center"/>
    </xf>
    <xf numFmtId="174" fontId="7" fillId="11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4" fontId="7" fillId="2" borderId="24" xfId="0" applyNumberFormat="1" applyFont="1" applyFill="1" applyBorder="1" applyAlignment="1">
      <alignment horizontal="center" vertical="center"/>
    </xf>
    <xf numFmtId="174" fontId="7" fillId="11" borderId="8" xfId="0" applyNumberFormat="1" applyFont="1" applyFill="1" applyBorder="1" applyAlignment="1">
      <alignment horizontal="center" vertical="center"/>
    </xf>
    <xf numFmtId="174" fontId="7" fillId="11" borderId="5" xfId="0" applyNumberFormat="1" applyFont="1" applyFill="1" applyBorder="1" applyAlignment="1">
      <alignment horizontal="center" vertical="center"/>
    </xf>
    <xf numFmtId="174" fontId="7" fillId="2" borderId="0" xfId="0" applyNumberFormat="1" applyFont="1" applyFill="1"/>
    <xf numFmtId="0" fontId="3" fillId="2" borderId="0" xfId="0" applyFont="1" applyFill="1"/>
    <xf numFmtId="176" fontId="4" fillId="2" borderId="34" xfId="2" applyNumberFormat="1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172" fontId="14" fillId="2" borderId="0" xfId="0" applyNumberFormat="1" applyFont="1" applyFill="1" applyAlignment="1">
      <alignment horizontal="right" vertical="center"/>
    </xf>
    <xf numFmtId="0" fontId="16" fillId="2" borderId="0" xfId="0" applyFont="1" applyFill="1" applyAlignment="1">
      <alignment horizontal="right" vertical="center"/>
    </xf>
    <xf numFmtId="0" fontId="2" fillId="10" borderId="17" xfId="0" applyFont="1" applyFill="1" applyBorder="1" applyAlignment="1">
      <alignment horizontal="center" vertical="center"/>
    </xf>
    <xf numFmtId="177" fontId="2" fillId="10" borderId="29" xfId="0" applyNumberFormat="1" applyFont="1" applyFill="1" applyBorder="1" applyAlignment="1">
      <alignment horizontal="center" vertical="center"/>
    </xf>
    <xf numFmtId="177" fontId="2" fillId="10" borderId="35" xfId="0" applyNumberFormat="1" applyFont="1" applyFill="1" applyBorder="1" applyAlignment="1">
      <alignment horizontal="center" vertical="center"/>
    </xf>
    <xf numFmtId="177" fontId="2" fillId="10" borderId="30" xfId="0" applyNumberFormat="1" applyFont="1" applyFill="1" applyBorder="1" applyAlignment="1">
      <alignment horizontal="center" vertical="center"/>
    </xf>
    <xf numFmtId="0" fontId="17" fillId="2" borderId="0" xfId="0" applyFont="1" applyFill="1"/>
    <xf numFmtId="0" fontId="17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21" fillId="0" borderId="25" xfId="0" applyFont="1" applyBorder="1" applyAlignment="1">
      <alignment horizontal="center" vertical="center"/>
    </xf>
    <xf numFmtId="171" fontId="21" fillId="0" borderId="25" xfId="0" applyNumberFormat="1" applyFont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171" fontId="8" fillId="12" borderId="25" xfId="0" applyNumberFormat="1" applyFont="1" applyFill="1" applyBorder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168" fontId="0" fillId="2" borderId="25" xfId="0" applyNumberFormat="1" applyFill="1" applyBorder="1" applyAlignment="1">
      <alignment horizontal="center"/>
    </xf>
    <xf numFmtId="0" fontId="4" fillId="2" borderId="25" xfId="0" applyFont="1" applyFill="1" applyBorder="1"/>
    <xf numFmtId="0" fontId="0" fillId="15" borderId="25" xfId="0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1" fontId="2" fillId="3" borderId="7" xfId="0" applyNumberFormat="1" applyFont="1" applyFill="1" applyBorder="1" applyAlignment="1">
      <alignment horizontal="right"/>
    </xf>
    <xf numFmtId="0" fontId="2" fillId="3" borderId="37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2" fillId="3" borderId="40" xfId="0" applyFont="1" applyFill="1" applyBorder="1" applyAlignment="1">
      <alignment horizontal="center" vertical="center"/>
    </xf>
    <xf numFmtId="14" fontId="2" fillId="3" borderId="38" xfId="0" applyNumberFormat="1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14" fontId="2" fillId="3" borderId="8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178" fontId="0" fillId="2" borderId="0" xfId="0" applyNumberFormat="1" applyFill="1" applyAlignment="1">
      <alignment horizontal="center"/>
    </xf>
    <xf numFmtId="178" fontId="2" fillId="3" borderId="8" xfId="0" applyNumberFormat="1" applyFont="1" applyFill="1" applyBorder="1" applyAlignment="1">
      <alignment horizontal="center" vertical="center"/>
    </xf>
    <xf numFmtId="178" fontId="2" fillId="3" borderId="9" xfId="0" applyNumberFormat="1" applyFont="1" applyFill="1" applyBorder="1" applyAlignment="1">
      <alignment horizontal="center" vertical="center"/>
    </xf>
    <xf numFmtId="178" fontId="0" fillId="0" borderId="14" xfId="0" applyNumberForma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20" xfId="0" applyBorder="1"/>
    <xf numFmtId="165" fontId="0" fillId="0" borderId="0" xfId="5" applyFont="1"/>
    <xf numFmtId="165" fontId="2" fillId="13" borderId="0" xfId="5" applyFont="1" applyFill="1" applyAlignment="1">
      <alignment horizontal="center" vertical="center"/>
    </xf>
    <xf numFmtId="178" fontId="2" fillId="3" borderId="23" xfId="0" applyNumberFormat="1" applyFont="1" applyFill="1" applyBorder="1" applyAlignment="1">
      <alignment horizontal="center" vertical="center"/>
    </xf>
    <xf numFmtId="165" fontId="0" fillId="13" borderId="0" xfId="5" applyFont="1" applyFill="1" applyAlignment="1">
      <alignment vertical="center"/>
    </xf>
    <xf numFmtId="178" fontId="2" fillId="3" borderId="24" xfId="0" applyNumberFormat="1" applyFont="1" applyFill="1" applyBorder="1" applyAlignment="1">
      <alignment horizontal="center" vertical="center"/>
    </xf>
    <xf numFmtId="173" fontId="4" fillId="0" borderId="26" xfId="0" applyNumberFormat="1" applyFont="1" applyBorder="1" applyAlignment="1">
      <alignment horizontal="center"/>
    </xf>
    <xf numFmtId="0" fontId="4" fillId="0" borderId="0" xfId="0" applyFont="1"/>
    <xf numFmtId="1" fontId="0" fillId="2" borderId="25" xfId="0" applyNumberFormat="1" applyFill="1" applyBorder="1" applyAlignment="1">
      <alignment horizontal="center" vertical="center"/>
    </xf>
    <xf numFmtId="164" fontId="0" fillId="2" borderId="0" xfId="4" applyFont="1" applyFill="1" applyAlignment="1">
      <alignment horizontal="center"/>
    </xf>
    <xf numFmtId="0" fontId="4" fillId="2" borderId="0" xfId="0" applyFont="1" applyFill="1"/>
    <xf numFmtId="0" fontId="4" fillId="2" borderId="44" xfId="0" applyFont="1" applyFill="1" applyBorder="1"/>
    <xf numFmtId="0" fontId="4" fillId="2" borderId="45" xfId="0" applyFont="1" applyFill="1" applyBorder="1"/>
    <xf numFmtId="177" fontId="4" fillId="2" borderId="0" xfId="0" applyNumberFormat="1" applyFont="1" applyFill="1" applyAlignment="1">
      <alignment horizontal="center"/>
    </xf>
    <xf numFmtId="0" fontId="4" fillId="2" borderId="46" xfId="0" applyFont="1" applyFill="1" applyBorder="1"/>
    <xf numFmtId="179" fontId="4" fillId="2" borderId="44" xfId="4" applyNumberFormat="1" applyFont="1" applyFill="1" applyBorder="1" applyAlignment="1">
      <alignment horizontal="center"/>
    </xf>
    <xf numFmtId="179" fontId="0" fillId="2" borderId="0" xfId="0" applyNumberFormat="1" applyFill="1"/>
    <xf numFmtId="179" fontId="4" fillId="2" borderId="0" xfId="0" applyNumberFormat="1" applyFont="1" applyFill="1" applyAlignment="1">
      <alignment horizontal="center"/>
    </xf>
    <xf numFmtId="179" fontId="4" fillId="2" borderId="0" xfId="4" applyNumberFormat="1" applyFont="1" applyFill="1" applyBorder="1" applyAlignment="1">
      <alignment horizontal="center"/>
    </xf>
    <xf numFmtId="179" fontId="0" fillId="2" borderId="0" xfId="4" applyNumberFormat="1" applyFont="1" applyFill="1" applyBorder="1" applyAlignment="1">
      <alignment horizontal="center"/>
    </xf>
    <xf numFmtId="179" fontId="0" fillId="2" borderId="46" xfId="4" applyNumberFormat="1" applyFont="1" applyFill="1" applyBorder="1" applyAlignment="1">
      <alignment horizontal="center"/>
    </xf>
    <xf numFmtId="179" fontId="0" fillId="2" borderId="0" xfId="4" applyNumberFormat="1" applyFont="1" applyFill="1" applyAlignment="1">
      <alignment horizontal="center"/>
    </xf>
    <xf numFmtId="179" fontId="4" fillId="2" borderId="45" xfId="4" applyNumberFormat="1" applyFont="1" applyFill="1" applyBorder="1" applyAlignment="1">
      <alignment horizontal="center"/>
    </xf>
    <xf numFmtId="179" fontId="4" fillId="2" borderId="0" xfId="0" applyNumberFormat="1" applyFont="1" applyFill="1"/>
    <xf numFmtId="0" fontId="4" fillId="2" borderId="0" xfId="0" applyFont="1" applyFill="1" applyAlignment="1">
      <alignment horizontal="center"/>
    </xf>
    <xf numFmtId="171" fontId="0" fillId="2" borderId="0" xfId="0" applyNumberFormat="1" applyFill="1"/>
    <xf numFmtId="0" fontId="0" fillId="16" borderId="0" xfId="0" applyFill="1"/>
    <xf numFmtId="0" fontId="0" fillId="16" borderId="22" xfId="0" applyFill="1" applyBorder="1"/>
    <xf numFmtId="179" fontId="0" fillId="16" borderId="22" xfId="0" applyNumberFormat="1" applyFill="1" applyBorder="1"/>
    <xf numFmtId="179" fontId="0" fillId="16" borderId="0" xfId="0" applyNumberFormat="1" applyFill="1"/>
    <xf numFmtId="0" fontId="23" fillId="16" borderId="1" xfId="0" applyFont="1" applyFill="1" applyBorder="1"/>
    <xf numFmtId="179" fontId="0" fillId="16" borderId="1" xfId="0" applyNumberFormat="1" applyFill="1" applyBorder="1"/>
    <xf numFmtId="2" fontId="0" fillId="16" borderId="1" xfId="0" applyNumberFormat="1" applyFill="1" applyBorder="1"/>
    <xf numFmtId="180" fontId="0" fillId="2" borderId="0" xfId="0" applyNumberFormat="1" applyFill="1" applyAlignment="1">
      <alignment horizontal="center"/>
    </xf>
    <xf numFmtId="4" fontId="0" fillId="2" borderId="25" xfId="0" applyNumberForma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167" fontId="0" fillId="2" borderId="0" xfId="0" applyNumberFormat="1" applyFill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right"/>
    </xf>
    <xf numFmtId="0" fontId="2" fillId="3" borderId="2" xfId="0" applyFont="1" applyFill="1" applyBorder="1" applyAlignment="1">
      <alignment horizontal="center"/>
    </xf>
    <xf numFmtId="167" fontId="0" fillId="0" borderId="13" xfId="0" applyNumberFormat="1" applyBorder="1"/>
    <xf numFmtId="173" fontId="21" fillId="0" borderId="25" xfId="0" applyNumberFormat="1" applyFont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2" fillId="3" borderId="8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5" borderId="11" xfId="0" applyFill="1" applyBorder="1" applyAlignment="1">
      <alignment horizontal="center"/>
    </xf>
    <xf numFmtId="0" fontId="27" fillId="12" borderId="47" xfId="0" applyFont="1" applyFill="1" applyBorder="1" applyAlignment="1">
      <alignment horizontal="center"/>
    </xf>
    <xf numFmtId="179" fontId="26" fillId="12" borderId="48" xfId="0" applyNumberFormat="1" applyFont="1" applyFill="1" applyBorder="1" applyAlignment="1">
      <alignment horizontal="center"/>
    </xf>
    <xf numFmtId="179" fontId="26" fillId="12" borderId="49" xfId="0" applyNumberFormat="1" applyFont="1" applyFill="1" applyBorder="1" applyAlignment="1">
      <alignment horizontal="center"/>
    </xf>
    <xf numFmtId="181" fontId="0" fillId="2" borderId="0" xfId="0" applyNumberFormat="1" applyFill="1" applyAlignment="1">
      <alignment horizontal="center" vertical="center"/>
    </xf>
    <xf numFmtId="0" fontId="0" fillId="14" borderId="11" xfId="0" applyFill="1" applyBorder="1" applyAlignment="1">
      <alignment horizontal="center"/>
    </xf>
    <xf numFmtId="17" fontId="0" fillId="14" borderId="14" xfId="0" applyNumberFormat="1" applyFill="1" applyBorder="1" applyAlignment="1">
      <alignment horizontal="center"/>
    </xf>
    <xf numFmtId="17" fontId="0" fillId="14" borderId="11" xfId="0" applyNumberFormat="1" applyFill="1" applyBorder="1" applyAlignment="1">
      <alignment horizontal="center"/>
    </xf>
    <xf numFmtId="0" fontId="0" fillId="5" borderId="13" xfId="0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0" fillId="0" borderId="38" xfId="0" applyBorder="1" applyAlignment="1">
      <alignment horizontal="center"/>
    </xf>
    <xf numFmtId="0" fontId="0" fillId="0" borderId="8" xfId="0" applyBorder="1" applyAlignment="1">
      <alignment horizontal="center"/>
    </xf>
    <xf numFmtId="17" fontId="29" fillId="6" borderId="0" xfId="0" applyNumberFormat="1" applyFont="1" applyFill="1" applyAlignment="1">
      <alignment vertical="center"/>
    </xf>
    <xf numFmtId="14" fontId="29" fillId="6" borderId="0" xfId="0" applyNumberFormat="1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/>
    <xf numFmtId="49" fontId="28" fillId="2" borderId="0" xfId="0" applyNumberFormat="1" applyFont="1" applyFill="1"/>
    <xf numFmtId="182" fontId="0" fillId="2" borderId="0" xfId="0" applyNumberFormat="1" applyFill="1" applyAlignment="1">
      <alignment horizontal="center" vertical="center"/>
    </xf>
    <xf numFmtId="17" fontId="29" fillId="6" borderId="0" xfId="0" applyNumberFormat="1" applyFont="1" applyFill="1" applyAlignment="1">
      <alignment horizontal="center" vertical="center"/>
    </xf>
    <xf numFmtId="49" fontId="30" fillId="6" borderId="0" xfId="0" applyNumberFormat="1" applyFont="1" applyFill="1" applyAlignment="1">
      <alignment horizontal="center" vertical="center"/>
    </xf>
    <xf numFmtId="49" fontId="30" fillId="19" borderId="50" xfId="0" applyNumberFormat="1" applyFont="1" applyFill="1" applyBorder="1" applyAlignment="1">
      <alignment horizontal="center"/>
    </xf>
    <xf numFmtId="49" fontId="30" fillId="19" borderId="51" xfId="0" applyNumberFormat="1" applyFont="1" applyFill="1" applyBorder="1" applyAlignment="1">
      <alignment horizontal="center"/>
    </xf>
    <xf numFmtId="0" fontId="30" fillId="19" borderId="52" xfId="0" applyFont="1" applyFill="1" applyBorder="1"/>
    <xf numFmtId="182" fontId="0" fillId="0" borderId="0" xfId="0" applyNumberFormat="1" applyAlignment="1">
      <alignment horizontal="center"/>
    </xf>
    <xf numFmtId="182" fontId="0" fillId="0" borderId="53" xfId="0" applyNumberFormat="1" applyBorder="1" applyAlignment="1">
      <alignment horizontal="center"/>
    </xf>
    <xf numFmtId="0" fontId="30" fillId="18" borderId="52" xfId="0" applyFont="1" applyFill="1" applyBorder="1"/>
    <xf numFmtId="0" fontId="30" fillId="18" borderId="54" xfId="0" applyFont="1" applyFill="1" applyBorder="1"/>
    <xf numFmtId="182" fontId="0" fillId="0" borderId="55" xfId="0" applyNumberFormat="1" applyBorder="1" applyAlignment="1">
      <alignment horizontal="center"/>
    </xf>
    <xf numFmtId="182" fontId="0" fillId="0" borderId="56" xfId="0" applyNumberFormat="1" applyBorder="1" applyAlignment="1">
      <alignment horizontal="center"/>
    </xf>
    <xf numFmtId="0" fontId="30" fillId="10" borderId="52" xfId="0" applyFont="1" applyFill="1" applyBorder="1"/>
    <xf numFmtId="0" fontId="30" fillId="10" borderId="54" xfId="0" applyFont="1" applyFill="1" applyBorder="1"/>
    <xf numFmtId="179" fontId="0" fillId="0" borderId="0" xfId="4" applyNumberFormat="1" applyFont="1"/>
    <xf numFmtId="179" fontId="0" fillId="0" borderId="0" xfId="0" applyNumberFormat="1"/>
    <xf numFmtId="179" fontId="0" fillId="0" borderId="13" xfId="4" applyNumberFormat="1" applyFont="1" applyBorder="1"/>
    <xf numFmtId="179" fontId="0" fillId="0" borderId="8" xfId="4" applyNumberFormat="1" applyFont="1" applyBorder="1"/>
    <xf numFmtId="179" fontId="0" fillId="0" borderId="38" xfId="4" applyNumberFormat="1" applyFont="1" applyBorder="1"/>
    <xf numFmtId="17" fontId="0" fillId="0" borderId="0" xfId="0" applyNumberFormat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0" fillId="14" borderId="0" xfId="0" applyFill="1" applyAlignment="1">
      <alignment horizontal="center"/>
    </xf>
    <xf numFmtId="4" fontId="0" fillId="2" borderId="0" xfId="0" applyNumberFormat="1" applyFill="1" applyAlignment="1">
      <alignment horizontal="center"/>
    </xf>
    <xf numFmtId="4" fontId="2" fillId="3" borderId="9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181" fontId="21" fillId="0" borderId="25" xfId="0" applyNumberFormat="1" applyFont="1" applyBorder="1" applyAlignment="1">
      <alignment horizontal="center" vertical="center"/>
    </xf>
    <xf numFmtId="0" fontId="0" fillId="42" borderId="0" xfId="0" applyFill="1" applyAlignment="1">
      <alignment horizontal="center"/>
    </xf>
    <xf numFmtId="0" fontId="0" fillId="0" borderId="15" xfId="0" applyBorder="1"/>
    <xf numFmtId="4" fontId="0" fillId="0" borderId="0" xfId="0" applyNumberFormat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5" borderId="12" xfId="0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43" borderId="66" xfId="0" applyFont="1" applyFill="1" applyBorder="1"/>
    <xf numFmtId="0" fontId="7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2" fillId="43" borderId="69" xfId="0" applyFont="1" applyFill="1" applyBorder="1"/>
    <xf numFmtId="0" fontId="2" fillId="43" borderId="70" xfId="0" applyFont="1" applyFill="1" applyBorder="1"/>
    <xf numFmtId="0" fontId="0" fillId="0" borderId="71" xfId="0" applyBorder="1"/>
    <xf numFmtId="0" fontId="0" fillId="0" borderId="1" xfId="0" applyBorder="1"/>
    <xf numFmtId="0" fontId="0" fillId="0" borderId="72" xfId="0" applyBorder="1"/>
    <xf numFmtId="164" fontId="9" fillId="0" borderId="0" xfId="4" applyFont="1" applyBorder="1" applyAlignment="1">
      <alignment horizontal="center" vertical="center"/>
    </xf>
    <xf numFmtId="0" fontId="9" fillId="0" borderId="73" xfId="0" applyFont="1" applyBorder="1" applyAlignment="1">
      <alignment horizontal="left" vertical="center"/>
    </xf>
    <xf numFmtId="0" fontId="9" fillId="0" borderId="74" xfId="0" applyFont="1" applyBorder="1" applyAlignment="1">
      <alignment horizontal="left" vertical="center"/>
    </xf>
    <xf numFmtId="164" fontId="9" fillId="0" borderId="75" xfId="4" applyFont="1" applyBorder="1" applyAlignment="1">
      <alignment horizontal="center" vertical="center"/>
    </xf>
    <xf numFmtId="0" fontId="9" fillId="0" borderId="76" xfId="0" applyFont="1" applyBorder="1" applyAlignment="1">
      <alignment horizontal="left" vertical="center"/>
    </xf>
    <xf numFmtId="164" fontId="9" fillId="0" borderId="77" xfId="4" applyFont="1" applyBorder="1" applyAlignment="1">
      <alignment horizontal="center" vertical="center"/>
    </xf>
    <xf numFmtId="164" fontId="9" fillId="0" borderId="78" xfId="4" applyFont="1" applyBorder="1" applyAlignment="1">
      <alignment horizontal="center" vertical="center"/>
    </xf>
    <xf numFmtId="0" fontId="9" fillId="0" borderId="31" xfId="0" applyFont="1" applyBorder="1" applyAlignment="1">
      <alignment horizontal="left" vertical="center"/>
    </xf>
    <xf numFmtId="164" fontId="9" fillId="0" borderId="45" xfId="4" applyFont="1" applyBorder="1" applyAlignment="1">
      <alignment horizontal="center" vertical="center"/>
    </xf>
    <xf numFmtId="164" fontId="9" fillId="0" borderId="34" xfId="4" applyFont="1" applyBorder="1" applyAlignment="1">
      <alignment horizontal="center" vertical="center"/>
    </xf>
    <xf numFmtId="164" fontId="9" fillId="0" borderId="67" xfId="4" applyFont="1" applyBorder="1" applyAlignment="1">
      <alignment horizontal="center" vertical="center"/>
    </xf>
    <xf numFmtId="164" fontId="9" fillId="0" borderId="79" xfId="4" applyFont="1" applyBorder="1" applyAlignment="1">
      <alignment horizontal="center" vertical="center"/>
    </xf>
    <xf numFmtId="0" fontId="15" fillId="44" borderId="31" xfId="0" applyFont="1" applyFill="1" applyBorder="1" applyAlignment="1">
      <alignment horizontal="left" vertical="center"/>
    </xf>
    <xf numFmtId="17" fontId="7" fillId="45" borderId="45" xfId="0" applyNumberFormat="1" applyFont="1" applyFill="1" applyBorder="1" applyAlignment="1">
      <alignment horizontal="center" vertical="center"/>
    </xf>
    <xf numFmtId="17" fontId="7" fillId="45" borderId="34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7" fillId="45" borderId="16" xfId="0" applyFont="1" applyFill="1" applyBorder="1" applyAlignment="1">
      <alignment horizontal="center" vertical="center"/>
    </xf>
    <xf numFmtId="0" fontId="7" fillId="45" borderId="26" xfId="0" applyFont="1" applyFill="1" applyBorder="1" applyAlignment="1">
      <alignment horizontal="center" vertical="center"/>
    </xf>
    <xf numFmtId="0" fontId="2" fillId="43" borderId="0" xfId="0" applyFont="1" applyFill="1"/>
    <xf numFmtId="0" fontId="2" fillId="43" borderId="15" xfId="0" applyFont="1" applyFill="1" applyBorder="1"/>
    <xf numFmtId="0" fontId="2" fillId="43" borderId="20" xfId="0" applyFont="1" applyFill="1" applyBorder="1"/>
    <xf numFmtId="164" fontId="9" fillId="0" borderId="20" xfId="4" applyFont="1" applyBorder="1" applyAlignment="1">
      <alignment horizontal="center" vertical="center"/>
    </xf>
    <xf numFmtId="0" fontId="0" fillId="0" borderId="80" xfId="0" applyBorder="1"/>
    <xf numFmtId="164" fontId="9" fillId="0" borderId="82" xfId="4" applyFont="1" applyBorder="1" applyAlignment="1">
      <alignment horizontal="center" vertical="center"/>
    </xf>
    <xf numFmtId="164" fontId="9" fillId="0" borderId="81" xfId="4" applyFont="1" applyBorder="1" applyAlignment="1">
      <alignment horizontal="center" vertical="center"/>
    </xf>
    <xf numFmtId="164" fontId="9" fillId="0" borderId="19" xfId="4" applyFont="1" applyBorder="1"/>
    <xf numFmtId="164" fontId="9" fillId="0" borderId="83" xfId="4" applyFont="1" applyBorder="1"/>
    <xf numFmtId="164" fontId="9" fillId="0" borderId="26" xfId="4" applyFont="1" applyBorder="1"/>
    <xf numFmtId="164" fontId="9" fillId="0" borderId="18" xfId="4" applyFont="1" applyBorder="1"/>
    <xf numFmtId="164" fontId="9" fillId="0" borderId="45" xfId="4" applyFont="1" applyBorder="1"/>
    <xf numFmtId="164" fontId="9" fillId="0" borderId="16" xfId="4" applyFont="1" applyBorder="1"/>
    <xf numFmtId="165" fontId="0" fillId="0" borderId="0" xfId="5" applyFont="1" applyFill="1"/>
    <xf numFmtId="0" fontId="26" fillId="0" borderId="11" xfId="0" applyFont="1" applyBorder="1"/>
    <xf numFmtId="0" fontId="26" fillId="0" borderId="0" xfId="0" applyFont="1" applyAlignment="1">
      <alignment horizontal="center"/>
    </xf>
    <xf numFmtId="14" fontId="26" fillId="0" borderId="13" xfId="0" applyNumberFormat="1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78" fontId="26" fillId="0" borderId="14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0" fontId="26" fillId="0" borderId="13" xfId="0" applyFont="1" applyBorder="1" applyAlignment="1">
      <alignment horizontal="left"/>
    </xf>
    <xf numFmtId="17" fontId="26" fillId="0" borderId="14" xfId="0" applyNumberFormat="1" applyFont="1" applyBorder="1" applyAlignment="1">
      <alignment horizontal="center"/>
    </xf>
    <xf numFmtId="17" fontId="26" fillId="0" borderId="11" xfId="0" applyNumberFormat="1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4" fontId="26" fillId="0" borderId="0" xfId="0" applyNumberFormat="1" applyFont="1" applyAlignment="1">
      <alignment horizontal="center"/>
    </xf>
    <xf numFmtId="0" fontId="26" fillId="0" borderId="13" xfId="0" applyFont="1" applyBorder="1"/>
    <xf numFmtId="14" fontId="26" fillId="0" borderId="0" xfId="0" applyNumberFormat="1" applyFont="1" applyAlignment="1">
      <alignment horizontal="center"/>
    </xf>
    <xf numFmtId="14" fontId="26" fillId="0" borderId="11" xfId="0" applyNumberFormat="1" applyFont="1" applyBorder="1" applyAlignment="1">
      <alignment horizontal="center"/>
    </xf>
    <xf numFmtId="0" fontId="26" fillId="0" borderId="0" xfId="0" applyFont="1"/>
    <xf numFmtId="0" fontId="26" fillId="0" borderId="14" xfId="0" applyFont="1" applyBorder="1"/>
    <xf numFmtId="167" fontId="26" fillId="0" borderId="14" xfId="0" applyNumberFormat="1" applyFont="1" applyBorder="1"/>
    <xf numFmtId="0" fontId="26" fillId="0" borderId="15" xfId="0" applyFont="1" applyBorder="1"/>
    <xf numFmtId="167" fontId="26" fillId="0" borderId="13" xfId="0" applyNumberFormat="1" applyFont="1" applyBorder="1"/>
    <xf numFmtId="0" fontId="26" fillId="0" borderId="19" xfId="0" applyFont="1" applyBorder="1"/>
    <xf numFmtId="4" fontId="26" fillId="0" borderId="0" xfId="0" applyNumberFormat="1" applyFont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179" fontId="26" fillId="0" borderId="0" xfId="0" applyNumberFormat="1" applyFont="1"/>
    <xf numFmtId="179" fontId="26" fillId="0" borderId="0" xfId="4" applyNumberFormat="1" applyFont="1" applyFill="1"/>
    <xf numFmtId="0" fontId="26" fillId="0" borderId="12" xfId="0" applyFont="1" applyBorder="1" applyAlignment="1">
      <alignment horizontal="center"/>
    </xf>
    <xf numFmtId="165" fontId="26" fillId="0" borderId="0" xfId="5" applyFont="1" applyFill="1"/>
    <xf numFmtId="0" fontId="0" fillId="46" borderId="12" xfId="0" applyFill="1" applyBorder="1" applyAlignment="1">
      <alignment horizontal="center"/>
    </xf>
    <xf numFmtId="14" fontId="0" fillId="46" borderId="13" xfId="0" applyNumberFormat="1" applyFill="1" applyBorder="1" applyAlignment="1">
      <alignment horizontal="center"/>
    </xf>
    <xf numFmtId="0" fontId="0" fillId="46" borderId="14" xfId="0" applyFill="1" applyBorder="1" applyAlignment="1">
      <alignment horizontal="center"/>
    </xf>
    <xf numFmtId="0" fontId="0" fillId="46" borderId="13" xfId="0" applyFill="1" applyBorder="1" applyAlignment="1">
      <alignment horizontal="center"/>
    </xf>
    <xf numFmtId="0" fontId="0" fillId="46" borderId="13" xfId="0" applyFill="1" applyBorder="1" applyAlignment="1">
      <alignment horizontal="left"/>
    </xf>
    <xf numFmtId="0" fontId="0" fillId="46" borderId="0" xfId="0" applyFill="1" applyAlignment="1">
      <alignment horizontal="center"/>
    </xf>
    <xf numFmtId="17" fontId="0" fillId="46" borderId="14" xfId="0" applyNumberFormat="1" applyFill="1" applyBorder="1" applyAlignment="1">
      <alignment horizontal="center"/>
    </xf>
    <xf numFmtId="17" fontId="0" fillId="46" borderId="11" xfId="0" applyNumberFormat="1" applyFill="1" applyBorder="1" applyAlignment="1">
      <alignment horizontal="center"/>
    </xf>
    <xf numFmtId="0" fontId="0" fillId="46" borderId="11" xfId="0" applyFill="1" applyBorder="1" applyAlignment="1">
      <alignment horizontal="center"/>
    </xf>
    <xf numFmtId="0" fontId="0" fillId="46" borderId="13" xfId="0" applyFill="1" applyBorder="1"/>
    <xf numFmtId="14" fontId="0" fillId="46" borderId="0" xfId="0" applyNumberFormat="1" applyFill="1" applyAlignment="1">
      <alignment horizontal="center"/>
    </xf>
    <xf numFmtId="14" fontId="0" fillId="46" borderId="11" xfId="0" applyNumberFormat="1" applyFill="1" applyBorder="1" applyAlignment="1">
      <alignment horizontal="center"/>
    </xf>
    <xf numFmtId="0" fontId="0" fillId="46" borderId="0" xfId="0" applyFill="1"/>
    <xf numFmtId="167" fontId="0" fillId="46" borderId="14" xfId="0" applyNumberFormat="1" applyFill="1" applyBorder="1"/>
    <xf numFmtId="0" fontId="0" fillId="46" borderId="15" xfId="0" applyFill="1" applyBorder="1"/>
    <xf numFmtId="167" fontId="0" fillId="46" borderId="13" xfId="0" applyNumberFormat="1" applyFill="1" applyBorder="1"/>
    <xf numFmtId="0" fontId="0" fillId="46" borderId="19" xfId="0" applyFill="1" applyBorder="1"/>
    <xf numFmtId="0" fontId="0" fillId="5" borderId="14" xfId="0" applyFill="1" applyBorder="1" applyAlignment="1">
      <alignment horizontal="center"/>
    </xf>
    <xf numFmtId="0" fontId="15" fillId="10" borderId="16" xfId="0" applyFont="1" applyFill="1" applyBorder="1" applyAlignment="1">
      <alignment horizontal="center" vertical="center" wrapText="1"/>
    </xf>
    <xf numFmtId="0" fontId="15" fillId="10" borderId="19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/>
    </xf>
    <xf numFmtId="0" fontId="15" fillId="10" borderId="16" xfId="0" applyFont="1" applyFill="1" applyBorder="1" applyAlignment="1">
      <alignment horizontal="center" vertical="center"/>
    </xf>
    <xf numFmtId="0" fontId="15" fillId="10" borderId="19" xfId="0" applyFont="1" applyFill="1" applyBorder="1" applyAlignment="1">
      <alignment horizontal="center" vertical="center"/>
    </xf>
    <xf numFmtId="0" fontId="15" fillId="10" borderId="18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3" borderId="42" xfId="0" applyFont="1" applyFill="1" applyBorder="1" applyAlignment="1">
      <alignment horizontal="center"/>
    </xf>
    <xf numFmtId="0" fontId="2" fillId="3" borderId="43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7" xfId="0" applyBorder="1" applyAlignment="1">
      <alignment horizontal="center"/>
    </xf>
  </cellXfs>
  <cellStyles count="123">
    <cellStyle name="20% - Accent1" xfId="11" xr:uid="{00000000-0005-0000-0000-000000000000}"/>
    <cellStyle name="20% - Accent2" xfId="12" xr:uid="{00000000-0005-0000-0000-000001000000}"/>
    <cellStyle name="20% - Accent3" xfId="13" xr:uid="{00000000-0005-0000-0000-000002000000}"/>
    <cellStyle name="20% - Accent4" xfId="14" xr:uid="{00000000-0005-0000-0000-000003000000}"/>
    <cellStyle name="20% - Accent5" xfId="15" xr:uid="{00000000-0005-0000-0000-000004000000}"/>
    <cellStyle name="20% - Accent6" xfId="16" xr:uid="{00000000-0005-0000-0000-000005000000}"/>
    <cellStyle name="20% - Ênfase1" xfId="91" xr:uid="{00000000-0005-0000-0000-000006000000}"/>
    <cellStyle name="20% - Ênfase1 2" xfId="17" xr:uid="{00000000-0005-0000-0000-000007000000}"/>
    <cellStyle name="20% - Ênfase2" xfId="92" xr:uid="{00000000-0005-0000-0000-000008000000}"/>
    <cellStyle name="20% - Ênfase2 2" xfId="18" xr:uid="{00000000-0005-0000-0000-000009000000}"/>
    <cellStyle name="20% - Ênfase3" xfId="93" xr:uid="{00000000-0005-0000-0000-00000A000000}"/>
    <cellStyle name="20% - Ênfase3 2" xfId="19" xr:uid="{00000000-0005-0000-0000-00000B000000}"/>
    <cellStyle name="20% - Ênfase4" xfId="94" xr:uid="{00000000-0005-0000-0000-00000C000000}"/>
    <cellStyle name="20% - Ênfase4 2" xfId="20" xr:uid="{00000000-0005-0000-0000-00000D000000}"/>
    <cellStyle name="20% - Ênfase5" xfId="95" xr:uid="{00000000-0005-0000-0000-00000E000000}"/>
    <cellStyle name="20% - Ênfase5 2" xfId="21" xr:uid="{00000000-0005-0000-0000-00000F000000}"/>
    <cellStyle name="20% - Ênfase6" xfId="96" xr:uid="{00000000-0005-0000-0000-000010000000}"/>
    <cellStyle name="20% - Ênfase6 2" xfId="22" xr:uid="{00000000-0005-0000-0000-000011000000}"/>
    <cellStyle name="40% - Accent1" xfId="23" xr:uid="{00000000-0005-0000-0000-000012000000}"/>
    <cellStyle name="40% - Accent2" xfId="24" xr:uid="{00000000-0005-0000-0000-000013000000}"/>
    <cellStyle name="40% - Accent3" xfId="25" xr:uid="{00000000-0005-0000-0000-000014000000}"/>
    <cellStyle name="40% - Accent4" xfId="26" xr:uid="{00000000-0005-0000-0000-000015000000}"/>
    <cellStyle name="40% - Accent5" xfId="27" xr:uid="{00000000-0005-0000-0000-000016000000}"/>
    <cellStyle name="40% - Accent6" xfId="28" xr:uid="{00000000-0005-0000-0000-000017000000}"/>
    <cellStyle name="40% - Ênfase1" xfId="97" xr:uid="{00000000-0005-0000-0000-000018000000}"/>
    <cellStyle name="40% - Ênfase1 2" xfId="29" xr:uid="{00000000-0005-0000-0000-000019000000}"/>
    <cellStyle name="40% - Ênfase2" xfId="98" xr:uid="{00000000-0005-0000-0000-00001A000000}"/>
    <cellStyle name="40% - Ênfase2 2" xfId="30" xr:uid="{00000000-0005-0000-0000-00001B000000}"/>
    <cellStyle name="40% - Ênfase3" xfId="99" xr:uid="{00000000-0005-0000-0000-00001C000000}"/>
    <cellStyle name="40% - Ênfase3 2" xfId="31" xr:uid="{00000000-0005-0000-0000-00001D000000}"/>
    <cellStyle name="40% - Ênfase4" xfId="100" xr:uid="{00000000-0005-0000-0000-00001E000000}"/>
    <cellStyle name="40% - Ênfase4 2" xfId="32" xr:uid="{00000000-0005-0000-0000-00001F000000}"/>
    <cellStyle name="40% - Ênfase5" xfId="101" xr:uid="{00000000-0005-0000-0000-000020000000}"/>
    <cellStyle name="40% - Ênfase5 2" xfId="33" xr:uid="{00000000-0005-0000-0000-000021000000}"/>
    <cellStyle name="40% - Ênfase6" xfId="102" xr:uid="{00000000-0005-0000-0000-000022000000}"/>
    <cellStyle name="40% - Ênfase6 2" xfId="34" xr:uid="{00000000-0005-0000-0000-000023000000}"/>
    <cellStyle name="60% - Accent1" xfId="35" xr:uid="{00000000-0005-0000-0000-000024000000}"/>
    <cellStyle name="60% - Accent2" xfId="36" xr:uid="{00000000-0005-0000-0000-000025000000}"/>
    <cellStyle name="60% - Accent3" xfId="37" xr:uid="{00000000-0005-0000-0000-000026000000}"/>
    <cellStyle name="60% - Accent4" xfId="38" xr:uid="{00000000-0005-0000-0000-000027000000}"/>
    <cellStyle name="60% - Accent5" xfId="39" xr:uid="{00000000-0005-0000-0000-000028000000}"/>
    <cellStyle name="60% - Accent6" xfId="40" xr:uid="{00000000-0005-0000-0000-000029000000}"/>
    <cellStyle name="60% - Ênfase1" xfId="103" xr:uid="{00000000-0005-0000-0000-00002A000000}"/>
    <cellStyle name="60% - Ênfase1 2" xfId="41" xr:uid="{00000000-0005-0000-0000-00002B000000}"/>
    <cellStyle name="60% - Ênfase2" xfId="104" xr:uid="{00000000-0005-0000-0000-00002C000000}"/>
    <cellStyle name="60% - Ênfase2 2" xfId="42" xr:uid="{00000000-0005-0000-0000-00002D000000}"/>
    <cellStyle name="60% - Ênfase3" xfId="105" xr:uid="{00000000-0005-0000-0000-00002E000000}"/>
    <cellStyle name="60% - Ênfase3 2" xfId="43" xr:uid="{00000000-0005-0000-0000-00002F000000}"/>
    <cellStyle name="60% - Ênfase4" xfId="106" xr:uid="{00000000-0005-0000-0000-000030000000}"/>
    <cellStyle name="60% - Ênfase4 2" xfId="44" xr:uid="{00000000-0005-0000-0000-000031000000}"/>
    <cellStyle name="60% - Ênfase5" xfId="107" xr:uid="{00000000-0005-0000-0000-000032000000}"/>
    <cellStyle name="60% - Ênfase5 2" xfId="45" xr:uid="{00000000-0005-0000-0000-000033000000}"/>
    <cellStyle name="60% - Ênfase6" xfId="108" xr:uid="{00000000-0005-0000-0000-000034000000}"/>
    <cellStyle name="60% - Ênfase6 2" xfId="46" xr:uid="{00000000-0005-0000-0000-000035000000}"/>
    <cellStyle name="Accent1" xfId="47" xr:uid="{00000000-0005-0000-0000-000036000000}"/>
    <cellStyle name="Accent2" xfId="48" xr:uid="{00000000-0005-0000-0000-000037000000}"/>
    <cellStyle name="Accent3" xfId="49" xr:uid="{00000000-0005-0000-0000-000038000000}"/>
    <cellStyle name="Accent4" xfId="50" xr:uid="{00000000-0005-0000-0000-000039000000}"/>
    <cellStyle name="Accent5" xfId="51" xr:uid="{00000000-0005-0000-0000-00003A000000}"/>
    <cellStyle name="Accent6" xfId="52" xr:uid="{00000000-0005-0000-0000-00003B000000}"/>
    <cellStyle name="Bad" xfId="53" xr:uid="{00000000-0005-0000-0000-00003C000000}"/>
    <cellStyle name="Bom 2" xfId="54" xr:uid="{00000000-0005-0000-0000-00003D000000}"/>
    <cellStyle name="Calculation" xfId="55" xr:uid="{00000000-0005-0000-0000-00003E000000}"/>
    <cellStyle name="Cálculo" xfId="109" xr:uid="{00000000-0005-0000-0000-00003F000000}"/>
    <cellStyle name="Cálculo 2" xfId="56" xr:uid="{00000000-0005-0000-0000-000040000000}"/>
    <cellStyle name="Célula de Verificação 2" xfId="57" xr:uid="{00000000-0005-0000-0000-000041000000}"/>
    <cellStyle name="Célula Vinculada 2" xfId="58" xr:uid="{00000000-0005-0000-0000-000042000000}"/>
    <cellStyle name="Check Cell" xfId="59" xr:uid="{00000000-0005-0000-0000-000043000000}"/>
    <cellStyle name="Comma 2" xfId="1" xr:uid="{00000000-0005-0000-0000-000045000000}"/>
    <cellStyle name="Comma 2 2" xfId="6" xr:uid="{00000000-0005-0000-0000-000046000000}"/>
    <cellStyle name="Comma 3" xfId="8" xr:uid="{00000000-0005-0000-0000-000047000000}"/>
    <cellStyle name="Currency 2" xfId="2" xr:uid="{00000000-0005-0000-0000-000048000000}"/>
    <cellStyle name="Currency 2 2" xfId="5" xr:uid="{00000000-0005-0000-0000-000049000000}"/>
    <cellStyle name="Currency 2 3" xfId="7" xr:uid="{00000000-0005-0000-0000-00004A000000}"/>
    <cellStyle name="Currency 3" xfId="9" xr:uid="{00000000-0005-0000-0000-00004B000000}"/>
    <cellStyle name="Ênfase1" xfId="110" xr:uid="{00000000-0005-0000-0000-00004C000000}"/>
    <cellStyle name="Ênfase1 2" xfId="60" xr:uid="{00000000-0005-0000-0000-00004D000000}"/>
    <cellStyle name="Ênfase2" xfId="111" xr:uid="{00000000-0005-0000-0000-00004E000000}"/>
    <cellStyle name="Ênfase2 2" xfId="61" xr:uid="{00000000-0005-0000-0000-00004F000000}"/>
    <cellStyle name="Ênfase3" xfId="112" xr:uid="{00000000-0005-0000-0000-000050000000}"/>
    <cellStyle name="Ênfase3 2" xfId="62" xr:uid="{00000000-0005-0000-0000-000051000000}"/>
    <cellStyle name="Ênfase4" xfId="113" xr:uid="{00000000-0005-0000-0000-000052000000}"/>
    <cellStyle name="Ênfase4 2" xfId="63" xr:uid="{00000000-0005-0000-0000-000053000000}"/>
    <cellStyle name="Ênfase5" xfId="114" xr:uid="{00000000-0005-0000-0000-000054000000}"/>
    <cellStyle name="Ênfase5 2" xfId="64" xr:uid="{00000000-0005-0000-0000-000055000000}"/>
    <cellStyle name="Ênfase6" xfId="115" xr:uid="{00000000-0005-0000-0000-000056000000}"/>
    <cellStyle name="Ênfase6 2" xfId="65" xr:uid="{00000000-0005-0000-0000-000057000000}"/>
    <cellStyle name="Entrada 2" xfId="66" xr:uid="{00000000-0005-0000-0000-000058000000}"/>
    <cellStyle name="Explanatory Text" xfId="67" xr:uid="{00000000-0005-0000-0000-000059000000}"/>
    <cellStyle name="Good" xfId="68" xr:uid="{00000000-0005-0000-0000-00005A000000}"/>
    <cellStyle name="Heading 1" xfId="69" xr:uid="{00000000-0005-0000-0000-00005B000000}"/>
    <cellStyle name="Heading 2" xfId="70" xr:uid="{00000000-0005-0000-0000-00005C000000}"/>
    <cellStyle name="Heading 3" xfId="71" xr:uid="{00000000-0005-0000-0000-00005D000000}"/>
    <cellStyle name="Heading 4" xfId="72" xr:uid="{00000000-0005-0000-0000-00005E000000}"/>
    <cellStyle name="Input" xfId="73" xr:uid="{00000000-0005-0000-0000-00005F000000}"/>
    <cellStyle name="Linked Cell" xfId="74" xr:uid="{00000000-0005-0000-0000-000060000000}"/>
    <cellStyle name="Neutral" xfId="75" xr:uid="{00000000-0005-0000-0000-000061000000}"/>
    <cellStyle name="Normal" xfId="0" builtinId="0"/>
    <cellStyle name="Normal 2" xfId="3" xr:uid="{00000000-0005-0000-0000-000063000000}"/>
    <cellStyle name="Normal 2 2" xfId="76" xr:uid="{00000000-0005-0000-0000-000064000000}"/>
    <cellStyle name="Normal 3" xfId="10" xr:uid="{00000000-0005-0000-0000-000065000000}"/>
    <cellStyle name="Nota 2" xfId="77" xr:uid="{00000000-0005-0000-0000-000066000000}"/>
    <cellStyle name="Note" xfId="78" xr:uid="{00000000-0005-0000-0000-000067000000}"/>
    <cellStyle name="Output" xfId="79" xr:uid="{00000000-0005-0000-0000-000068000000}"/>
    <cellStyle name="Saída" xfId="116" xr:uid="{00000000-0005-0000-0000-000069000000}"/>
    <cellStyle name="Saída 2" xfId="80" xr:uid="{00000000-0005-0000-0000-00006A000000}"/>
    <cellStyle name="Texto de Aviso 2" xfId="81" xr:uid="{00000000-0005-0000-0000-00006B000000}"/>
    <cellStyle name="Texto Explicativo" xfId="117" xr:uid="{00000000-0005-0000-0000-00006C000000}"/>
    <cellStyle name="Texto Explicativo 2" xfId="82" xr:uid="{00000000-0005-0000-0000-00006D000000}"/>
    <cellStyle name="Title" xfId="83" xr:uid="{00000000-0005-0000-0000-00006E000000}"/>
    <cellStyle name="Título" xfId="118" xr:uid="{00000000-0005-0000-0000-00006F000000}"/>
    <cellStyle name="Título 1" xfId="119" xr:uid="{00000000-0005-0000-0000-000070000000}"/>
    <cellStyle name="Título 1 2" xfId="85" xr:uid="{00000000-0005-0000-0000-000071000000}"/>
    <cellStyle name="Título 2" xfId="120" xr:uid="{00000000-0005-0000-0000-000072000000}"/>
    <cellStyle name="Título 2 2" xfId="86" xr:uid="{00000000-0005-0000-0000-000073000000}"/>
    <cellStyle name="Título 3" xfId="121" xr:uid="{00000000-0005-0000-0000-000074000000}"/>
    <cellStyle name="Título 3 2" xfId="87" xr:uid="{00000000-0005-0000-0000-000075000000}"/>
    <cellStyle name="Título 4" xfId="122" xr:uid="{00000000-0005-0000-0000-000076000000}"/>
    <cellStyle name="Título 4 2" xfId="88" xr:uid="{00000000-0005-0000-0000-000077000000}"/>
    <cellStyle name="Título 5" xfId="84" xr:uid="{00000000-0005-0000-0000-000078000000}"/>
    <cellStyle name="Total 2" xfId="89" xr:uid="{00000000-0005-0000-0000-000079000000}"/>
    <cellStyle name="Vírgula" xfId="4" builtinId="3"/>
    <cellStyle name="Warning Text" xfId="90" xr:uid="{00000000-0005-0000-0000-00007A000000}"/>
  </cellStyles>
  <dxfs count="19"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3" formatCode="m/d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E49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RESULTADO 2018 (R$ MM) - CENÁRIOS</a:t>
            </a:r>
            <a:r>
              <a:rPr lang="pt-BR" baseline="0"/>
              <a:t> ENA</a:t>
            </a:r>
            <a:endParaRPr lang="pt-BR"/>
          </a:p>
        </c:rich>
      </c:tx>
      <c:layout>
        <c:manualLayout>
          <c:xMode val="edge"/>
          <c:yMode val="edge"/>
          <c:x val="0.29065900773254905"/>
          <c:y val="1.721771852931329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3658742465090002E-2"/>
          <c:y val="0.11911134024332994"/>
          <c:w val="0.91053194469042076"/>
          <c:h val="0.68759091407365258"/>
        </c:manualLayout>
      </c:layout>
      <c:barChart>
        <c:barDir val="col"/>
        <c:grouping val="clustered"/>
        <c:varyColors val="0"/>
        <c:ser>
          <c:idx val="3"/>
          <c:order val="3"/>
          <c:tx>
            <c:v>BASE MENSAL</c:v>
          </c:tx>
          <c:spPr>
            <a:solidFill>
              <a:schemeClr val="tx2"/>
            </a:solidFill>
            <a:ln>
              <a:solidFill>
                <a:sysClr val="windowText" lastClr="00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A5C-4010-A0DE-083C1B29EDF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A5C-4010-A0DE-083C1B29EDF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A5C-4010-A0DE-083C1B29EDF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A5C-4010-A0DE-083C1B29EDF7}"/>
              </c:ext>
            </c:extLst>
          </c:dPt>
          <c:cat>
            <c:strRef>
              <c:f>'POSIÇÕES (2023)'!$Z$18:$AK$18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(2023)'!$Z$28:$AK$28</c:f>
              <c:numCache>
                <c:formatCode>#,##0.0_ ;[Red]\-#,##0.0\ </c:formatCode>
                <c:ptCount val="12"/>
                <c:pt idx="0">
                  <c:v>-13.666667000000004</c:v>
                </c:pt>
                <c:pt idx="1">
                  <c:v>-2.8666670000000067</c:v>
                </c:pt>
                <c:pt idx="2">
                  <c:v>-0.1666670000000039</c:v>
                </c:pt>
                <c:pt idx="3">
                  <c:v>-15.420000000000002</c:v>
                </c:pt>
                <c:pt idx="4">
                  <c:v>-34.64</c:v>
                </c:pt>
                <c:pt idx="5">
                  <c:v>-35</c:v>
                </c:pt>
                <c:pt idx="6">
                  <c:v>-31.5</c:v>
                </c:pt>
                <c:pt idx="7" formatCode="#,##0.00_ ;[Red]\-#,##0.00\ ">
                  <c:v>-26.5</c:v>
                </c:pt>
                <c:pt idx="8">
                  <c:v>-26.5</c:v>
                </c:pt>
                <c:pt idx="9">
                  <c:v>-14.809999999999999</c:v>
                </c:pt>
                <c:pt idx="10">
                  <c:v>-16</c:v>
                </c:pt>
                <c:pt idx="11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5C-4010-A0DE-083C1B29E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779728"/>
        <c:axId val="559778048"/>
      </c:barChart>
      <c:lineChart>
        <c:grouping val="standard"/>
        <c:varyColors val="0"/>
        <c:ser>
          <c:idx val="0"/>
          <c:order val="0"/>
          <c:tx>
            <c:v>ENA BASE</c:v>
          </c:tx>
          <c:marker>
            <c:symbol val="none"/>
          </c:marker>
          <c:cat>
            <c:strRef>
              <c:f>'POSIÇÕES (2023)'!$Z$18:$AK$18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(2020)'!#REF!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5C-4010-A0DE-083C1B29EDF7}"/>
            </c:ext>
          </c:extLst>
        </c:ser>
        <c:ser>
          <c:idx val="1"/>
          <c:order val="1"/>
          <c:tx>
            <c:v>ENA OTIMISTA</c:v>
          </c:tx>
          <c:marker>
            <c:symbol val="none"/>
          </c:marker>
          <c:cat>
            <c:strRef>
              <c:f>'POSIÇÕES (2023)'!$Z$18:$AK$18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(2020)'!#REF!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5C-4010-A0DE-083C1B29EDF7}"/>
            </c:ext>
          </c:extLst>
        </c:ser>
        <c:ser>
          <c:idx val="2"/>
          <c:order val="2"/>
          <c:tx>
            <c:v>ENA PESSIMISTA</c:v>
          </c:tx>
          <c:marker>
            <c:symbol val="none"/>
          </c:marker>
          <c:cat>
            <c:strRef>
              <c:f>'POSIÇÕES (2023)'!$Z$18:$AK$18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(2020)'!#REF!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A5C-4010-A0DE-083C1B29E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779728"/>
        <c:axId val="559778048"/>
      </c:lineChart>
      <c:catAx>
        <c:axId val="5597797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59778048"/>
        <c:crossesAt val="0"/>
        <c:auto val="1"/>
        <c:lblAlgn val="ctr"/>
        <c:lblOffset val="100"/>
        <c:noMultiLvlLbl val="0"/>
      </c:catAx>
      <c:valAx>
        <c:axId val="559778048"/>
        <c:scaling>
          <c:orientation val="minMax"/>
          <c:max val="3000"/>
          <c:min val="-5000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_ ;[Red]\-#,##0\ " sourceLinked="0"/>
        <c:majorTickMark val="none"/>
        <c:minorTickMark val="cross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 algn="ctr">
              <a:defRPr sz="1400"/>
            </a:pPr>
            <a:endParaRPr lang="en-US"/>
          </a:p>
        </c:txPr>
        <c:crossAx val="559779728"/>
        <c:crosses val="autoZero"/>
        <c:crossBetween val="between"/>
        <c:majorUnit val="1000"/>
        <c:minorUnit val="500"/>
        <c:dispUnits>
          <c:builtInUnit val="thousands"/>
        </c:dispUnits>
      </c:valAx>
      <c:spPr>
        <a:solidFill>
          <a:sysClr val="window" lastClr="FFFFFF"/>
        </a:solidFill>
        <a:ln w="12700"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17653882865828746"/>
          <c:y val="0.91293403194755962"/>
          <c:w val="0.66990235715670676"/>
          <c:h val="8.4932802039038816E-2"/>
        </c:manualLayout>
      </c:layout>
      <c:overlay val="0"/>
      <c:spPr>
        <a:noFill/>
        <a:ln>
          <a:solidFill>
            <a:schemeClr val="bg1"/>
          </a:solidFill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 algn="ctr">
        <a:defRPr lang="pt-BR" sz="12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'POSIÇÕES (2023)'!$Y$28</c:f>
          <c:strCache>
            <c:ptCount val="1"/>
            <c:pt idx="0">
              <c:v>ENERGIA (MWm)  - Total</c:v>
            </c:pt>
          </c:strCache>
        </c:strRef>
      </c:tx>
      <c:layout>
        <c:manualLayout>
          <c:xMode val="edge"/>
          <c:yMode val="edge"/>
          <c:x val="0.32866215727227482"/>
          <c:y val="1.6433088442879527E-2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521845483600269E-2"/>
          <c:y val="0.11803412716843079"/>
          <c:w val="0.84963569262378713"/>
          <c:h val="0.697663767449028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'POSIÇÕES (2023)'!$Y$28</c:f>
              <c:strCache>
                <c:ptCount val="1"/>
                <c:pt idx="0">
                  <c:v>ENERGIA (MWm)  - Total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'POSIÇÕES (2023)'!$Z$18:$AK$18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(2023)'!$Z$28:$AK$28</c:f>
              <c:numCache>
                <c:formatCode>#,##0.0_ ;[Red]\-#,##0.0\ </c:formatCode>
                <c:ptCount val="12"/>
                <c:pt idx="0">
                  <c:v>-13.666667000000004</c:v>
                </c:pt>
                <c:pt idx="1">
                  <c:v>-2.8666670000000067</c:v>
                </c:pt>
                <c:pt idx="2">
                  <c:v>-0.1666670000000039</c:v>
                </c:pt>
                <c:pt idx="3">
                  <c:v>-15.420000000000002</c:v>
                </c:pt>
                <c:pt idx="4">
                  <c:v>-34.64</c:v>
                </c:pt>
                <c:pt idx="5">
                  <c:v>-35</c:v>
                </c:pt>
                <c:pt idx="6">
                  <c:v>-31.5</c:v>
                </c:pt>
                <c:pt idx="7" formatCode="#,##0.00_ ;[Red]\-#,##0.00\ ">
                  <c:v>-26.5</c:v>
                </c:pt>
                <c:pt idx="8">
                  <c:v>-26.5</c:v>
                </c:pt>
                <c:pt idx="9">
                  <c:v>-14.809999999999999</c:v>
                </c:pt>
                <c:pt idx="10">
                  <c:v>-16</c:v>
                </c:pt>
                <c:pt idx="11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3-4338-9CE5-85D27B82B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15488"/>
        <c:axId val="40814928"/>
      </c:barChart>
      <c:lineChart>
        <c:grouping val="standard"/>
        <c:varyColors val="0"/>
        <c:ser>
          <c:idx val="1"/>
          <c:order val="1"/>
          <c:tx>
            <c:strRef>
              <c:f>'POSIÇÕES (2023)'!$Y$29</c:f>
              <c:strCache>
                <c:ptCount val="1"/>
                <c:pt idx="0">
                  <c:v>MÉDIA MÓVEL INCENTIVADA (MWm)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'POSIÇÕES (2023)'!$Z$2:$AK$2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(2023)'!$Z$29:$AK$29</c:f>
              <c:numCache>
                <c:formatCode>#,##0.00_ ;[Red]\-#,##0.00\ </c:formatCode>
                <c:ptCount val="12"/>
                <c:pt idx="0">
                  <c:v>15.829709677419356</c:v>
                </c:pt>
                <c:pt idx="1">
                  <c:v>14.270379310344827</c:v>
                </c:pt>
                <c:pt idx="2">
                  <c:v>13.349709677419353</c:v>
                </c:pt>
                <c:pt idx="3">
                  <c:v>13.794699999999999</c:v>
                </c:pt>
                <c:pt idx="4">
                  <c:v>13.191967741935482</c:v>
                </c:pt>
                <c:pt idx="5">
                  <c:v>11.913266666666663</c:v>
                </c:pt>
                <c:pt idx="6">
                  <c:v>6.1560645161290299</c:v>
                </c:pt>
                <c:pt idx="7">
                  <c:v>-0.32993548387096988</c:v>
                </c:pt>
                <c:pt idx="8">
                  <c:v>-0.3099333333333355</c:v>
                </c:pt>
                <c:pt idx="9">
                  <c:v>-0.27090322580645365</c:v>
                </c:pt>
                <c:pt idx="10">
                  <c:v>-0.19520000000000204</c:v>
                </c:pt>
                <c:pt idx="11">
                  <c:v>-9.6000000000001875E-2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93-4338-9CE5-85D27B82B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123616"/>
        <c:axId val="40814368"/>
      </c:lineChart>
      <c:catAx>
        <c:axId val="408154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txPr>
          <a:bodyPr rot="0" vert="horz"/>
          <a:lstStyle/>
          <a:p>
            <a:pPr>
              <a:defRPr sz="1200" b="1"/>
            </a:pPr>
            <a:endParaRPr lang="en-US"/>
          </a:p>
        </c:txPr>
        <c:crossAx val="40814928"/>
        <c:crosses val="autoZero"/>
        <c:auto val="0"/>
        <c:lblAlgn val="ctr"/>
        <c:lblOffset val="10"/>
        <c:noMultiLvlLbl val="0"/>
      </c:catAx>
      <c:valAx>
        <c:axId val="40814928"/>
        <c:scaling>
          <c:orientation val="minMax"/>
          <c:max val="22"/>
        </c:scaling>
        <c:delete val="0"/>
        <c:axPos val="l"/>
        <c:majorGridlines/>
        <c:numFmt formatCode="#,##0_ ;[Red]\-#,##0\ " sourceLinked="0"/>
        <c:majorTickMark val="out"/>
        <c:minorTickMark val="cross"/>
        <c:tickLblPos val="low"/>
        <c:spPr>
          <a:ln/>
        </c:spPr>
        <c:txPr>
          <a:bodyPr rot="0" vert="horz"/>
          <a:lstStyle/>
          <a:p>
            <a:pPr>
              <a:defRPr sz="1200" b="1"/>
            </a:pPr>
            <a:endParaRPr lang="en-US"/>
          </a:p>
        </c:txPr>
        <c:crossAx val="40815488"/>
        <c:crosses val="autoZero"/>
        <c:crossBetween val="between"/>
        <c:majorUnit val="3"/>
      </c:valAx>
      <c:valAx>
        <c:axId val="40814368"/>
        <c:scaling>
          <c:orientation val="minMax"/>
        </c:scaling>
        <c:delete val="0"/>
        <c:axPos val="r"/>
        <c:numFmt formatCode="#,##0.00_ ;[Red]\-#,##0.00\ " sourceLinked="1"/>
        <c:majorTickMark val="out"/>
        <c:minorTickMark val="none"/>
        <c:tickLblPos val="nextTo"/>
        <c:crossAx val="379123616"/>
        <c:crosses val="max"/>
        <c:crossBetween val="between"/>
      </c:valAx>
      <c:catAx>
        <c:axId val="379123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814368"/>
        <c:crosses val="autoZero"/>
        <c:auto val="0"/>
        <c:lblAlgn val="ctr"/>
        <c:lblOffset val="100"/>
        <c:noMultiLvlLbl val="0"/>
      </c:catAx>
      <c:spPr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solidFill>
        <a:schemeClr val="tx1"/>
      </a:solidFill>
    </a:ln>
  </c:spPr>
  <c:printSettings>
    <c:headerFooter alignWithMargins="0"/>
    <c:pageMargins b="1" l="0.75000000000000056" r="0.75000000000000056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RESULTADO 2018 (R$ MM) - CENÁRIOS</a:t>
            </a:r>
            <a:r>
              <a:rPr lang="pt-BR" baseline="0"/>
              <a:t> ENA</a:t>
            </a:r>
            <a:endParaRPr lang="pt-BR"/>
          </a:p>
        </c:rich>
      </c:tx>
      <c:layout>
        <c:manualLayout>
          <c:xMode val="edge"/>
          <c:yMode val="edge"/>
          <c:x val="0.29065900773254905"/>
          <c:y val="1.721771852931329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3658742465090002E-2"/>
          <c:y val="0.11911134024332994"/>
          <c:w val="0.91053194469042076"/>
          <c:h val="0.68759091407365258"/>
        </c:manualLayout>
      </c:layout>
      <c:barChart>
        <c:barDir val="col"/>
        <c:grouping val="clustered"/>
        <c:varyColors val="0"/>
        <c:ser>
          <c:idx val="3"/>
          <c:order val="3"/>
          <c:tx>
            <c:v>BASE MENSAL</c:v>
          </c:tx>
          <c:spPr>
            <a:solidFill>
              <a:schemeClr val="tx2"/>
            </a:solidFill>
            <a:ln>
              <a:solidFill>
                <a:sysClr val="windowText" lastClr="00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B55-4047-8A50-863000A3601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B55-4047-8A50-863000A3601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B55-4047-8A50-863000A3601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B55-4047-8A50-863000A36017}"/>
              </c:ext>
            </c:extLst>
          </c:dPt>
          <c:cat>
            <c:strRef>
              <c:f>'POSIÇÕES (2024)'!$Z$18:$AK$18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(2024)'!$Z$28:$AK$28</c:f>
              <c:numCache>
                <c:formatCode>#,##0.0_ ;[Red]\-#,##0.0\ </c:formatCode>
                <c:ptCount val="12"/>
                <c:pt idx="0">
                  <c:v>-17.8</c:v>
                </c:pt>
                <c:pt idx="1">
                  <c:v>-17.8</c:v>
                </c:pt>
                <c:pt idx="2">
                  <c:v>-17.8</c:v>
                </c:pt>
                <c:pt idx="3">
                  <c:v>-17.8</c:v>
                </c:pt>
                <c:pt idx="4">
                  <c:v>-17.8</c:v>
                </c:pt>
                <c:pt idx="5">
                  <c:v>-17.8</c:v>
                </c:pt>
                <c:pt idx="6">
                  <c:v>-22</c:v>
                </c:pt>
                <c:pt idx="7">
                  <c:v>-22</c:v>
                </c:pt>
                <c:pt idx="8">
                  <c:v>-22</c:v>
                </c:pt>
                <c:pt idx="9">
                  <c:v>-22</c:v>
                </c:pt>
                <c:pt idx="10">
                  <c:v>-22</c:v>
                </c:pt>
                <c:pt idx="11">
                  <c:v>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55-4047-8A50-863000A36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779728"/>
        <c:axId val="559778048"/>
      </c:barChart>
      <c:lineChart>
        <c:grouping val="standard"/>
        <c:varyColors val="0"/>
        <c:ser>
          <c:idx val="0"/>
          <c:order val="0"/>
          <c:tx>
            <c:v>ENA BASE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9035289959924816E-2"/>
                  <c:y val="2.9907355678420816E-2"/>
                </c:manualLayout>
              </c:layout>
              <c:numFmt formatCode="#,##0.0_ ;[Red]\-#,##0.0\ 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40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8565217391304351E-2"/>
                      <c:h val="6.988266926799466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B55-4047-8A50-863000A36017}"/>
                </c:ext>
              </c:extLst>
            </c:dLbl>
            <c:numFmt formatCode="#,##0.0_ ;[Red]\-#,##0.0\ 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'POSIÇÕES (2024)'!$Z$18:$AK$18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(2024)'!$Z$20:$AK$20</c:f>
              <c:numCache>
                <c:formatCode>#,##0.0_ ;[Red]\-#,##0.0\ </c:formatCode>
                <c:ptCount val="12"/>
                <c:pt idx="0">
                  <c:v>118.53932584269663</c:v>
                </c:pt>
                <c:pt idx="1">
                  <c:v>118.53932584269663</c:v>
                </c:pt>
                <c:pt idx="2">
                  <c:v>118.53932584269663</c:v>
                </c:pt>
                <c:pt idx="3">
                  <c:v>118.53932584269663</c:v>
                </c:pt>
                <c:pt idx="4">
                  <c:v>118.53932584269663</c:v>
                </c:pt>
                <c:pt idx="5">
                  <c:v>118.53932584269663</c:v>
                </c:pt>
                <c:pt idx="6">
                  <c:v>125.90909090909091</c:v>
                </c:pt>
                <c:pt idx="7">
                  <c:v>125.90909090909091</c:v>
                </c:pt>
                <c:pt idx="8">
                  <c:v>125.90909090909091</c:v>
                </c:pt>
                <c:pt idx="9">
                  <c:v>125.90909090909091</c:v>
                </c:pt>
                <c:pt idx="10">
                  <c:v>125.90909090909091</c:v>
                </c:pt>
                <c:pt idx="11">
                  <c:v>125.90909090909091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55-4047-8A50-863000A36017}"/>
            </c:ext>
          </c:extLst>
        </c:ser>
        <c:ser>
          <c:idx val="1"/>
          <c:order val="1"/>
          <c:tx>
            <c:v>ENA OTIMISTA</c:v>
          </c:tx>
          <c:marker>
            <c:symbol val="none"/>
          </c:marker>
          <c:dLbls>
            <c:dLbl>
              <c:idx val="11"/>
              <c:layout>
                <c:manualLayout>
                  <c:x val="-3.1970270499536158E-2"/>
                  <c:y val="4.2069885198344224E-2"/>
                </c:manualLayout>
              </c:layout>
              <c:numFmt formatCode="#,##0.0_ ;[Red]\-#,##0.0\ 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40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55-4047-8A50-863000A360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'POSIÇÕES (2024)'!$Z$18:$AK$18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(2024)'!$Z$22:$AK$22</c:f>
              <c:numCache>
                <c:formatCode>General</c:formatCode>
                <c:ptCount val="12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B55-4047-8A50-863000A36017}"/>
            </c:ext>
          </c:extLst>
        </c:ser>
        <c:ser>
          <c:idx val="2"/>
          <c:order val="2"/>
          <c:tx>
            <c:v>ENA PESSIMISTA</c:v>
          </c:tx>
          <c:marker>
            <c:symbol val="none"/>
          </c:marker>
          <c:dLbls>
            <c:dLbl>
              <c:idx val="11"/>
              <c:layout>
                <c:manualLayout>
                  <c:x val="-3.4415929522524771E-2"/>
                  <c:y val="2.7050233789537057E-2"/>
                </c:manualLayout>
              </c:layout>
              <c:numFmt formatCode="#,##0.0_ ;[Red]\-#,##0.0\ 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 algn="ctr" rtl="0">
                    <a:defRPr sz="140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052985120236829E-2"/>
                      <c:h val="8.406556717420066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B55-4047-8A50-863000A360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sz="1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'POSIÇÕES (2024)'!$Z$18:$AK$18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(2024)'!$Z$24:$AK$24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B55-4047-8A50-863000A36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779728"/>
        <c:axId val="559778048"/>
      </c:lineChart>
      <c:catAx>
        <c:axId val="5597797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59778048"/>
        <c:crossesAt val="0"/>
        <c:auto val="1"/>
        <c:lblAlgn val="ctr"/>
        <c:lblOffset val="100"/>
        <c:noMultiLvlLbl val="0"/>
      </c:catAx>
      <c:valAx>
        <c:axId val="559778048"/>
        <c:scaling>
          <c:orientation val="minMax"/>
          <c:max val="3000"/>
          <c:min val="-5000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_ ;[Red]\-#,##0\ " sourceLinked="0"/>
        <c:majorTickMark val="none"/>
        <c:minorTickMark val="cross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 algn="ctr">
              <a:defRPr sz="1400"/>
            </a:pPr>
            <a:endParaRPr lang="en-US"/>
          </a:p>
        </c:txPr>
        <c:crossAx val="559779728"/>
        <c:crosses val="autoZero"/>
        <c:crossBetween val="between"/>
        <c:majorUnit val="1000"/>
        <c:minorUnit val="500"/>
        <c:dispUnits>
          <c:builtInUnit val="thousands"/>
        </c:dispUnits>
      </c:valAx>
      <c:spPr>
        <a:solidFill>
          <a:sysClr val="window" lastClr="FFFFFF"/>
        </a:solidFill>
        <a:ln w="12700"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17653882865828746"/>
          <c:y val="0.91293403194755962"/>
          <c:w val="0.66990235715670676"/>
          <c:h val="8.4932802039038816E-2"/>
        </c:manualLayout>
      </c:layout>
      <c:overlay val="0"/>
      <c:spPr>
        <a:noFill/>
        <a:ln>
          <a:solidFill>
            <a:schemeClr val="bg1"/>
          </a:solidFill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 algn="ctr">
        <a:defRPr lang="pt-BR" sz="12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'POSIÇÕES (2024)'!$Y$28</c:f>
          <c:strCache>
            <c:ptCount val="1"/>
            <c:pt idx="0">
              <c:v>ENERGIA (MWm)  - Total</c:v>
            </c:pt>
          </c:strCache>
        </c:strRef>
      </c:tx>
      <c:layout>
        <c:manualLayout>
          <c:xMode val="edge"/>
          <c:yMode val="edge"/>
          <c:x val="0.32866215727227482"/>
          <c:y val="1.6433088442879527E-2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521845483600269E-2"/>
          <c:y val="0.11803412716843079"/>
          <c:w val="0.84963569262378713"/>
          <c:h val="0.697663767449028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'POSIÇÕES (2024)'!$Y$28</c:f>
              <c:strCache>
                <c:ptCount val="1"/>
                <c:pt idx="0">
                  <c:v>ENERGIA (MWm)  - Total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'POSIÇÕES (2024)'!$Z$2:$AK$2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(2024)'!$Z$28:$AK$28</c:f>
              <c:numCache>
                <c:formatCode>#,##0.0_ ;[Red]\-#,##0.0\ </c:formatCode>
                <c:ptCount val="12"/>
                <c:pt idx="0">
                  <c:v>-17.8</c:v>
                </c:pt>
                <c:pt idx="1">
                  <c:v>-17.8</c:v>
                </c:pt>
                <c:pt idx="2">
                  <c:v>-17.8</c:v>
                </c:pt>
                <c:pt idx="3">
                  <c:v>-17.8</c:v>
                </c:pt>
                <c:pt idx="4">
                  <c:v>-17.8</c:v>
                </c:pt>
                <c:pt idx="5">
                  <c:v>-17.8</c:v>
                </c:pt>
                <c:pt idx="6">
                  <c:v>-22</c:v>
                </c:pt>
                <c:pt idx="7">
                  <c:v>-22</c:v>
                </c:pt>
                <c:pt idx="8">
                  <c:v>-22</c:v>
                </c:pt>
                <c:pt idx="9">
                  <c:v>-22</c:v>
                </c:pt>
                <c:pt idx="10">
                  <c:v>-22</c:v>
                </c:pt>
                <c:pt idx="11">
                  <c:v>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D0-4957-A19C-2514DDCD6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15488"/>
        <c:axId val="40814928"/>
      </c:barChart>
      <c:lineChart>
        <c:grouping val="standard"/>
        <c:varyColors val="0"/>
        <c:ser>
          <c:idx val="1"/>
          <c:order val="1"/>
          <c:tx>
            <c:strRef>
              <c:f>'POSIÇÕES (2024)'!$Y$29</c:f>
              <c:strCache>
                <c:ptCount val="1"/>
                <c:pt idx="0">
                  <c:v>MÉDIA MÓVEL INCENTIVADA (MWm)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'POSIÇÕES (2024)'!$Z$2:$AK$2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'POSIÇÕES (2024)'!$Z$29:$AK$29</c:f>
              <c:numCache>
                <c:formatCode>#,##0.00_ ;[Red]\-#,##0.00\ </c:formatCode>
                <c:ptCount val="12"/>
                <c:pt idx="0">
                  <c:v>0</c:v>
                </c:pt>
                <c:pt idx="1">
                  <c:v>-5.5357142857142856</c:v>
                </c:pt>
                <c:pt idx="2">
                  <c:v>-9.5161290322580641</c:v>
                </c:pt>
                <c:pt idx="3">
                  <c:v>-15</c:v>
                </c:pt>
                <c:pt idx="4">
                  <c:v>-19.35483870967742</c:v>
                </c:pt>
                <c:pt idx="5">
                  <c:v>-25.166666666666668</c:v>
                </c:pt>
                <c:pt idx="6">
                  <c:v>-29.193548387096776</c:v>
                </c:pt>
                <c:pt idx="7">
                  <c:v>-34.193548387096776</c:v>
                </c:pt>
                <c:pt idx="8">
                  <c:v>-40.5</c:v>
                </c:pt>
                <c:pt idx="9">
                  <c:v>-44.032258064516128</c:v>
                </c:pt>
                <c:pt idx="10">
                  <c:v>-50.666666666666664</c:v>
                </c:pt>
                <c:pt idx="11">
                  <c:v>-53.87096774193548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D0-4957-A19C-2514DDCD6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123616"/>
        <c:axId val="40814368"/>
      </c:lineChart>
      <c:catAx>
        <c:axId val="408154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txPr>
          <a:bodyPr rot="0" vert="horz"/>
          <a:lstStyle/>
          <a:p>
            <a:pPr>
              <a:defRPr sz="1200" b="1"/>
            </a:pPr>
            <a:endParaRPr lang="en-US"/>
          </a:p>
        </c:txPr>
        <c:crossAx val="40814928"/>
        <c:crosses val="autoZero"/>
        <c:auto val="0"/>
        <c:lblAlgn val="ctr"/>
        <c:lblOffset val="10"/>
        <c:noMultiLvlLbl val="0"/>
      </c:catAx>
      <c:valAx>
        <c:axId val="40814928"/>
        <c:scaling>
          <c:orientation val="minMax"/>
          <c:max val="22"/>
        </c:scaling>
        <c:delete val="0"/>
        <c:axPos val="l"/>
        <c:majorGridlines/>
        <c:numFmt formatCode="#,##0_ ;[Red]\-#,##0\ " sourceLinked="0"/>
        <c:majorTickMark val="out"/>
        <c:minorTickMark val="cross"/>
        <c:tickLblPos val="low"/>
        <c:spPr>
          <a:ln/>
        </c:spPr>
        <c:txPr>
          <a:bodyPr rot="0" vert="horz"/>
          <a:lstStyle/>
          <a:p>
            <a:pPr>
              <a:defRPr sz="1200" b="1"/>
            </a:pPr>
            <a:endParaRPr lang="en-US"/>
          </a:p>
        </c:txPr>
        <c:crossAx val="40815488"/>
        <c:crosses val="autoZero"/>
        <c:crossBetween val="between"/>
        <c:majorUnit val="3"/>
      </c:valAx>
      <c:valAx>
        <c:axId val="40814368"/>
        <c:scaling>
          <c:orientation val="minMax"/>
        </c:scaling>
        <c:delete val="0"/>
        <c:axPos val="r"/>
        <c:numFmt formatCode="#,##0.00_ ;[Red]\-#,##0.00\ " sourceLinked="1"/>
        <c:majorTickMark val="out"/>
        <c:minorTickMark val="none"/>
        <c:tickLblPos val="nextTo"/>
        <c:crossAx val="379123616"/>
        <c:crosses val="max"/>
        <c:crossBetween val="between"/>
      </c:valAx>
      <c:catAx>
        <c:axId val="379123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814368"/>
        <c:crosses val="autoZero"/>
        <c:auto val="0"/>
        <c:lblAlgn val="ctr"/>
        <c:lblOffset val="100"/>
        <c:noMultiLvlLbl val="0"/>
      </c:catAx>
      <c:spPr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solidFill>
        <a:schemeClr val="tx1"/>
      </a:solidFill>
    </a:ln>
  </c:spPr>
  <c:printSettings>
    <c:headerFooter alignWithMargins="0"/>
    <c:pageMargins b="1" l="0.75000000000000056" r="0.75000000000000056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1005487</xdr:colOff>
      <xdr:row>22</xdr:row>
      <xdr:rowOff>103408</xdr:rowOff>
    </xdr:from>
    <xdr:to>
      <xdr:col>14</xdr:col>
      <xdr:colOff>455385</xdr:colOff>
      <xdr:row>41</xdr:row>
      <xdr:rowOff>156936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312965</xdr:colOff>
      <xdr:row>3</xdr:row>
      <xdr:rowOff>60665</xdr:rowOff>
    </xdr:from>
    <xdr:to>
      <xdr:col>22</xdr:col>
      <xdr:colOff>517072</xdr:colOff>
      <xdr:row>21</xdr:row>
      <xdr:rowOff>163286</xdr:rowOff>
    </xdr:to>
    <xdr:graphicFrame macro="">
      <xdr:nvGraphicFramePr>
        <xdr:cNvPr id="3" name="Chart 2" title="=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762000</xdr:colOff>
          <xdr:row>17</xdr:row>
          <xdr:rowOff>165100</xdr:rowOff>
        </xdr:from>
        <xdr:to>
          <xdr:col>23</xdr:col>
          <xdr:colOff>317500</xdr:colOff>
          <xdr:row>20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preços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1005487</xdr:colOff>
      <xdr:row>22</xdr:row>
      <xdr:rowOff>103408</xdr:rowOff>
    </xdr:from>
    <xdr:to>
      <xdr:col>14</xdr:col>
      <xdr:colOff>455385</xdr:colOff>
      <xdr:row>41</xdr:row>
      <xdr:rowOff>156936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312965</xdr:colOff>
      <xdr:row>3</xdr:row>
      <xdr:rowOff>60665</xdr:rowOff>
    </xdr:from>
    <xdr:to>
      <xdr:col>22</xdr:col>
      <xdr:colOff>517072</xdr:colOff>
      <xdr:row>21</xdr:row>
      <xdr:rowOff>163286</xdr:rowOff>
    </xdr:to>
    <xdr:graphicFrame macro="">
      <xdr:nvGraphicFramePr>
        <xdr:cNvPr id="3" name="Chart 2" title="=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774700</xdr:colOff>
          <xdr:row>17</xdr:row>
          <xdr:rowOff>133350</xdr:rowOff>
        </xdr:from>
        <xdr:to>
          <xdr:col>23</xdr:col>
          <xdr:colOff>298450</xdr:colOff>
          <xdr:row>19</xdr:row>
          <xdr:rowOff>203200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preços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bg\AppData\Roaming\Microsoft\Excel\OPERA&#199;&#213;ES%20TRADING%202017%20(version%201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r&#225;ficos/GraficoAutomatic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_OLD%20TRADING/Gr&#225;ficos/GraficoAutomatico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BD_OPERACOES%20202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urva%20Forward/Curva%20Forward%20eHu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inel"/>
      <sheetName val="Database"/>
      <sheetName val="Dados"/>
      <sheetName val="Operações"/>
      <sheetName val="Janeiro"/>
      <sheetName val="Fevereiro"/>
      <sheetName val="Março"/>
      <sheetName val="Painel2"/>
      <sheetName val="Abril"/>
      <sheetName val="RELATORIO CP"/>
      <sheetName val="Ranking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Gerencial"/>
      <sheetName val="2018 em diante"/>
      <sheetName val="POSIÇÕES (2018)"/>
    </sheetNames>
    <sheetDataSet>
      <sheetData sheetId="0" refreshError="1"/>
      <sheetData sheetId="1" refreshError="1"/>
      <sheetData sheetId="2">
        <row r="1">
          <cell r="L1" t="str">
            <v>ACUMULADO</v>
          </cell>
        </row>
        <row r="2">
          <cell r="J2" t="str">
            <v>Janeiro/2017</v>
          </cell>
          <cell r="L2" t="str">
            <v>Janeiro</v>
          </cell>
        </row>
        <row r="3">
          <cell r="J3" t="str">
            <v>Fevereiro/2017</v>
          </cell>
          <cell r="L3" t="str">
            <v>Fevereiro</v>
          </cell>
        </row>
        <row r="4">
          <cell r="J4" t="str">
            <v>Março/2017</v>
          </cell>
          <cell r="L4" t="str">
            <v>Março</v>
          </cell>
        </row>
        <row r="5">
          <cell r="J5" t="str">
            <v>Abril/2017</v>
          </cell>
          <cell r="L5" t="str">
            <v>Abril</v>
          </cell>
        </row>
        <row r="6">
          <cell r="J6" t="str">
            <v>Maio/2017</v>
          </cell>
          <cell r="L6" t="str">
            <v>Maio</v>
          </cell>
        </row>
        <row r="7">
          <cell r="J7" t="str">
            <v>Junho/2017</v>
          </cell>
          <cell r="L7" t="str">
            <v>Junho</v>
          </cell>
        </row>
        <row r="8">
          <cell r="J8" t="str">
            <v>Julho/2017</v>
          </cell>
          <cell r="L8" t="str">
            <v>Julho</v>
          </cell>
        </row>
        <row r="9">
          <cell r="J9" t="str">
            <v>Agosto/2017</v>
          </cell>
          <cell r="L9" t="str">
            <v>Agosto</v>
          </cell>
        </row>
        <row r="10">
          <cell r="J10" t="str">
            <v>Setembro/2017</v>
          </cell>
          <cell r="L10" t="str">
            <v>Setembro</v>
          </cell>
        </row>
        <row r="11">
          <cell r="J11" t="str">
            <v>Outubro/2017</v>
          </cell>
          <cell r="L11" t="str">
            <v>Outubro</v>
          </cell>
        </row>
        <row r="12">
          <cell r="J12" t="str">
            <v>Novembro/2017</v>
          </cell>
          <cell r="L12" t="str">
            <v>Novembro</v>
          </cell>
        </row>
        <row r="13">
          <cell r="J13" t="str">
            <v>Dezembro/2017</v>
          </cell>
          <cell r="L13" t="str">
            <v>Dezembro</v>
          </cell>
        </row>
      </sheetData>
      <sheetData sheetId="3" refreshError="1"/>
      <sheetData sheetId="4" refreshError="1"/>
      <sheetData sheetId="5" refreshError="1"/>
      <sheetData sheetId="6">
        <row r="10">
          <cell r="A10" t="str">
            <v>CP</v>
          </cell>
        </row>
      </sheetData>
      <sheetData sheetId="7" refreshError="1"/>
      <sheetData sheetId="8" refreshError="1"/>
      <sheetData sheetId="9">
        <row r="22">
          <cell r="X22" t="str">
            <v>Compra</v>
          </cell>
        </row>
      </sheetData>
      <sheetData sheetId="10">
        <row r="7">
          <cell r="BQ7" t="str">
            <v>Autoprodutor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"/>
      <sheetName val="Apresentação"/>
    </sheetNames>
    <sheetDataSet>
      <sheetData sheetId="0">
        <row r="9">
          <cell r="A9">
            <v>0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"/>
      <sheetName val="Apresentação"/>
      <sheetName val="GraficoAutomatico"/>
    </sheetNames>
    <sheetDataSet>
      <sheetData sheetId="0">
        <row r="9">
          <cell r="A9"/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SIÇÕES (2021)"/>
      <sheetName val="POSIÇÕES (2022)"/>
      <sheetName val="BD_COMERCIAL"/>
      <sheetName val="DRE Trading"/>
      <sheetName val="IPCA"/>
      <sheetName val="Sheet3"/>
      <sheetName val="MtM"/>
      <sheetName val="MtM (Trading)"/>
      <sheetName val="Curva Forward"/>
    </sheetNames>
    <sheetDataSet>
      <sheetData sheetId="0">
        <row r="1">
          <cell r="D1">
            <v>744</v>
          </cell>
          <cell r="E1">
            <v>696</v>
          </cell>
          <cell r="F1">
            <v>744</v>
          </cell>
          <cell r="G1">
            <v>720</v>
          </cell>
          <cell r="H1">
            <v>744</v>
          </cell>
          <cell r="I1">
            <v>720</v>
          </cell>
          <cell r="J1">
            <v>744</v>
          </cell>
          <cell r="K1">
            <v>744</v>
          </cell>
          <cell r="L1">
            <v>720</v>
          </cell>
          <cell r="M1">
            <v>744</v>
          </cell>
          <cell r="N1">
            <v>720</v>
          </cell>
          <cell r="O1">
            <v>744</v>
          </cell>
        </row>
        <row r="13">
          <cell r="Z13">
            <v>0</v>
          </cell>
          <cell r="AA13">
            <v>0</v>
          </cell>
          <cell r="AB13">
            <v>0</v>
          </cell>
          <cell r="AC13">
            <v>5</v>
          </cell>
          <cell r="AD13">
            <v>5</v>
          </cell>
          <cell r="AE13">
            <v>5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N13">
            <v>2.4800000000000004</v>
          </cell>
          <cell r="AO13">
            <v>0</v>
          </cell>
          <cell r="AP13">
            <v>0</v>
          </cell>
          <cell r="AQ13">
            <v>-4.8369999999999997</v>
          </cell>
          <cell r="AR13">
            <v>-3.3369999999999997</v>
          </cell>
          <cell r="AS13">
            <v>0.55200000000000005</v>
          </cell>
          <cell r="AT13">
            <v>6.4859999999999998</v>
          </cell>
          <cell r="AU13">
            <v>-3.0000000000000027E-2</v>
          </cell>
          <cell r="AV13">
            <v>-3.0000000000000027E-2</v>
          </cell>
          <cell r="AW13">
            <v>-8.2000000000000073E-2</v>
          </cell>
          <cell r="AX13">
            <v>-9.6000000000000085E-2</v>
          </cell>
          <cell r="AY13">
            <v>-9.6000000000000085E-2</v>
          </cell>
        </row>
        <row r="30">
          <cell r="AK30">
            <v>8812.4480000000367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ualização da Curva Trading"/>
      <sheetName val="Gráficos"/>
      <sheetName val="Curva Dcide"/>
      <sheetName val="Curva Trading"/>
      <sheetName val="Produtos"/>
      <sheetName val="Curva Forward Brookfield"/>
      <sheetName val="PLDs"/>
      <sheetName val="Curva Comercial"/>
      <sheetName val="Dates"/>
    </sheetNames>
    <sheetDataSet>
      <sheetData sheetId="0"/>
      <sheetData sheetId="1">
        <row r="2">
          <cell r="B2">
            <v>44963</v>
          </cell>
        </row>
        <row r="6">
          <cell r="C6">
            <v>69</v>
          </cell>
          <cell r="D6">
            <v>69</v>
          </cell>
          <cell r="E6">
            <v>69</v>
          </cell>
          <cell r="F6">
            <v>69</v>
          </cell>
          <cell r="G6">
            <v>70</v>
          </cell>
          <cell r="H6">
            <v>70</v>
          </cell>
          <cell r="I6">
            <v>73</v>
          </cell>
          <cell r="J6">
            <v>73</v>
          </cell>
          <cell r="K6">
            <v>73</v>
          </cell>
          <cell r="L6">
            <v>75</v>
          </cell>
          <cell r="M6">
            <v>75</v>
          </cell>
          <cell r="N6">
            <v>75</v>
          </cell>
          <cell r="O6">
            <v>72</v>
          </cell>
          <cell r="P6">
            <v>80</v>
          </cell>
          <cell r="Q6">
            <v>80</v>
          </cell>
          <cell r="R6">
            <v>80</v>
          </cell>
          <cell r="S6">
            <v>80</v>
          </cell>
          <cell r="T6">
            <v>80</v>
          </cell>
          <cell r="U6">
            <v>80</v>
          </cell>
          <cell r="V6">
            <v>89</v>
          </cell>
          <cell r="W6">
            <v>89</v>
          </cell>
          <cell r="X6">
            <v>89</v>
          </cell>
          <cell r="Y6">
            <v>89</v>
          </cell>
          <cell r="Z6">
            <v>89</v>
          </cell>
          <cell r="AA6">
            <v>89</v>
          </cell>
          <cell r="AB6">
            <v>85</v>
          </cell>
          <cell r="AC6">
            <v>99</v>
          </cell>
          <cell r="AD6">
            <v>109</v>
          </cell>
          <cell r="AE6">
            <v>119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</row>
        <row r="7">
          <cell r="C7">
            <v>94</v>
          </cell>
          <cell r="D7">
            <v>96</v>
          </cell>
          <cell r="E7">
            <v>97</v>
          </cell>
          <cell r="F7">
            <v>96</v>
          </cell>
          <cell r="G7">
            <v>97</v>
          </cell>
          <cell r="H7">
            <v>97</v>
          </cell>
          <cell r="I7">
            <v>101</v>
          </cell>
          <cell r="J7">
            <v>101</v>
          </cell>
          <cell r="K7">
            <v>101</v>
          </cell>
          <cell r="L7">
            <v>103</v>
          </cell>
          <cell r="M7">
            <v>103</v>
          </cell>
          <cell r="N7">
            <v>103</v>
          </cell>
          <cell r="O7">
            <v>99</v>
          </cell>
          <cell r="P7">
            <v>108</v>
          </cell>
          <cell r="Q7">
            <v>108</v>
          </cell>
          <cell r="R7">
            <v>108</v>
          </cell>
          <cell r="S7">
            <v>108</v>
          </cell>
          <cell r="T7">
            <v>108</v>
          </cell>
          <cell r="U7">
            <v>108</v>
          </cell>
          <cell r="V7">
            <v>117</v>
          </cell>
          <cell r="W7">
            <v>117</v>
          </cell>
          <cell r="X7">
            <v>117</v>
          </cell>
          <cell r="Y7">
            <v>117</v>
          </cell>
          <cell r="Z7">
            <v>117</v>
          </cell>
          <cell r="AA7">
            <v>117</v>
          </cell>
          <cell r="AB7">
            <v>113</v>
          </cell>
          <cell r="AC7">
            <v>127</v>
          </cell>
          <cell r="AD7">
            <v>137</v>
          </cell>
          <cell r="AE7">
            <v>147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</row>
        <row r="8">
          <cell r="C8">
            <v>226</v>
          </cell>
          <cell r="D8">
            <v>226</v>
          </cell>
          <cell r="E8">
            <v>226</v>
          </cell>
          <cell r="F8">
            <v>226</v>
          </cell>
          <cell r="G8">
            <v>227</v>
          </cell>
          <cell r="H8">
            <v>227</v>
          </cell>
          <cell r="I8">
            <v>225</v>
          </cell>
          <cell r="J8">
            <v>225</v>
          </cell>
          <cell r="K8">
            <v>225</v>
          </cell>
          <cell r="L8">
            <v>227</v>
          </cell>
          <cell r="M8">
            <v>227</v>
          </cell>
          <cell r="N8">
            <v>227</v>
          </cell>
          <cell r="O8">
            <v>226</v>
          </cell>
          <cell r="P8">
            <v>232</v>
          </cell>
          <cell r="Q8">
            <v>232</v>
          </cell>
          <cell r="R8">
            <v>232</v>
          </cell>
          <cell r="S8">
            <v>232</v>
          </cell>
          <cell r="T8">
            <v>232</v>
          </cell>
          <cell r="U8">
            <v>232</v>
          </cell>
          <cell r="V8">
            <v>241</v>
          </cell>
          <cell r="W8">
            <v>241</v>
          </cell>
          <cell r="X8">
            <v>241</v>
          </cell>
          <cell r="Y8">
            <v>241</v>
          </cell>
          <cell r="Z8">
            <v>241</v>
          </cell>
          <cell r="AA8">
            <v>241</v>
          </cell>
          <cell r="AB8">
            <v>237</v>
          </cell>
          <cell r="AC8">
            <v>251</v>
          </cell>
          <cell r="AD8">
            <v>261</v>
          </cell>
          <cell r="AE8">
            <v>271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</row>
        <row r="9">
          <cell r="C9">
            <v>69</v>
          </cell>
          <cell r="D9">
            <v>69</v>
          </cell>
          <cell r="E9">
            <v>69</v>
          </cell>
          <cell r="F9">
            <v>69</v>
          </cell>
          <cell r="G9">
            <v>70</v>
          </cell>
          <cell r="H9">
            <v>70</v>
          </cell>
          <cell r="I9">
            <v>73</v>
          </cell>
          <cell r="J9">
            <v>73</v>
          </cell>
          <cell r="K9">
            <v>73</v>
          </cell>
          <cell r="L9">
            <v>75</v>
          </cell>
          <cell r="M9">
            <v>75</v>
          </cell>
          <cell r="N9">
            <v>75</v>
          </cell>
          <cell r="O9">
            <v>72</v>
          </cell>
          <cell r="P9">
            <v>80</v>
          </cell>
          <cell r="Q9">
            <v>80</v>
          </cell>
          <cell r="R9">
            <v>80</v>
          </cell>
          <cell r="S9">
            <v>80</v>
          </cell>
          <cell r="T9">
            <v>80</v>
          </cell>
          <cell r="U9">
            <v>80</v>
          </cell>
          <cell r="V9">
            <v>89</v>
          </cell>
          <cell r="W9">
            <v>89</v>
          </cell>
          <cell r="X9">
            <v>89</v>
          </cell>
          <cell r="Y9">
            <v>89</v>
          </cell>
          <cell r="Z9">
            <v>89</v>
          </cell>
          <cell r="AA9">
            <v>89</v>
          </cell>
          <cell r="AB9">
            <v>85</v>
          </cell>
          <cell r="AC9">
            <v>99</v>
          </cell>
          <cell r="AD9">
            <v>109</v>
          </cell>
          <cell r="AE9">
            <v>119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</row>
        <row r="10">
          <cell r="C10">
            <v>69</v>
          </cell>
          <cell r="D10">
            <v>69</v>
          </cell>
          <cell r="E10">
            <v>69</v>
          </cell>
          <cell r="F10">
            <v>69</v>
          </cell>
          <cell r="G10">
            <v>70</v>
          </cell>
          <cell r="H10">
            <v>70</v>
          </cell>
          <cell r="I10">
            <v>70</v>
          </cell>
          <cell r="J10">
            <v>70</v>
          </cell>
          <cell r="K10">
            <v>70</v>
          </cell>
          <cell r="L10">
            <v>72</v>
          </cell>
          <cell r="M10">
            <v>72</v>
          </cell>
          <cell r="N10">
            <v>75</v>
          </cell>
          <cell r="O10">
            <v>70</v>
          </cell>
          <cell r="P10">
            <v>76</v>
          </cell>
          <cell r="Q10">
            <v>76</v>
          </cell>
          <cell r="R10">
            <v>76</v>
          </cell>
          <cell r="S10">
            <v>76</v>
          </cell>
          <cell r="T10">
            <v>76</v>
          </cell>
          <cell r="U10">
            <v>76</v>
          </cell>
          <cell r="V10">
            <v>85</v>
          </cell>
          <cell r="W10">
            <v>85</v>
          </cell>
          <cell r="X10">
            <v>85</v>
          </cell>
          <cell r="Y10">
            <v>85</v>
          </cell>
          <cell r="Z10">
            <v>85</v>
          </cell>
          <cell r="AA10">
            <v>85</v>
          </cell>
          <cell r="AB10">
            <v>81</v>
          </cell>
          <cell r="AC10">
            <v>94</v>
          </cell>
          <cell r="AD10">
            <v>104</v>
          </cell>
          <cell r="AE10">
            <v>114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</row>
        <row r="11">
          <cell r="C11">
            <v>69</v>
          </cell>
          <cell r="D11">
            <v>69</v>
          </cell>
          <cell r="E11">
            <v>69</v>
          </cell>
          <cell r="F11">
            <v>69</v>
          </cell>
          <cell r="G11">
            <v>70</v>
          </cell>
          <cell r="H11">
            <v>70</v>
          </cell>
          <cell r="I11">
            <v>73</v>
          </cell>
          <cell r="J11">
            <v>73</v>
          </cell>
          <cell r="K11">
            <v>73</v>
          </cell>
          <cell r="L11">
            <v>75</v>
          </cell>
          <cell r="M11">
            <v>75</v>
          </cell>
          <cell r="N11">
            <v>75</v>
          </cell>
          <cell r="O11">
            <v>72</v>
          </cell>
          <cell r="P11">
            <v>76</v>
          </cell>
          <cell r="Q11">
            <v>76</v>
          </cell>
          <cell r="R11">
            <v>76</v>
          </cell>
          <cell r="S11">
            <v>76</v>
          </cell>
          <cell r="T11">
            <v>76</v>
          </cell>
          <cell r="U11">
            <v>76</v>
          </cell>
          <cell r="V11">
            <v>85</v>
          </cell>
          <cell r="W11">
            <v>85</v>
          </cell>
          <cell r="X11">
            <v>85</v>
          </cell>
          <cell r="Y11">
            <v>85</v>
          </cell>
          <cell r="Z11">
            <v>85</v>
          </cell>
          <cell r="AA11">
            <v>85</v>
          </cell>
          <cell r="AB11">
            <v>81</v>
          </cell>
          <cell r="AC11">
            <v>94</v>
          </cell>
          <cell r="AD11">
            <v>104</v>
          </cell>
          <cell r="AE11">
            <v>114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yan Cunha Costa" id="{D0869073-3BA6-4A80-BE27-C9BA6C226970}" userId="S::ryan.costa@elera.com::d0bdbea7-3ffb-441f-bbd4-4783b6826d64" providerId="AD"/>
  <person displayName="Bianca Lace Silvino" id="{5146C376-41FF-4034-9006-78D16CD2641F}" userId="S::bianca.silvino@elera.com::b3a8aef6-5a0b-4d37-bcce-f66b670845ab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8AF373-CAD5-41B1-B85D-D54600091C16}" name="EXTRA_2023" displayName="EXTRA_2023" ref="Q3:BG5" totalsRowShown="0">
  <autoFilter ref="Q3:BG5" xr:uid="{7B8AF373-CAD5-41B1-B85D-D54600091C16}"/>
  <tableColumns count="43">
    <tableColumn id="1" xr3:uid="{36B865EC-9E08-4B7B-AB4E-7AA07094A1E5}" name="COD_WBC"/>
    <tableColumn id="2" xr3:uid="{8FE69F4B-D962-44B7-9CF9-C1A6072997A7}" name="FECHAMENTO" dataDxfId="11"/>
    <tableColumn id="3" xr3:uid="{DBF8E2BB-D85E-48C7-855E-55CA8964421B}" name="OPERACAO" dataDxfId="10"/>
    <tableColumn id="4" xr3:uid="{D160740C-6F0E-40C9-9E73-1B493E3306C0}" name="VENDEDOR" dataDxfId="9"/>
    <tableColumn id="5" xr3:uid="{AE0E7AEE-B59C-4895-9E2B-D76ED465B312}" name="COMPRADOR" dataDxfId="8"/>
    <tableColumn id="6" xr3:uid="{BEC597FF-09E6-4B73-BA03-2D27D37D5268}" name="BOOK" dataDxfId="7"/>
    <tableColumn id="7" xr3:uid="{56A1255F-9728-4F70-A1EE-6265BB4F3E18}" name="GERENCIAL" dataDxfId="6"/>
    <tableColumn id="8" xr3:uid="{42AF756A-E640-4DE1-857B-675A80033107}" name="01/01/2023" dataDxfId="5"/>
    <tableColumn id="9" xr3:uid="{3F6F98B6-9DC7-4EFD-B78A-6E061E815978}" name="01/02/2023"/>
    <tableColumn id="10" xr3:uid="{B399017A-1C19-41C0-AC4B-90D9D976B1A5}" name="01/03/2023"/>
    <tableColumn id="11" xr3:uid="{65B74BB6-05CB-44B6-AF68-CF0E057A10EA}" name="01/04/2023"/>
    <tableColumn id="12" xr3:uid="{DD9D62C0-EFF4-41EC-A76E-AC0323992F6A}" name="01/05/2023"/>
    <tableColumn id="13" xr3:uid="{8B2F066E-9A1F-4ECE-AF69-0EF897E64680}" name="01/06/2023"/>
    <tableColumn id="14" xr3:uid="{65CBB3BB-899F-4598-9A9B-7E7D3E8ED296}" name="01/07/2023"/>
    <tableColumn id="15" xr3:uid="{8237A896-F50D-40CD-83A2-D7EFF7377131}" name="01/08/2023"/>
    <tableColumn id="16" xr3:uid="{D8DF5198-6745-485B-88DB-02BC37893E6C}" name="01/09/2023"/>
    <tableColumn id="17" xr3:uid="{3D09C2F0-5CB8-4868-B298-E2A14B13E94A}" name="01/10/2023"/>
    <tableColumn id="18" xr3:uid="{50805853-3A36-4275-86FB-28EF5F378414}" name="01/11/2023"/>
    <tableColumn id="19" xr3:uid="{A4AA0089-B5F9-4ECE-BC4B-93FDF35BEF0C}" name="01/12/2023" dataDxfId="4"/>
    <tableColumn id="20" xr3:uid="{7A3FAAFF-730B-42A7-A2C0-DB72CC971A26}" name="01/01/2023_25" dataDxfId="3"/>
    <tableColumn id="21" xr3:uid="{551210EE-5BDB-41AC-8775-8C532795030B}" name="01/02/2023_26"/>
    <tableColumn id="22" xr3:uid="{8E0FC1D2-8C7E-4374-B579-752C2129D54A}" name="01/03/2023_27"/>
    <tableColumn id="23" xr3:uid="{44047332-4965-4607-9DAD-FC8627A8FC58}" name="01/04/2023_28"/>
    <tableColumn id="24" xr3:uid="{51069094-91AB-4345-98B9-ADC7D8D0A641}" name="01/05/2023_29"/>
    <tableColumn id="25" xr3:uid="{448D9A34-AD66-4273-8005-ABCB9E448061}" name="01/06/2023_30"/>
    <tableColumn id="26" xr3:uid="{EDB9700D-4D02-48D4-ACA8-CFD6D17E96A5}" name="01/07/2023_31"/>
    <tableColumn id="27" xr3:uid="{4D47AF59-9F6A-493C-8804-E3799BD417DB}" name="01/08/2023_32"/>
    <tableColumn id="28" xr3:uid="{D69D4366-AC6E-4F77-B280-D663CF6F0F9B}" name="01/09/2023_33"/>
    <tableColumn id="29" xr3:uid="{8B142CB3-B0C3-4530-B5B2-EDC0DD3D37C1}" name="01/10/2023_34"/>
    <tableColumn id="30" xr3:uid="{7FFC37ED-28E0-4476-B7F3-D0ECB079C89C}" name="01/11/2023_35"/>
    <tableColumn id="31" xr3:uid="{F706FB99-4E0D-461D-BF5B-D371F33BEE6D}" name="01/12/2023_36" dataDxfId="2"/>
    <tableColumn id="32" xr3:uid="{429E7F84-F3A4-435A-A6BE-A4B8A577284D}" name="JAN" dataDxfId="1">
      <calculatedColumnFormula>$X$1*EXTRA_2023[[#This Row],[01/01/2023_25]]*EXTRA_2023[[#This Row],[01/01/2023]]</calculatedColumnFormula>
    </tableColumn>
    <tableColumn id="33" xr3:uid="{06092886-053F-4299-A4DB-8104596B75FA}" name="FEV"/>
    <tableColumn id="34" xr3:uid="{F3F0025F-DAC8-4074-8ECC-40FCA51F2E49}" name="MAR"/>
    <tableColumn id="35" xr3:uid="{F3F2E996-B049-4DC7-AA04-F23DE7E2758D}" name="ABR"/>
    <tableColumn id="36" xr3:uid="{55616A1B-A576-4F50-9BCB-4A9DFEEF6F82}" name="MAI"/>
    <tableColumn id="37" xr3:uid="{36AD50E5-3739-4FF4-842F-12B787DAA68B}" name="JUN"/>
    <tableColumn id="38" xr3:uid="{3601AE41-1A41-46AC-8EC4-EDC1DCAA6B06}" name="JUL"/>
    <tableColumn id="39" xr3:uid="{59BAA0FC-A8E5-4A2A-BC83-06C17C426EC1}" name="AGO"/>
    <tableColumn id="40" xr3:uid="{815E137E-4B23-43BE-AB90-09A420D618C2}" name="SET"/>
    <tableColumn id="41" xr3:uid="{5FECB3DC-2B89-4E03-8C8E-AE971EE6272D}" name="OUT"/>
    <tableColumn id="42" xr3:uid="{24ED69F7-698C-4649-993A-F63216F6FF90}" name="NOV"/>
    <tableColumn id="43" xr3:uid="{9F702100-705A-484F-A769-B623A05F59B7}" name="DEZ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6" dT="2021-09-22T18:55:17.61" personId="{5146C376-41FF-4034-9006-78D16CD2641F}" id="{E53D0C6B-5CD3-47BC-98A7-6C278F7B593D}">
    <text>Alteração realizada em 21/09/2021</text>
  </threadedComment>
  <threadedComment ref="AA6" dT="2021-09-22T19:27:57.57" personId="{5146C376-41FF-4034-9006-78D16CD2641F}" id="{820A6096-F17C-49AE-AFA6-F5DE54C68C2B}">
    <text>Distrato assinado em 20/09/2021</text>
  </threadedComment>
  <threadedComment ref="S7" dT="2021-09-27T21:10:46.13" personId="{5146C376-41FF-4034-9006-78D16CD2641F}" id="{AB334986-34BD-495E-B99D-BBEA87F02D61}">
    <text>Alteração de garantia para interveniente anuente - Brookfield Energia</text>
  </threadedComment>
  <threadedComment ref="S12" dT="2022-11-09T17:26:01.64" personId="{D0869073-3BA6-4A80-BE27-C9BA6C226970}" id="{9763A58B-1500-443E-9DB0-32D927CE576B}">
    <text>aditivo para registro contra pagamento</text>
  </threadedComment>
  <threadedComment ref="S17" dT="2022-09-15T21:07:18.47" personId="{D0869073-3BA6-4A80-BE27-C9BA6C226970}" id="{98C04994-B9A5-4D21-8FB2-F25B19CA4218}">
    <text>TERMO ADITIVO MUDANDO PARA GARANTIA CONTRA PAGAMENTO</text>
  </threadedComment>
  <threadedComment ref="U29" dT="2022-09-19T15:02:52.69" personId="{5146C376-41FF-4034-9006-78D16CD2641F}" id="{9AD7986C-65C4-473F-8B34-EB88AC063C84}">
    <text>Termo aditivo alterando a data de reajuste para jan/23.</text>
  </threadedComment>
  <threadedComment ref="U40" dT="2022-09-16T21:22:54.87" personId="{D0869073-3BA6-4A80-BE27-C9BA6C226970}" id="{3C1090B9-726A-4086-AED7-A2C221CE12D1}">
    <text>TA mudando a data base do reajuste de ago/22 para set/22</text>
  </threadedComment>
  <threadedComment ref="U43" dT="2022-09-16T21:20:14.39" personId="{D0869073-3BA6-4A80-BE27-C9BA6C226970}" id="{CAE7E39C-E588-4A7F-AC95-139A53AE15A5}">
    <text>Reajuste em jan/23</text>
  </threadedComment>
  <threadedComment ref="U44" dT="2022-09-16T21:20:19.37" personId="{D0869073-3BA6-4A80-BE27-C9BA6C226970}" id="{D9FF1D28-0035-4484-9602-B421451A7FDA}">
    <text>Reajuste em jan/23</text>
  </threadedComment>
  <threadedComment ref="S113" dT="2022-12-21T12:20:07.19" personId="{5146C376-41FF-4034-9006-78D16CD2641F}" id="{F1197678-0CBA-42DA-AC46-5BB8137B7F75}">
    <text>Acordado e registrado na boleta detalhada.</text>
  </threadedComment>
  <threadedComment ref="S118" dT="2022-12-21T12:20:07.19" personId="{5146C376-41FF-4034-9006-78D16CD2641F}" id="{313985AA-B0E7-477C-9D0E-02612DDE2563}">
    <text>Acordado e registrado na boleta detalhada.</text>
  </threadedComment>
  <threadedComment ref="S169" dT="2023-02-07T21:21:24.55" personId="{5146C376-41FF-4034-9006-78D16CD2641F}" id="{0FE3B76D-DC58-434F-A53C-6A3C3F5B83D1}">
    <text>alterado na boleta detalhada do eHub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-0.249977111117893"/>
  </sheetPr>
  <dimension ref="B1:BM147"/>
  <sheetViews>
    <sheetView topLeftCell="AB9" zoomScaleNormal="100" workbookViewId="0">
      <selection activeCell="Z23" sqref="Z23:AK23"/>
    </sheetView>
  </sheetViews>
  <sheetFormatPr defaultColWidth="9.1796875" defaultRowHeight="14.5" x14ac:dyDescent="0.35"/>
  <cols>
    <col min="1" max="1" width="2.453125" style="21" customWidth="1"/>
    <col min="2" max="2" width="15.1796875" style="21" bestFit="1" customWidth="1"/>
    <col min="3" max="3" width="12.26953125" style="21" bestFit="1" customWidth="1"/>
    <col min="4" max="4" width="9.81640625" style="21" customWidth="1"/>
    <col min="5" max="15" width="9" style="21" customWidth="1"/>
    <col min="16" max="16" width="9.81640625" style="21" customWidth="1"/>
    <col min="17" max="17" width="2.453125" style="21" customWidth="1"/>
    <col min="18" max="18" width="6.1796875" style="21" customWidth="1"/>
    <col min="19" max="19" width="24.81640625" style="21" bestFit="1" customWidth="1"/>
    <col min="20" max="20" width="17.1796875" style="21" customWidth="1"/>
    <col min="21" max="21" width="23.1796875" style="21" customWidth="1"/>
    <col min="22" max="22" width="27" style="21" customWidth="1"/>
    <col min="23" max="23" width="18.54296875" style="21" customWidth="1"/>
    <col min="24" max="24" width="6.1796875" style="21" customWidth="1"/>
    <col min="25" max="25" width="34.81640625" style="21" bestFit="1" customWidth="1"/>
    <col min="26" max="37" width="13.453125" style="21" customWidth="1"/>
    <col min="38" max="38" width="22.54296875" style="21" bestFit="1" customWidth="1"/>
    <col min="39" max="39" width="33.26953125" style="21" bestFit="1" customWidth="1"/>
    <col min="40" max="51" width="13.453125" style="21" customWidth="1"/>
    <col min="52" max="52" width="9.1796875" style="21"/>
    <col min="53" max="53" width="33.26953125" style="21" bestFit="1" customWidth="1"/>
    <col min="54" max="65" width="13.453125" style="21" customWidth="1"/>
    <col min="66" max="16384" width="9.1796875" style="21"/>
  </cols>
  <sheetData>
    <row r="1" spans="2:65" s="79" customFormat="1" ht="11" thickBot="1" x14ac:dyDescent="0.3">
      <c r="D1" s="81">
        <v>744</v>
      </c>
      <c r="E1" s="81">
        <f>24*29</f>
        <v>696</v>
      </c>
      <c r="F1" s="81">
        <v>744</v>
      </c>
      <c r="G1" s="81">
        <v>720</v>
      </c>
      <c r="H1" s="81">
        <v>744</v>
      </c>
      <c r="I1" s="81">
        <v>720</v>
      </c>
      <c r="J1" s="81">
        <v>744</v>
      </c>
      <c r="K1" s="81">
        <v>744</v>
      </c>
      <c r="L1" s="81">
        <v>720</v>
      </c>
      <c r="M1" s="81">
        <v>744</v>
      </c>
      <c r="N1" s="81">
        <v>720</v>
      </c>
      <c r="O1" s="81">
        <v>744</v>
      </c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 t="s">
        <v>11</v>
      </c>
      <c r="AL1" s="80"/>
    </row>
    <row r="2" spans="2:65" ht="19" thickBot="1" x14ac:dyDescent="0.4">
      <c r="D2" s="78">
        <v>43466</v>
      </c>
      <c r="E2" s="77">
        <v>43497</v>
      </c>
      <c r="F2" s="76">
        <v>43525</v>
      </c>
      <c r="G2" s="76">
        <v>43556</v>
      </c>
      <c r="H2" s="77">
        <v>43586</v>
      </c>
      <c r="I2" s="76">
        <v>43617</v>
      </c>
      <c r="J2" s="76">
        <v>43647</v>
      </c>
      <c r="K2" s="77">
        <v>43678</v>
      </c>
      <c r="L2" s="76">
        <v>43709</v>
      </c>
      <c r="M2" s="76">
        <v>43739</v>
      </c>
      <c r="N2" s="77">
        <v>43770</v>
      </c>
      <c r="O2" s="76">
        <v>43800</v>
      </c>
      <c r="P2" s="75" t="s">
        <v>62</v>
      </c>
      <c r="S2" s="74"/>
      <c r="T2" s="73"/>
      <c r="U2" s="17"/>
      <c r="V2" s="72" t="s">
        <v>61</v>
      </c>
      <c r="W2" s="71" t="e">
        <f ca="1">('DRE Trading'!R22+'DRE Trading'!AF22)</f>
        <v>#N/A</v>
      </c>
      <c r="Y2" s="30" t="s">
        <v>114</v>
      </c>
      <c r="Z2" s="30" t="s">
        <v>45</v>
      </c>
      <c r="AA2" s="30" t="s">
        <v>44</v>
      </c>
      <c r="AB2" s="30" t="s">
        <v>43</v>
      </c>
      <c r="AC2" s="30" t="s">
        <v>42</v>
      </c>
      <c r="AD2" s="30" t="s">
        <v>41</v>
      </c>
      <c r="AE2" s="30" t="s">
        <v>40</v>
      </c>
      <c r="AF2" s="30" t="s">
        <v>39</v>
      </c>
      <c r="AG2" s="30" t="s">
        <v>38</v>
      </c>
      <c r="AH2" s="30" t="s">
        <v>37</v>
      </c>
      <c r="AI2" s="30" t="s">
        <v>36</v>
      </c>
      <c r="AJ2" s="30" t="s">
        <v>35</v>
      </c>
      <c r="AK2" s="30" t="s">
        <v>34</v>
      </c>
      <c r="AL2" s="17"/>
      <c r="AM2" s="30" t="s">
        <v>116</v>
      </c>
      <c r="AN2" s="30" t="s">
        <v>45</v>
      </c>
      <c r="AO2" s="30" t="s">
        <v>44</v>
      </c>
      <c r="AP2" s="30" t="s">
        <v>43</v>
      </c>
      <c r="AQ2" s="30" t="s">
        <v>42</v>
      </c>
      <c r="AR2" s="30" t="s">
        <v>41</v>
      </c>
      <c r="AS2" s="30" t="s">
        <v>40</v>
      </c>
      <c r="AT2" s="30" t="s">
        <v>39</v>
      </c>
      <c r="AU2" s="30" t="s">
        <v>38</v>
      </c>
      <c r="AV2" s="30" t="s">
        <v>37</v>
      </c>
      <c r="AW2" s="30" t="s">
        <v>36</v>
      </c>
      <c r="AX2" s="30" t="s">
        <v>35</v>
      </c>
      <c r="AY2" s="30" t="s">
        <v>34</v>
      </c>
      <c r="BA2" s="30" t="s">
        <v>241</v>
      </c>
      <c r="BB2" s="30" t="s">
        <v>45</v>
      </c>
      <c r="BC2" s="30" t="s">
        <v>44</v>
      </c>
      <c r="BD2" s="30" t="s">
        <v>43</v>
      </c>
      <c r="BE2" s="30" t="s">
        <v>42</v>
      </c>
      <c r="BF2" s="30" t="s">
        <v>41</v>
      </c>
      <c r="BG2" s="30" t="s">
        <v>40</v>
      </c>
      <c r="BH2" s="30" t="s">
        <v>39</v>
      </c>
      <c r="BI2" s="30" t="s">
        <v>38</v>
      </c>
      <c r="BJ2" s="30" t="s">
        <v>37</v>
      </c>
      <c r="BK2" s="30" t="s">
        <v>36</v>
      </c>
      <c r="BL2" s="30" t="s">
        <v>35</v>
      </c>
      <c r="BM2" s="30" t="s">
        <v>34</v>
      </c>
    </row>
    <row r="3" spans="2:65" s="17" customFormat="1" ht="15" customHeight="1" x14ac:dyDescent="0.35">
      <c r="B3" s="295" t="s">
        <v>60</v>
      </c>
      <c r="C3" s="58" t="s">
        <v>22</v>
      </c>
      <c r="D3" s="68">
        <v>192.1</v>
      </c>
      <c r="E3" s="56">
        <f t="shared" ref="E3:O6" si="0">D3</f>
        <v>192.1</v>
      </c>
      <c r="F3" s="56">
        <f t="shared" si="0"/>
        <v>192.1</v>
      </c>
      <c r="G3" s="56">
        <f t="shared" si="0"/>
        <v>192.1</v>
      </c>
      <c r="H3" s="56">
        <f t="shared" si="0"/>
        <v>192.1</v>
      </c>
      <c r="I3" s="56">
        <f t="shared" si="0"/>
        <v>192.1</v>
      </c>
      <c r="J3" s="56">
        <f t="shared" si="0"/>
        <v>192.1</v>
      </c>
      <c r="K3" s="56">
        <f t="shared" si="0"/>
        <v>192.1</v>
      </c>
      <c r="L3" s="56">
        <f t="shared" si="0"/>
        <v>192.1</v>
      </c>
      <c r="M3" s="56">
        <f t="shared" si="0"/>
        <v>192.1</v>
      </c>
      <c r="N3" s="56">
        <f t="shared" si="0"/>
        <v>192.1</v>
      </c>
      <c r="O3" s="56">
        <f t="shared" si="0"/>
        <v>192.1</v>
      </c>
      <c r="P3" s="54">
        <f>P8-30</f>
        <v>190</v>
      </c>
      <c r="Y3" s="85" t="s">
        <v>64</v>
      </c>
      <c r="Z3" s="86">
        <f ca="1">SUMIFS(OFFSET(BD_COMERCIAL!AB$5,0,0,$S$26,1),OFFSET(BD_COMERCIAL!$L$5,0,0,$S$26,1),"SE",OFFSET(BD_COMERCIAL!$FC$5,0,0,$S$26,1),"C",OFFSET(BD_COMERCIAL!$Q$5,0,0,$S$26,1),"Fixo",OFFSET(BD_COMERCIAL!$I$5,0,0,$S$26,1),"Trading")-SUMIFS(OFFSET(BD_COMERCIAL!AB$5,0,0,$S$26,1),OFFSET(BD_COMERCIAL!$L$5,0,0,$S$26,1),"SE",OFFSET(BD_COMERCIAL!$FC$5,0,0,$S$26,1),"V",OFFSET(BD_COMERCIAL!$Q$5,0,0,$S$26,1),"Fixo",OFFSET(BD_COMERCIAL!$I$5,0,0,$S$26,1),"Trading")</f>
        <v>-13.666667000000004</v>
      </c>
      <c r="AA3" s="86">
        <f ca="1">SUMIFS(OFFSET(BD_COMERCIAL!AC$5,0,0,$S$26,1),OFFSET(BD_COMERCIAL!$L$5,0,0,$S$26,1),"SE",OFFSET(BD_COMERCIAL!$FC$5,0,0,$S$26,1),"C",OFFSET(BD_COMERCIAL!$Q$5,0,0,$S$26,1),"Fixo",OFFSET(BD_COMERCIAL!$I$5,0,0,$S$26,1),"Trading")-SUMIFS(OFFSET(BD_COMERCIAL!AC$5,0,0,$S$26,1),OFFSET(BD_COMERCIAL!$L$5,0,0,$S$26,1),"SE",OFFSET(BD_COMERCIAL!$FC$5,0,0,$S$26,1),"V",OFFSET(BD_COMERCIAL!$Q$5,0,0,$S$26,1),"Fixo",OFFSET(BD_COMERCIAL!$I$5,0,0,$S$26,1),"Trading")</f>
        <v>-2.8666670000000067</v>
      </c>
      <c r="AB3" s="86">
        <f ca="1">SUMIFS(OFFSET(BD_COMERCIAL!AD$5,0,0,$S$26,1),OFFSET(BD_COMERCIAL!$L$5,0,0,$S$26,1),"SE",OFFSET(BD_COMERCIAL!$FC$5,0,0,$S$26,1),"C",OFFSET(BD_COMERCIAL!$Q$5,0,0,$S$26,1),"Fixo",OFFSET(BD_COMERCIAL!$I$5,0,0,$S$26,1),"Trading")-SUMIFS(OFFSET(BD_COMERCIAL!AD$5,0,0,$S$26,1),OFFSET(BD_COMERCIAL!$L$5,0,0,$S$26,1),"SE",OFFSET(BD_COMERCIAL!$FC$5,0,0,$S$26,1),"V",OFFSET(BD_COMERCIAL!$Q$5,0,0,$S$26,1),"Fixo",OFFSET(BD_COMERCIAL!$I$5,0,0,$S$26,1),"Trading")</f>
        <v>-0.1666670000000039</v>
      </c>
      <c r="AC3" s="86">
        <f ca="1">SUMIFS(OFFSET(BD_COMERCIAL!AE$5,0,0,$S$26,1),OFFSET(BD_COMERCIAL!$L$5,0,0,$S$26,1),"SE",OFFSET(BD_COMERCIAL!$FC$5,0,0,$S$26,1),"C",OFFSET(BD_COMERCIAL!$Q$5,0,0,$S$26,1),"Fixo",OFFSET(BD_COMERCIAL!$I$5,0,0,$S$26,1),"Trading")-SUMIFS(OFFSET(BD_COMERCIAL!AE$5,0,0,$S$26,1),OFFSET(BD_COMERCIAL!$L$5,0,0,$S$26,1),"SE",OFFSET(BD_COMERCIAL!$FC$5,0,0,$S$26,1),"V",OFFSET(BD_COMERCIAL!$Q$5,0,0,$S$26,1),"Fixo",OFFSET(BD_COMERCIAL!$I$5,0,0,$S$26,1),"Trading")</f>
        <v>-15.420000000000002</v>
      </c>
      <c r="AD3" s="86">
        <f ca="1">SUMIFS(OFFSET(BD_COMERCIAL!AF$5,0,0,$S$26,1),OFFSET(BD_COMERCIAL!$L$5,0,0,$S$26,1),"SE",OFFSET(BD_COMERCIAL!$FC$5,0,0,$S$26,1),"C",OFFSET(BD_COMERCIAL!$Q$5,0,0,$S$26,1),"Fixo",OFFSET(BD_COMERCIAL!$I$5,0,0,$S$26,1),"Trading")-SUMIFS(OFFSET(BD_COMERCIAL!AF$5,0,0,$S$26,1),OFFSET(BD_COMERCIAL!$L$5,0,0,$S$26,1),"SE",OFFSET(BD_COMERCIAL!$FC$5,0,0,$S$26,1),"V",OFFSET(BD_COMERCIAL!$Q$5,0,0,$S$26,1),"Fixo",OFFSET(BD_COMERCIAL!$I$5,0,0,$S$26,1),"Trading")</f>
        <v>-34.64</v>
      </c>
      <c r="AE3" s="86">
        <f ca="1">SUMIFS(OFFSET(BD_COMERCIAL!AG$5,0,0,$S$26,1),OFFSET(BD_COMERCIAL!$L$5,0,0,$S$26,1),"SE",OFFSET(BD_COMERCIAL!$FC$5,0,0,$S$26,1),"C",OFFSET(BD_COMERCIAL!$Q$5,0,0,$S$26,1),"Fixo",OFFSET(BD_COMERCIAL!$I$5,0,0,$S$26,1),"Trading")-SUMIFS(OFFSET(BD_COMERCIAL!AG$5,0,0,$S$26,1),OFFSET(BD_COMERCIAL!$L$5,0,0,$S$26,1),"SE",OFFSET(BD_COMERCIAL!$FC$5,0,0,$S$26,1),"V",OFFSET(BD_COMERCIAL!$Q$5,0,0,$S$26,1),"Fixo",OFFSET(BD_COMERCIAL!$I$5,0,0,$S$26,1),"Trading")</f>
        <v>-35</v>
      </c>
      <c r="AF3" s="86">
        <f ca="1">SUMIFS(OFFSET(BD_COMERCIAL!AH$5,0,0,$S$26,1),OFFSET(BD_COMERCIAL!$L$5,0,0,$S$26,1),"SE",OFFSET(BD_COMERCIAL!$FC$5,0,0,$S$26,1),"C",OFFSET(BD_COMERCIAL!$Q$5,0,0,$S$26,1),"Fixo",OFFSET(BD_COMERCIAL!$I$5,0,0,$S$26,1),"Trading")-SUMIFS(OFFSET(BD_COMERCIAL!AH$5,0,0,$S$26,1),OFFSET(BD_COMERCIAL!$L$5,0,0,$S$26,1),"SE",OFFSET(BD_COMERCIAL!$FC$5,0,0,$S$26,1),"V",OFFSET(BD_COMERCIAL!$Q$5,0,0,$S$26,1),"Fixo",OFFSET(BD_COMERCIAL!$I$5,0,0,$S$26,1),"Trading")</f>
        <v>-31.5</v>
      </c>
      <c r="AG3" s="86">
        <f ca="1">SUMIFS(OFFSET(BD_COMERCIAL!AI$5,0,0,$S$26,1),OFFSET(BD_COMERCIAL!$L$5,0,0,$S$26,1),"SE",OFFSET(BD_COMERCIAL!$FC$5,0,0,$S$26,1),"C",OFFSET(BD_COMERCIAL!$Q$5,0,0,$S$26,1),"Fixo",OFFSET(BD_COMERCIAL!$I$5,0,0,$S$26,1),"Trading")-SUMIFS(OFFSET(BD_COMERCIAL!AI$5,0,0,$S$26,1),OFFSET(BD_COMERCIAL!$L$5,0,0,$S$26,1),"SE",OFFSET(BD_COMERCIAL!$FC$5,0,0,$S$26,1),"V",OFFSET(BD_COMERCIAL!$Q$5,0,0,$S$26,1),"Fixo",OFFSET(BD_COMERCIAL!$I$5,0,0,$S$26,1),"Trading")</f>
        <v>-26.5</v>
      </c>
      <c r="AH3" s="86">
        <f ca="1">SUMIFS(OFFSET(BD_COMERCIAL!AJ$5,0,0,$S$26,1),OFFSET(BD_COMERCIAL!$L$5,0,0,$S$26,1),"SE",OFFSET(BD_COMERCIAL!$FC$5,0,0,$S$26,1),"C",OFFSET(BD_COMERCIAL!$Q$5,0,0,$S$26,1),"Fixo",OFFSET(BD_COMERCIAL!$I$5,0,0,$S$26,1),"Trading")-SUMIFS(OFFSET(BD_COMERCIAL!AJ$5,0,0,$S$26,1),OFFSET(BD_COMERCIAL!$L$5,0,0,$S$26,1),"SE",OFFSET(BD_COMERCIAL!$FC$5,0,0,$S$26,1),"V",OFFSET(BD_COMERCIAL!$Q$5,0,0,$S$26,1),"Fixo",OFFSET(BD_COMERCIAL!$I$5,0,0,$S$26,1),"Trading")</f>
        <v>-26.5</v>
      </c>
      <c r="AI3" s="86">
        <f ca="1">SUMIFS(OFFSET(BD_COMERCIAL!AK$5,0,0,$S$26,1),OFFSET(BD_COMERCIAL!$L$5,0,0,$S$26,1),"SE",OFFSET(BD_COMERCIAL!$FC$5,0,0,$S$26,1),"C",OFFSET(BD_COMERCIAL!$Q$5,0,0,$S$26,1),"Fixo",OFFSET(BD_COMERCIAL!$I$5,0,0,$S$26,1),"Trading")-SUMIFS(OFFSET(BD_COMERCIAL!AK$5,0,0,$S$26,1),OFFSET(BD_COMERCIAL!$L$5,0,0,$S$26,1),"SE",OFFSET(BD_COMERCIAL!$FC$5,0,0,$S$26,1),"V",OFFSET(BD_COMERCIAL!$Q$5,0,0,$S$26,1),"Fixo",OFFSET(BD_COMERCIAL!$I$5,0,0,$S$26,1),"Trading")</f>
        <v>-14.809999999999999</v>
      </c>
      <c r="AJ3" s="86">
        <f ca="1">SUMIFS(OFFSET(BD_COMERCIAL!AL$5,0,0,$S$26,1),OFFSET(BD_COMERCIAL!$L$5,0,0,$S$26,1),"SE",OFFSET(BD_COMERCIAL!$FC$5,0,0,$S$26,1),"C",OFFSET(BD_COMERCIAL!$Q$5,0,0,$S$26,1),"Fixo",OFFSET(BD_COMERCIAL!$I$5,0,0,$S$26,1),"Trading")-SUMIFS(OFFSET(BD_COMERCIAL!AL$5,0,0,$S$26,1),OFFSET(BD_COMERCIAL!$L$5,0,0,$S$26,1),"SE",OFFSET(BD_COMERCIAL!$FC$5,0,0,$S$26,1),"V",OFFSET(BD_COMERCIAL!$Q$5,0,0,$S$26,1),"Fixo",OFFSET(BD_COMERCIAL!$I$5,0,0,$S$26,1),"Trading")</f>
        <v>-16</v>
      </c>
      <c r="AK3" s="86">
        <f ca="1">SUMIFS(OFFSET(BD_COMERCIAL!AM$5,0,0,$S$26,1),OFFSET(BD_COMERCIAL!$L$5,0,0,$S$26,1),"SE",OFFSET(BD_COMERCIAL!$FC$5,0,0,$S$26,1),"C",OFFSET(BD_COMERCIAL!$Q$5,0,0,$S$26,1),"Fixo",OFFSET(BD_COMERCIAL!$I$5,0,0,$S$26,1),"Trading")-SUMIFS(OFFSET(BD_COMERCIAL!AM$5,0,0,$S$26,1),OFFSET(BD_COMERCIAL!$L$5,0,0,$S$26,1),"SE",OFFSET(BD_COMERCIAL!$FC$5,0,0,$S$26,1),"V",OFFSET(BD_COMERCIAL!$Q$5,0,0,$S$26,1),"Fixo",OFFSET(BD_COMERCIAL!$I$5,0,0,$S$26,1),"Trading")</f>
        <v>-12</v>
      </c>
      <c r="AM3" s="85" t="s">
        <v>64</v>
      </c>
      <c r="AN3" s="86">
        <f ca="1">SUMIFS(OFFSET(BD_COMERCIAL!AB$5,0,0,$S$26,1),OFFSET(BD_COMERCIAL!$L$5,0,0,$S$26,1),"SE",OFFSET(BD_COMERCIAL!$FC$5,0,0,$S$26,1),"C",OFFSET(BD_COMERCIAL!$Q$5,0,0,$S$26,1),"PLD + Spread",OFFSET(BD_COMERCIAL!$I$5,0,0,$S$26,1),"Trading")-SUMIFS(OFFSET(BD_COMERCIAL!AB$5,0,0,$S$26,1),OFFSET(BD_COMERCIAL!$L$5,0,0,$S$26,1),"SE",OFFSET(BD_COMERCIAL!$FC$5,0,0,$S$26,1),"V",OFFSET(BD_COMERCIAL!$Q$5,0,0,$S$26,1),"PLD + Spread",OFFSET(BD_COMERCIAL!$I$5,0,0,$S$26,1),"Trading")</f>
        <v>0</v>
      </c>
      <c r="AO3" s="86">
        <f ca="1">SUMIFS(OFFSET(BD_COMERCIAL!AC$5,0,0,$S$26,1),OFFSET(BD_COMERCIAL!$L$5,0,0,$S$26,1),"SE",OFFSET(BD_COMERCIAL!$FC$5,0,0,$S$26,1),"C",OFFSET(BD_COMERCIAL!$Q$5,0,0,$S$26,1),"PLD + Spread",OFFSET(BD_COMERCIAL!$I$5,0,0,$S$26,1),"Trading")-SUMIFS(OFFSET(BD_COMERCIAL!AC$5,0,0,$S$26,1),OFFSET(BD_COMERCIAL!$L$5,0,0,$S$26,1),"SE",OFFSET(BD_COMERCIAL!$FC$5,0,0,$S$26,1),"V",OFFSET(BD_COMERCIAL!$Q$5,0,0,$S$26,1),"PLD + Spread",OFFSET(BD_COMERCIAL!$I$5,0,0,$S$26,1),"Trading")</f>
        <v>0</v>
      </c>
      <c r="AP3" s="86">
        <f ca="1">SUMIFS(OFFSET(BD_COMERCIAL!AD$5,0,0,$S$26,1),OFFSET(BD_COMERCIAL!$L$5,0,0,$S$26,1),"SE",OFFSET(BD_COMERCIAL!$FC$5,0,0,$S$26,1),"C",OFFSET(BD_COMERCIAL!$Q$5,0,0,$S$26,1),"PLD + Spread",OFFSET(BD_COMERCIAL!$I$5,0,0,$S$26,1),"Trading")-SUMIFS(OFFSET(BD_COMERCIAL!AD$5,0,0,$S$26,1),OFFSET(BD_COMERCIAL!$L$5,0,0,$S$26,1),"SE",OFFSET(BD_COMERCIAL!$FC$5,0,0,$S$26,1),"V",OFFSET(BD_COMERCIAL!$Q$5,0,0,$S$26,1),"PLD + Spread",OFFSET(BD_COMERCIAL!$I$5,0,0,$S$26,1),"Trading")</f>
        <v>0</v>
      </c>
      <c r="AQ3" s="86">
        <f ca="1">SUMIFS(OFFSET(BD_COMERCIAL!AE$5,0,0,$S$26,1),OFFSET(BD_COMERCIAL!$L$5,0,0,$S$26,1),"SE",OFFSET(BD_COMERCIAL!$FC$5,0,0,$S$26,1),"C",OFFSET(BD_COMERCIAL!$Q$5,0,0,$S$26,1),"PLD + Spread",OFFSET(BD_COMERCIAL!$I$5,0,0,$S$26,1),"Trading")-SUMIFS(OFFSET(BD_COMERCIAL!AE$5,0,0,$S$26,1),OFFSET(BD_COMERCIAL!$L$5,0,0,$S$26,1),"SE",OFFSET(BD_COMERCIAL!$FC$5,0,0,$S$26,1),"V",OFFSET(BD_COMERCIAL!$Q$5,0,0,$S$26,1),"PLD + Spread",OFFSET(BD_COMERCIAL!$I$5,0,0,$S$26,1),"Trading")</f>
        <v>0</v>
      </c>
      <c r="AR3" s="86">
        <f ca="1">SUMIFS(OFFSET(BD_COMERCIAL!AF$5,0,0,$S$26,1),OFFSET(BD_COMERCIAL!$L$5,0,0,$S$26,1),"SE",OFFSET(BD_COMERCIAL!$FC$5,0,0,$S$26,1),"C",OFFSET(BD_COMERCIAL!$Q$5,0,0,$S$26,1),"PLD + Spread",OFFSET(BD_COMERCIAL!$I$5,0,0,$S$26,1),"Trading")-SUMIFS(OFFSET(BD_COMERCIAL!AF$5,0,0,$S$26,1),OFFSET(BD_COMERCIAL!$L$5,0,0,$S$26,1),"SE",OFFSET(BD_COMERCIAL!$FC$5,0,0,$S$26,1),"V",OFFSET(BD_COMERCIAL!$Q$5,0,0,$S$26,1),"PLD + Spread",OFFSET(BD_COMERCIAL!$I$5,0,0,$S$26,1),"Trading")</f>
        <v>0</v>
      </c>
      <c r="AS3" s="86">
        <f ca="1">SUMIFS(OFFSET(BD_COMERCIAL!AG$5,0,0,$S$26,1),OFFSET(BD_COMERCIAL!$L$5,0,0,$S$26,1),"SE",OFFSET(BD_COMERCIAL!$FC$5,0,0,$S$26,1),"C",OFFSET(BD_COMERCIAL!$Q$5,0,0,$S$26,1),"PLD + Spread",OFFSET(BD_COMERCIAL!$I$5,0,0,$S$26,1),"Trading")-SUMIFS(OFFSET(BD_COMERCIAL!AG$5,0,0,$S$26,1),OFFSET(BD_COMERCIAL!$L$5,0,0,$S$26,1),"SE",OFFSET(BD_COMERCIAL!$FC$5,0,0,$S$26,1),"V",OFFSET(BD_COMERCIAL!$Q$5,0,0,$S$26,1),"PLD + Spread",OFFSET(BD_COMERCIAL!$I$5,0,0,$S$26,1),"Trading")</f>
        <v>0</v>
      </c>
      <c r="AT3" s="86">
        <f ca="1">SUMIFS(OFFSET(BD_COMERCIAL!AH$5,0,0,$S$26,1),OFFSET(BD_COMERCIAL!$L$5,0,0,$S$26,1),"SE",OFFSET(BD_COMERCIAL!$FC$5,0,0,$S$26,1),"C",OFFSET(BD_COMERCIAL!$Q$5,0,0,$S$26,1),"PLD + Spread",OFFSET(BD_COMERCIAL!$I$5,0,0,$S$26,1),"Trading")-SUMIFS(OFFSET(BD_COMERCIAL!AH$5,0,0,$S$26,1),OFFSET(BD_COMERCIAL!$L$5,0,0,$S$26,1),"SE",OFFSET(BD_COMERCIAL!$FC$5,0,0,$S$26,1),"V",OFFSET(BD_COMERCIAL!$Q$5,0,0,$S$26,1),"PLD + Spread",OFFSET(BD_COMERCIAL!$I$5,0,0,$S$26,1),"Trading")</f>
        <v>0</v>
      </c>
      <c r="AU3" s="86">
        <f ca="1">SUMIFS(OFFSET(BD_COMERCIAL!AI$5,0,0,$S$26,1),OFFSET(BD_COMERCIAL!$L$5,0,0,$S$26,1),"SE",OFFSET(BD_COMERCIAL!$FC$5,0,0,$S$26,1),"C",OFFSET(BD_COMERCIAL!$Q$5,0,0,$S$26,1),"PLD + Spread",OFFSET(BD_COMERCIAL!$I$5,0,0,$S$26,1),"Trading")-SUMIFS(OFFSET(BD_COMERCIAL!AI$5,0,0,$S$26,1),OFFSET(BD_COMERCIAL!$L$5,0,0,$S$26,1),"SE",OFFSET(BD_COMERCIAL!$FC$5,0,0,$S$26,1),"V",OFFSET(BD_COMERCIAL!$Q$5,0,0,$S$26,1),"PLD + Spread",OFFSET(BD_COMERCIAL!$I$5,0,0,$S$26,1),"Trading")</f>
        <v>0</v>
      </c>
      <c r="AV3" s="86">
        <f ca="1">SUMIFS(OFFSET(BD_COMERCIAL!AJ$5,0,0,$S$26,1),OFFSET(BD_COMERCIAL!$L$5,0,0,$S$26,1),"SE",OFFSET(BD_COMERCIAL!$FC$5,0,0,$S$26,1),"C",OFFSET(BD_COMERCIAL!$Q$5,0,0,$S$26,1),"PLD + Spread",OFFSET(BD_COMERCIAL!$I$5,0,0,$S$26,1),"Trading")-SUMIFS(OFFSET(BD_COMERCIAL!AJ$5,0,0,$S$26,1),OFFSET(BD_COMERCIAL!$L$5,0,0,$S$26,1),"SE",OFFSET(BD_COMERCIAL!$FC$5,0,0,$S$26,1),"V",OFFSET(BD_COMERCIAL!$Q$5,0,0,$S$26,1),"PLD + Spread",OFFSET(BD_COMERCIAL!$I$5,0,0,$S$26,1),"Trading")</f>
        <v>0</v>
      </c>
      <c r="AW3" s="86">
        <f ca="1">SUMIFS(OFFSET(BD_COMERCIAL!AK$5,0,0,$S$26,1),OFFSET(BD_COMERCIAL!$L$5,0,0,$S$26,1),"SE",OFFSET(BD_COMERCIAL!$FC$5,0,0,$S$26,1),"C",OFFSET(BD_COMERCIAL!$Q$5,0,0,$S$26,1),"PLD + Spread",OFFSET(BD_COMERCIAL!$I$5,0,0,$S$26,1),"Trading")-SUMIFS(OFFSET(BD_COMERCIAL!AK$5,0,0,$S$26,1),OFFSET(BD_COMERCIAL!$L$5,0,0,$S$26,1),"SE",OFFSET(BD_COMERCIAL!$FC$5,0,0,$S$26,1),"V",OFFSET(BD_COMERCIAL!$Q$5,0,0,$S$26,1),"PLD + Spread",OFFSET(BD_COMERCIAL!$I$5,0,0,$S$26,1),"Trading")</f>
        <v>0</v>
      </c>
      <c r="AX3" s="86">
        <f ca="1">SUMIFS(OFFSET(BD_COMERCIAL!AL$5,0,0,$S$26,1),OFFSET(BD_COMERCIAL!$L$5,0,0,$S$26,1),"SE",OFFSET(BD_COMERCIAL!$FC$5,0,0,$S$26,1),"C",OFFSET(BD_COMERCIAL!$Q$5,0,0,$S$26,1),"PLD + Spread",OFFSET(BD_COMERCIAL!$I$5,0,0,$S$26,1),"Trading")-SUMIFS(OFFSET(BD_COMERCIAL!AL$5,0,0,$S$26,1),OFFSET(BD_COMERCIAL!$L$5,0,0,$S$26,1),"SE",OFFSET(BD_COMERCIAL!$FC$5,0,0,$S$26,1),"V",OFFSET(BD_COMERCIAL!$Q$5,0,0,$S$26,1),"PLD + Spread",OFFSET(BD_COMERCIAL!$I$5,0,0,$S$26,1),"Trading")</f>
        <v>0</v>
      </c>
      <c r="AY3" s="86">
        <f ca="1">SUMIFS(OFFSET(BD_COMERCIAL!AM$5,0,0,$S$26,1),OFFSET(BD_COMERCIAL!$L$5,0,0,$S$26,1),"SE",OFFSET(BD_COMERCIAL!$FC$5,0,0,$S$26,1),"C",OFFSET(BD_COMERCIAL!$Q$5,0,0,$S$26,1),"PLD + Spread",OFFSET(BD_COMERCIAL!$I$5,0,0,$S$26,1),"Trading")-SUMIFS(OFFSET(BD_COMERCIAL!AM$5,0,0,$S$26,1),OFFSET(BD_COMERCIAL!$L$5,0,0,$S$26,1),"SE",OFFSET(BD_COMERCIAL!$FC$5,0,0,$S$26,1),"V",OFFSET(BD_COMERCIAL!$Q$5,0,0,$S$26,1),"PLD + Spread",OFFSET(BD_COMERCIAL!$I$5,0,0,$S$26,1),"Trading")</f>
        <v>0</v>
      </c>
      <c r="BA3" s="85" t="s">
        <v>64</v>
      </c>
      <c r="BB3" s="86">
        <f ca="1">AN3+Z3</f>
        <v>-13.666667000000004</v>
      </c>
      <c r="BC3" s="86">
        <f t="shared" ref="BC3:BC16" ca="1" si="1">AO3+AA3</f>
        <v>-2.8666670000000067</v>
      </c>
      <c r="BD3" s="86">
        <f t="shared" ref="BD3:BD16" ca="1" si="2">AP3+AB3</f>
        <v>-0.1666670000000039</v>
      </c>
      <c r="BE3" s="86">
        <f t="shared" ref="BE3:BE16" ca="1" si="3">AQ3+AC3</f>
        <v>-15.420000000000002</v>
      </c>
      <c r="BF3" s="86">
        <f t="shared" ref="BF3:BF16" ca="1" si="4">AR3+AD3</f>
        <v>-34.64</v>
      </c>
      <c r="BG3" s="86">
        <f t="shared" ref="BG3:BG15" ca="1" si="5">AS3+AE3</f>
        <v>-35</v>
      </c>
      <c r="BH3" s="86">
        <f t="shared" ref="BH3:BH16" ca="1" si="6">AT3+AF3</f>
        <v>-31.5</v>
      </c>
      <c r="BI3" s="86">
        <f t="shared" ref="BI3:BI16" ca="1" si="7">AU3+AG3</f>
        <v>-26.5</v>
      </c>
      <c r="BJ3" s="86">
        <f t="shared" ref="BJ3:BJ16" ca="1" si="8">AV3+AH3</f>
        <v>-26.5</v>
      </c>
      <c r="BK3" s="86">
        <f t="shared" ref="BK3:BK16" ca="1" si="9">AW3+AI3</f>
        <v>-14.809999999999999</v>
      </c>
      <c r="BL3" s="86">
        <f t="shared" ref="BL3:BL16" ca="1" si="10">AX3+AJ3</f>
        <v>-16</v>
      </c>
      <c r="BM3" s="86">
        <f t="shared" ref="BM3:BM16" ca="1" si="11">AY3+AK3</f>
        <v>-12</v>
      </c>
    </row>
    <row r="4" spans="2:65" s="17" customFormat="1" ht="15" customHeight="1" x14ac:dyDescent="0.35">
      <c r="B4" s="296"/>
      <c r="C4" s="51" t="s">
        <v>27</v>
      </c>
      <c r="D4" s="67">
        <v>192.1</v>
      </c>
      <c r="E4" s="44">
        <f t="shared" si="0"/>
        <v>192.1</v>
      </c>
      <c r="F4" s="44">
        <f t="shared" si="0"/>
        <v>192.1</v>
      </c>
      <c r="G4" s="44">
        <f t="shared" si="0"/>
        <v>192.1</v>
      </c>
      <c r="H4" s="44">
        <f t="shared" si="0"/>
        <v>192.1</v>
      </c>
      <c r="I4" s="44">
        <f t="shared" si="0"/>
        <v>192.1</v>
      </c>
      <c r="J4" s="44">
        <f t="shared" si="0"/>
        <v>192.1</v>
      </c>
      <c r="K4" s="44">
        <f t="shared" si="0"/>
        <v>192.1</v>
      </c>
      <c r="L4" s="44">
        <f t="shared" si="0"/>
        <v>192.1</v>
      </c>
      <c r="M4" s="44">
        <f t="shared" si="0"/>
        <v>192.1</v>
      </c>
      <c r="N4" s="44">
        <f t="shared" si="0"/>
        <v>192.1</v>
      </c>
      <c r="O4" s="44">
        <f t="shared" si="0"/>
        <v>192.1</v>
      </c>
      <c r="P4" s="50">
        <f>P9-30</f>
        <v>190</v>
      </c>
      <c r="Y4" s="85" t="s">
        <v>65</v>
      </c>
      <c r="Z4" s="86">
        <f ca="1">SUMIFS(OFFSET(BD_COMERCIAL!AB$5,0,0,$S$26,1),OFFSET(BD_COMERCIAL!$L$5,0,0,$S$26,1),"S",OFFSET(BD_COMERCIAL!$FC$5,0,0,$S$26,1),"C",OFFSET(BD_COMERCIAL!$Q$5,0,0,$S$26,1),"Fixo",OFFSET(BD_COMERCIAL!$I$5,0,0,$S$26,1),"Trading")-SUMIFS(OFFSET(BD_COMERCIAL!AB$5,0,0,$S$26,1),OFFSET(BD_COMERCIAL!$L$5,0,0,$S$26,1),"S",OFFSET(BD_COMERCIAL!$FC$5,0,0,$S$26,1),"V",OFFSET(BD_COMERCIAL!$Q$5,0,0,$S$26,1),"Fixo",OFFSET(BD_COMERCIAL!$I$5,0,0,$S$26,1),"Trading")</f>
        <v>0</v>
      </c>
      <c r="AA4" s="86">
        <f ca="1">SUMIFS(OFFSET(BD_COMERCIAL!AC$5,0,0,$S$26,1),OFFSET(BD_COMERCIAL!$L$5,0,0,$S$26,1),"S",OFFSET(BD_COMERCIAL!$FC$5,0,0,$S$26,1),"C",OFFSET(BD_COMERCIAL!$Q$5,0,0,$S$26,1),"Fixo",OFFSET(BD_COMERCIAL!$I$5,0,0,$S$26,1),"Trading")-SUMIFS(OFFSET(BD_COMERCIAL!AC$5,0,0,$S$26,1),OFFSET(BD_COMERCIAL!$L$5,0,0,$S$26,1),"S",OFFSET(BD_COMERCIAL!$FC$5,0,0,$S$26,1),"V",OFFSET(BD_COMERCIAL!$Q$5,0,0,$S$26,1),"Fixo",OFFSET(BD_COMERCIAL!$I$5,0,0,$S$26,1),"Trading")</f>
        <v>0</v>
      </c>
      <c r="AB4" s="86">
        <f ca="1">SUMIFS(OFFSET(BD_COMERCIAL!AD$5,0,0,$S$26,1),OFFSET(BD_COMERCIAL!$L$5,0,0,$S$26,1),"S",OFFSET(BD_COMERCIAL!$FC$5,0,0,$S$26,1),"C",OFFSET(BD_COMERCIAL!$Q$5,0,0,$S$26,1),"Fixo",OFFSET(BD_COMERCIAL!$I$5,0,0,$S$26,1),"Trading")-SUMIFS(OFFSET(BD_COMERCIAL!AD$5,0,0,$S$26,1),OFFSET(BD_COMERCIAL!$L$5,0,0,$S$26,1),"S",OFFSET(BD_COMERCIAL!$FC$5,0,0,$S$26,1),"V",OFFSET(BD_COMERCIAL!$Q$5,0,0,$S$26,1),"Fixo",OFFSET(BD_COMERCIAL!$I$5,0,0,$S$26,1),"Trading")</f>
        <v>0</v>
      </c>
      <c r="AC4" s="86">
        <f ca="1">SUMIFS(OFFSET(BD_COMERCIAL!AE$5,0,0,$S$26,1),OFFSET(BD_COMERCIAL!$L$5,0,0,$S$26,1),"S",OFFSET(BD_COMERCIAL!$FC$5,0,0,$S$26,1),"C",OFFSET(BD_COMERCIAL!$Q$5,0,0,$S$26,1),"Fixo",OFFSET(BD_COMERCIAL!$I$5,0,0,$S$26,1),"Trading")-SUMIFS(OFFSET(BD_COMERCIAL!AE$5,0,0,$S$26,1),OFFSET(BD_COMERCIAL!$L$5,0,0,$S$26,1),"S",OFFSET(BD_COMERCIAL!$FC$5,0,0,$S$26,1),"V",OFFSET(BD_COMERCIAL!$Q$5,0,0,$S$26,1),"Fixo",OFFSET(BD_COMERCIAL!$I$5,0,0,$S$26,1),"Trading")</f>
        <v>0</v>
      </c>
      <c r="AD4" s="86">
        <f ca="1">SUMIFS(OFFSET(BD_COMERCIAL!AF$5,0,0,$S$26,1),OFFSET(BD_COMERCIAL!$L$5,0,0,$S$26,1),"S",OFFSET(BD_COMERCIAL!$FC$5,0,0,$S$26,1),"C",OFFSET(BD_COMERCIAL!$Q$5,0,0,$S$26,1),"Fixo",OFFSET(BD_COMERCIAL!$I$5,0,0,$S$26,1),"Trading")-SUMIFS(OFFSET(BD_COMERCIAL!AF$5,0,0,$S$26,1),OFFSET(BD_COMERCIAL!$L$5,0,0,$S$26,1),"S",OFFSET(BD_COMERCIAL!$FC$5,0,0,$S$26,1),"V",OFFSET(BD_COMERCIAL!$Q$5,0,0,$S$26,1),"Fixo",OFFSET(BD_COMERCIAL!$I$5,0,0,$S$26,1),"Trading")</f>
        <v>0</v>
      </c>
      <c r="AE4" s="86">
        <f ca="1">SUMIFS(OFFSET(BD_COMERCIAL!AG$5,0,0,$S$26,1),OFFSET(BD_COMERCIAL!$L$5,0,0,$S$26,1),"S",OFFSET(BD_COMERCIAL!$FC$5,0,0,$S$26,1),"C",OFFSET(BD_COMERCIAL!$Q$5,0,0,$S$26,1),"Fixo",OFFSET(BD_COMERCIAL!$I$5,0,0,$S$26,1),"Trading")-SUMIFS(OFFSET(BD_COMERCIAL!AG$5,0,0,$S$26,1),OFFSET(BD_COMERCIAL!$L$5,0,0,$S$26,1),"S",OFFSET(BD_COMERCIAL!$FC$5,0,0,$S$26,1),"V",OFFSET(BD_COMERCIAL!$Q$5,0,0,$S$26,1),"Fixo",OFFSET(BD_COMERCIAL!$I$5,0,0,$S$26,1),"Trading")</f>
        <v>0</v>
      </c>
      <c r="AF4" s="86">
        <f ca="1">SUMIFS(OFFSET(BD_COMERCIAL!AH$5,0,0,$S$26,1),OFFSET(BD_COMERCIAL!$L$5,0,0,$S$26,1),"S",OFFSET(BD_COMERCIAL!$FC$5,0,0,$S$26,1),"C",OFFSET(BD_COMERCIAL!$Q$5,0,0,$S$26,1),"Fixo",OFFSET(BD_COMERCIAL!$I$5,0,0,$S$26,1),"Trading")-SUMIFS(OFFSET(BD_COMERCIAL!AH$5,0,0,$S$26,1),OFFSET(BD_COMERCIAL!$L$5,0,0,$S$26,1),"S",OFFSET(BD_COMERCIAL!$FC$5,0,0,$S$26,1),"V",OFFSET(BD_COMERCIAL!$Q$5,0,0,$S$26,1),"Fixo",OFFSET(BD_COMERCIAL!$I$5,0,0,$S$26,1),"Trading")</f>
        <v>0</v>
      </c>
      <c r="AG4" s="86">
        <f ca="1">SUMIFS(OFFSET(BD_COMERCIAL!AI$5,0,0,$S$26,1),OFFSET(BD_COMERCIAL!$L$5,0,0,$S$26,1),"S",OFFSET(BD_COMERCIAL!$FC$5,0,0,$S$26,1),"C",OFFSET(BD_COMERCIAL!$Q$5,0,0,$S$26,1),"Fixo",OFFSET(BD_COMERCIAL!$I$5,0,0,$S$26,1),"Trading")-SUMIFS(OFFSET(BD_COMERCIAL!AI$5,0,0,$S$26,1),OFFSET(BD_COMERCIAL!$L$5,0,0,$S$26,1),"S",OFFSET(BD_COMERCIAL!$FC$5,0,0,$S$26,1),"V",OFFSET(BD_COMERCIAL!$Q$5,0,0,$S$26,1),"Fixo",OFFSET(BD_COMERCIAL!$I$5,0,0,$S$26,1),"Trading")</f>
        <v>0</v>
      </c>
      <c r="AH4" s="86">
        <f ca="1">SUMIFS(OFFSET(BD_COMERCIAL!AJ$5,0,0,$S$26,1),OFFSET(BD_COMERCIAL!$L$5,0,0,$S$26,1),"S",OFFSET(BD_COMERCIAL!$FC$5,0,0,$S$26,1),"C",OFFSET(BD_COMERCIAL!$Q$5,0,0,$S$26,1),"Fixo",OFFSET(BD_COMERCIAL!$I$5,0,0,$S$26,1),"Trading")-SUMIFS(OFFSET(BD_COMERCIAL!AJ$5,0,0,$S$26,1),OFFSET(BD_COMERCIAL!$L$5,0,0,$S$26,1),"S",OFFSET(BD_COMERCIAL!$FC$5,0,0,$S$26,1),"V",OFFSET(BD_COMERCIAL!$Q$5,0,0,$S$26,1),"Fixo",OFFSET(BD_COMERCIAL!$I$5,0,0,$S$26,1),"Trading")</f>
        <v>0</v>
      </c>
      <c r="AI4" s="86">
        <f ca="1">SUMIFS(OFFSET(BD_COMERCIAL!AK$5,0,0,$S$26,1),OFFSET(BD_COMERCIAL!$L$5,0,0,$S$26,1),"S",OFFSET(BD_COMERCIAL!$FC$5,0,0,$S$26,1),"C",OFFSET(BD_COMERCIAL!$Q$5,0,0,$S$26,1),"Fixo",OFFSET(BD_COMERCIAL!$I$5,0,0,$S$26,1),"Trading")-SUMIFS(OFFSET(BD_COMERCIAL!AK$5,0,0,$S$26,1),OFFSET(BD_COMERCIAL!$L$5,0,0,$S$26,1),"S",OFFSET(BD_COMERCIAL!$FC$5,0,0,$S$26,1),"V",OFFSET(BD_COMERCIAL!$Q$5,0,0,$S$26,1),"Fixo",OFFSET(BD_COMERCIAL!$I$5,0,0,$S$26,1),"Trading")</f>
        <v>0</v>
      </c>
      <c r="AJ4" s="86">
        <f ca="1">SUMIFS(OFFSET(BD_COMERCIAL!AL$5,0,0,$S$26,1),OFFSET(BD_COMERCIAL!$L$5,0,0,$S$26,1),"S",OFFSET(BD_COMERCIAL!$FC$5,0,0,$S$26,1),"C",OFFSET(BD_COMERCIAL!$Q$5,0,0,$S$26,1),"Fixo",OFFSET(BD_COMERCIAL!$I$5,0,0,$S$26,1),"Trading")-SUMIFS(OFFSET(BD_COMERCIAL!AL$5,0,0,$S$26,1),OFFSET(BD_COMERCIAL!$L$5,0,0,$S$26,1),"S",OFFSET(BD_COMERCIAL!$FC$5,0,0,$S$26,1),"V",OFFSET(BD_COMERCIAL!$Q$5,0,0,$S$26,1),"Fixo",OFFSET(BD_COMERCIAL!$I$5,0,0,$S$26,1),"Trading")</f>
        <v>0</v>
      </c>
      <c r="AK4" s="86">
        <f ca="1">SUMIFS(OFFSET(BD_COMERCIAL!AM$5,0,0,$S$26,1),OFFSET(BD_COMERCIAL!$L$5,0,0,$S$26,1),"S",OFFSET(BD_COMERCIAL!$FC$5,0,0,$S$26,1),"C",OFFSET(BD_COMERCIAL!$Q$5,0,0,$S$26,1),"Fixo",OFFSET(BD_COMERCIAL!$I$5,0,0,$S$26,1),"Trading")-SUMIFS(OFFSET(BD_COMERCIAL!AM$5,0,0,$S$26,1),OFFSET(BD_COMERCIAL!$L$5,0,0,$S$26,1),"S",OFFSET(BD_COMERCIAL!$FC$5,0,0,$S$26,1),"V",OFFSET(BD_COMERCIAL!$Q$5,0,0,$S$26,1),"Fixo",OFFSET(BD_COMERCIAL!$I$5,0,0,$S$26,1),"Trading")</f>
        <v>0</v>
      </c>
      <c r="AM4" s="85" t="s">
        <v>65</v>
      </c>
      <c r="AN4" s="86">
        <f ca="1">SUMIFS(OFFSET(BD_COMERCIAL!AB$5,0,0,$S$26,1),OFFSET(BD_COMERCIAL!$L$5,0,0,$S$26,1),"S",OFFSET(BD_COMERCIAL!$FC$5,0,0,$S$26,1),"C",OFFSET(BD_COMERCIAL!$Q$5,0,0,$S$26,1),"PLD + Spread",OFFSET(BD_COMERCIAL!$I$5,0,0,$S$26,1),"Trading")-SUMIFS(OFFSET(BD_COMERCIAL!AB$5,0,0,$S$26,1),OFFSET(BD_COMERCIAL!$L$5,0,0,$S$26,1),"S",OFFSET(BD_COMERCIAL!$FC$5,0,0,$S$26,1),"V",OFFSET(BD_COMERCIAL!$Q$5,0,0,$S$26,1),"PLD + Spread",OFFSET(BD_COMERCIAL!$I$5,0,0,$S$26,1),"Trading")</f>
        <v>0</v>
      </c>
      <c r="AO4" s="86">
        <f ca="1">SUMIFS(OFFSET(BD_COMERCIAL!AC$5,0,0,$S$26,1),OFFSET(BD_COMERCIAL!$L$5,0,0,$S$26,1),"S",OFFSET(BD_COMERCIAL!$FC$5,0,0,$S$26,1),"C",OFFSET(BD_COMERCIAL!$Q$5,0,0,$S$26,1),"PLD + Spread",OFFSET(BD_COMERCIAL!$I$5,0,0,$S$26,1),"Trading")-SUMIFS(OFFSET(BD_COMERCIAL!AC$5,0,0,$S$26,1),OFFSET(BD_COMERCIAL!$L$5,0,0,$S$26,1),"S",OFFSET(BD_COMERCIAL!$FC$5,0,0,$S$26,1),"V",OFFSET(BD_COMERCIAL!$Q$5,0,0,$S$26,1),"PLD + Spread",OFFSET(BD_COMERCIAL!$I$5,0,0,$S$26,1),"Trading")</f>
        <v>0</v>
      </c>
      <c r="AP4" s="86">
        <f ca="1">SUMIFS(OFFSET(BD_COMERCIAL!AD$5,0,0,$S$26,1),OFFSET(BD_COMERCIAL!$L$5,0,0,$S$26,1),"S",OFFSET(BD_COMERCIAL!$FC$5,0,0,$S$26,1),"C",OFFSET(BD_COMERCIAL!$Q$5,0,0,$S$26,1),"PLD + Spread",OFFSET(BD_COMERCIAL!$I$5,0,0,$S$26,1),"Trading")-SUMIFS(OFFSET(BD_COMERCIAL!AD$5,0,0,$S$26,1),OFFSET(BD_COMERCIAL!$L$5,0,0,$S$26,1),"S",OFFSET(BD_COMERCIAL!$FC$5,0,0,$S$26,1),"V",OFFSET(BD_COMERCIAL!$Q$5,0,0,$S$26,1),"PLD + Spread",OFFSET(BD_COMERCIAL!$I$5,0,0,$S$26,1),"Trading")</f>
        <v>0</v>
      </c>
      <c r="AQ4" s="86">
        <f ca="1">SUMIFS(OFFSET(BD_COMERCIAL!AE$5,0,0,$S$26,1),OFFSET(BD_COMERCIAL!$L$5,0,0,$S$26,1),"S",OFFSET(BD_COMERCIAL!$FC$5,0,0,$S$26,1),"C",OFFSET(BD_COMERCIAL!$Q$5,0,0,$S$26,1),"PLD + Spread",OFFSET(BD_COMERCIAL!$I$5,0,0,$S$26,1),"Trading")-SUMIFS(OFFSET(BD_COMERCIAL!AE$5,0,0,$S$26,1),OFFSET(BD_COMERCIAL!$L$5,0,0,$S$26,1),"S",OFFSET(BD_COMERCIAL!$FC$5,0,0,$S$26,1),"V",OFFSET(BD_COMERCIAL!$Q$5,0,0,$S$26,1),"PLD + Spread",OFFSET(BD_COMERCIAL!$I$5,0,0,$S$26,1),"Trading")</f>
        <v>0</v>
      </c>
      <c r="AR4" s="86">
        <f ca="1">SUMIFS(OFFSET(BD_COMERCIAL!AF$5,0,0,$S$26,1),OFFSET(BD_COMERCIAL!$L$5,0,0,$S$26,1),"S",OFFSET(BD_COMERCIAL!$FC$5,0,0,$S$26,1),"C",OFFSET(BD_COMERCIAL!$Q$5,0,0,$S$26,1),"PLD + Spread",OFFSET(BD_COMERCIAL!$I$5,0,0,$S$26,1),"Trading")-SUMIFS(OFFSET(BD_COMERCIAL!AF$5,0,0,$S$26,1),OFFSET(BD_COMERCIAL!$L$5,0,0,$S$26,1),"S",OFFSET(BD_COMERCIAL!$FC$5,0,0,$S$26,1),"V",OFFSET(BD_COMERCIAL!$Q$5,0,0,$S$26,1),"PLD + Spread",OFFSET(BD_COMERCIAL!$I$5,0,0,$S$26,1),"Trading")</f>
        <v>0</v>
      </c>
      <c r="AS4" s="86">
        <f ca="1">SUMIFS(OFFSET(BD_COMERCIAL!AG$5,0,0,$S$26,1),OFFSET(BD_COMERCIAL!$L$5,0,0,$S$26,1),"S",OFFSET(BD_COMERCIAL!$FC$5,0,0,$S$26,1),"C",OFFSET(BD_COMERCIAL!$Q$5,0,0,$S$26,1),"PLD + Spread",OFFSET(BD_COMERCIAL!$I$5,0,0,$S$26,1),"Trading")-SUMIFS(OFFSET(BD_COMERCIAL!AG$5,0,0,$S$26,1),OFFSET(BD_COMERCIAL!$L$5,0,0,$S$26,1),"S",OFFSET(BD_COMERCIAL!$FC$5,0,0,$S$26,1),"V",OFFSET(BD_COMERCIAL!$Q$5,0,0,$S$26,1),"PLD + Spread",OFFSET(BD_COMERCIAL!$I$5,0,0,$S$26,1),"Trading")</f>
        <v>0</v>
      </c>
      <c r="AT4" s="86">
        <f ca="1">SUMIFS(OFFSET(BD_COMERCIAL!AH$5,0,0,$S$26,1),OFFSET(BD_COMERCIAL!$L$5,0,0,$S$26,1),"S",OFFSET(BD_COMERCIAL!$FC$5,0,0,$S$26,1),"C",OFFSET(BD_COMERCIAL!$Q$5,0,0,$S$26,1),"PLD + Spread",OFFSET(BD_COMERCIAL!$I$5,0,0,$S$26,1),"Trading")-SUMIFS(OFFSET(BD_COMERCIAL!AH$5,0,0,$S$26,1),OFFSET(BD_COMERCIAL!$L$5,0,0,$S$26,1),"S",OFFSET(BD_COMERCIAL!$FC$5,0,0,$S$26,1),"V",OFFSET(BD_COMERCIAL!$Q$5,0,0,$S$26,1),"PLD + Spread",OFFSET(BD_COMERCIAL!$I$5,0,0,$S$26,1),"Trading")</f>
        <v>0</v>
      </c>
      <c r="AU4" s="86">
        <f ca="1">SUMIFS(OFFSET(BD_COMERCIAL!AI$5,0,0,$S$26,1),OFFSET(BD_COMERCIAL!$L$5,0,0,$S$26,1),"S",OFFSET(BD_COMERCIAL!$FC$5,0,0,$S$26,1),"C",OFFSET(BD_COMERCIAL!$Q$5,0,0,$S$26,1),"PLD + Spread",OFFSET(BD_COMERCIAL!$I$5,0,0,$S$26,1),"Trading")-SUMIFS(OFFSET(BD_COMERCIAL!AI$5,0,0,$S$26,1),OFFSET(BD_COMERCIAL!$L$5,0,0,$S$26,1),"S",OFFSET(BD_COMERCIAL!$FC$5,0,0,$S$26,1),"V",OFFSET(BD_COMERCIAL!$Q$5,0,0,$S$26,1),"PLD + Spread",OFFSET(BD_COMERCIAL!$I$5,0,0,$S$26,1),"Trading")</f>
        <v>0</v>
      </c>
      <c r="AV4" s="86">
        <f ca="1">SUMIFS(OFFSET(BD_COMERCIAL!AJ$5,0,0,$S$26,1),OFFSET(BD_COMERCIAL!$L$5,0,0,$S$26,1),"S",OFFSET(BD_COMERCIAL!$FC$5,0,0,$S$26,1),"C",OFFSET(BD_COMERCIAL!$Q$5,0,0,$S$26,1),"PLD + Spread",OFFSET(BD_COMERCIAL!$I$5,0,0,$S$26,1),"Trading")-SUMIFS(OFFSET(BD_COMERCIAL!AJ$5,0,0,$S$26,1),OFFSET(BD_COMERCIAL!$L$5,0,0,$S$26,1),"S",OFFSET(BD_COMERCIAL!$FC$5,0,0,$S$26,1),"V",OFFSET(BD_COMERCIAL!$Q$5,0,0,$S$26,1),"PLD + Spread",OFFSET(BD_COMERCIAL!$I$5,0,0,$S$26,1),"Trading")</f>
        <v>0</v>
      </c>
      <c r="AW4" s="86">
        <f ca="1">SUMIFS(OFFSET(BD_COMERCIAL!AK$5,0,0,$S$26,1),OFFSET(BD_COMERCIAL!$L$5,0,0,$S$26,1),"S",OFFSET(BD_COMERCIAL!$FC$5,0,0,$S$26,1),"C",OFFSET(BD_COMERCIAL!$Q$5,0,0,$S$26,1),"PLD + Spread",OFFSET(BD_COMERCIAL!$I$5,0,0,$S$26,1),"Trading")-SUMIFS(OFFSET(BD_COMERCIAL!AK$5,0,0,$S$26,1),OFFSET(BD_COMERCIAL!$L$5,0,0,$S$26,1),"S",OFFSET(BD_COMERCIAL!$FC$5,0,0,$S$26,1),"V",OFFSET(BD_COMERCIAL!$Q$5,0,0,$S$26,1),"PLD + Spread",OFFSET(BD_COMERCIAL!$I$5,0,0,$S$26,1),"Trading")</f>
        <v>0</v>
      </c>
      <c r="AX4" s="86">
        <f ca="1">SUMIFS(OFFSET(BD_COMERCIAL!AL$5,0,0,$S$26,1),OFFSET(BD_COMERCIAL!$L$5,0,0,$S$26,1),"S",OFFSET(BD_COMERCIAL!$FC$5,0,0,$S$26,1),"C",OFFSET(BD_COMERCIAL!$Q$5,0,0,$S$26,1),"PLD + Spread",OFFSET(BD_COMERCIAL!$I$5,0,0,$S$26,1),"Trading")-SUMIFS(OFFSET(BD_COMERCIAL!AL$5,0,0,$S$26,1),OFFSET(BD_COMERCIAL!$L$5,0,0,$S$26,1),"S",OFFSET(BD_COMERCIAL!$FC$5,0,0,$S$26,1),"V",OFFSET(BD_COMERCIAL!$Q$5,0,0,$S$26,1),"PLD + Spread",OFFSET(BD_COMERCIAL!$I$5,0,0,$S$26,1),"Trading")</f>
        <v>0</v>
      </c>
      <c r="AY4" s="86">
        <f ca="1">SUMIFS(OFFSET(BD_COMERCIAL!AM$5,0,0,$S$26,1),OFFSET(BD_COMERCIAL!$L$5,0,0,$S$26,1),"S",OFFSET(BD_COMERCIAL!$FC$5,0,0,$S$26,1),"C",OFFSET(BD_COMERCIAL!$Q$5,0,0,$S$26,1),"PLD + Spread",OFFSET(BD_COMERCIAL!$I$5,0,0,$S$26,1),"Trading")-SUMIFS(OFFSET(BD_COMERCIAL!AM$5,0,0,$S$26,1),OFFSET(BD_COMERCIAL!$L$5,0,0,$S$26,1),"S",OFFSET(BD_COMERCIAL!$FC$5,0,0,$S$26,1),"V",OFFSET(BD_COMERCIAL!$Q$5,0,0,$S$26,1),"PLD + Spread",OFFSET(BD_COMERCIAL!$I$5,0,0,$S$26,1),"Trading")</f>
        <v>0</v>
      </c>
      <c r="BA4" s="85" t="s">
        <v>65</v>
      </c>
      <c r="BB4" s="86">
        <f t="shared" ref="BB4:BB16" ca="1" si="12">AN4+Z4</f>
        <v>0</v>
      </c>
      <c r="BC4" s="86">
        <f t="shared" ca="1" si="1"/>
        <v>0</v>
      </c>
      <c r="BD4" s="86">
        <f t="shared" ca="1" si="2"/>
        <v>0</v>
      </c>
      <c r="BE4" s="86">
        <f t="shared" ca="1" si="3"/>
        <v>0</v>
      </c>
      <c r="BF4" s="86">
        <f t="shared" ca="1" si="4"/>
        <v>0</v>
      </c>
      <c r="BG4" s="86">
        <f t="shared" ca="1" si="5"/>
        <v>0</v>
      </c>
      <c r="BH4" s="86">
        <f t="shared" ca="1" si="6"/>
        <v>0</v>
      </c>
      <c r="BI4" s="86">
        <f t="shared" ca="1" si="7"/>
        <v>0</v>
      </c>
      <c r="BJ4" s="86">
        <f t="shared" ca="1" si="8"/>
        <v>0</v>
      </c>
      <c r="BK4" s="86">
        <f t="shared" ca="1" si="9"/>
        <v>0</v>
      </c>
      <c r="BL4" s="86">
        <f t="shared" ca="1" si="10"/>
        <v>0</v>
      </c>
      <c r="BM4" s="86">
        <f t="shared" ca="1" si="11"/>
        <v>0</v>
      </c>
    </row>
    <row r="5" spans="2:65" s="17" customFormat="1" ht="15" customHeight="1" x14ac:dyDescent="0.35">
      <c r="B5" s="296"/>
      <c r="C5" s="46" t="s">
        <v>26</v>
      </c>
      <c r="D5" s="67">
        <v>84.76</v>
      </c>
      <c r="E5" s="44">
        <f t="shared" si="0"/>
        <v>84.76</v>
      </c>
      <c r="F5" s="44">
        <f t="shared" si="0"/>
        <v>84.76</v>
      </c>
      <c r="G5" s="44">
        <f t="shared" si="0"/>
        <v>84.76</v>
      </c>
      <c r="H5" s="44">
        <f t="shared" si="0"/>
        <v>84.76</v>
      </c>
      <c r="I5" s="44">
        <f t="shared" si="0"/>
        <v>84.76</v>
      </c>
      <c r="J5" s="44">
        <f t="shared" si="0"/>
        <v>84.76</v>
      </c>
      <c r="K5" s="44">
        <f t="shared" si="0"/>
        <v>84.76</v>
      </c>
      <c r="L5" s="44">
        <f t="shared" si="0"/>
        <v>84.76</v>
      </c>
      <c r="M5" s="44">
        <f t="shared" si="0"/>
        <v>84.76</v>
      </c>
      <c r="N5" s="44">
        <f t="shared" si="0"/>
        <v>84.76</v>
      </c>
      <c r="O5" s="66">
        <f t="shared" si="0"/>
        <v>84.76</v>
      </c>
      <c r="P5" s="43">
        <f>P10-30</f>
        <v>190</v>
      </c>
      <c r="Y5" s="85" t="s">
        <v>66</v>
      </c>
      <c r="Z5" s="86">
        <f ca="1">SUMIFS(OFFSET(BD_COMERCIAL!AB$5,0,0,$S$26,1),OFFSET(BD_COMERCIAL!$L$5,0,0,$S$26,1),"NE",OFFSET(BD_COMERCIAL!$FC$5,0,0,$S$26,1),"C",OFFSET(BD_COMERCIAL!$Q$5,0,0,$S$26,1),"Fixo",OFFSET(BD_COMERCIAL!$I$5,0,0,$S$26,1),"Trading")-SUMIFS(OFFSET(BD_COMERCIAL!AB$5,0,0,$S$26,1),OFFSET(BD_COMERCIAL!$L$5,0,0,$S$26,1),"NE",OFFSET(BD_COMERCIAL!$FC$5,0,0,$S$26,1),"V",OFFSET(BD_COMERCIAL!$Q$5,0,0,$S$26,1),"Fixo",OFFSET(BD_COMERCIAL!$I$5,0,0,$S$26,1),"Trading")</f>
        <v>0</v>
      </c>
      <c r="AA5" s="86">
        <f ca="1">SUMIFS(OFFSET(BD_COMERCIAL!AC$5,0,0,$S$26,1),OFFSET(BD_COMERCIAL!$L$5,0,0,$S$26,1),"NE",OFFSET(BD_COMERCIAL!$FC$5,0,0,$S$26,1),"C",OFFSET(BD_COMERCIAL!$Q$5,0,0,$S$26,1),"Fixo",OFFSET(BD_COMERCIAL!$I$5,0,0,$S$26,1),"Trading")-SUMIFS(OFFSET(BD_COMERCIAL!AC$5,0,0,$S$26,1),OFFSET(BD_COMERCIAL!$L$5,0,0,$S$26,1),"NE",OFFSET(BD_COMERCIAL!$FC$5,0,0,$S$26,1),"V",OFFSET(BD_COMERCIAL!$Q$5,0,0,$S$26,1),"Fixo",OFFSET(BD_COMERCIAL!$I$5,0,0,$S$26,1),"Trading")</f>
        <v>0</v>
      </c>
      <c r="AB5" s="86">
        <f ca="1">SUMIFS(OFFSET(BD_COMERCIAL!AD$5,0,0,$S$26,1),OFFSET(BD_COMERCIAL!$L$5,0,0,$S$26,1),"NE",OFFSET(BD_COMERCIAL!$FC$5,0,0,$S$26,1),"C",OFFSET(BD_COMERCIAL!$Q$5,0,0,$S$26,1),"Fixo",OFFSET(BD_COMERCIAL!$I$5,0,0,$S$26,1),"Trading")-SUMIFS(OFFSET(BD_COMERCIAL!AD$5,0,0,$S$26,1),OFFSET(BD_COMERCIAL!$L$5,0,0,$S$26,1),"NE",OFFSET(BD_COMERCIAL!$FC$5,0,0,$S$26,1),"V",OFFSET(BD_COMERCIAL!$Q$5,0,0,$S$26,1),"Fixo",OFFSET(BD_COMERCIAL!$I$5,0,0,$S$26,1),"Trading")</f>
        <v>0</v>
      </c>
      <c r="AC5" s="86">
        <f ca="1">SUMIFS(OFFSET(BD_COMERCIAL!AE$5,0,0,$S$26,1),OFFSET(BD_COMERCIAL!$L$5,0,0,$S$26,1),"NE",OFFSET(BD_COMERCIAL!$FC$5,0,0,$S$26,1),"C",OFFSET(BD_COMERCIAL!$Q$5,0,0,$S$26,1),"Fixo",OFFSET(BD_COMERCIAL!$I$5,0,0,$S$26,1),"Trading")-SUMIFS(OFFSET(BD_COMERCIAL!AE$5,0,0,$S$26,1),OFFSET(BD_COMERCIAL!$L$5,0,0,$S$26,1),"NE",OFFSET(BD_COMERCIAL!$FC$5,0,0,$S$26,1),"V",OFFSET(BD_COMERCIAL!$Q$5,0,0,$S$26,1),"Fixo",OFFSET(BD_COMERCIAL!$I$5,0,0,$S$26,1),"Trading")</f>
        <v>0</v>
      </c>
      <c r="AD5" s="86">
        <f ca="1">SUMIFS(OFFSET(BD_COMERCIAL!AF$5,0,0,$S$26,1),OFFSET(BD_COMERCIAL!$L$5,0,0,$S$26,1),"NE",OFFSET(BD_COMERCIAL!$FC$5,0,0,$S$26,1),"C",OFFSET(BD_COMERCIAL!$Q$5,0,0,$S$26,1),"Fixo",OFFSET(BD_COMERCIAL!$I$5,0,0,$S$26,1),"Trading")-SUMIFS(OFFSET(BD_COMERCIAL!AF$5,0,0,$S$26,1),OFFSET(BD_COMERCIAL!$L$5,0,0,$S$26,1),"NE",OFFSET(BD_COMERCIAL!$FC$5,0,0,$S$26,1),"V",OFFSET(BD_COMERCIAL!$Q$5,0,0,$S$26,1),"Fixo",OFFSET(BD_COMERCIAL!$I$5,0,0,$S$26,1),"Trading")</f>
        <v>0</v>
      </c>
      <c r="AE5" s="86">
        <f ca="1">SUMIFS(OFFSET(BD_COMERCIAL!AG$5,0,0,$S$26,1),OFFSET(BD_COMERCIAL!$L$5,0,0,$S$26,1),"NE",OFFSET(BD_COMERCIAL!$FC$5,0,0,$S$26,1),"C",OFFSET(BD_COMERCIAL!$Q$5,0,0,$S$26,1),"Fixo",OFFSET(BD_COMERCIAL!$I$5,0,0,$S$26,1),"Trading")-SUMIFS(OFFSET(BD_COMERCIAL!AG$5,0,0,$S$26,1),OFFSET(BD_COMERCIAL!$L$5,0,0,$S$26,1),"NE",OFFSET(BD_COMERCIAL!$FC$5,0,0,$S$26,1),"V",OFFSET(BD_COMERCIAL!$Q$5,0,0,$S$26,1),"Fixo",OFFSET(BD_COMERCIAL!$I$5,0,0,$S$26,1),"Trading")</f>
        <v>0</v>
      </c>
      <c r="AF5" s="86">
        <f ca="1">SUMIFS(OFFSET(BD_COMERCIAL!AH$5,0,0,$S$26,1),OFFSET(BD_COMERCIAL!$L$5,0,0,$S$26,1),"NE",OFFSET(BD_COMERCIAL!$FC$5,0,0,$S$26,1),"C",OFFSET(BD_COMERCIAL!$Q$5,0,0,$S$26,1),"Fixo",OFFSET(BD_COMERCIAL!$I$5,0,0,$S$26,1),"Trading")-SUMIFS(OFFSET(BD_COMERCIAL!AH$5,0,0,$S$26,1),OFFSET(BD_COMERCIAL!$L$5,0,0,$S$26,1),"NE",OFFSET(BD_COMERCIAL!$FC$5,0,0,$S$26,1),"V",OFFSET(BD_COMERCIAL!$Q$5,0,0,$S$26,1),"Fixo",OFFSET(BD_COMERCIAL!$I$5,0,0,$S$26,1),"Trading")</f>
        <v>0</v>
      </c>
      <c r="AG5" s="86">
        <f ca="1">SUMIFS(OFFSET(BD_COMERCIAL!AI$5,0,0,$S$26,1),OFFSET(BD_COMERCIAL!$L$5,0,0,$S$26,1),"NE",OFFSET(BD_COMERCIAL!$FC$5,0,0,$S$26,1),"C",OFFSET(BD_COMERCIAL!$Q$5,0,0,$S$26,1),"Fixo",OFFSET(BD_COMERCIAL!$I$5,0,0,$S$26,1),"Trading")-SUMIFS(OFFSET(BD_COMERCIAL!AI$5,0,0,$S$26,1),OFFSET(BD_COMERCIAL!$L$5,0,0,$S$26,1),"NE",OFFSET(BD_COMERCIAL!$FC$5,0,0,$S$26,1),"V",OFFSET(BD_COMERCIAL!$Q$5,0,0,$S$26,1),"Fixo",OFFSET(BD_COMERCIAL!$I$5,0,0,$S$26,1),"Trading")</f>
        <v>0</v>
      </c>
      <c r="AH5" s="86">
        <f ca="1">SUMIFS(OFFSET(BD_COMERCIAL!AJ$5,0,0,$S$26,1),OFFSET(BD_COMERCIAL!$L$5,0,0,$S$26,1),"NE",OFFSET(BD_COMERCIAL!$FC$5,0,0,$S$26,1),"C",OFFSET(BD_COMERCIAL!$Q$5,0,0,$S$26,1),"Fixo",OFFSET(BD_COMERCIAL!$I$5,0,0,$S$26,1),"Trading")-SUMIFS(OFFSET(BD_COMERCIAL!AJ$5,0,0,$S$26,1),OFFSET(BD_COMERCIAL!$L$5,0,0,$S$26,1),"NE",OFFSET(BD_COMERCIAL!$FC$5,0,0,$S$26,1),"V",OFFSET(BD_COMERCIAL!$Q$5,0,0,$S$26,1),"Fixo",OFFSET(BD_COMERCIAL!$I$5,0,0,$S$26,1),"Trading")</f>
        <v>0</v>
      </c>
      <c r="AI5" s="86">
        <f ca="1">SUMIFS(OFFSET(BD_COMERCIAL!AK$5,0,0,$S$26,1),OFFSET(BD_COMERCIAL!$L$5,0,0,$S$26,1),"NE",OFFSET(BD_COMERCIAL!$FC$5,0,0,$S$26,1),"C",OFFSET(BD_COMERCIAL!$Q$5,0,0,$S$26,1),"Fixo",OFFSET(BD_COMERCIAL!$I$5,0,0,$S$26,1),"Trading")-SUMIFS(OFFSET(BD_COMERCIAL!AK$5,0,0,$S$26,1),OFFSET(BD_COMERCIAL!$L$5,0,0,$S$26,1),"NE",OFFSET(BD_COMERCIAL!$FC$5,0,0,$S$26,1),"V",OFFSET(BD_COMERCIAL!$Q$5,0,0,$S$26,1),"Fixo",OFFSET(BD_COMERCIAL!$I$5,0,0,$S$26,1),"Trading")</f>
        <v>0</v>
      </c>
      <c r="AJ5" s="86">
        <f ca="1">SUMIFS(OFFSET(BD_COMERCIAL!AL$5,0,0,$S$26,1),OFFSET(BD_COMERCIAL!$L$5,0,0,$S$26,1),"NE",OFFSET(BD_COMERCIAL!$FC$5,0,0,$S$26,1),"C",OFFSET(BD_COMERCIAL!$Q$5,0,0,$S$26,1),"Fixo",OFFSET(BD_COMERCIAL!$I$5,0,0,$S$26,1),"Trading")-SUMIFS(OFFSET(BD_COMERCIAL!AL$5,0,0,$S$26,1),OFFSET(BD_COMERCIAL!$L$5,0,0,$S$26,1),"NE",OFFSET(BD_COMERCIAL!$FC$5,0,0,$S$26,1),"V",OFFSET(BD_COMERCIAL!$Q$5,0,0,$S$26,1),"Fixo",OFFSET(BD_COMERCIAL!$I$5,0,0,$S$26,1),"Trading")</f>
        <v>0</v>
      </c>
      <c r="AK5" s="86">
        <f ca="1">SUMIFS(OFFSET(BD_COMERCIAL!AM$5,0,0,$S$26,1),OFFSET(BD_COMERCIAL!$L$5,0,0,$S$26,1),"NE",OFFSET(BD_COMERCIAL!$FC$5,0,0,$S$26,1),"C",OFFSET(BD_COMERCIAL!$Q$5,0,0,$S$26,1),"Fixo",OFFSET(BD_COMERCIAL!$I$5,0,0,$S$26,1),"Trading")-SUMIFS(OFFSET(BD_COMERCIAL!AM$5,0,0,$S$26,1),OFFSET(BD_COMERCIAL!$L$5,0,0,$S$26,1),"NE",OFFSET(BD_COMERCIAL!$FC$5,0,0,$S$26,1),"V",OFFSET(BD_COMERCIAL!$Q$5,0,0,$S$26,1),"Fixo",OFFSET(BD_COMERCIAL!$I$5,0,0,$S$26,1),"Trading")</f>
        <v>0</v>
      </c>
      <c r="AM5" s="85" t="s">
        <v>66</v>
      </c>
      <c r="AN5" s="86">
        <f ca="1">SUMIFS(OFFSET(BD_COMERCIAL!AB$5,0,0,$S$26,1),OFFSET(BD_COMERCIAL!$L$5,0,0,$S$26,1),"NE",OFFSET(BD_COMERCIAL!$FC$5,0,0,$S$26,1),"C",OFFSET(BD_COMERCIAL!$Q$5,0,0,$S$26,1),"PLD + Spread",OFFSET(BD_COMERCIAL!$I$5,0,0,$S$26,1),"Trading")-SUMIFS(OFFSET(BD_COMERCIAL!AB$5,0,0,$S$26,1),OFFSET(BD_COMERCIAL!$L$5,0,0,$S$26,1),"NE",OFFSET(BD_COMERCIAL!$FC$5,0,0,$S$26,1),"V",OFFSET(BD_COMERCIAL!$Q$5,0,0,$S$26,1),"PLD + Spread",OFFSET(BD_COMERCIAL!$I$5,0,0,$S$26,1),"Trading")</f>
        <v>0</v>
      </c>
      <c r="AO5" s="86">
        <f ca="1">SUMIFS(OFFSET(BD_COMERCIAL!AC$5,0,0,$S$26,1),OFFSET(BD_COMERCIAL!$L$5,0,0,$S$26,1),"NE",OFFSET(BD_COMERCIAL!$FC$5,0,0,$S$26,1),"C",OFFSET(BD_COMERCIAL!$Q$5,0,0,$S$26,1),"PLD + Spread",OFFSET(BD_COMERCIAL!$I$5,0,0,$S$26,1),"Trading")-SUMIFS(OFFSET(BD_COMERCIAL!AC$5,0,0,$S$26,1),OFFSET(BD_COMERCIAL!$L$5,0,0,$S$26,1),"NE",OFFSET(BD_COMERCIAL!$FC$5,0,0,$S$26,1),"V",OFFSET(BD_COMERCIAL!$Q$5,0,0,$S$26,1),"PLD + Spread",OFFSET(BD_COMERCIAL!$I$5,0,0,$S$26,1),"Trading")</f>
        <v>0</v>
      </c>
      <c r="AP5" s="86">
        <f ca="1">SUMIFS(OFFSET(BD_COMERCIAL!AD$5,0,0,$S$26,1),OFFSET(BD_COMERCIAL!$L$5,0,0,$S$26,1),"NE",OFFSET(BD_COMERCIAL!$FC$5,0,0,$S$26,1),"C",OFFSET(BD_COMERCIAL!$Q$5,0,0,$S$26,1),"PLD + Spread",OFFSET(BD_COMERCIAL!$I$5,0,0,$S$26,1),"Trading")-SUMIFS(OFFSET(BD_COMERCIAL!AD$5,0,0,$S$26,1),OFFSET(BD_COMERCIAL!$L$5,0,0,$S$26,1),"NE",OFFSET(BD_COMERCIAL!$FC$5,0,0,$S$26,1),"V",OFFSET(BD_COMERCIAL!$Q$5,0,0,$S$26,1),"PLD + Spread",OFFSET(BD_COMERCIAL!$I$5,0,0,$S$26,1),"Trading")</f>
        <v>0</v>
      </c>
      <c r="AQ5" s="86">
        <f ca="1">SUMIFS(OFFSET(BD_COMERCIAL!AE$5,0,0,$S$26,1),OFFSET(BD_COMERCIAL!$L$5,0,0,$S$26,1),"NE",OFFSET(BD_COMERCIAL!$FC$5,0,0,$S$26,1),"C",OFFSET(BD_COMERCIAL!$Q$5,0,0,$S$26,1),"PLD + Spread",OFFSET(BD_COMERCIAL!$I$5,0,0,$S$26,1),"Trading")-SUMIFS(OFFSET(BD_COMERCIAL!AE$5,0,0,$S$26,1),OFFSET(BD_COMERCIAL!$L$5,0,0,$S$26,1),"NE",OFFSET(BD_COMERCIAL!$FC$5,0,0,$S$26,1),"V",OFFSET(BD_COMERCIAL!$Q$5,0,0,$S$26,1),"PLD + Spread",OFFSET(BD_COMERCIAL!$I$5,0,0,$S$26,1),"Trading")</f>
        <v>0</v>
      </c>
      <c r="AR5" s="86">
        <f ca="1">SUMIFS(OFFSET(BD_COMERCIAL!AF$5,0,0,$S$26,1),OFFSET(BD_COMERCIAL!$L$5,0,0,$S$26,1),"NE",OFFSET(BD_COMERCIAL!$FC$5,0,0,$S$26,1),"C",OFFSET(BD_COMERCIAL!$Q$5,0,0,$S$26,1),"PLD + Spread",OFFSET(BD_COMERCIAL!$I$5,0,0,$S$26,1),"Trading")-SUMIFS(OFFSET(BD_COMERCIAL!AF$5,0,0,$S$26,1),OFFSET(BD_COMERCIAL!$L$5,0,0,$S$26,1),"NE",OFFSET(BD_COMERCIAL!$FC$5,0,0,$S$26,1),"V",OFFSET(BD_COMERCIAL!$Q$5,0,0,$S$26,1),"PLD + Spread",OFFSET(BD_COMERCIAL!$I$5,0,0,$S$26,1),"Trading")</f>
        <v>0</v>
      </c>
      <c r="AS5" s="86">
        <f ca="1">SUMIFS(OFFSET(BD_COMERCIAL!AG$5,0,0,$S$26,1),OFFSET(BD_COMERCIAL!$L$5,0,0,$S$26,1),"NE",OFFSET(BD_COMERCIAL!$FC$5,0,0,$S$26,1),"C",OFFSET(BD_COMERCIAL!$Q$5,0,0,$S$26,1),"PLD + Spread",OFFSET(BD_COMERCIAL!$I$5,0,0,$S$26,1),"Trading")-SUMIFS(OFFSET(BD_COMERCIAL!AG$5,0,0,$S$26,1),OFFSET(BD_COMERCIAL!$L$5,0,0,$S$26,1),"NE",OFFSET(BD_COMERCIAL!$FC$5,0,0,$S$26,1),"V",OFFSET(BD_COMERCIAL!$Q$5,0,0,$S$26,1),"PLD + Spread",OFFSET(BD_COMERCIAL!$I$5,0,0,$S$26,1),"Trading")</f>
        <v>0</v>
      </c>
      <c r="AT5" s="86">
        <f ca="1">SUMIFS(OFFSET(BD_COMERCIAL!AH$5,0,0,$S$26,1),OFFSET(BD_COMERCIAL!$L$5,0,0,$S$26,1),"NE",OFFSET(BD_COMERCIAL!$FC$5,0,0,$S$26,1),"C",OFFSET(BD_COMERCIAL!$Q$5,0,0,$S$26,1),"PLD + Spread",OFFSET(BD_COMERCIAL!$I$5,0,0,$S$26,1),"Trading")-SUMIFS(OFFSET(BD_COMERCIAL!AH$5,0,0,$S$26,1),OFFSET(BD_COMERCIAL!$L$5,0,0,$S$26,1),"NE",OFFSET(BD_COMERCIAL!$FC$5,0,0,$S$26,1),"V",OFFSET(BD_COMERCIAL!$Q$5,0,0,$S$26,1),"PLD + Spread",OFFSET(BD_COMERCIAL!$I$5,0,0,$S$26,1),"Trading")</f>
        <v>0</v>
      </c>
      <c r="AU5" s="86">
        <f ca="1">SUMIFS(OFFSET(BD_COMERCIAL!AI$5,0,0,$S$26,1),OFFSET(BD_COMERCIAL!$L$5,0,0,$S$26,1),"NE",OFFSET(BD_COMERCIAL!$FC$5,0,0,$S$26,1),"C",OFFSET(BD_COMERCIAL!$Q$5,0,0,$S$26,1),"PLD + Spread",OFFSET(BD_COMERCIAL!$I$5,0,0,$S$26,1),"Trading")-SUMIFS(OFFSET(BD_COMERCIAL!AI$5,0,0,$S$26,1),OFFSET(BD_COMERCIAL!$L$5,0,0,$S$26,1),"NE",OFFSET(BD_COMERCIAL!$FC$5,0,0,$S$26,1),"V",OFFSET(BD_COMERCIAL!$Q$5,0,0,$S$26,1),"PLD + Spread",OFFSET(BD_COMERCIAL!$I$5,0,0,$S$26,1),"Trading")</f>
        <v>0</v>
      </c>
      <c r="AV5" s="86">
        <f ca="1">SUMIFS(OFFSET(BD_COMERCIAL!AJ$5,0,0,$S$26,1),OFFSET(BD_COMERCIAL!$L$5,0,0,$S$26,1),"NE",OFFSET(BD_COMERCIAL!$FC$5,0,0,$S$26,1),"C",OFFSET(BD_COMERCIAL!$Q$5,0,0,$S$26,1),"PLD + Spread",OFFSET(BD_COMERCIAL!$I$5,0,0,$S$26,1),"Trading")-SUMIFS(OFFSET(BD_COMERCIAL!AJ$5,0,0,$S$26,1),OFFSET(BD_COMERCIAL!$L$5,0,0,$S$26,1),"NE",OFFSET(BD_COMERCIAL!$FC$5,0,0,$S$26,1),"V",OFFSET(BD_COMERCIAL!$Q$5,0,0,$S$26,1),"PLD + Spread",OFFSET(BD_COMERCIAL!$I$5,0,0,$S$26,1),"Trading")</f>
        <v>0</v>
      </c>
      <c r="AW5" s="86">
        <f ca="1">SUMIFS(OFFSET(BD_COMERCIAL!AK$5,0,0,$S$26,1),OFFSET(BD_COMERCIAL!$L$5,0,0,$S$26,1),"NE",OFFSET(BD_COMERCIAL!$FC$5,0,0,$S$26,1),"C",OFFSET(BD_COMERCIAL!$Q$5,0,0,$S$26,1),"PLD + Spread",OFFSET(BD_COMERCIAL!$I$5,0,0,$S$26,1),"Trading")-SUMIFS(OFFSET(BD_COMERCIAL!AK$5,0,0,$S$26,1),OFFSET(BD_COMERCIAL!$L$5,0,0,$S$26,1),"NE",OFFSET(BD_COMERCIAL!$FC$5,0,0,$S$26,1),"V",OFFSET(BD_COMERCIAL!$Q$5,0,0,$S$26,1),"PLD + Spread",OFFSET(BD_COMERCIAL!$I$5,0,0,$S$26,1),"Trading")</f>
        <v>0</v>
      </c>
      <c r="AX5" s="86">
        <f ca="1">SUMIFS(OFFSET(BD_COMERCIAL!AL$5,0,0,$S$26,1),OFFSET(BD_COMERCIAL!$L$5,0,0,$S$26,1),"NE",OFFSET(BD_COMERCIAL!$FC$5,0,0,$S$26,1),"C",OFFSET(BD_COMERCIAL!$Q$5,0,0,$S$26,1),"PLD + Spread",OFFSET(BD_COMERCIAL!$I$5,0,0,$S$26,1),"Trading")-SUMIFS(OFFSET(BD_COMERCIAL!AL$5,0,0,$S$26,1),OFFSET(BD_COMERCIAL!$L$5,0,0,$S$26,1),"NE",OFFSET(BD_COMERCIAL!$FC$5,0,0,$S$26,1),"V",OFFSET(BD_COMERCIAL!$Q$5,0,0,$S$26,1),"PLD + Spread",OFFSET(BD_COMERCIAL!$I$5,0,0,$S$26,1),"Trading")</f>
        <v>0</v>
      </c>
      <c r="AY5" s="86">
        <f ca="1">SUMIFS(OFFSET(BD_COMERCIAL!AM$5,0,0,$S$26,1),OFFSET(BD_COMERCIAL!$L$5,0,0,$S$26,1),"NE",OFFSET(BD_COMERCIAL!$FC$5,0,0,$S$26,1),"C",OFFSET(BD_COMERCIAL!$Q$5,0,0,$S$26,1),"PLD + Spread",OFFSET(BD_COMERCIAL!$I$5,0,0,$S$26,1),"Trading")-SUMIFS(OFFSET(BD_COMERCIAL!AM$5,0,0,$S$26,1),OFFSET(BD_COMERCIAL!$L$5,0,0,$S$26,1),"NE",OFFSET(BD_COMERCIAL!$FC$5,0,0,$S$26,1),"V",OFFSET(BD_COMERCIAL!$Q$5,0,0,$S$26,1),"PLD + Spread",OFFSET(BD_COMERCIAL!$I$5,0,0,$S$26,1),"Trading")</f>
        <v>0</v>
      </c>
      <c r="BA5" s="85" t="s">
        <v>66</v>
      </c>
      <c r="BB5" s="86">
        <f t="shared" ca="1" si="12"/>
        <v>0</v>
      </c>
      <c r="BC5" s="86">
        <f t="shared" ca="1" si="1"/>
        <v>0</v>
      </c>
      <c r="BD5" s="86">
        <f t="shared" ca="1" si="2"/>
        <v>0</v>
      </c>
      <c r="BE5" s="86">
        <f t="shared" ca="1" si="3"/>
        <v>0</v>
      </c>
      <c r="BF5" s="86">
        <f t="shared" ca="1" si="4"/>
        <v>0</v>
      </c>
      <c r="BG5" s="86">
        <f t="shared" ca="1" si="5"/>
        <v>0</v>
      </c>
      <c r="BH5" s="86">
        <f t="shared" ca="1" si="6"/>
        <v>0</v>
      </c>
      <c r="BI5" s="86">
        <f t="shared" ca="1" si="7"/>
        <v>0</v>
      </c>
      <c r="BJ5" s="86">
        <f t="shared" ca="1" si="8"/>
        <v>0</v>
      </c>
      <c r="BK5" s="86">
        <f t="shared" ca="1" si="9"/>
        <v>0</v>
      </c>
      <c r="BL5" s="86">
        <f t="shared" ca="1" si="10"/>
        <v>0</v>
      </c>
      <c r="BM5" s="86">
        <f t="shared" ca="1" si="11"/>
        <v>0</v>
      </c>
    </row>
    <row r="6" spans="2:65" s="17" customFormat="1" ht="15" customHeight="1" thickBot="1" x14ac:dyDescent="0.4">
      <c r="B6" s="297"/>
      <c r="C6" s="40" t="s">
        <v>25</v>
      </c>
      <c r="D6" s="64">
        <v>74.19</v>
      </c>
      <c r="E6" s="39">
        <f t="shared" si="0"/>
        <v>74.19</v>
      </c>
      <c r="F6" s="39">
        <f t="shared" si="0"/>
        <v>74.19</v>
      </c>
      <c r="G6" s="39">
        <f t="shared" si="0"/>
        <v>74.19</v>
      </c>
      <c r="H6" s="39">
        <f t="shared" si="0"/>
        <v>74.19</v>
      </c>
      <c r="I6" s="39">
        <f t="shared" si="0"/>
        <v>74.19</v>
      </c>
      <c r="J6" s="39">
        <f t="shared" si="0"/>
        <v>74.19</v>
      </c>
      <c r="K6" s="39">
        <f t="shared" si="0"/>
        <v>74.19</v>
      </c>
      <c r="L6" s="39">
        <f t="shared" si="0"/>
        <v>74.19</v>
      </c>
      <c r="M6" s="39">
        <f t="shared" si="0"/>
        <v>74.19</v>
      </c>
      <c r="N6" s="39">
        <f t="shared" si="0"/>
        <v>74.19</v>
      </c>
      <c r="O6" s="38">
        <f t="shared" si="0"/>
        <v>74.19</v>
      </c>
      <c r="P6" s="37">
        <f>P11-30</f>
        <v>190</v>
      </c>
      <c r="Y6" s="85" t="s">
        <v>67</v>
      </c>
      <c r="Z6" s="86">
        <f ca="1">SUMIFS(OFFSET(BD_COMERCIAL!AB$5,0,0,$S$26,1),OFFSET(BD_COMERCIAL!$L$5,0,0,$S$26,1),"N",OFFSET(BD_COMERCIAL!$FC$5,0,0,$S$26,1),"C",OFFSET(BD_COMERCIAL!$Q$5,0,0,$S$26,1),"Fixo",OFFSET(BD_COMERCIAL!$I$5,0,0,$S$26,1),"Trading")-SUMIFS(OFFSET(BD_COMERCIAL!AB$5,0,0,$S$26,1),OFFSET(BD_COMERCIAL!$L$5,0,0,$S$26,1),"N",OFFSET(BD_COMERCIAL!$FC$5,0,0,$S$26,1),"V",OFFSET(BD_COMERCIAL!$Q$5,0,0,$S$26,1),"Fixo",OFFSET(BD_COMERCIAL!$I$5,0,0,$S$26,1),"Trading")</f>
        <v>0</v>
      </c>
      <c r="AA6" s="86">
        <f ca="1">SUMIFS(OFFSET(BD_COMERCIAL!AC$5,0,0,$S$26,1),OFFSET(BD_COMERCIAL!$L$5,0,0,$S$26,1),"N",OFFSET(BD_COMERCIAL!$FC$5,0,0,$S$26,1),"C",OFFSET(BD_COMERCIAL!$Q$5,0,0,$S$26,1),"Fixo",OFFSET(BD_COMERCIAL!$I$5,0,0,$S$26,1),"Trading")-SUMIFS(OFFSET(BD_COMERCIAL!AC$5,0,0,$S$26,1),OFFSET(BD_COMERCIAL!$L$5,0,0,$S$26,1),"N",OFFSET(BD_COMERCIAL!$FC$5,0,0,$S$26,1),"V",OFFSET(BD_COMERCIAL!$Q$5,0,0,$S$26,1),"Fixo",OFFSET(BD_COMERCIAL!$I$5,0,0,$S$26,1),"Trading")</f>
        <v>0</v>
      </c>
      <c r="AB6" s="86">
        <f ca="1">SUMIFS(OFFSET(BD_COMERCIAL!AD$5,0,0,$S$26,1),OFFSET(BD_COMERCIAL!$L$5,0,0,$S$26,1),"N",OFFSET(BD_COMERCIAL!$FC$5,0,0,$S$26,1),"C",OFFSET(BD_COMERCIAL!$Q$5,0,0,$S$26,1),"Fixo",OFFSET(BD_COMERCIAL!$I$5,0,0,$S$26,1),"Trading")-SUMIFS(OFFSET(BD_COMERCIAL!AD$5,0,0,$S$26,1),OFFSET(BD_COMERCIAL!$L$5,0,0,$S$26,1),"N",OFFSET(BD_COMERCIAL!$FC$5,0,0,$S$26,1),"V",OFFSET(BD_COMERCIAL!$Q$5,0,0,$S$26,1),"Fixo",OFFSET(BD_COMERCIAL!$I$5,0,0,$S$26,1),"Trading")</f>
        <v>0</v>
      </c>
      <c r="AC6" s="86">
        <f ca="1">SUMIFS(OFFSET(BD_COMERCIAL!AE$5,0,0,$S$26,1),OFFSET(BD_COMERCIAL!$L$5,0,0,$S$26,1),"N",OFFSET(BD_COMERCIAL!$FC$5,0,0,$S$26,1),"C",OFFSET(BD_COMERCIAL!$Q$5,0,0,$S$26,1),"Fixo",OFFSET(BD_COMERCIAL!$I$5,0,0,$S$26,1),"Trading")-SUMIFS(OFFSET(BD_COMERCIAL!AE$5,0,0,$S$26,1),OFFSET(BD_COMERCIAL!$L$5,0,0,$S$26,1),"N",OFFSET(BD_COMERCIAL!$FC$5,0,0,$S$26,1),"V",OFFSET(BD_COMERCIAL!$Q$5,0,0,$S$26,1),"Fixo",OFFSET(BD_COMERCIAL!$I$5,0,0,$S$26,1),"Trading")</f>
        <v>0</v>
      </c>
      <c r="AD6" s="86">
        <f ca="1">SUMIFS(OFFSET(BD_COMERCIAL!AF$5,0,0,$S$26,1),OFFSET(BD_COMERCIAL!$L$5,0,0,$S$26,1),"N",OFFSET(BD_COMERCIAL!$FC$5,0,0,$S$26,1),"C",OFFSET(BD_COMERCIAL!$Q$5,0,0,$S$26,1),"Fixo",OFFSET(BD_COMERCIAL!$I$5,0,0,$S$26,1),"Trading")-SUMIFS(OFFSET(BD_COMERCIAL!AF$5,0,0,$S$26,1),OFFSET(BD_COMERCIAL!$L$5,0,0,$S$26,1),"N",OFFSET(BD_COMERCIAL!$FC$5,0,0,$S$26,1),"V",OFFSET(BD_COMERCIAL!$Q$5,0,0,$S$26,1),"Fixo",OFFSET(BD_COMERCIAL!$I$5,0,0,$S$26,1),"Trading")</f>
        <v>0</v>
      </c>
      <c r="AE6" s="86">
        <f ca="1">SUMIFS(OFFSET(BD_COMERCIAL!AG$5,0,0,$S$26,1),OFFSET(BD_COMERCIAL!$L$5,0,0,$S$26,1),"N",OFFSET(BD_COMERCIAL!$FC$5,0,0,$S$26,1),"C",OFFSET(BD_COMERCIAL!$Q$5,0,0,$S$26,1),"Fixo",OFFSET(BD_COMERCIAL!$I$5,0,0,$S$26,1),"Trading")-SUMIFS(OFFSET(BD_COMERCIAL!AG$5,0,0,$S$26,1),OFFSET(BD_COMERCIAL!$L$5,0,0,$S$26,1),"N",OFFSET(BD_COMERCIAL!$FC$5,0,0,$S$26,1),"V",OFFSET(BD_COMERCIAL!$Q$5,0,0,$S$26,1),"Fixo",OFFSET(BD_COMERCIAL!$I$5,0,0,$S$26,1),"Trading")</f>
        <v>0</v>
      </c>
      <c r="AF6" s="86">
        <f ca="1">SUMIFS(OFFSET(BD_COMERCIAL!AH$5,0,0,$S$26,1),OFFSET(BD_COMERCIAL!$L$5,0,0,$S$26,1),"N",OFFSET(BD_COMERCIAL!$FC$5,0,0,$S$26,1),"C",OFFSET(BD_COMERCIAL!$Q$5,0,0,$S$26,1),"Fixo",OFFSET(BD_COMERCIAL!$I$5,0,0,$S$26,1),"Trading")-SUMIFS(OFFSET(BD_COMERCIAL!AH$5,0,0,$S$26,1),OFFSET(BD_COMERCIAL!$L$5,0,0,$S$26,1),"N",OFFSET(BD_COMERCIAL!$FC$5,0,0,$S$26,1),"V",OFFSET(BD_COMERCIAL!$Q$5,0,0,$S$26,1),"Fixo",OFFSET(BD_COMERCIAL!$I$5,0,0,$S$26,1),"Trading")</f>
        <v>0</v>
      </c>
      <c r="AG6" s="86">
        <f ca="1">SUMIFS(OFFSET(BD_COMERCIAL!AI$5,0,0,$S$26,1),OFFSET(BD_COMERCIAL!$L$5,0,0,$S$26,1),"N",OFFSET(BD_COMERCIAL!$FC$5,0,0,$S$26,1),"C",OFFSET(BD_COMERCIAL!$Q$5,0,0,$S$26,1),"Fixo",OFFSET(BD_COMERCIAL!$I$5,0,0,$S$26,1),"Trading")-SUMIFS(OFFSET(BD_COMERCIAL!AI$5,0,0,$S$26,1),OFFSET(BD_COMERCIAL!$L$5,0,0,$S$26,1),"N",OFFSET(BD_COMERCIAL!$FC$5,0,0,$S$26,1),"V",OFFSET(BD_COMERCIAL!$Q$5,0,0,$S$26,1),"Fixo",OFFSET(BD_COMERCIAL!$I$5,0,0,$S$26,1),"Trading")</f>
        <v>0</v>
      </c>
      <c r="AH6" s="86">
        <f ca="1">SUMIFS(OFFSET(BD_COMERCIAL!AJ$5,0,0,$S$26,1),OFFSET(BD_COMERCIAL!$L$5,0,0,$S$26,1),"N",OFFSET(BD_COMERCIAL!$FC$5,0,0,$S$26,1),"C",OFFSET(BD_COMERCIAL!$Q$5,0,0,$S$26,1),"Fixo",OFFSET(BD_COMERCIAL!$I$5,0,0,$S$26,1),"Trading")-SUMIFS(OFFSET(BD_COMERCIAL!AJ$5,0,0,$S$26,1),OFFSET(BD_COMERCIAL!$L$5,0,0,$S$26,1),"N",OFFSET(BD_COMERCIAL!$FC$5,0,0,$S$26,1),"V",OFFSET(BD_COMERCIAL!$Q$5,0,0,$S$26,1),"Fixo",OFFSET(BD_COMERCIAL!$I$5,0,0,$S$26,1),"Trading")</f>
        <v>0</v>
      </c>
      <c r="AI6" s="86">
        <f ca="1">SUMIFS(OFFSET(BD_COMERCIAL!AK$5,0,0,$S$26,1),OFFSET(BD_COMERCIAL!$L$5,0,0,$S$26,1),"N",OFFSET(BD_COMERCIAL!$FC$5,0,0,$S$26,1),"C",OFFSET(BD_COMERCIAL!$Q$5,0,0,$S$26,1),"Fixo",OFFSET(BD_COMERCIAL!$I$5,0,0,$S$26,1),"Trading")-SUMIFS(OFFSET(BD_COMERCIAL!AK$5,0,0,$S$26,1),OFFSET(BD_COMERCIAL!$L$5,0,0,$S$26,1),"N",OFFSET(BD_COMERCIAL!$FC$5,0,0,$S$26,1),"V",OFFSET(BD_COMERCIAL!$Q$5,0,0,$S$26,1),"Fixo",OFFSET(BD_COMERCIAL!$I$5,0,0,$S$26,1),"Trading")</f>
        <v>0</v>
      </c>
      <c r="AJ6" s="86">
        <f ca="1">SUMIFS(OFFSET(BD_COMERCIAL!AL$5,0,0,$S$26,1),OFFSET(BD_COMERCIAL!$L$5,0,0,$S$26,1),"N",OFFSET(BD_COMERCIAL!$FC$5,0,0,$S$26,1),"C",OFFSET(BD_COMERCIAL!$Q$5,0,0,$S$26,1),"Fixo",OFFSET(BD_COMERCIAL!$I$5,0,0,$S$26,1),"Trading")-SUMIFS(OFFSET(BD_COMERCIAL!AL$5,0,0,$S$26,1),OFFSET(BD_COMERCIAL!$L$5,0,0,$S$26,1),"N",OFFSET(BD_COMERCIAL!$FC$5,0,0,$S$26,1),"V",OFFSET(BD_COMERCIAL!$Q$5,0,0,$S$26,1),"Fixo",OFFSET(BD_COMERCIAL!$I$5,0,0,$S$26,1),"Trading")</f>
        <v>0</v>
      </c>
      <c r="AK6" s="86">
        <f ca="1">SUMIFS(OFFSET(BD_COMERCIAL!AM$5,0,0,$S$26,1),OFFSET(BD_COMERCIAL!$L$5,0,0,$S$26,1),"N",OFFSET(BD_COMERCIAL!$FC$5,0,0,$S$26,1),"C",OFFSET(BD_COMERCIAL!$Q$5,0,0,$S$26,1),"Fixo",OFFSET(BD_COMERCIAL!$I$5,0,0,$S$26,1),"Trading")-SUMIFS(OFFSET(BD_COMERCIAL!AM$5,0,0,$S$26,1),OFFSET(BD_COMERCIAL!$L$5,0,0,$S$26,1),"N",OFFSET(BD_COMERCIAL!$FC$5,0,0,$S$26,1),"V",OFFSET(BD_COMERCIAL!$Q$5,0,0,$S$26,1),"Fixo",OFFSET(BD_COMERCIAL!$I$5,0,0,$S$26,1),"Trading")</f>
        <v>0</v>
      </c>
      <c r="AM6" s="85" t="s">
        <v>67</v>
      </c>
      <c r="AN6" s="86">
        <f ca="1">SUMIFS(OFFSET(BD_COMERCIAL!AB$5,0,0,$S$26,1),OFFSET(BD_COMERCIAL!$L$5,0,0,$S$26,1),"N",OFFSET(BD_COMERCIAL!$FC$5,0,0,$S$26,1),"C",OFFSET(BD_COMERCIAL!$Q$5,0,0,$S$26,1),"PLD + Spread",OFFSET(BD_COMERCIAL!$I$5,0,0,$S$26,1),"Trading")-SUMIFS(OFFSET(BD_COMERCIAL!AB$5,0,0,$S$26,1),OFFSET(BD_COMERCIAL!$L$5,0,0,$S$26,1),"N",OFFSET(BD_COMERCIAL!$FC$5,0,0,$S$26,1),"V",OFFSET(BD_COMERCIAL!$Q$5,0,0,$S$26,1),"PLD + Spread",OFFSET(BD_COMERCIAL!$I$5,0,0,$S$26,1),"Trading")</f>
        <v>0</v>
      </c>
      <c r="AO6" s="86">
        <f ca="1">SUMIFS(OFFSET(BD_COMERCIAL!AC$5,0,0,$S$26,1),OFFSET(BD_COMERCIAL!$L$5,0,0,$S$26,1),"N",OFFSET(BD_COMERCIAL!$FC$5,0,0,$S$26,1),"C",OFFSET(BD_COMERCIAL!$Q$5,0,0,$S$26,1),"PLD + Spread",OFFSET(BD_COMERCIAL!$I$5,0,0,$S$26,1),"Trading")-SUMIFS(OFFSET(BD_COMERCIAL!AC$5,0,0,$S$26,1),OFFSET(BD_COMERCIAL!$L$5,0,0,$S$26,1),"N",OFFSET(BD_COMERCIAL!$FC$5,0,0,$S$26,1),"V",OFFSET(BD_COMERCIAL!$Q$5,0,0,$S$26,1),"PLD + Spread",OFFSET(BD_COMERCIAL!$I$5,0,0,$S$26,1),"Trading")</f>
        <v>0</v>
      </c>
      <c r="AP6" s="86">
        <f ca="1">SUMIFS(OFFSET(BD_COMERCIAL!AD$5,0,0,$S$26,1),OFFSET(BD_COMERCIAL!$L$5,0,0,$S$26,1),"N",OFFSET(BD_COMERCIAL!$FC$5,0,0,$S$26,1),"C",OFFSET(BD_COMERCIAL!$Q$5,0,0,$S$26,1),"PLD + Spread",OFFSET(BD_COMERCIAL!$I$5,0,0,$S$26,1),"Trading")-SUMIFS(OFFSET(BD_COMERCIAL!AD$5,0,0,$S$26,1),OFFSET(BD_COMERCIAL!$L$5,0,0,$S$26,1),"N",OFFSET(BD_COMERCIAL!$FC$5,0,0,$S$26,1),"V",OFFSET(BD_COMERCIAL!$Q$5,0,0,$S$26,1),"PLD + Spread",OFFSET(BD_COMERCIAL!$I$5,0,0,$S$26,1),"Trading")</f>
        <v>0</v>
      </c>
      <c r="AQ6" s="86">
        <f ca="1">SUMIFS(OFFSET(BD_COMERCIAL!AE$5,0,0,$S$26,1),OFFSET(BD_COMERCIAL!$L$5,0,0,$S$26,1),"N",OFFSET(BD_COMERCIAL!$FC$5,0,0,$S$26,1),"C",OFFSET(BD_COMERCIAL!$Q$5,0,0,$S$26,1),"PLD + Spread",OFFSET(BD_COMERCIAL!$I$5,0,0,$S$26,1),"Trading")-SUMIFS(OFFSET(BD_COMERCIAL!AE$5,0,0,$S$26,1),OFFSET(BD_COMERCIAL!$L$5,0,0,$S$26,1),"N",OFFSET(BD_COMERCIAL!$FC$5,0,0,$S$26,1),"V",OFFSET(BD_COMERCIAL!$Q$5,0,0,$S$26,1),"PLD + Spread",OFFSET(BD_COMERCIAL!$I$5,0,0,$S$26,1),"Trading")</f>
        <v>0</v>
      </c>
      <c r="AR6" s="86">
        <f ca="1">SUMIFS(OFFSET(BD_COMERCIAL!AF$5,0,0,$S$26,1),OFFSET(BD_COMERCIAL!$L$5,0,0,$S$26,1),"N",OFFSET(BD_COMERCIAL!$FC$5,0,0,$S$26,1),"C",OFFSET(BD_COMERCIAL!$Q$5,0,0,$S$26,1),"PLD + Spread",OFFSET(BD_COMERCIAL!$I$5,0,0,$S$26,1),"Trading")-SUMIFS(OFFSET(BD_COMERCIAL!AF$5,0,0,$S$26,1),OFFSET(BD_COMERCIAL!$L$5,0,0,$S$26,1),"N",OFFSET(BD_COMERCIAL!$FC$5,0,0,$S$26,1),"V",OFFSET(BD_COMERCIAL!$Q$5,0,0,$S$26,1),"PLD + Spread",OFFSET(BD_COMERCIAL!$I$5,0,0,$S$26,1),"Trading")</f>
        <v>0</v>
      </c>
      <c r="AS6" s="86">
        <f ca="1">SUMIFS(OFFSET(BD_COMERCIAL!AG$5,0,0,$S$26,1),OFFSET(BD_COMERCIAL!$L$5,0,0,$S$26,1),"N",OFFSET(BD_COMERCIAL!$FC$5,0,0,$S$26,1),"C",OFFSET(BD_COMERCIAL!$Q$5,0,0,$S$26,1),"PLD + Spread",OFFSET(BD_COMERCIAL!$I$5,0,0,$S$26,1),"Trading")-SUMIFS(OFFSET(BD_COMERCIAL!AG$5,0,0,$S$26,1),OFFSET(BD_COMERCIAL!$L$5,0,0,$S$26,1),"N",OFFSET(BD_COMERCIAL!$FC$5,0,0,$S$26,1),"V",OFFSET(BD_COMERCIAL!$Q$5,0,0,$S$26,1),"PLD + Spread",OFFSET(BD_COMERCIAL!$I$5,0,0,$S$26,1),"Trading")</f>
        <v>0</v>
      </c>
      <c r="AT6" s="86">
        <f ca="1">SUMIFS(OFFSET(BD_COMERCIAL!AH$5,0,0,$S$26,1),OFFSET(BD_COMERCIAL!$L$5,0,0,$S$26,1),"N",OFFSET(BD_COMERCIAL!$FC$5,0,0,$S$26,1),"C",OFFSET(BD_COMERCIAL!$Q$5,0,0,$S$26,1),"PLD + Spread",OFFSET(BD_COMERCIAL!$I$5,0,0,$S$26,1),"Trading")-SUMIFS(OFFSET(BD_COMERCIAL!AH$5,0,0,$S$26,1),OFFSET(BD_COMERCIAL!$L$5,0,0,$S$26,1),"N",OFFSET(BD_COMERCIAL!$FC$5,0,0,$S$26,1),"V",OFFSET(BD_COMERCIAL!$Q$5,0,0,$S$26,1),"PLD + Spread",OFFSET(BD_COMERCIAL!$I$5,0,0,$S$26,1),"Trading")</f>
        <v>0</v>
      </c>
      <c r="AU6" s="86">
        <f ca="1">SUMIFS(OFFSET(BD_COMERCIAL!AI$5,0,0,$S$26,1),OFFSET(BD_COMERCIAL!$L$5,0,0,$S$26,1),"N",OFFSET(BD_COMERCIAL!$FC$5,0,0,$S$26,1),"C",OFFSET(BD_COMERCIAL!$Q$5,0,0,$S$26,1),"PLD + Spread",OFFSET(BD_COMERCIAL!$I$5,0,0,$S$26,1),"Trading")-SUMIFS(OFFSET(BD_COMERCIAL!AI$5,0,0,$S$26,1),OFFSET(BD_COMERCIAL!$L$5,0,0,$S$26,1),"N",OFFSET(BD_COMERCIAL!$FC$5,0,0,$S$26,1),"V",OFFSET(BD_COMERCIAL!$Q$5,0,0,$S$26,1),"PLD + Spread",OFFSET(BD_COMERCIAL!$I$5,0,0,$S$26,1),"Trading")</f>
        <v>0</v>
      </c>
      <c r="AV6" s="86">
        <f ca="1">SUMIFS(OFFSET(BD_COMERCIAL!AJ$5,0,0,$S$26,1),OFFSET(BD_COMERCIAL!$L$5,0,0,$S$26,1),"N",OFFSET(BD_COMERCIAL!$FC$5,0,0,$S$26,1),"C",OFFSET(BD_COMERCIAL!$Q$5,0,0,$S$26,1),"PLD + Spread",OFFSET(BD_COMERCIAL!$I$5,0,0,$S$26,1),"Trading")-SUMIFS(OFFSET(BD_COMERCIAL!AJ$5,0,0,$S$26,1),OFFSET(BD_COMERCIAL!$L$5,0,0,$S$26,1),"N",OFFSET(BD_COMERCIAL!$FC$5,0,0,$S$26,1),"V",OFFSET(BD_COMERCIAL!$Q$5,0,0,$S$26,1),"PLD + Spread",OFFSET(BD_COMERCIAL!$I$5,0,0,$S$26,1),"Trading")</f>
        <v>0</v>
      </c>
      <c r="AW6" s="86">
        <f ca="1">SUMIFS(OFFSET(BD_COMERCIAL!AK$5,0,0,$S$26,1),OFFSET(BD_COMERCIAL!$L$5,0,0,$S$26,1),"N",OFFSET(BD_COMERCIAL!$FC$5,0,0,$S$26,1),"C",OFFSET(BD_COMERCIAL!$Q$5,0,0,$S$26,1),"PLD + Spread",OFFSET(BD_COMERCIAL!$I$5,0,0,$S$26,1),"Trading")-SUMIFS(OFFSET(BD_COMERCIAL!AK$5,0,0,$S$26,1),OFFSET(BD_COMERCIAL!$L$5,0,0,$S$26,1),"N",OFFSET(BD_COMERCIAL!$FC$5,0,0,$S$26,1),"V",OFFSET(BD_COMERCIAL!$Q$5,0,0,$S$26,1),"PLD + Spread",OFFSET(BD_COMERCIAL!$I$5,0,0,$S$26,1),"Trading")</f>
        <v>0</v>
      </c>
      <c r="AX6" s="86">
        <f ca="1">SUMIFS(OFFSET(BD_COMERCIAL!AL$5,0,0,$S$26,1),OFFSET(BD_COMERCIAL!$L$5,0,0,$S$26,1),"N",OFFSET(BD_COMERCIAL!$FC$5,0,0,$S$26,1),"C",OFFSET(BD_COMERCIAL!$Q$5,0,0,$S$26,1),"PLD + Spread",OFFSET(BD_COMERCIAL!$I$5,0,0,$S$26,1),"Trading")-SUMIFS(OFFSET(BD_COMERCIAL!AL$5,0,0,$S$26,1),OFFSET(BD_COMERCIAL!$L$5,0,0,$S$26,1),"N",OFFSET(BD_COMERCIAL!$FC$5,0,0,$S$26,1),"V",OFFSET(BD_COMERCIAL!$Q$5,0,0,$S$26,1),"PLD + Spread",OFFSET(BD_COMERCIAL!$I$5,0,0,$S$26,1),"Trading")</f>
        <v>0</v>
      </c>
      <c r="AY6" s="86">
        <f ca="1">SUMIFS(OFFSET(BD_COMERCIAL!AM$5,0,0,$S$26,1),OFFSET(BD_COMERCIAL!$L$5,0,0,$S$26,1),"N",OFFSET(BD_COMERCIAL!$FC$5,0,0,$S$26,1),"C",OFFSET(BD_COMERCIAL!$Q$5,0,0,$S$26,1),"PLD + Spread",OFFSET(BD_COMERCIAL!$I$5,0,0,$S$26,1),"Trading")-SUMIFS(OFFSET(BD_COMERCIAL!AM$5,0,0,$S$26,1),OFFSET(BD_COMERCIAL!$L$5,0,0,$S$26,1),"N",OFFSET(BD_COMERCIAL!$FC$5,0,0,$S$26,1),"V",OFFSET(BD_COMERCIAL!$Q$5,0,0,$S$26,1),"PLD + Spread",OFFSET(BD_COMERCIAL!$I$5,0,0,$S$26,1),"Trading")</f>
        <v>0</v>
      </c>
      <c r="BA6" s="85" t="s">
        <v>67</v>
      </c>
      <c r="BB6" s="86">
        <f t="shared" ca="1" si="12"/>
        <v>0</v>
      </c>
      <c r="BC6" s="86">
        <f t="shared" ca="1" si="1"/>
        <v>0</v>
      </c>
      <c r="BD6" s="86">
        <f t="shared" ca="1" si="2"/>
        <v>0</v>
      </c>
      <c r="BE6" s="86">
        <f t="shared" ca="1" si="3"/>
        <v>0</v>
      </c>
      <c r="BF6" s="86">
        <f t="shared" ca="1" si="4"/>
        <v>0</v>
      </c>
      <c r="BG6" s="86">
        <f t="shared" ca="1" si="5"/>
        <v>0</v>
      </c>
      <c r="BH6" s="86">
        <f t="shared" ca="1" si="6"/>
        <v>0</v>
      </c>
      <c r="BI6" s="86">
        <f t="shared" ca="1" si="7"/>
        <v>0</v>
      </c>
      <c r="BJ6" s="86">
        <f t="shared" ca="1" si="8"/>
        <v>0</v>
      </c>
      <c r="BK6" s="86">
        <f t="shared" ca="1" si="9"/>
        <v>0</v>
      </c>
      <c r="BL6" s="86">
        <f t="shared" ca="1" si="10"/>
        <v>0</v>
      </c>
      <c r="BM6" s="86">
        <f t="shared" ca="1" si="11"/>
        <v>0</v>
      </c>
    </row>
    <row r="7" spans="2:65" ht="13.5" customHeight="1" thickBot="1" x14ac:dyDescent="0.4">
      <c r="B7" s="62"/>
      <c r="C7" s="62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0"/>
      <c r="Y7" s="88" t="s">
        <v>68</v>
      </c>
      <c r="Z7" s="89">
        <f ca="1">SUM(Z3:Z6)</f>
        <v>-13.666667000000004</v>
      </c>
      <c r="AA7" s="89">
        <f t="shared" ref="AA7:AK7" ca="1" si="13">SUM(AA3:AA6)</f>
        <v>-2.8666670000000067</v>
      </c>
      <c r="AB7" s="89">
        <f t="shared" ca="1" si="13"/>
        <v>-0.1666670000000039</v>
      </c>
      <c r="AC7" s="89">
        <f t="shared" ca="1" si="13"/>
        <v>-15.420000000000002</v>
      </c>
      <c r="AD7" s="89">
        <f t="shared" ca="1" si="13"/>
        <v>-34.64</v>
      </c>
      <c r="AE7" s="89">
        <f t="shared" ca="1" si="13"/>
        <v>-35</v>
      </c>
      <c r="AF7" s="89">
        <f t="shared" ca="1" si="13"/>
        <v>-31.5</v>
      </c>
      <c r="AG7" s="89">
        <f t="shared" ca="1" si="13"/>
        <v>-26.5</v>
      </c>
      <c r="AH7" s="89">
        <f t="shared" ca="1" si="13"/>
        <v>-26.5</v>
      </c>
      <c r="AI7" s="89">
        <f t="shared" ca="1" si="13"/>
        <v>-14.809999999999999</v>
      </c>
      <c r="AJ7" s="89">
        <f t="shared" ca="1" si="13"/>
        <v>-16</v>
      </c>
      <c r="AK7" s="89">
        <f t="shared" ca="1" si="13"/>
        <v>-12</v>
      </c>
      <c r="AL7" s="17"/>
      <c r="AM7" s="88" t="s">
        <v>68</v>
      </c>
      <c r="AN7" s="89">
        <f ca="1">SUM(AN3:AN6)</f>
        <v>0</v>
      </c>
      <c r="AO7" s="89">
        <f t="shared" ref="AO7:AY7" ca="1" si="14">SUM(AO3:AO6)</f>
        <v>0</v>
      </c>
      <c r="AP7" s="89">
        <f t="shared" ca="1" si="14"/>
        <v>0</v>
      </c>
      <c r="AQ7" s="89">
        <f t="shared" ca="1" si="14"/>
        <v>0</v>
      </c>
      <c r="AR7" s="89">
        <f t="shared" ca="1" si="14"/>
        <v>0</v>
      </c>
      <c r="AS7" s="89">
        <f t="shared" ca="1" si="14"/>
        <v>0</v>
      </c>
      <c r="AT7" s="89">
        <f t="shared" ca="1" si="14"/>
        <v>0</v>
      </c>
      <c r="AU7" s="89">
        <f t="shared" ca="1" si="14"/>
        <v>0</v>
      </c>
      <c r="AV7" s="89">
        <f t="shared" ca="1" si="14"/>
        <v>0</v>
      </c>
      <c r="AW7" s="89">
        <f t="shared" ca="1" si="14"/>
        <v>0</v>
      </c>
      <c r="AX7" s="89">
        <f t="shared" ca="1" si="14"/>
        <v>0</v>
      </c>
      <c r="AY7" s="89">
        <f t="shared" ca="1" si="14"/>
        <v>0</v>
      </c>
      <c r="BA7" s="88" t="s">
        <v>68</v>
      </c>
      <c r="BB7" s="89">
        <f t="shared" ca="1" si="12"/>
        <v>-13.666667000000004</v>
      </c>
      <c r="BC7" s="89">
        <f t="shared" ca="1" si="1"/>
        <v>-2.8666670000000067</v>
      </c>
      <c r="BD7" s="89">
        <f t="shared" ca="1" si="2"/>
        <v>-0.1666670000000039</v>
      </c>
      <c r="BE7" s="89">
        <f t="shared" ca="1" si="3"/>
        <v>-15.420000000000002</v>
      </c>
      <c r="BF7" s="89">
        <f t="shared" ca="1" si="4"/>
        <v>-34.64</v>
      </c>
      <c r="BG7" s="89">
        <f t="shared" ca="1" si="5"/>
        <v>-35</v>
      </c>
      <c r="BH7" s="89">
        <f t="shared" ca="1" si="6"/>
        <v>-31.5</v>
      </c>
      <c r="BI7" s="89">
        <f t="shared" ca="1" si="7"/>
        <v>-26.5</v>
      </c>
      <c r="BJ7" s="89">
        <f t="shared" ca="1" si="8"/>
        <v>-26.5</v>
      </c>
      <c r="BK7" s="89">
        <f t="shared" ca="1" si="9"/>
        <v>-14.809999999999999</v>
      </c>
      <c r="BL7" s="89">
        <f t="shared" ca="1" si="10"/>
        <v>-16</v>
      </c>
      <c r="BM7" s="89">
        <f t="shared" ca="1" si="11"/>
        <v>-12</v>
      </c>
    </row>
    <row r="8" spans="2:65" s="17" customFormat="1" ht="15" customHeight="1" x14ac:dyDescent="0.35">
      <c r="B8" s="295" t="s">
        <v>54</v>
      </c>
      <c r="C8" s="58" t="s">
        <v>22</v>
      </c>
      <c r="D8" s="68">
        <v>192.1</v>
      </c>
      <c r="E8" s="56">
        <f t="shared" ref="E8:O11" si="15">D8</f>
        <v>192.1</v>
      </c>
      <c r="F8" s="56">
        <f t="shared" si="15"/>
        <v>192.1</v>
      </c>
      <c r="G8" s="56">
        <f t="shared" si="15"/>
        <v>192.1</v>
      </c>
      <c r="H8" s="56">
        <f t="shared" si="15"/>
        <v>192.1</v>
      </c>
      <c r="I8" s="56">
        <f t="shared" si="15"/>
        <v>192.1</v>
      </c>
      <c r="J8" s="56">
        <f t="shared" si="15"/>
        <v>192.1</v>
      </c>
      <c r="K8" s="56">
        <f t="shared" si="15"/>
        <v>192.1</v>
      </c>
      <c r="L8" s="56">
        <f t="shared" si="15"/>
        <v>192.1</v>
      </c>
      <c r="M8" s="56">
        <f t="shared" si="15"/>
        <v>192.1</v>
      </c>
      <c r="N8" s="56">
        <f t="shared" si="15"/>
        <v>192.1</v>
      </c>
      <c r="O8" s="56">
        <f t="shared" si="15"/>
        <v>192.1</v>
      </c>
      <c r="P8" s="54">
        <v>220</v>
      </c>
      <c r="Y8" s="87" t="s">
        <v>75</v>
      </c>
      <c r="Z8" s="86">
        <f ca="1">SUMIFS(OFFSET(BD_COMERCIAL!AB$5,0,0,$S$26,1),OFFSET(BD_COMERCIAL!$FC$5,0,0,$S$26,1),"C",OFFSET(BD_COMERCIAL!$Q$5,0,0,$S$26,1),"Fixo",OFFSET(BD_COMERCIAL!$I$5,0,0,$S$26,1),"Trading")</f>
        <v>49.7</v>
      </c>
      <c r="AA8" s="86">
        <f ca="1">SUMIFS(OFFSET(BD_COMERCIAL!AC$5,0,0,$S$26,1),OFFSET(BD_COMERCIAL!$FC$5,0,0,$S$26,1),"C",OFFSET(BD_COMERCIAL!$Q$5,0,0,$S$26,1),"Fixo",OFFSET(BD_COMERCIAL!$I$5,0,0,$S$26,1),"Trading")</f>
        <v>39</v>
      </c>
      <c r="AB8" s="86">
        <f ca="1">SUMIFS(OFFSET(BD_COMERCIAL!AD$5,0,0,$S$26,1),OFFSET(BD_COMERCIAL!$FC$5,0,0,$S$26,1),"C",OFFSET(BD_COMERCIAL!$Q$5,0,0,$S$26,1),"Fixo",OFFSET(BD_COMERCIAL!$I$5,0,0,$S$26,1),"Trading")</f>
        <v>38.700000000000003</v>
      </c>
      <c r="AC8" s="86">
        <f ca="1">SUMIFS(OFFSET(BD_COMERCIAL!AE$5,0,0,$S$26,1),OFFSET(BD_COMERCIAL!$FC$5,0,0,$S$26,1),"C",OFFSET(BD_COMERCIAL!$Q$5,0,0,$S$26,1),"Fixo",OFFSET(BD_COMERCIAL!$I$5,0,0,$S$26,1),"Trading")</f>
        <v>55.58</v>
      </c>
      <c r="AD8" s="86">
        <f ca="1">SUMIFS(OFFSET(BD_COMERCIAL!AF$5,0,0,$S$26,1),OFFSET(BD_COMERCIAL!$FC$5,0,0,$S$26,1),"C",OFFSET(BD_COMERCIAL!$Q$5,0,0,$S$26,1),"Fixo",OFFSET(BD_COMERCIAL!$I$5,0,0,$S$26,1),"Trading")</f>
        <v>62.36</v>
      </c>
      <c r="AE8" s="86">
        <f ca="1">SUMIFS(OFFSET(BD_COMERCIAL!AG$5,0,0,$S$26,1),OFFSET(BD_COMERCIAL!$FC$5,0,0,$S$26,1),"C",OFFSET(BD_COMERCIAL!$Q$5,0,0,$S$26,1),"Fixo",OFFSET(BD_COMERCIAL!$I$5,0,0,$S$26,1),"Trading")</f>
        <v>29</v>
      </c>
      <c r="AF8" s="86">
        <f ca="1">SUMIFS(OFFSET(BD_COMERCIAL!AH$5,0,0,$S$26,1),OFFSET(BD_COMERCIAL!$FC$5,0,0,$S$26,1),"C",OFFSET(BD_COMERCIAL!$Q$5,0,0,$S$26,1),"Fixo",OFFSET(BD_COMERCIAL!$I$5,0,0,$S$26,1),"Trading")</f>
        <v>11</v>
      </c>
      <c r="AG8" s="86">
        <f ca="1">SUMIFS(OFFSET(BD_COMERCIAL!AI$5,0,0,$S$26,1),OFFSET(BD_COMERCIAL!$FC$5,0,0,$S$26,1),"C",OFFSET(BD_COMERCIAL!$Q$5,0,0,$S$26,1),"Fixo",OFFSET(BD_COMERCIAL!$I$5,0,0,$S$26,1),"Trading")</f>
        <v>11</v>
      </c>
      <c r="AH8" s="86">
        <f ca="1">SUMIFS(OFFSET(BD_COMERCIAL!AJ$5,0,0,$S$26,1),OFFSET(BD_COMERCIAL!$FC$5,0,0,$S$26,1),"C",OFFSET(BD_COMERCIAL!$Q$5,0,0,$S$26,1),"Fixo",OFFSET(BD_COMERCIAL!$I$5,0,0,$S$26,1),"Trading")</f>
        <v>11</v>
      </c>
      <c r="AI8" s="86">
        <f ca="1">SUMIFS(OFFSET(BD_COMERCIAL!AK$5,0,0,$S$26,1),OFFSET(BD_COMERCIAL!$FC$5,0,0,$S$26,1),"C",OFFSET(BD_COMERCIAL!$Q$5,0,0,$S$26,1),"Fixo",OFFSET(BD_COMERCIAL!$I$5,0,0,$S$26,1),"Trading")</f>
        <v>11</v>
      </c>
      <c r="AJ8" s="86">
        <f ca="1">SUMIFS(OFFSET(BD_COMERCIAL!AL$5,0,0,$S$26,1),OFFSET(BD_COMERCIAL!$FC$5,0,0,$S$26,1),"C",OFFSET(BD_COMERCIAL!$Q$5,0,0,$S$26,1),"Fixo",OFFSET(BD_COMERCIAL!$I$5,0,0,$S$26,1),"Trading")</f>
        <v>11</v>
      </c>
      <c r="AK8" s="86">
        <f ca="1">SUMIFS(OFFSET(BD_COMERCIAL!AM$5,0,0,$S$26,1),OFFSET(BD_COMERCIAL!$FC$5,0,0,$S$26,1),"C",OFFSET(BD_COMERCIAL!$Q$5,0,0,$S$26,1),"Fixo",OFFSET(BD_COMERCIAL!$I$5,0,0,$S$26,1),"Trading")</f>
        <v>50</v>
      </c>
      <c r="AM8" s="87" t="s">
        <v>75</v>
      </c>
      <c r="AN8" s="86">
        <f ca="1">SUMIFS(OFFSET(BD_COMERCIAL!AB$5,0,0,$S$26,1),OFFSET(BD_COMERCIAL!$FC$5,0,0,$S$26,1),"C",OFFSET(BD_COMERCIAL!$Q$5,0,0,$S$26,1),"PLD + Spread",OFFSET(BD_COMERCIAL!$I$5,0,0,$S$26,1),"Trading")</f>
        <v>0</v>
      </c>
      <c r="AO8" s="86">
        <f ca="1">SUMIFS(OFFSET(BD_COMERCIAL!AC$5,0,0,$S$26,1),OFFSET(BD_COMERCIAL!$FC$5,0,0,$S$26,1),"C",OFFSET(BD_COMERCIAL!$Q$5,0,0,$S$26,1),"PLD + Spread",OFFSET(BD_COMERCIAL!$I$5,0,0,$S$26,1),"Trading")</f>
        <v>0</v>
      </c>
      <c r="AP8" s="86">
        <f ca="1">SUMIFS(OFFSET(BD_COMERCIAL!AD$5,0,0,$S$26,1),OFFSET(BD_COMERCIAL!$FC$5,0,0,$S$26,1),"C",OFFSET(BD_COMERCIAL!$Q$5,0,0,$S$26,1),"PLD + Spread",OFFSET(BD_COMERCIAL!$I$5,0,0,$S$26,1),"Trading")</f>
        <v>0</v>
      </c>
      <c r="AQ8" s="86">
        <f ca="1">SUMIFS(OFFSET(BD_COMERCIAL!AE$5,0,0,$S$26,1),OFFSET(BD_COMERCIAL!$FC$5,0,0,$S$26,1),"C",OFFSET(BD_COMERCIAL!$Q$5,0,0,$S$26,1),"PLD + Spread",OFFSET(BD_COMERCIAL!$I$5,0,0,$S$26,1),"Trading")</f>
        <v>0</v>
      </c>
      <c r="AR8" s="86">
        <f ca="1">SUMIFS(OFFSET(BD_COMERCIAL!AF$5,0,0,$S$26,1),OFFSET(BD_COMERCIAL!$FC$5,0,0,$S$26,1),"C",OFFSET(BD_COMERCIAL!$Q$5,0,0,$S$26,1),"PLD + Spread",OFFSET(BD_COMERCIAL!$I$5,0,0,$S$26,1),"Trading")</f>
        <v>0</v>
      </c>
      <c r="AS8" s="86">
        <f ca="1">SUMIFS(OFFSET(BD_COMERCIAL!AG$5,0,0,$S$26,1),OFFSET(BD_COMERCIAL!$FC$5,0,0,$S$26,1),"C",OFFSET(BD_COMERCIAL!$Q$5,0,0,$S$26,1),"PLD + Spread",OFFSET(BD_COMERCIAL!$I$5,0,0,$S$26,1),"Trading")</f>
        <v>0</v>
      </c>
      <c r="AT8" s="86">
        <f ca="1">SUMIFS(OFFSET(BD_COMERCIAL!AH$5,0,0,$S$26,1),OFFSET(BD_COMERCIAL!$FC$5,0,0,$S$26,1),"C",OFFSET(BD_COMERCIAL!$Q$5,0,0,$S$26,1),"PLD + Spread",OFFSET(BD_COMERCIAL!$I$5,0,0,$S$26,1),"Trading")</f>
        <v>0</v>
      </c>
      <c r="AU8" s="86">
        <f ca="1">SUMIFS(OFFSET(BD_COMERCIAL!AI$5,0,0,$S$26,1),OFFSET(BD_COMERCIAL!$FC$5,0,0,$S$26,1),"C",OFFSET(BD_COMERCIAL!$Q$5,0,0,$S$26,1),"PLD + Spread",OFFSET(BD_COMERCIAL!$I$5,0,0,$S$26,1),"Trading")</f>
        <v>0</v>
      </c>
      <c r="AV8" s="86">
        <f ca="1">SUMIFS(OFFSET(BD_COMERCIAL!AJ$5,0,0,$S$26,1),OFFSET(BD_COMERCIAL!$FC$5,0,0,$S$26,1),"C",OFFSET(BD_COMERCIAL!$Q$5,0,0,$S$26,1),"PLD + Spread",OFFSET(BD_COMERCIAL!$I$5,0,0,$S$26,1),"Trading")</f>
        <v>0</v>
      </c>
      <c r="AW8" s="86">
        <f ca="1">SUMIFS(OFFSET(BD_COMERCIAL!AK$5,0,0,$S$26,1),OFFSET(BD_COMERCIAL!$FC$5,0,0,$S$26,1),"C",OFFSET(BD_COMERCIAL!$Q$5,0,0,$S$26,1),"PLD + Spread",OFFSET(BD_COMERCIAL!$I$5,0,0,$S$26,1),"Trading")</f>
        <v>0</v>
      </c>
      <c r="AX8" s="86">
        <f ca="1">SUMIFS(OFFSET(BD_COMERCIAL!AL$5,0,0,$S$26,1),OFFSET(BD_COMERCIAL!$FC$5,0,0,$S$26,1),"C",OFFSET(BD_COMERCIAL!$Q$5,0,0,$S$26,1),"PLD + Spread",OFFSET(BD_COMERCIAL!$I$5,0,0,$S$26,1),"Trading")</f>
        <v>0</v>
      </c>
      <c r="AY8" s="86">
        <f ca="1">SUMIFS(OFFSET(BD_COMERCIAL!AM$5,0,0,$S$26,1),OFFSET(BD_COMERCIAL!$FC$5,0,0,$S$26,1),"C",OFFSET(BD_COMERCIAL!$Q$5,0,0,$S$26,1),"PLD + Spread",OFFSET(BD_COMERCIAL!$I$5,0,0,$S$26,1),"Trading")</f>
        <v>0</v>
      </c>
      <c r="BA8" s="87" t="s">
        <v>75</v>
      </c>
      <c r="BB8" s="86">
        <f t="shared" ca="1" si="12"/>
        <v>49.7</v>
      </c>
      <c r="BC8" s="86">
        <f t="shared" ca="1" si="1"/>
        <v>39</v>
      </c>
      <c r="BD8" s="86">
        <f t="shared" ca="1" si="2"/>
        <v>38.700000000000003</v>
      </c>
      <c r="BE8" s="86">
        <f t="shared" ca="1" si="3"/>
        <v>55.58</v>
      </c>
      <c r="BF8" s="86">
        <f t="shared" ca="1" si="4"/>
        <v>62.36</v>
      </c>
      <c r="BG8" s="86">
        <f t="shared" ca="1" si="5"/>
        <v>29</v>
      </c>
      <c r="BH8" s="86">
        <f t="shared" ca="1" si="6"/>
        <v>11</v>
      </c>
      <c r="BI8" s="86">
        <f t="shared" ca="1" si="7"/>
        <v>11</v>
      </c>
      <c r="BJ8" s="86">
        <f t="shared" ca="1" si="8"/>
        <v>11</v>
      </c>
      <c r="BK8" s="86">
        <f t="shared" ca="1" si="9"/>
        <v>11</v>
      </c>
      <c r="BL8" s="86">
        <f t="shared" ca="1" si="10"/>
        <v>11</v>
      </c>
      <c r="BM8" s="86">
        <f t="shared" ca="1" si="11"/>
        <v>50</v>
      </c>
    </row>
    <row r="9" spans="2:65" s="17" customFormat="1" ht="15" customHeight="1" x14ac:dyDescent="0.35">
      <c r="B9" s="296"/>
      <c r="C9" s="51" t="s">
        <v>27</v>
      </c>
      <c r="D9" s="67">
        <v>192.1</v>
      </c>
      <c r="E9" s="44">
        <f t="shared" si="15"/>
        <v>192.1</v>
      </c>
      <c r="F9" s="44">
        <f t="shared" si="15"/>
        <v>192.1</v>
      </c>
      <c r="G9" s="44">
        <f t="shared" si="15"/>
        <v>192.1</v>
      </c>
      <c r="H9" s="44">
        <f t="shared" si="15"/>
        <v>192.1</v>
      </c>
      <c r="I9" s="44">
        <f t="shared" si="15"/>
        <v>192.1</v>
      </c>
      <c r="J9" s="44">
        <f t="shared" si="15"/>
        <v>192.1</v>
      </c>
      <c r="K9" s="44">
        <f t="shared" si="15"/>
        <v>192.1</v>
      </c>
      <c r="L9" s="44">
        <f t="shared" si="15"/>
        <v>192.1</v>
      </c>
      <c r="M9" s="44">
        <f t="shared" si="15"/>
        <v>192.1</v>
      </c>
      <c r="N9" s="44">
        <f t="shared" si="15"/>
        <v>192.1</v>
      </c>
      <c r="O9" s="44">
        <f t="shared" si="15"/>
        <v>192.1</v>
      </c>
      <c r="P9" s="50">
        <f>P8</f>
        <v>220</v>
      </c>
      <c r="Y9" s="87" t="s">
        <v>76</v>
      </c>
      <c r="Z9" s="86">
        <f ca="1">SUMIFS(OFFSET(BD_COMERCIAL!AB$5,0,0,$S$26,1),OFFSET(BD_COMERCIAL!$FC$5,0,0,$S$26,1),"V",OFFSET(BD_COMERCIAL!$Q$5,0,0,$S$26,1),"Fixo",OFFSET(BD_COMERCIAL!$I$5,0,0,$S$26,1),"Trading")</f>
        <v>63.366667000000007</v>
      </c>
      <c r="AA9" s="86">
        <f ca="1">SUMIFS(OFFSET(BD_COMERCIAL!AC$5,0,0,$S$26,1),OFFSET(BD_COMERCIAL!$FC$5,0,0,$S$26,1),"V",OFFSET(BD_COMERCIAL!$Q$5,0,0,$S$26,1),"Fixo",OFFSET(BD_COMERCIAL!$I$5,0,0,$S$26,1),"Trading")</f>
        <v>41.866667000000007</v>
      </c>
      <c r="AB9" s="86">
        <f ca="1">SUMIFS(OFFSET(BD_COMERCIAL!AD$5,0,0,$S$26,1),OFFSET(BD_COMERCIAL!$FC$5,0,0,$S$26,1),"V",OFFSET(BD_COMERCIAL!$Q$5,0,0,$S$26,1),"Fixo",OFFSET(BD_COMERCIAL!$I$5,0,0,$S$26,1),"Trading")</f>
        <v>38.866667000000007</v>
      </c>
      <c r="AC9" s="86">
        <f ca="1">SUMIFS(OFFSET(BD_COMERCIAL!AE$5,0,0,$S$26,1),OFFSET(BD_COMERCIAL!$FC$5,0,0,$S$26,1),"V",OFFSET(BD_COMERCIAL!$Q$5,0,0,$S$26,1),"Fixo",OFFSET(BD_COMERCIAL!$I$5,0,0,$S$26,1),"Trading")</f>
        <v>71</v>
      </c>
      <c r="AD9" s="86">
        <f ca="1">SUMIFS(OFFSET(BD_COMERCIAL!AF$5,0,0,$S$26,1),OFFSET(BD_COMERCIAL!$FC$5,0,0,$S$26,1),"V",OFFSET(BD_COMERCIAL!$Q$5,0,0,$S$26,1),"Fixo",OFFSET(BD_COMERCIAL!$I$5,0,0,$S$26,1),"Trading")</f>
        <v>97</v>
      </c>
      <c r="AE9" s="86">
        <f ca="1">SUMIFS(OFFSET(BD_COMERCIAL!AG$5,0,0,$S$26,1),OFFSET(BD_COMERCIAL!$FC$5,0,0,$S$26,1),"V",OFFSET(BD_COMERCIAL!$Q$5,0,0,$S$26,1),"Fixo",OFFSET(BD_COMERCIAL!$I$5,0,0,$S$26,1),"Trading")</f>
        <v>64</v>
      </c>
      <c r="AF9" s="86">
        <f ca="1">SUMIFS(OFFSET(BD_COMERCIAL!AH$5,0,0,$S$26,1),OFFSET(BD_COMERCIAL!$FC$5,0,0,$S$26,1),"V",OFFSET(BD_COMERCIAL!$Q$5,0,0,$S$26,1),"Fixo",OFFSET(BD_COMERCIAL!$I$5,0,0,$S$26,1),"Trading")</f>
        <v>42.5</v>
      </c>
      <c r="AG9" s="86">
        <f ca="1">SUMIFS(OFFSET(BD_COMERCIAL!AI$5,0,0,$S$26,1),OFFSET(BD_COMERCIAL!$FC$5,0,0,$S$26,1),"V",OFFSET(BD_COMERCIAL!$Q$5,0,0,$S$26,1),"Fixo",OFFSET(BD_COMERCIAL!$I$5,0,0,$S$26,1),"Trading")</f>
        <v>37.5</v>
      </c>
      <c r="AH9" s="86">
        <f ca="1">SUMIFS(OFFSET(BD_COMERCIAL!AJ$5,0,0,$S$26,1),OFFSET(BD_COMERCIAL!$FC$5,0,0,$S$26,1),"V",OFFSET(BD_COMERCIAL!$Q$5,0,0,$S$26,1),"Fixo",OFFSET(BD_COMERCIAL!$I$5,0,0,$S$26,1),"Trading")</f>
        <v>37.5</v>
      </c>
      <c r="AI9" s="86">
        <f ca="1">SUMIFS(OFFSET(BD_COMERCIAL!AK$5,0,0,$S$26,1),OFFSET(BD_COMERCIAL!$FC$5,0,0,$S$26,1),"V",OFFSET(BD_COMERCIAL!$Q$5,0,0,$S$26,1),"Fixo",OFFSET(BD_COMERCIAL!$I$5,0,0,$S$26,1),"Trading")</f>
        <v>25.81</v>
      </c>
      <c r="AJ9" s="86">
        <f ca="1">SUMIFS(OFFSET(BD_COMERCIAL!AL$5,0,0,$S$26,1),OFFSET(BD_COMERCIAL!$FC$5,0,0,$S$26,1),"V",OFFSET(BD_COMERCIAL!$Q$5,0,0,$S$26,1),"Fixo",OFFSET(BD_COMERCIAL!$I$5,0,0,$S$26,1),"Trading")</f>
        <v>27</v>
      </c>
      <c r="AK9" s="86">
        <f ca="1">SUMIFS(OFFSET(BD_COMERCIAL!AM$5,0,0,$S$26,1),OFFSET(BD_COMERCIAL!$FC$5,0,0,$S$26,1),"V",OFFSET(BD_COMERCIAL!$Q$5,0,0,$S$26,1),"Fixo",OFFSET(BD_COMERCIAL!$I$5,0,0,$S$26,1),"Trading")</f>
        <v>62</v>
      </c>
      <c r="AM9" s="87" t="s">
        <v>76</v>
      </c>
      <c r="AN9" s="86">
        <f ca="1">SUMIFS(OFFSET(BD_COMERCIAL!AB$5,0,0,$S$26,1),OFFSET(BD_COMERCIAL!$FC$5,0,0,$S$26,1),"V",OFFSET(BD_COMERCIAL!$Q$5,0,0,$S$26,1),"PLD + Spread",OFFSET(BD_COMERCIAL!$I$5,0,0,$S$26,1),"Trading")</f>
        <v>0</v>
      </c>
      <c r="AO9" s="86">
        <f ca="1">SUMIFS(OFFSET(BD_COMERCIAL!AC$5,0,0,$S$26,1),OFFSET(BD_COMERCIAL!$FC$5,0,0,$S$26,1),"V",OFFSET(BD_COMERCIAL!$Q$5,0,0,$S$26,1),"PLD + Spread",OFFSET(BD_COMERCIAL!$I$5,0,0,$S$26,1),"Trading")</f>
        <v>0</v>
      </c>
      <c r="AP9" s="86">
        <f ca="1">SUMIFS(OFFSET(BD_COMERCIAL!AD$5,0,0,$S$26,1),OFFSET(BD_COMERCIAL!$FC$5,0,0,$S$26,1),"V",OFFSET(BD_COMERCIAL!$Q$5,0,0,$S$26,1),"PLD + Spread",OFFSET(BD_COMERCIAL!$I$5,0,0,$S$26,1),"Trading")</f>
        <v>0</v>
      </c>
      <c r="AQ9" s="86">
        <f ca="1">SUMIFS(OFFSET(BD_COMERCIAL!AE$5,0,0,$S$26,1),OFFSET(BD_COMERCIAL!$FC$5,0,0,$S$26,1),"V",OFFSET(BD_COMERCIAL!$Q$5,0,0,$S$26,1),"PLD + Spread",OFFSET(BD_COMERCIAL!$I$5,0,0,$S$26,1),"Trading")</f>
        <v>0</v>
      </c>
      <c r="AR9" s="86">
        <f ca="1">SUMIFS(OFFSET(BD_COMERCIAL!AF$5,0,0,$S$26,1),OFFSET(BD_COMERCIAL!$FC$5,0,0,$S$26,1),"V",OFFSET(BD_COMERCIAL!$Q$5,0,0,$S$26,1),"PLD + Spread",OFFSET(BD_COMERCIAL!$I$5,0,0,$S$26,1),"Trading")</f>
        <v>0</v>
      </c>
      <c r="AS9" s="86">
        <f ca="1">SUMIFS(OFFSET(BD_COMERCIAL!AG$5,0,0,$S$26,1),OFFSET(BD_COMERCIAL!$FC$5,0,0,$S$26,1),"V",OFFSET(BD_COMERCIAL!$Q$5,0,0,$S$26,1),"PLD + Spread",OFFSET(BD_COMERCIAL!$I$5,0,0,$S$26,1),"Trading")</f>
        <v>0</v>
      </c>
      <c r="AT9" s="86">
        <f ca="1">SUMIFS(OFFSET(BD_COMERCIAL!AH$5,0,0,$S$26,1),OFFSET(BD_COMERCIAL!$FC$5,0,0,$S$26,1),"V",OFFSET(BD_COMERCIAL!$Q$5,0,0,$S$26,1),"PLD + Spread",OFFSET(BD_COMERCIAL!$I$5,0,0,$S$26,1),"Trading")</f>
        <v>0</v>
      </c>
      <c r="AU9" s="86">
        <f ca="1">SUMIFS(OFFSET(BD_COMERCIAL!AI$5,0,0,$S$26,1),OFFSET(BD_COMERCIAL!$FC$5,0,0,$S$26,1),"V",OFFSET(BD_COMERCIAL!$Q$5,0,0,$S$26,1),"PLD + Spread",OFFSET(BD_COMERCIAL!$I$5,0,0,$S$26,1),"Trading")</f>
        <v>0</v>
      </c>
      <c r="AV9" s="86">
        <f ca="1">SUMIFS(OFFSET(BD_COMERCIAL!AJ$5,0,0,$S$26,1),OFFSET(BD_COMERCIAL!$FC$5,0,0,$S$26,1),"V",OFFSET(BD_COMERCIAL!$Q$5,0,0,$S$26,1),"PLD + Spread",OFFSET(BD_COMERCIAL!$I$5,0,0,$S$26,1),"Trading")</f>
        <v>0</v>
      </c>
      <c r="AW9" s="86">
        <f ca="1">SUMIFS(OFFSET(BD_COMERCIAL!AK$5,0,0,$S$26,1),OFFSET(BD_COMERCIAL!$FC$5,0,0,$S$26,1),"V",OFFSET(BD_COMERCIAL!$Q$5,0,0,$S$26,1),"PLD + Spread",OFFSET(BD_COMERCIAL!$I$5,0,0,$S$26,1),"Trading")</f>
        <v>0</v>
      </c>
      <c r="AX9" s="86">
        <f ca="1">SUMIFS(OFFSET(BD_COMERCIAL!AL$5,0,0,$S$26,1),OFFSET(BD_COMERCIAL!$FC$5,0,0,$S$26,1),"V",OFFSET(BD_COMERCIAL!$Q$5,0,0,$S$26,1),"PLD + Spread",OFFSET(BD_COMERCIAL!$I$5,0,0,$S$26,1),"Trading")</f>
        <v>0</v>
      </c>
      <c r="AY9" s="86">
        <f ca="1">SUMIFS(OFFSET(BD_COMERCIAL!AM$5,0,0,$S$26,1),OFFSET(BD_COMERCIAL!$FC$5,0,0,$S$26,1),"V",OFFSET(BD_COMERCIAL!$Q$5,0,0,$S$26,1),"PLD + Spread",OFFSET(BD_COMERCIAL!$I$5,0,0,$S$26,1),"Trading")</f>
        <v>0</v>
      </c>
      <c r="BA9" s="87" t="s">
        <v>76</v>
      </c>
      <c r="BB9" s="86">
        <f t="shared" ca="1" si="12"/>
        <v>63.366667000000007</v>
      </c>
      <c r="BC9" s="86">
        <f t="shared" ca="1" si="1"/>
        <v>41.866667000000007</v>
      </c>
      <c r="BD9" s="86">
        <f t="shared" ca="1" si="2"/>
        <v>38.866667000000007</v>
      </c>
      <c r="BE9" s="86">
        <f t="shared" ca="1" si="3"/>
        <v>71</v>
      </c>
      <c r="BF9" s="86">
        <f t="shared" ca="1" si="4"/>
        <v>97</v>
      </c>
      <c r="BG9" s="86">
        <f t="shared" ca="1" si="5"/>
        <v>64</v>
      </c>
      <c r="BH9" s="86">
        <f t="shared" ca="1" si="6"/>
        <v>42.5</v>
      </c>
      <c r="BI9" s="86">
        <f t="shared" ca="1" si="7"/>
        <v>37.5</v>
      </c>
      <c r="BJ9" s="86">
        <f t="shared" ca="1" si="8"/>
        <v>37.5</v>
      </c>
      <c r="BK9" s="86">
        <f t="shared" ca="1" si="9"/>
        <v>25.81</v>
      </c>
      <c r="BL9" s="86">
        <f t="shared" ca="1" si="10"/>
        <v>27</v>
      </c>
      <c r="BM9" s="86">
        <f t="shared" ca="1" si="11"/>
        <v>62</v>
      </c>
    </row>
    <row r="10" spans="2:65" s="17" customFormat="1" ht="15" customHeight="1" x14ac:dyDescent="0.35">
      <c r="B10" s="296"/>
      <c r="C10" s="46" t="s">
        <v>26</v>
      </c>
      <c r="D10" s="67">
        <v>84.76</v>
      </c>
      <c r="E10" s="44">
        <f t="shared" si="15"/>
        <v>84.76</v>
      </c>
      <c r="F10" s="44">
        <f t="shared" si="15"/>
        <v>84.76</v>
      </c>
      <c r="G10" s="44">
        <f t="shared" si="15"/>
        <v>84.76</v>
      </c>
      <c r="H10" s="44">
        <f t="shared" si="15"/>
        <v>84.76</v>
      </c>
      <c r="I10" s="44">
        <f t="shared" si="15"/>
        <v>84.76</v>
      </c>
      <c r="J10" s="44">
        <f t="shared" si="15"/>
        <v>84.76</v>
      </c>
      <c r="K10" s="44">
        <f t="shared" si="15"/>
        <v>84.76</v>
      </c>
      <c r="L10" s="44">
        <f t="shared" si="15"/>
        <v>84.76</v>
      </c>
      <c r="M10" s="44">
        <f t="shared" si="15"/>
        <v>84.76</v>
      </c>
      <c r="N10" s="44">
        <f t="shared" si="15"/>
        <v>84.76</v>
      </c>
      <c r="O10" s="66">
        <f t="shared" si="15"/>
        <v>84.76</v>
      </c>
      <c r="P10" s="43">
        <f>P9</f>
        <v>220</v>
      </c>
      <c r="S10" s="21"/>
      <c r="T10" s="21"/>
      <c r="U10" s="21"/>
      <c r="V10" s="21"/>
      <c r="Y10" s="88" t="s">
        <v>69</v>
      </c>
      <c r="Z10" s="89">
        <f t="shared" ref="Z10:AK10" ca="1" si="16">SUM(Z11:Z12)</f>
        <v>-13.666667000000004</v>
      </c>
      <c r="AA10" s="89">
        <f t="shared" ca="1" si="16"/>
        <v>-2.8666670000000067</v>
      </c>
      <c r="AB10" s="89">
        <f t="shared" ca="1" si="16"/>
        <v>-0.1666670000000039</v>
      </c>
      <c r="AC10" s="89">
        <f t="shared" ca="1" si="16"/>
        <v>-15.420000000000002</v>
      </c>
      <c r="AD10" s="89">
        <f t="shared" ca="1" si="16"/>
        <v>-34.64</v>
      </c>
      <c r="AE10" s="89">
        <f t="shared" ca="1" si="16"/>
        <v>-35</v>
      </c>
      <c r="AF10" s="89">
        <f t="shared" ca="1" si="16"/>
        <v>-31.5</v>
      </c>
      <c r="AG10" s="89">
        <f t="shared" ca="1" si="16"/>
        <v>-26.5</v>
      </c>
      <c r="AH10" s="89">
        <f t="shared" ca="1" si="16"/>
        <v>-26.5</v>
      </c>
      <c r="AI10" s="89">
        <f t="shared" ca="1" si="16"/>
        <v>-14.809999999999999</v>
      </c>
      <c r="AJ10" s="89">
        <f t="shared" ca="1" si="16"/>
        <v>-16</v>
      </c>
      <c r="AK10" s="89">
        <f t="shared" ca="1" si="16"/>
        <v>-12</v>
      </c>
      <c r="AM10" s="88" t="s">
        <v>69</v>
      </c>
      <c r="AN10" s="89">
        <f ca="1">SUM(AN11:AN12)</f>
        <v>0</v>
      </c>
      <c r="AO10" s="89">
        <f t="shared" ref="AO10:AY10" ca="1" si="17">SUM(AO11:AO12)</f>
        <v>0</v>
      </c>
      <c r="AP10" s="89">
        <f t="shared" ca="1" si="17"/>
        <v>0</v>
      </c>
      <c r="AQ10" s="89">
        <f t="shared" ca="1" si="17"/>
        <v>0</v>
      </c>
      <c r="AR10" s="89">
        <f t="shared" ca="1" si="17"/>
        <v>0</v>
      </c>
      <c r="AS10" s="89">
        <f t="shared" ca="1" si="17"/>
        <v>0</v>
      </c>
      <c r="AT10" s="89">
        <f t="shared" ca="1" si="17"/>
        <v>0</v>
      </c>
      <c r="AU10" s="89">
        <f t="shared" ca="1" si="17"/>
        <v>0</v>
      </c>
      <c r="AV10" s="89">
        <f t="shared" ca="1" si="17"/>
        <v>0</v>
      </c>
      <c r="AW10" s="89">
        <f t="shared" ca="1" si="17"/>
        <v>0</v>
      </c>
      <c r="AX10" s="89">
        <f t="shared" ca="1" si="17"/>
        <v>0</v>
      </c>
      <c r="AY10" s="89">
        <f t="shared" ca="1" si="17"/>
        <v>0</v>
      </c>
      <c r="BA10" s="88" t="s">
        <v>69</v>
      </c>
      <c r="BB10" s="89">
        <f t="shared" ca="1" si="12"/>
        <v>-13.666667000000004</v>
      </c>
      <c r="BC10" s="89">
        <f t="shared" ca="1" si="1"/>
        <v>-2.8666670000000067</v>
      </c>
      <c r="BD10" s="89">
        <f t="shared" ca="1" si="2"/>
        <v>-0.1666670000000039</v>
      </c>
      <c r="BE10" s="89">
        <f t="shared" ca="1" si="3"/>
        <v>-15.420000000000002</v>
      </c>
      <c r="BF10" s="89">
        <f t="shared" ca="1" si="4"/>
        <v>-34.64</v>
      </c>
      <c r="BG10" s="89">
        <f t="shared" ca="1" si="5"/>
        <v>-35</v>
      </c>
      <c r="BH10" s="89">
        <f t="shared" ca="1" si="6"/>
        <v>-31.5</v>
      </c>
      <c r="BI10" s="89">
        <f t="shared" ca="1" si="7"/>
        <v>-26.5</v>
      </c>
      <c r="BJ10" s="89">
        <f t="shared" ca="1" si="8"/>
        <v>-26.5</v>
      </c>
      <c r="BK10" s="89">
        <f t="shared" ca="1" si="9"/>
        <v>-14.809999999999999</v>
      </c>
      <c r="BL10" s="89">
        <f t="shared" ca="1" si="10"/>
        <v>-16</v>
      </c>
      <c r="BM10" s="89">
        <f t="shared" ca="1" si="11"/>
        <v>-12</v>
      </c>
    </row>
    <row r="11" spans="2:65" s="17" customFormat="1" ht="15" customHeight="1" thickBot="1" x14ac:dyDescent="0.4">
      <c r="B11" s="297"/>
      <c r="C11" s="40" t="s">
        <v>25</v>
      </c>
      <c r="D11" s="64">
        <v>74.19</v>
      </c>
      <c r="E11" s="39">
        <f t="shared" si="15"/>
        <v>74.19</v>
      </c>
      <c r="F11" s="39">
        <f t="shared" si="15"/>
        <v>74.19</v>
      </c>
      <c r="G11" s="39">
        <f t="shared" si="15"/>
        <v>74.19</v>
      </c>
      <c r="H11" s="39">
        <f t="shared" si="15"/>
        <v>74.19</v>
      </c>
      <c r="I11" s="39">
        <f t="shared" si="15"/>
        <v>74.19</v>
      </c>
      <c r="J11" s="39">
        <f t="shared" si="15"/>
        <v>74.19</v>
      </c>
      <c r="K11" s="39">
        <f t="shared" si="15"/>
        <v>74.19</v>
      </c>
      <c r="L11" s="39">
        <f t="shared" si="15"/>
        <v>74.19</v>
      </c>
      <c r="M11" s="39">
        <f t="shared" si="15"/>
        <v>74.19</v>
      </c>
      <c r="N11" s="39">
        <f t="shared" si="15"/>
        <v>74.19</v>
      </c>
      <c r="O11" s="38">
        <f t="shared" si="15"/>
        <v>74.19</v>
      </c>
      <c r="P11" s="37">
        <f>P10</f>
        <v>220</v>
      </c>
      <c r="X11" s="70"/>
      <c r="Y11" s="85" t="s">
        <v>70</v>
      </c>
      <c r="Z11" s="86">
        <f ca="1">SUMIFS(OFFSET(BD_COMERCIAL!AB$5,0,0,$S$26,1),OFFSET(BD_COMERCIAL!$K$5,0,0,$S$26,1),"Conv",OFFSET(BD_COMERCIAL!$FC$5,0,0,$S$26,1),"C",OFFSET(BD_COMERCIAL!$Q$5,0,0,$S$26,1),"Fixo",OFFSET(BD_COMERCIAL!$I$5,0,0,$S$26,1),"Trading")-SUMIFS(OFFSET(BD_COMERCIAL!AB$5,0,0,$S$26,1),OFFSET(BD_COMERCIAL!$K$5,0,0,$S$26,1),"Conv",OFFSET(BD_COMERCIAL!$FC$5,0,0,$S$26,1),"V",OFFSET(BD_COMERCIAL!$Q$5,0,0,$S$26,1),"Fixo",OFFSET(BD_COMERCIAL!$I$5,0,0,$S$26,1),"Trading")</f>
        <v>-13.666667000000004</v>
      </c>
      <c r="AA11" s="86">
        <f ca="1">SUMIFS(OFFSET(BD_COMERCIAL!AC$5,0,0,$S$26,1),OFFSET(BD_COMERCIAL!$K$5,0,0,$S$26,1),"Conv",OFFSET(BD_COMERCIAL!$FC$5,0,0,$S$26,1),"C",OFFSET(BD_COMERCIAL!$Q$5,0,0,$S$26,1),"Fixo",OFFSET(BD_COMERCIAL!$I$5,0,0,$S$26,1),"Trading")-SUMIFS(OFFSET(BD_COMERCIAL!AC$5,0,0,$S$26,1),OFFSET(BD_COMERCIAL!$K$5,0,0,$S$26,1),"Conv",OFFSET(BD_COMERCIAL!$FC$5,0,0,$S$26,1),"V",OFFSET(BD_COMERCIAL!$Q$5,0,0,$S$26,1),"Fixo",OFFSET(BD_COMERCIAL!$I$5,0,0,$S$26,1),"Trading")</f>
        <v>-2.8666670000000067</v>
      </c>
      <c r="AB11" s="86">
        <f ca="1">SUMIFS(OFFSET(BD_COMERCIAL!AD$5,0,0,$S$26,1),OFFSET(BD_COMERCIAL!$K$5,0,0,$S$26,1),"Conv",OFFSET(BD_COMERCIAL!$FC$5,0,0,$S$26,1),"C",OFFSET(BD_COMERCIAL!$Q$5,0,0,$S$26,1),"Fixo",OFFSET(BD_COMERCIAL!$I$5,0,0,$S$26,1),"Trading")-SUMIFS(OFFSET(BD_COMERCIAL!AD$5,0,0,$S$26,1),OFFSET(BD_COMERCIAL!$K$5,0,0,$S$26,1),"Conv",OFFSET(BD_COMERCIAL!$FC$5,0,0,$S$26,1),"V",OFFSET(BD_COMERCIAL!$Q$5,0,0,$S$26,1),"Fixo",OFFSET(BD_COMERCIAL!$I$5,0,0,$S$26,1),"Trading")</f>
        <v>-0.1666670000000039</v>
      </c>
      <c r="AC11" s="86">
        <f ca="1">SUMIFS(OFFSET(BD_COMERCIAL!AE$5,0,0,$S$26,1),OFFSET(BD_COMERCIAL!$K$5,0,0,$S$26,1),"Conv",OFFSET(BD_COMERCIAL!$FC$5,0,0,$S$26,1),"C",OFFSET(BD_COMERCIAL!$Q$5,0,0,$S$26,1),"Fixo",OFFSET(BD_COMERCIAL!$I$5,0,0,$S$26,1),"Trading")-SUMIFS(OFFSET(BD_COMERCIAL!AE$5,0,0,$S$26,1),OFFSET(BD_COMERCIAL!$K$5,0,0,$S$26,1),"Conv",OFFSET(BD_COMERCIAL!$FC$5,0,0,$S$26,1),"V",OFFSET(BD_COMERCIAL!$Q$5,0,0,$S$26,1),"Fixo",OFFSET(BD_COMERCIAL!$I$5,0,0,$S$26,1),"Trading")</f>
        <v>-15.420000000000002</v>
      </c>
      <c r="AD11" s="86">
        <f ca="1">SUMIFS(OFFSET(BD_COMERCIAL!AF$5,0,0,$S$26,1),OFFSET(BD_COMERCIAL!$K$5,0,0,$S$26,1),"Conv",OFFSET(BD_COMERCIAL!$FC$5,0,0,$S$26,1),"C",OFFSET(BD_COMERCIAL!$Q$5,0,0,$S$26,1),"Fixo",OFFSET(BD_COMERCIAL!$I$5,0,0,$S$26,1),"Trading")-SUMIFS(OFFSET(BD_COMERCIAL!AF$5,0,0,$S$26,1),OFFSET(BD_COMERCIAL!$K$5,0,0,$S$26,1),"Conv",OFFSET(BD_COMERCIAL!$FC$5,0,0,$S$26,1),"V",OFFSET(BD_COMERCIAL!$Q$5,0,0,$S$26,1),"Fixo",OFFSET(BD_COMERCIAL!$I$5,0,0,$S$26,1),"Trading")</f>
        <v>-34.64</v>
      </c>
      <c r="AE11" s="86">
        <f ca="1">SUMIFS(OFFSET(BD_COMERCIAL!AG$5,0,0,$S$26,1),OFFSET(BD_COMERCIAL!$K$5,0,0,$S$26,1),"Conv",OFFSET(BD_COMERCIAL!$FC$5,0,0,$S$26,1),"C",OFFSET(BD_COMERCIAL!$Q$5,0,0,$S$26,1),"Fixo",OFFSET(BD_COMERCIAL!$I$5,0,0,$S$26,1),"Trading")-SUMIFS(OFFSET(BD_COMERCIAL!AG$5,0,0,$S$26,1),OFFSET(BD_COMERCIAL!$K$5,0,0,$S$26,1),"Conv",OFFSET(BD_COMERCIAL!$FC$5,0,0,$S$26,1),"V",OFFSET(BD_COMERCIAL!$Q$5,0,0,$S$26,1),"Fixo",OFFSET(BD_COMERCIAL!$I$5,0,0,$S$26,1),"Trading")</f>
        <v>-35</v>
      </c>
      <c r="AF11" s="86">
        <f ca="1">SUMIFS(OFFSET(BD_COMERCIAL!AH$5,0,0,$S$26,1),OFFSET(BD_COMERCIAL!$K$5,0,0,$S$26,1),"Conv",OFFSET(BD_COMERCIAL!$FC$5,0,0,$S$26,1),"C",OFFSET(BD_COMERCIAL!$Q$5,0,0,$S$26,1),"Fixo",OFFSET(BD_COMERCIAL!$I$5,0,0,$S$26,1),"Trading")-SUMIFS(OFFSET(BD_COMERCIAL!AH$5,0,0,$S$26,1),OFFSET(BD_COMERCIAL!$K$5,0,0,$S$26,1),"Conv",OFFSET(BD_COMERCIAL!$FC$5,0,0,$S$26,1),"V",OFFSET(BD_COMERCIAL!$Q$5,0,0,$S$26,1),"Fixo",OFFSET(BD_COMERCIAL!$I$5,0,0,$S$26,1),"Trading")</f>
        <v>-31.5</v>
      </c>
      <c r="AG11" s="86">
        <f ca="1">SUMIFS(OFFSET(BD_COMERCIAL!AI$5,0,0,$S$26,1),OFFSET(BD_COMERCIAL!$K$5,0,0,$S$26,1),"Conv",OFFSET(BD_COMERCIAL!$FC$5,0,0,$S$26,1),"C",OFFSET(BD_COMERCIAL!$Q$5,0,0,$S$26,1),"Fixo",OFFSET(BD_COMERCIAL!$I$5,0,0,$S$26,1),"Trading")-SUMIFS(OFFSET(BD_COMERCIAL!AI$5,0,0,$S$26,1),OFFSET(BD_COMERCIAL!$K$5,0,0,$S$26,1),"Conv",OFFSET(BD_COMERCIAL!$FC$5,0,0,$S$26,1),"V",OFFSET(BD_COMERCIAL!$Q$5,0,0,$S$26,1),"Fixo",OFFSET(BD_COMERCIAL!$I$5,0,0,$S$26,1),"Trading")</f>
        <v>-26.5</v>
      </c>
      <c r="AH11" s="86">
        <f ca="1">SUMIFS(OFFSET(BD_COMERCIAL!AJ$5,0,0,$S$26,1),OFFSET(BD_COMERCIAL!$K$5,0,0,$S$26,1),"Conv",OFFSET(BD_COMERCIAL!$FC$5,0,0,$S$26,1),"C",OFFSET(BD_COMERCIAL!$Q$5,0,0,$S$26,1),"Fixo",OFFSET(BD_COMERCIAL!$I$5,0,0,$S$26,1),"Trading")-SUMIFS(OFFSET(BD_COMERCIAL!AJ$5,0,0,$S$26,1),OFFSET(BD_COMERCIAL!$K$5,0,0,$S$26,1),"Conv",OFFSET(BD_COMERCIAL!$FC$5,0,0,$S$26,1),"V",OFFSET(BD_COMERCIAL!$Q$5,0,0,$S$26,1),"Fixo",OFFSET(BD_COMERCIAL!$I$5,0,0,$S$26,1),"Trading")</f>
        <v>-26.5</v>
      </c>
      <c r="AI11" s="86">
        <f ca="1">SUMIFS(OFFSET(BD_COMERCIAL!AK$5,0,0,$S$26,1),OFFSET(BD_COMERCIAL!$K$5,0,0,$S$26,1),"Conv",OFFSET(BD_COMERCIAL!$FC$5,0,0,$S$26,1),"C",OFFSET(BD_COMERCIAL!$Q$5,0,0,$S$26,1),"Fixo",OFFSET(BD_COMERCIAL!$I$5,0,0,$S$26,1),"Trading")-SUMIFS(OFFSET(BD_COMERCIAL!AK$5,0,0,$S$26,1),OFFSET(BD_COMERCIAL!$K$5,0,0,$S$26,1),"Conv",OFFSET(BD_COMERCIAL!$FC$5,0,0,$S$26,1),"V",OFFSET(BD_COMERCIAL!$Q$5,0,0,$S$26,1),"Fixo",OFFSET(BD_COMERCIAL!$I$5,0,0,$S$26,1),"Trading")</f>
        <v>-14.809999999999999</v>
      </c>
      <c r="AJ11" s="86">
        <f ca="1">SUMIFS(OFFSET(BD_COMERCIAL!AL$5,0,0,$S$26,1),OFFSET(BD_COMERCIAL!$K$5,0,0,$S$26,1),"Conv",OFFSET(BD_COMERCIAL!$FC$5,0,0,$S$26,1),"C",OFFSET(BD_COMERCIAL!$Q$5,0,0,$S$26,1),"Fixo",OFFSET(BD_COMERCIAL!$I$5,0,0,$S$26,1),"Trading")-SUMIFS(OFFSET(BD_COMERCIAL!AL$5,0,0,$S$26,1),OFFSET(BD_COMERCIAL!$K$5,0,0,$S$26,1),"Conv",OFFSET(BD_COMERCIAL!$FC$5,0,0,$S$26,1),"V",OFFSET(BD_COMERCIAL!$Q$5,0,0,$S$26,1),"Fixo",OFFSET(BD_COMERCIAL!$I$5,0,0,$S$26,1),"Trading")</f>
        <v>-16</v>
      </c>
      <c r="AK11" s="86">
        <f ca="1">SUMIFS(OFFSET(BD_COMERCIAL!AM$5,0,0,$S$26,1),OFFSET(BD_COMERCIAL!$K$5,0,0,$S$26,1),"Conv",OFFSET(BD_COMERCIAL!$FC$5,0,0,$S$26,1),"C",OFFSET(BD_COMERCIAL!$Q$5,0,0,$S$26,1),"Fixo",OFFSET(BD_COMERCIAL!$I$5,0,0,$S$26,1),"Trading")-SUMIFS(OFFSET(BD_COMERCIAL!AM$5,0,0,$S$26,1),OFFSET(BD_COMERCIAL!$K$5,0,0,$S$26,1),"Conv",OFFSET(BD_COMERCIAL!$FC$5,0,0,$S$26,1),"V",OFFSET(BD_COMERCIAL!$Q$5,0,0,$S$26,1),"Fixo",OFFSET(BD_COMERCIAL!$I$5,0,0,$S$26,1),"Trading")</f>
        <v>-12</v>
      </c>
      <c r="AM11" s="85" t="s">
        <v>70</v>
      </c>
      <c r="AN11" s="86">
        <f ca="1">SUMIFS(OFFSET(BD_COMERCIAL!AB$5,0,0,$S$26,1),OFFSET(BD_COMERCIAL!$K$5,0,0,$S$26,1),"Conv",OFFSET(BD_COMERCIAL!$FC$5,0,0,$S$26,1),"C",OFFSET(BD_COMERCIAL!$Q$5,0,0,$S$26,1),"PLD + Spread",OFFSET(BD_COMERCIAL!$I$5,0,0,$S$26,1),"Trading")-SUMIFS(OFFSET(BD_COMERCIAL!AB$5,0,0,$S$26,1),OFFSET(BD_COMERCIAL!$K$5,0,0,$S$26,1),"Conv",OFFSET(BD_COMERCIAL!$FC$5,0,0,$S$26,1),"V",OFFSET(BD_COMERCIAL!$Q$5,0,0,$S$26,1),"PLD + Spread",OFFSET(BD_COMERCIAL!$I$5,0,0,$S$26,1),"Trading")</f>
        <v>0</v>
      </c>
      <c r="AO11" s="86">
        <f ca="1">SUMIFS(OFFSET(BD_COMERCIAL!AC$5,0,0,$S$26,1),OFFSET(BD_COMERCIAL!$K$5,0,0,$S$26,1),"Conv",OFFSET(BD_COMERCIAL!$FC$5,0,0,$S$26,1),"C",OFFSET(BD_COMERCIAL!$Q$5,0,0,$S$26,1),"PLD + Spread",OFFSET(BD_COMERCIAL!$I$5,0,0,$S$26,1),"Trading")-SUMIFS(OFFSET(BD_COMERCIAL!AC$5,0,0,$S$26,1),OFFSET(BD_COMERCIAL!$K$5,0,0,$S$26,1),"Conv",OFFSET(BD_COMERCIAL!$FC$5,0,0,$S$26,1),"V",OFFSET(BD_COMERCIAL!$Q$5,0,0,$S$26,1),"PLD + Spread",OFFSET(BD_COMERCIAL!$I$5,0,0,$S$26,1),"Trading")</f>
        <v>0</v>
      </c>
      <c r="AP11" s="86">
        <f ca="1">SUMIFS(OFFSET(BD_COMERCIAL!AD$5,0,0,$S$26,1),OFFSET(BD_COMERCIAL!$K$5,0,0,$S$26,1),"Conv",OFFSET(BD_COMERCIAL!$FC$5,0,0,$S$26,1),"C",OFFSET(BD_COMERCIAL!$Q$5,0,0,$S$26,1),"PLD + Spread",OFFSET(BD_COMERCIAL!$I$5,0,0,$S$26,1),"Trading")-SUMIFS(OFFSET(BD_COMERCIAL!AD$5,0,0,$S$26,1),OFFSET(BD_COMERCIAL!$K$5,0,0,$S$26,1),"Conv",OFFSET(BD_COMERCIAL!$FC$5,0,0,$S$26,1),"V",OFFSET(BD_COMERCIAL!$Q$5,0,0,$S$26,1),"PLD + Spread",OFFSET(BD_COMERCIAL!$I$5,0,0,$S$26,1),"Trading")</f>
        <v>0</v>
      </c>
      <c r="AQ11" s="86">
        <f ca="1">SUMIFS(OFFSET(BD_COMERCIAL!AE$5,0,0,$S$26,1),OFFSET(BD_COMERCIAL!$K$5,0,0,$S$26,1),"Conv",OFFSET(BD_COMERCIAL!$FC$5,0,0,$S$26,1),"C",OFFSET(BD_COMERCIAL!$Q$5,0,0,$S$26,1),"PLD + Spread",OFFSET(BD_COMERCIAL!$I$5,0,0,$S$26,1),"Trading")-SUMIFS(OFFSET(BD_COMERCIAL!AE$5,0,0,$S$26,1),OFFSET(BD_COMERCIAL!$K$5,0,0,$S$26,1),"Conv",OFFSET(BD_COMERCIAL!$FC$5,0,0,$S$26,1),"V",OFFSET(BD_COMERCIAL!$Q$5,0,0,$S$26,1),"PLD + Spread",OFFSET(BD_COMERCIAL!$I$5,0,0,$S$26,1),"Trading")</f>
        <v>0</v>
      </c>
      <c r="AR11" s="86">
        <f ca="1">SUMIFS(OFFSET(BD_COMERCIAL!AF$5,0,0,$S$26,1),OFFSET(BD_COMERCIAL!$K$5,0,0,$S$26,1),"Conv",OFFSET(BD_COMERCIAL!$FC$5,0,0,$S$26,1),"C",OFFSET(BD_COMERCIAL!$Q$5,0,0,$S$26,1),"PLD + Spread",OFFSET(BD_COMERCIAL!$I$5,0,0,$S$26,1),"Trading")-SUMIFS(OFFSET(BD_COMERCIAL!AF$5,0,0,$S$26,1),OFFSET(BD_COMERCIAL!$K$5,0,0,$S$26,1),"Conv",OFFSET(BD_COMERCIAL!$FC$5,0,0,$S$26,1),"V",OFFSET(BD_COMERCIAL!$Q$5,0,0,$S$26,1),"PLD + Spread",OFFSET(BD_COMERCIAL!$I$5,0,0,$S$26,1),"Trading")</f>
        <v>0</v>
      </c>
      <c r="AS11" s="86">
        <f ca="1">SUMIFS(OFFSET(BD_COMERCIAL!AG$5,0,0,$S$26,1),OFFSET(BD_COMERCIAL!$K$5,0,0,$S$26,1),"Conv",OFFSET(BD_COMERCIAL!$FC$5,0,0,$S$26,1),"C",OFFSET(BD_COMERCIAL!$Q$5,0,0,$S$26,1),"PLD + Spread",OFFSET(BD_COMERCIAL!$I$5,0,0,$S$26,1),"Trading")-SUMIFS(OFFSET(BD_COMERCIAL!AG$5,0,0,$S$26,1),OFFSET(BD_COMERCIAL!$K$5,0,0,$S$26,1),"Conv",OFFSET(BD_COMERCIAL!$FC$5,0,0,$S$26,1),"V",OFFSET(BD_COMERCIAL!$Q$5,0,0,$S$26,1),"PLD + Spread",OFFSET(BD_COMERCIAL!$I$5,0,0,$S$26,1),"Trading")</f>
        <v>0</v>
      </c>
      <c r="AT11" s="86">
        <f ca="1">SUMIFS(OFFSET(BD_COMERCIAL!AH$5,0,0,$S$26,1),OFFSET(BD_COMERCIAL!$K$5,0,0,$S$26,1),"Conv",OFFSET(BD_COMERCIAL!$FC$5,0,0,$S$26,1),"C",OFFSET(BD_COMERCIAL!$Q$5,0,0,$S$26,1),"PLD + Spread",OFFSET(BD_COMERCIAL!$I$5,0,0,$S$26,1),"Trading")-SUMIFS(OFFSET(BD_COMERCIAL!AH$5,0,0,$S$26,1),OFFSET(BD_COMERCIAL!$K$5,0,0,$S$26,1),"Conv",OFFSET(BD_COMERCIAL!$FC$5,0,0,$S$26,1),"V",OFFSET(BD_COMERCIAL!$Q$5,0,0,$S$26,1),"PLD + Spread",OFFSET(BD_COMERCIAL!$I$5,0,0,$S$26,1),"Trading")</f>
        <v>0</v>
      </c>
      <c r="AU11" s="86">
        <f ca="1">SUMIFS(OFFSET(BD_COMERCIAL!AI$5,0,0,$S$26,1),OFFSET(BD_COMERCIAL!$K$5,0,0,$S$26,1),"Conv",OFFSET(BD_COMERCIAL!$FC$5,0,0,$S$26,1),"C",OFFSET(BD_COMERCIAL!$Q$5,0,0,$S$26,1),"PLD + Spread",OFFSET(BD_COMERCIAL!$I$5,0,0,$S$26,1),"Trading")-SUMIFS(OFFSET(BD_COMERCIAL!AI$5,0,0,$S$26,1),OFFSET(BD_COMERCIAL!$K$5,0,0,$S$26,1),"Conv",OFFSET(BD_COMERCIAL!$FC$5,0,0,$S$26,1),"V",OFFSET(BD_COMERCIAL!$Q$5,0,0,$S$26,1),"PLD + Spread",OFFSET(BD_COMERCIAL!$I$5,0,0,$S$26,1),"Trading")</f>
        <v>0</v>
      </c>
      <c r="AV11" s="86">
        <f ca="1">SUMIFS(OFFSET(BD_COMERCIAL!AJ$5,0,0,$S$26,1),OFFSET(BD_COMERCIAL!$K$5,0,0,$S$26,1),"Conv",OFFSET(BD_COMERCIAL!$FC$5,0,0,$S$26,1),"C",OFFSET(BD_COMERCIAL!$Q$5,0,0,$S$26,1),"PLD + Spread",OFFSET(BD_COMERCIAL!$I$5,0,0,$S$26,1),"Trading")-SUMIFS(OFFSET(BD_COMERCIAL!AJ$5,0,0,$S$26,1),OFFSET(BD_COMERCIAL!$K$5,0,0,$S$26,1),"Conv",OFFSET(BD_COMERCIAL!$FC$5,0,0,$S$26,1),"V",OFFSET(BD_COMERCIAL!$Q$5,0,0,$S$26,1),"PLD + Spread",OFFSET(BD_COMERCIAL!$I$5,0,0,$S$26,1),"Trading")</f>
        <v>0</v>
      </c>
      <c r="AW11" s="86">
        <f ca="1">SUMIFS(OFFSET(BD_COMERCIAL!AK$5,0,0,$S$26,1),OFFSET(BD_COMERCIAL!$K$5,0,0,$S$26,1),"Conv",OFFSET(BD_COMERCIAL!$FC$5,0,0,$S$26,1),"C",OFFSET(BD_COMERCIAL!$Q$5,0,0,$S$26,1),"PLD + Spread",OFFSET(BD_COMERCIAL!$I$5,0,0,$S$26,1),"Trading")-SUMIFS(OFFSET(BD_COMERCIAL!AK$5,0,0,$S$26,1),OFFSET(BD_COMERCIAL!$K$5,0,0,$S$26,1),"Conv",OFFSET(BD_COMERCIAL!$FC$5,0,0,$S$26,1),"V",OFFSET(BD_COMERCIAL!$Q$5,0,0,$S$26,1),"PLD + Spread",OFFSET(BD_COMERCIAL!$I$5,0,0,$S$26,1),"Trading")</f>
        <v>0</v>
      </c>
      <c r="AX11" s="86">
        <f ca="1">SUMIFS(OFFSET(BD_COMERCIAL!AL$5,0,0,$S$26,1),OFFSET(BD_COMERCIAL!$K$5,0,0,$S$26,1),"Conv",OFFSET(BD_COMERCIAL!$FC$5,0,0,$S$26,1),"C",OFFSET(BD_COMERCIAL!$Q$5,0,0,$S$26,1),"PLD + Spread",OFFSET(BD_COMERCIAL!$I$5,0,0,$S$26,1),"Trading")-SUMIFS(OFFSET(BD_COMERCIAL!AL$5,0,0,$S$26,1),OFFSET(BD_COMERCIAL!$K$5,0,0,$S$26,1),"Conv",OFFSET(BD_COMERCIAL!$FC$5,0,0,$S$26,1),"V",OFFSET(BD_COMERCIAL!$Q$5,0,0,$S$26,1),"PLD + Spread",OFFSET(BD_COMERCIAL!$I$5,0,0,$S$26,1),"Trading")</f>
        <v>0</v>
      </c>
      <c r="AY11" s="86">
        <f ca="1">SUMIFS(OFFSET(BD_COMERCIAL!AM$5,0,0,$S$26,1),OFFSET(BD_COMERCIAL!$K$5,0,0,$S$26,1),"Conv",OFFSET(BD_COMERCIAL!$FC$5,0,0,$S$26,1),"C",OFFSET(BD_COMERCIAL!$Q$5,0,0,$S$26,1),"PLD + Spread",OFFSET(BD_COMERCIAL!$I$5,0,0,$S$26,1),"Trading")-SUMIFS(OFFSET(BD_COMERCIAL!AM$5,0,0,$S$26,1),OFFSET(BD_COMERCIAL!$K$5,0,0,$S$26,1),"Conv",OFFSET(BD_COMERCIAL!$FC$5,0,0,$S$26,1),"V",OFFSET(BD_COMERCIAL!$Q$5,0,0,$S$26,1),"PLD + Spread",OFFSET(BD_COMERCIAL!$I$5,0,0,$S$26,1),"Trading")</f>
        <v>0</v>
      </c>
      <c r="BA11" s="85" t="s">
        <v>70</v>
      </c>
      <c r="BB11" s="86">
        <f t="shared" ca="1" si="12"/>
        <v>-13.666667000000004</v>
      </c>
      <c r="BC11" s="86">
        <f t="shared" ca="1" si="1"/>
        <v>-2.8666670000000067</v>
      </c>
      <c r="BD11" s="86">
        <f t="shared" ca="1" si="2"/>
        <v>-0.1666670000000039</v>
      </c>
      <c r="BE11" s="86">
        <f t="shared" ca="1" si="3"/>
        <v>-15.420000000000002</v>
      </c>
      <c r="BF11" s="86">
        <f t="shared" ca="1" si="4"/>
        <v>-34.64</v>
      </c>
      <c r="BG11" s="86">
        <f t="shared" ca="1" si="5"/>
        <v>-35</v>
      </c>
      <c r="BH11" s="86">
        <f t="shared" ca="1" si="6"/>
        <v>-31.5</v>
      </c>
      <c r="BI11" s="86">
        <f t="shared" ca="1" si="7"/>
        <v>-26.5</v>
      </c>
      <c r="BJ11" s="86">
        <f t="shared" ca="1" si="8"/>
        <v>-26.5</v>
      </c>
      <c r="BK11" s="86">
        <f t="shared" ca="1" si="9"/>
        <v>-14.809999999999999</v>
      </c>
      <c r="BL11" s="86">
        <f t="shared" ca="1" si="10"/>
        <v>-16</v>
      </c>
      <c r="BM11" s="86">
        <f t="shared" ca="1" si="11"/>
        <v>-12</v>
      </c>
    </row>
    <row r="12" spans="2:65" ht="15.75" customHeight="1" thickBot="1" x14ac:dyDescent="0.4">
      <c r="B12" s="62"/>
      <c r="C12" s="62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0"/>
      <c r="X12" s="17"/>
      <c r="Y12" s="85" t="s">
        <v>71</v>
      </c>
      <c r="Z12" s="86">
        <f ca="1">SUMIFS(OFFSET(BD_COMERCIAL!AB$5,0,0,$S$26,1),OFFSET(BD_COMERCIAL!$K$5,0,0,$S$26,1),"CQI5",OFFSET(BD_COMERCIAL!$FC$5,0,0,$S$26,1),"C",OFFSET(BD_COMERCIAL!$Q$5,0,0,$S$26,1),"Fixo",OFFSET(BD_COMERCIAL!$I$5,0,0,$S$26,1),"Trading")-SUMIFS(OFFSET(BD_COMERCIAL!AB$5,0,0,$S$26,1),OFFSET(BD_COMERCIAL!$K$5,0,0,$S$26,1),"CQI5",OFFSET(BD_COMERCIAL!$FC$5,0,0,$S$26,1),"V",OFFSET(BD_COMERCIAL!$Q$5,0,0,$S$26,1),"Fixo",OFFSET(BD_COMERCIAL!$I$5,0,0,$S$26,1),"Trading")</f>
        <v>0</v>
      </c>
      <c r="AA12" s="86">
        <f ca="1">SUMIFS(OFFSET(BD_COMERCIAL!AC$5,0,0,$S$26,1),OFFSET(BD_COMERCIAL!$K$5,0,0,$S$26,1),"CQI5",OFFSET(BD_COMERCIAL!$FC$5,0,0,$S$26,1),"C",OFFSET(BD_COMERCIAL!$Q$5,0,0,$S$26,1),"Fixo",OFFSET(BD_COMERCIAL!$I$5,0,0,$S$26,1),"Trading")-SUMIFS(OFFSET(BD_COMERCIAL!AC$5,0,0,$S$26,1),OFFSET(BD_COMERCIAL!$K$5,0,0,$S$26,1),"CQI5",OFFSET(BD_COMERCIAL!$FC$5,0,0,$S$26,1),"V",OFFSET(BD_COMERCIAL!$Q$5,0,0,$S$26,1),"Fixo",OFFSET(BD_COMERCIAL!$I$5,0,0,$S$26,1),"Trading")</f>
        <v>0</v>
      </c>
      <c r="AB12" s="86">
        <f ca="1">SUMIFS(OFFSET(BD_COMERCIAL!AD$5,0,0,$S$26,1),OFFSET(BD_COMERCIAL!$K$5,0,0,$S$26,1),"CQI5",OFFSET(BD_COMERCIAL!$FC$5,0,0,$S$26,1),"C",OFFSET(BD_COMERCIAL!$Q$5,0,0,$S$26,1),"Fixo",OFFSET(BD_COMERCIAL!$I$5,0,0,$S$26,1),"Trading")-SUMIFS(OFFSET(BD_COMERCIAL!AD$5,0,0,$S$26,1),OFFSET(BD_COMERCIAL!$K$5,0,0,$S$26,1),"CQI5",OFFSET(BD_COMERCIAL!$FC$5,0,0,$S$26,1),"V",OFFSET(BD_COMERCIAL!$Q$5,0,0,$S$26,1),"Fixo",OFFSET(BD_COMERCIAL!$I$5,0,0,$S$26,1),"Trading")</f>
        <v>0</v>
      </c>
      <c r="AC12" s="86">
        <f ca="1">SUMIFS(OFFSET(BD_COMERCIAL!AE$5,0,0,$S$26,1),OFFSET(BD_COMERCIAL!$K$5,0,0,$S$26,1),"CQI5",OFFSET(BD_COMERCIAL!$FC$5,0,0,$S$26,1),"C",OFFSET(BD_COMERCIAL!$Q$5,0,0,$S$26,1),"Fixo",OFFSET(BD_COMERCIAL!$I$5,0,0,$S$26,1),"Trading")-SUMIFS(OFFSET(BD_COMERCIAL!AE$5,0,0,$S$26,1),OFFSET(BD_COMERCIAL!$K$5,0,0,$S$26,1),"CQI5",OFFSET(BD_COMERCIAL!$FC$5,0,0,$S$26,1),"V",OFFSET(BD_COMERCIAL!$Q$5,0,0,$S$26,1),"Fixo",OFFSET(BD_COMERCIAL!$I$5,0,0,$S$26,1),"Trading")</f>
        <v>0</v>
      </c>
      <c r="AD12" s="86">
        <f ca="1">SUMIFS(OFFSET(BD_COMERCIAL!AF$5,0,0,$S$26,1),OFFSET(BD_COMERCIAL!$K$5,0,0,$S$26,1),"CQI5",OFFSET(BD_COMERCIAL!$FC$5,0,0,$S$26,1),"C",OFFSET(BD_COMERCIAL!$Q$5,0,0,$S$26,1),"Fixo",OFFSET(BD_COMERCIAL!$I$5,0,0,$S$26,1),"Trading")-SUMIFS(OFFSET(BD_COMERCIAL!AF$5,0,0,$S$26,1),OFFSET(BD_COMERCIAL!$K$5,0,0,$S$26,1),"CQI5",OFFSET(BD_COMERCIAL!$FC$5,0,0,$S$26,1),"V",OFFSET(BD_COMERCIAL!$Q$5,0,0,$S$26,1),"Fixo",OFFSET(BD_COMERCIAL!$I$5,0,0,$S$26,1),"Trading")</f>
        <v>0</v>
      </c>
      <c r="AE12" s="86">
        <f ca="1">SUMIFS(OFFSET(BD_COMERCIAL!AG$5,0,0,$S$26,1),OFFSET(BD_COMERCIAL!$K$5,0,0,$S$26,1),"CQI5",OFFSET(BD_COMERCIAL!$FC$5,0,0,$S$26,1),"C",OFFSET(BD_COMERCIAL!$Q$5,0,0,$S$26,1),"Fixo",OFFSET(BD_COMERCIAL!$I$5,0,0,$S$26,1),"Trading")-SUMIFS(OFFSET(BD_COMERCIAL!AG$5,0,0,$S$26,1),OFFSET(BD_COMERCIAL!$K$5,0,0,$S$26,1),"CQI5",OFFSET(BD_COMERCIAL!$FC$5,0,0,$S$26,1),"V",OFFSET(BD_COMERCIAL!$Q$5,0,0,$S$26,1),"Fixo",OFFSET(BD_COMERCIAL!$I$5,0,0,$S$26,1),"Trading")</f>
        <v>0</v>
      </c>
      <c r="AF12" s="86">
        <f ca="1">SUMIFS(OFFSET(BD_COMERCIAL!AH$5,0,0,$S$26,1),OFFSET(BD_COMERCIAL!$K$5,0,0,$S$26,1),"CQI5",OFFSET(BD_COMERCIAL!$FC$5,0,0,$S$26,1),"C",OFFSET(BD_COMERCIAL!$Q$5,0,0,$S$26,1),"Fixo",OFFSET(BD_COMERCIAL!$I$5,0,0,$S$26,1),"Trading")-SUMIFS(OFFSET(BD_COMERCIAL!AH$5,0,0,$S$26,1),OFFSET(BD_COMERCIAL!$K$5,0,0,$S$26,1),"CQI5",OFFSET(BD_COMERCIAL!$FC$5,0,0,$S$26,1),"V",OFFSET(BD_COMERCIAL!$Q$5,0,0,$S$26,1),"Fixo",OFFSET(BD_COMERCIAL!$I$5,0,0,$S$26,1),"Trading")</f>
        <v>0</v>
      </c>
      <c r="AG12" s="86">
        <f ca="1">SUMIFS(OFFSET(BD_COMERCIAL!AI$5,0,0,$S$26,1),OFFSET(BD_COMERCIAL!$K$5,0,0,$S$26,1),"CQI5",OFFSET(BD_COMERCIAL!$FC$5,0,0,$S$26,1),"C",OFFSET(BD_COMERCIAL!$Q$5,0,0,$S$26,1),"Fixo",OFFSET(BD_COMERCIAL!$I$5,0,0,$S$26,1),"Trading")-SUMIFS(OFFSET(BD_COMERCIAL!AI$5,0,0,$S$26,1),OFFSET(BD_COMERCIAL!$K$5,0,0,$S$26,1),"CQI5",OFFSET(BD_COMERCIAL!$FC$5,0,0,$S$26,1),"V",OFFSET(BD_COMERCIAL!$Q$5,0,0,$S$26,1),"Fixo",OFFSET(BD_COMERCIAL!$I$5,0,0,$S$26,1),"Trading")</f>
        <v>0</v>
      </c>
      <c r="AH12" s="86">
        <f ca="1">SUMIFS(OFFSET(BD_COMERCIAL!AJ$5,0,0,$S$26,1),OFFSET(BD_COMERCIAL!$K$5,0,0,$S$26,1),"CQI5",OFFSET(BD_COMERCIAL!$FC$5,0,0,$S$26,1),"C",OFFSET(BD_COMERCIAL!$Q$5,0,0,$S$26,1),"Fixo",OFFSET(BD_COMERCIAL!$I$5,0,0,$S$26,1),"Trading")-SUMIFS(OFFSET(BD_COMERCIAL!AJ$5,0,0,$S$26,1),OFFSET(BD_COMERCIAL!$K$5,0,0,$S$26,1),"CQI5",OFFSET(BD_COMERCIAL!$FC$5,0,0,$S$26,1),"V",OFFSET(BD_COMERCIAL!$Q$5,0,0,$S$26,1),"Fixo",OFFSET(BD_COMERCIAL!$I$5,0,0,$S$26,1),"Trading")</f>
        <v>0</v>
      </c>
      <c r="AI12" s="86">
        <f ca="1">SUMIFS(OFFSET(BD_COMERCIAL!AK$5,0,0,$S$26,1),OFFSET(BD_COMERCIAL!$K$5,0,0,$S$26,1),"CQI5",OFFSET(BD_COMERCIAL!$FC$5,0,0,$S$26,1),"C",OFFSET(BD_COMERCIAL!$Q$5,0,0,$S$26,1),"Fixo",OFFSET(BD_COMERCIAL!$I$5,0,0,$S$26,1),"Trading")-SUMIFS(OFFSET(BD_COMERCIAL!AK$5,0,0,$S$26,1),OFFSET(BD_COMERCIAL!$K$5,0,0,$S$26,1),"CQI5",OFFSET(BD_COMERCIAL!$FC$5,0,0,$S$26,1),"V",OFFSET(BD_COMERCIAL!$Q$5,0,0,$S$26,1),"Fixo",OFFSET(BD_COMERCIAL!$I$5,0,0,$S$26,1),"Trading")</f>
        <v>0</v>
      </c>
      <c r="AJ12" s="86">
        <f ca="1">SUMIFS(OFFSET(BD_COMERCIAL!AL$5,0,0,$S$26,1),OFFSET(BD_COMERCIAL!$K$5,0,0,$S$26,1),"CQI5",OFFSET(BD_COMERCIAL!$FC$5,0,0,$S$26,1),"C",OFFSET(BD_COMERCIAL!$Q$5,0,0,$S$26,1),"Fixo",OFFSET(BD_COMERCIAL!$I$5,0,0,$S$26,1),"Trading")-SUMIFS(OFFSET(BD_COMERCIAL!AL$5,0,0,$S$26,1),OFFSET(BD_COMERCIAL!$K$5,0,0,$S$26,1),"CQI5",OFFSET(BD_COMERCIAL!$FC$5,0,0,$S$26,1),"V",OFFSET(BD_COMERCIAL!$Q$5,0,0,$S$26,1),"Fixo",OFFSET(BD_COMERCIAL!$I$5,0,0,$S$26,1),"Trading")</f>
        <v>0</v>
      </c>
      <c r="AK12" s="86">
        <f ca="1">SUMIFS(OFFSET(BD_COMERCIAL!AM$5,0,0,$S$26,1),OFFSET(BD_COMERCIAL!$K$5,0,0,$S$26,1),"CQI5",OFFSET(BD_COMERCIAL!$FC$5,0,0,$S$26,1),"C",OFFSET(BD_COMERCIAL!$Q$5,0,0,$S$26,1),"Fixo",OFFSET(BD_COMERCIAL!$I$5,0,0,$S$26,1),"Trading")-SUMIFS(OFFSET(BD_COMERCIAL!AM$5,0,0,$S$26,1),OFFSET(BD_COMERCIAL!$K$5,0,0,$S$26,1),"CQI5",OFFSET(BD_COMERCIAL!$FC$5,0,0,$S$26,1),"V",OFFSET(BD_COMERCIAL!$Q$5,0,0,$S$26,1),"Fixo",OFFSET(BD_COMERCIAL!$I$5,0,0,$S$26,1),"Trading")</f>
        <v>0</v>
      </c>
      <c r="AL12" s="17"/>
      <c r="AM12" s="85" t="s">
        <v>71</v>
      </c>
      <c r="AN12" s="86">
        <f ca="1">SUMIFS(OFFSET(BD_COMERCIAL!AB$5,0,0,$S$26,1),OFFSET(BD_COMERCIAL!$K$5,0,0,$S$26,1),"CQI5",OFFSET(BD_COMERCIAL!$FC$5,0,0,$S$26,1),"C",OFFSET(BD_COMERCIAL!$Q$5,0,0,$S$26,1),"PLD + Spread",OFFSET(BD_COMERCIAL!$I$5,0,0,$S$26,1),"Trading")-SUMIFS(OFFSET(BD_COMERCIAL!AB$5,0,0,$S$26,1),OFFSET(BD_COMERCIAL!$K$5,0,0,$S$26,1),"CQI5",OFFSET(BD_COMERCIAL!$FC$5,0,0,$S$26,1),"V",OFFSET(BD_COMERCIAL!$Q$5,0,0,$S$26,1),"PLD + Spread",OFFSET(BD_COMERCIAL!$I$5,0,0,$S$26,1),"Trading")</f>
        <v>0</v>
      </c>
      <c r="AO12" s="86">
        <f ca="1">SUMIFS(OFFSET(BD_COMERCIAL!AC$5,0,0,$S$26,1),OFFSET(BD_COMERCIAL!$K$5,0,0,$S$26,1),"CQI5",OFFSET(BD_COMERCIAL!$FC$5,0,0,$S$26,1),"C",OFFSET(BD_COMERCIAL!$Q$5,0,0,$S$26,1),"PLD + Spread",OFFSET(BD_COMERCIAL!$I$5,0,0,$S$26,1),"Trading")-SUMIFS(OFFSET(BD_COMERCIAL!AC$5,0,0,$S$26,1),OFFSET(BD_COMERCIAL!$K$5,0,0,$S$26,1),"CQI5",OFFSET(BD_COMERCIAL!$FC$5,0,0,$S$26,1),"V",OFFSET(BD_COMERCIAL!$Q$5,0,0,$S$26,1),"PLD + Spread",OFFSET(BD_COMERCIAL!$I$5,0,0,$S$26,1),"Trading")</f>
        <v>0</v>
      </c>
      <c r="AP12" s="86">
        <f ca="1">SUMIFS(OFFSET(BD_COMERCIAL!AD$5,0,0,$S$26,1),OFFSET(BD_COMERCIAL!$K$5,0,0,$S$26,1),"CQI5",OFFSET(BD_COMERCIAL!$FC$5,0,0,$S$26,1),"C",OFFSET(BD_COMERCIAL!$Q$5,0,0,$S$26,1),"PLD + Spread",OFFSET(BD_COMERCIAL!$I$5,0,0,$S$26,1),"Trading")-SUMIFS(OFFSET(BD_COMERCIAL!AD$5,0,0,$S$26,1),OFFSET(BD_COMERCIAL!$K$5,0,0,$S$26,1),"CQI5",OFFSET(BD_COMERCIAL!$FC$5,0,0,$S$26,1),"V",OFFSET(BD_COMERCIAL!$Q$5,0,0,$S$26,1),"PLD + Spread",OFFSET(BD_COMERCIAL!$I$5,0,0,$S$26,1),"Trading")</f>
        <v>0</v>
      </c>
      <c r="AQ12" s="86">
        <f ca="1">SUMIFS(OFFSET(BD_COMERCIAL!AE$5,0,0,$S$26,1),OFFSET(BD_COMERCIAL!$K$5,0,0,$S$26,1),"CQI5",OFFSET(BD_COMERCIAL!$FC$5,0,0,$S$26,1),"C",OFFSET(BD_COMERCIAL!$Q$5,0,0,$S$26,1),"PLD + Spread",OFFSET(BD_COMERCIAL!$I$5,0,0,$S$26,1),"Trading")-SUMIFS(OFFSET(BD_COMERCIAL!AE$5,0,0,$S$26,1),OFFSET(BD_COMERCIAL!$K$5,0,0,$S$26,1),"CQI5",OFFSET(BD_COMERCIAL!$FC$5,0,0,$S$26,1),"V",OFFSET(BD_COMERCIAL!$Q$5,0,0,$S$26,1),"PLD + Spread",OFFSET(BD_COMERCIAL!$I$5,0,0,$S$26,1),"Trading")</f>
        <v>0</v>
      </c>
      <c r="AR12" s="86">
        <f ca="1">SUMIFS(OFFSET(BD_COMERCIAL!AF$5,0,0,$S$26,1),OFFSET(BD_COMERCIAL!$K$5,0,0,$S$26,1),"CQI5",OFFSET(BD_COMERCIAL!$FC$5,0,0,$S$26,1),"C",OFFSET(BD_COMERCIAL!$Q$5,0,0,$S$26,1),"PLD + Spread",OFFSET(BD_COMERCIAL!$I$5,0,0,$S$26,1),"Trading")-SUMIFS(OFFSET(BD_COMERCIAL!AF$5,0,0,$S$26,1),OFFSET(BD_COMERCIAL!$K$5,0,0,$S$26,1),"CQI5",OFFSET(BD_COMERCIAL!$FC$5,0,0,$S$26,1),"V",OFFSET(BD_COMERCIAL!$Q$5,0,0,$S$26,1),"PLD + Spread",OFFSET(BD_COMERCIAL!$I$5,0,0,$S$26,1),"Trading")</f>
        <v>0</v>
      </c>
      <c r="AS12" s="86">
        <f ca="1">SUMIFS(OFFSET(BD_COMERCIAL!AG$5,0,0,$S$26,1),OFFSET(BD_COMERCIAL!$K$5,0,0,$S$26,1),"CQI5",OFFSET(BD_COMERCIAL!$FC$5,0,0,$S$26,1),"C",OFFSET(BD_COMERCIAL!$Q$5,0,0,$S$26,1),"PLD + Spread",OFFSET(BD_COMERCIAL!$I$5,0,0,$S$26,1),"Trading")-SUMIFS(OFFSET(BD_COMERCIAL!AG$5,0,0,$S$26,1),OFFSET(BD_COMERCIAL!$K$5,0,0,$S$26,1),"CQI5",OFFSET(BD_COMERCIAL!$FC$5,0,0,$S$26,1),"V",OFFSET(BD_COMERCIAL!$Q$5,0,0,$S$26,1),"PLD + Spread",OFFSET(BD_COMERCIAL!$I$5,0,0,$S$26,1),"Trading")</f>
        <v>0</v>
      </c>
      <c r="AT12" s="86">
        <f ca="1">SUMIFS(OFFSET(BD_COMERCIAL!AH$5,0,0,$S$26,1),OFFSET(BD_COMERCIAL!$K$5,0,0,$S$26,1),"CQI5",OFFSET(BD_COMERCIAL!$FC$5,0,0,$S$26,1),"C",OFFSET(BD_COMERCIAL!$Q$5,0,0,$S$26,1),"PLD + Spread",OFFSET(BD_COMERCIAL!$I$5,0,0,$S$26,1),"Trading")-SUMIFS(OFFSET(BD_COMERCIAL!AH$5,0,0,$S$26,1),OFFSET(BD_COMERCIAL!$K$5,0,0,$S$26,1),"CQI5",OFFSET(BD_COMERCIAL!$FC$5,0,0,$S$26,1),"V",OFFSET(BD_COMERCIAL!$Q$5,0,0,$S$26,1),"PLD + Spread",OFFSET(BD_COMERCIAL!$I$5,0,0,$S$26,1),"Trading")</f>
        <v>0</v>
      </c>
      <c r="AU12" s="86">
        <f ca="1">SUMIFS(OFFSET(BD_COMERCIAL!AI$5,0,0,$S$26,1),OFFSET(BD_COMERCIAL!$K$5,0,0,$S$26,1),"CQI5",OFFSET(BD_COMERCIAL!$FC$5,0,0,$S$26,1),"C",OFFSET(BD_COMERCIAL!$Q$5,0,0,$S$26,1),"PLD + Spread",OFFSET(BD_COMERCIAL!$I$5,0,0,$S$26,1),"Trading")-SUMIFS(OFFSET(BD_COMERCIAL!AI$5,0,0,$S$26,1),OFFSET(BD_COMERCIAL!$K$5,0,0,$S$26,1),"CQI5",OFFSET(BD_COMERCIAL!$FC$5,0,0,$S$26,1),"V",OFFSET(BD_COMERCIAL!$Q$5,0,0,$S$26,1),"PLD + Spread",OFFSET(BD_COMERCIAL!$I$5,0,0,$S$26,1),"Trading")</f>
        <v>0</v>
      </c>
      <c r="AV12" s="86">
        <f ca="1">SUMIFS(OFFSET(BD_COMERCIAL!AJ$5,0,0,$S$26,1),OFFSET(BD_COMERCIAL!$K$5,0,0,$S$26,1),"CQI5",OFFSET(BD_COMERCIAL!$FC$5,0,0,$S$26,1),"C",OFFSET(BD_COMERCIAL!$Q$5,0,0,$S$26,1),"PLD + Spread",OFFSET(BD_COMERCIAL!$I$5,0,0,$S$26,1),"Trading")-SUMIFS(OFFSET(BD_COMERCIAL!AJ$5,0,0,$S$26,1),OFFSET(BD_COMERCIAL!$K$5,0,0,$S$26,1),"CQI5",OFFSET(BD_COMERCIAL!$FC$5,0,0,$S$26,1),"V",OFFSET(BD_COMERCIAL!$Q$5,0,0,$S$26,1),"PLD + Spread",OFFSET(BD_COMERCIAL!$I$5,0,0,$S$26,1),"Trading")</f>
        <v>0</v>
      </c>
      <c r="AW12" s="86">
        <f ca="1">SUMIFS(OFFSET(BD_COMERCIAL!AK$5,0,0,$S$26,1),OFFSET(BD_COMERCIAL!$K$5,0,0,$S$26,1),"CQI5",OFFSET(BD_COMERCIAL!$FC$5,0,0,$S$26,1),"C",OFFSET(BD_COMERCIAL!$Q$5,0,0,$S$26,1),"PLD + Spread",OFFSET(BD_COMERCIAL!$I$5,0,0,$S$26,1),"Trading")-SUMIFS(OFFSET(BD_COMERCIAL!AK$5,0,0,$S$26,1),OFFSET(BD_COMERCIAL!$K$5,0,0,$S$26,1),"CQI5",OFFSET(BD_COMERCIAL!$FC$5,0,0,$S$26,1),"V",OFFSET(BD_COMERCIAL!$Q$5,0,0,$S$26,1),"PLD + Spread",OFFSET(BD_COMERCIAL!$I$5,0,0,$S$26,1),"Trading")</f>
        <v>0</v>
      </c>
      <c r="AX12" s="86">
        <f ca="1">SUMIFS(OFFSET(BD_COMERCIAL!AL$5,0,0,$S$26,1),OFFSET(BD_COMERCIAL!$K$5,0,0,$S$26,1),"CQI5",OFFSET(BD_COMERCIAL!$FC$5,0,0,$S$26,1),"C",OFFSET(BD_COMERCIAL!$Q$5,0,0,$S$26,1),"PLD + Spread",OFFSET(BD_COMERCIAL!$I$5,0,0,$S$26,1),"Trading")-SUMIFS(OFFSET(BD_COMERCIAL!AL$5,0,0,$S$26,1),OFFSET(BD_COMERCIAL!$K$5,0,0,$S$26,1),"CQI5",OFFSET(BD_COMERCIAL!$FC$5,0,0,$S$26,1),"V",OFFSET(BD_COMERCIAL!$Q$5,0,0,$S$26,1),"PLD + Spread",OFFSET(BD_COMERCIAL!$I$5,0,0,$S$26,1),"Trading")</f>
        <v>0</v>
      </c>
      <c r="AY12" s="86">
        <f ca="1">SUMIFS(OFFSET(BD_COMERCIAL!AM$5,0,0,$S$26,1),OFFSET(BD_COMERCIAL!$K$5,0,0,$S$26,1),"CQI5",OFFSET(BD_COMERCIAL!$FC$5,0,0,$S$26,1),"C",OFFSET(BD_COMERCIAL!$Q$5,0,0,$S$26,1),"PLD + Spread",OFFSET(BD_COMERCIAL!$I$5,0,0,$S$26,1),"Trading")-SUMIFS(OFFSET(BD_COMERCIAL!AM$5,0,0,$S$26,1),OFFSET(BD_COMERCIAL!$K$5,0,0,$S$26,1),"CQI5",OFFSET(BD_COMERCIAL!$FC$5,0,0,$S$26,1),"V",OFFSET(BD_COMERCIAL!$Q$5,0,0,$S$26,1),"PLD + Spread",OFFSET(BD_COMERCIAL!$I$5,0,0,$S$26,1),"Trading")</f>
        <v>0</v>
      </c>
      <c r="BA12" s="85" t="s">
        <v>71</v>
      </c>
      <c r="BB12" s="86">
        <f t="shared" ca="1" si="12"/>
        <v>0</v>
      </c>
      <c r="BC12" s="86">
        <f t="shared" ca="1" si="1"/>
        <v>0</v>
      </c>
      <c r="BD12" s="86">
        <f t="shared" ca="1" si="2"/>
        <v>0</v>
      </c>
      <c r="BE12" s="86">
        <f t="shared" ca="1" si="3"/>
        <v>0</v>
      </c>
      <c r="BF12" s="86">
        <f t="shared" ca="1" si="4"/>
        <v>0</v>
      </c>
      <c r="BG12" s="86">
        <f t="shared" ca="1" si="5"/>
        <v>0</v>
      </c>
      <c r="BH12" s="86">
        <f t="shared" ca="1" si="6"/>
        <v>0</v>
      </c>
      <c r="BI12" s="86">
        <f t="shared" ca="1" si="7"/>
        <v>0</v>
      </c>
      <c r="BJ12" s="86">
        <f t="shared" ca="1" si="8"/>
        <v>0</v>
      </c>
      <c r="BK12" s="86">
        <f t="shared" ca="1" si="9"/>
        <v>0</v>
      </c>
      <c r="BL12" s="86">
        <f t="shared" ca="1" si="10"/>
        <v>0</v>
      </c>
      <c r="BM12" s="86">
        <f t="shared" ca="1" si="11"/>
        <v>0</v>
      </c>
    </row>
    <row r="13" spans="2:65" s="17" customFormat="1" ht="15" customHeight="1" x14ac:dyDescent="0.35">
      <c r="B13" s="295" t="s">
        <v>48</v>
      </c>
      <c r="C13" s="58" t="s">
        <v>22</v>
      </c>
      <c r="D13" s="68">
        <v>192.1</v>
      </c>
      <c r="E13" s="56">
        <f t="shared" ref="E13:O16" si="18">D13</f>
        <v>192.1</v>
      </c>
      <c r="F13" s="56">
        <f t="shared" si="18"/>
        <v>192.1</v>
      </c>
      <c r="G13" s="56">
        <f t="shared" si="18"/>
        <v>192.1</v>
      </c>
      <c r="H13" s="56">
        <f t="shared" si="18"/>
        <v>192.1</v>
      </c>
      <c r="I13" s="56">
        <f t="shared" si="18"/>
        <v>192.1</v>
      </c>
      <c r="J13" s="56">
        <f t="shared" si="18"/>
        <v>192.1</v>
      </c>
      <c r="K13" s="56">
        <f t="shared" si="18"/>
        <v>192.1</v>
      </c>
      <c r="L13" s="56">
        <f t="shared" si="18"/>
        <v>192.1</v>
      </c>
      <c r="M13" s="56">
        <f t="shared" si="18"/>
        <v>192.1</v>
      </c>
      <c r="N13" s="56">
        <f t="shared" si="18"/>
        <v>192.1</v>
      </c>
      <c r="O13" s="56">
        <f t="shared" si="18"/>
        <v>192.1</v>
      </c>
      <c r="P13" s="54">
        <f>P8+30</f>
        <v>250</v>
      </c>
      <c r="Y13" s="88" t="s">
        <v>50</v>
      </c>
      <c r="Z13" s="89">
        <f t="shared" ref="Z13:AK13" ca="1" si="19">SUM(Z14:Z16)</f>
        <v>0</v>
      </c>
      <c r="AA13" s="89">
        <f t="shared" ca="1" si="19"/>
        <v>0</v>
      </c>
      <c r="AB13" s="89">
        <f t="shared" ca="1" si="19"/>
        <v>0</v>
      </c>
      <c r="AC13" s="89">
        <f t="shared" ca="1" si="19"/>
        <v>0</v>
      </c>
      <c r="AD13" s="89">
        <f t="shared" ca="1" si="19"/>
        <v>0</v>
      </c>
      <c r="AE13" s="89">
        <f t="shared" ca="1" si="19"/>
        <v>0</v>
      </c>
      <c r="AF13" s="89">
        <f t="shared" ca="1" si="19"/>
        <v>0</v>
      </c>
      <c r="AG13" s="89">
        <f t="shared" ca="1" si="19"/>
        <v>0</v>
      </c>
      <c r="AH13" s="89">
        <f t="shared" ca="1" si="19"/>
        <v>0</v>
      </c>
      <c r="AI13" s="89">
        <f t="shared" ca="1" si="19"/>
        <v>0</v>
      </c>
      <c r="AJ13" s="89">
        <f t="shared" ca="1" si="19"/>
        <v>0</v>
      </c>
      <c r="AK13" s="89">
        <f t="shared" ca="1" si="19"/>
        <v>0</v>
      </c>
      <c r="AM13" s="88" t="s">
        <v>50</v>
      </c>
      <c r="AN13" s="89">
        <f ca="1">SUM(AN14:AN16)</f>
        <v>0</v>
      </c>
      <c r="AO13" s="89">
        <f t="shared" ref="AO13:AY13" ca="1" si="20">SUM(AO14:AO16)</f>
        <v>0</v>
      </c>
      <c r="AP13" s="89">
        <f t="shared" ca="1" si="20"/>
        <v>0</v>
      </c>
      <c r="AQ13" s="89">
        <f t="shared" ca="1" si="20"/>
        <v>0</v>
      </c>
      <c r="AR13" s="89">
        <f t="shared" ca="1" si="20"/>
        <v>0</v>
      </c>
      <c r="AS13" s="89">
        <f t="shared" ca="1" si="20"/>
        <v>0</v>
      </c>
      <c r="AT13" s="89">
        <f t="shared" ca="1" si="20"/>
        <v>0</v>
      </c>
      <c r="AU13" s="89">
        <f t="shared" ca="1" si="20"/>
        <v>0</v>
      </c>
      <c r="AV13" s="89">
        <f t="shared" ca="1" si="20"/>
        <v>0</v>
      </c>
      <c r="AW13" s="89">
        <f t="shared" ca="1" si="20"/>
        <v>0</v>
      </c>
      <c r="AX13" s="89">
        <f t="shared" ca="1" si="20"/>
        <v>0</v>
      </c>
      <c r="AY13" s="89">
        <f t="shared" ca="1" si="20"/>
        <v>0</v>
      </c>
      <c r="BA13" s="88" t="s">
        <v>50</v>
      </c>
      <c r="BB13" s="89">
        <f t="shared" ca="1" si="12"/>
        <v>0</v>
      </c>
      <c r="BC13" s="89">
        <f t="shared" ca="1" si="1"/>
        <v>0</v>
      </c>
      <c r="BD13" s="89">
        <f t="shared" ca="1" si="2"/>
        <v>0</v>
      </c>
      <c r="BE13" s="89">
        <f t="shared" ca="1" si="3"/>
        <v>0</v>
      </c>
      <c r="BF13" s="89">
        <f t="shared" ca="1" si="4"/>
        <v>0</v>
      </c>
      <c r="BG13" s="89">
        <f t="shared" ca="1" si="5"/>
        <v>0</v>
      </c>
      <c r="BH13" s="89">
        <f t="shared" ca="1" si="6"/>
        <v>0</v>
      </c>
      <c r="BI13" s="89">
        <f t="shared" ca="1" si="7"/>
        <v>0</v>
      </c>
      <c r="BJ13" s="89">
        <f t="shared" ca="1" si="8"/>
        <v>0</v>
      </c>
      <c r="BK13" s="89">
        <f t="shared" ca="1" si="9"/>
        <v>0</v>
      </c>
      <c r="BL13" s="89">
        <f t="shared" ca="1" si="10"/>
        <v>0</v>
      </c>
      <c r="BM13" s="89">
        <f t="shared" ca="1" si="11"/>
        <v>0</v>
      </c>
    </row>
    <row r="14" spans="2:65" s="17" customFormat="1" ht="15" customHeight="1" x14ac:dyDescent="0.35">
      <c r="B14" s="296"/>
      <c r="C14" s="51" t="s">
        <v>27</v>
      </c>
      <c r="D14" s="67">
        <v>192.1</v>
      </c>
      <c r="E14" s="44">
        <f t="shared" si="18"/>
        <v>192.1</v>
      </c>
      <c r="F14" s="44">
        <f t="shared" si="18"/>
        <v>192.1</v>
      </c>
      <c r="G14" s="44">
        <f t="shared" si="18"/>
        <v>192.1</v>
      </c>
      <c r="H14" s="44">
        <f t="shared" si="18"/>
        <v>192.1</v>
      </c>
      <c r="I14" s="44">
        <f t="shared" si="18"/>
        <v>192.1</v>
      </c>
      <c r="J14" s="44">
        <f t="shared" si="18"/>
        <v>192.1</v>
      </c>
      <c r="K14" s="44">
        <f t="shared" si="18"/>
        <v>192.1</v>
      </c>
      <c r="L14" s="44">
        <f t="shared" si="18"/>
        <v>192.1</v>
      </c>
      <c r="M14" s="44">
        <f t="shared" si="18"/>
        <v>192.1</v>
      </c>
      <c r="N14" s="44">
        <f t="shared" si="18"/>
        <v>192.1</v>
      </c>
      <c r="O14" s="44">
        <f t="shared" si="18"/>
        <v>192.1</v>
      </c>
      <c r="P14" s="50">
        <f>P9+30</f>
        <v>250</v>
      </c>
      <c r="Y14" s="85" t="s">
        <v>72</v>
      </c>
      <c r="Z14" s="86">
        <f ca="1">SUMIFS(OFFSET(BD_COMERCIAL!AB$5,0,0,$S$26,1),OFFSET(BD_COMERCIAL!$K$5,0,0,$S$26,1),"I0",OFFSET(BD_COMERCIAL!$FC$5,0,0,$S$26,1),"C",OFFSET(BD_COMERCIAL!$Q$5,0,0,$S$26,1),"Fixo",OFFSET(BD_COMERCIAL!$I$5,0,0,$S$26,1),"Trading")-SUMIFS(OFFSET(BD_COMERCIAL!AB$5,0,0,$S$26,1),OFFSET(BD_COMERCIAL!$K$5,0,0,$S$26,1),"I0",OFFSET(BD_COMERCIAL!$FC$5,0,0,$S$26,1),"V",OFFSET(BD_COMERCIAL!$Q$5,0,0,$S$26,1),"Fixo",OFFSET(BD_COMERCIAL!$I$5,0,0,$S$26,1),"Trading")</f>
        <v>0</v>
      </c>
      <c r="AA14" s="86">
        <f ca="1">SUMIFS(OFFSET(BD_COMERCIAL!AC$5,0,0,$S$26,1),OFFSET(BD_COMERCIAL!$K$5,0,0,$S$26,1),"I0",OFFSET(BD_COMERCIAL!$FC$5,0,0,$S$26,1),"C",OFFSET(BD_COMERCIAL!$Q$5,0,0,$S$26,1),"Fixo",OFFSET(BD_COMERCIAL!$I$5,0,0,$S$26,1),"Trading")-SUMIFS(OFFSET(BD_COMERCIAL!AC$5,0,0,$S$26,1),OFFSET(BD_COMERCIAL!$K$5,0,0,$S$26,1),"I0",OFFSET(BD_COMERCIAL!$FC$5,0,0,$S$26,1),"V",OFFSET(BD_COMERCIAL!$Q$5,0,0,$S$26,1),"Fixo",OFFSET(BD_COMERCIAL!$I$5,0,0,$S$26,1),"Trading")</f>
        <v>0</v>
      </c>
      <c r="AB14" s="86">
        <f ca="1">SUMIFS(OFFSET(BD_COMERCIAL!AD$5,0,0,$S$26,1),OFFSET(BD_COMERCIAL!$K$5,0,0,$S$26,1),"I0",OFFSET(BD_COMERCIAL!$FC$5,0,0,$S$26,1),"C",OFFSET(BD_COMERCIAL!$Q$5,0,0,$S$26,1),"Fixo",OFFSET(BD_COMERCIAL!$I$5,0,0,$S$26,1),"Trading")-SUMIFS(OFFSET(BD_COMERCIAL!AD$5,0,0,$S$26,1),OFFSET(BD_COMERCIAL!$K$5,0,0,$S$26,1),"I0",OFFSET(BD_COMERCIAL!$FC$5,0,0,$S$26,1),"V",OFFSET(BD_COMERCIAL!$Q$5,0,0,$S$26,1),"Fixo",OFFSET(BD_COMERCIAL!$I$5,0,0,$S$26,1),"Trading")</f>
        <v>0</v>
      </c>
      <c r="AC14" s="86">
        <f ca="1">SUMIFS(OFFSET(BD_COMERCIAL!AE$5,0,0,$S$26,1),OFFSET(BD_COMERCIAL!$K$5,0,0,$S$26,1),"I0",OFFSET(BD_COMERCIAL!$FC$5,0,0,$S$26,1),"C",OFFSET(BD_COMERCIAL!$Q$5,0,0,$S$26,1),"Fixo",OFFSET(BD_COMERCIAL!$I$5,0,0,$S$26,1),"Trading")-SUMIFS(OFFSET(BD_COMERCIAL!AE$5,0,0,$S$26,1),OFFSET(BD_COMERCIAL!$K$5,0,0,$S$26,1),"I0",OFFSET(BD_COMERCIAL!$FC$5,0,0,$S$26,1),"V",OFFSET(BD_COMERCIAL!$Q$5,0,0,$S$26,1),"Fixo",OFFSET(BD_COMERCIAL!$I$5,0,0,$S$26,1),"Trading")</f>
        <v>0</v>
      </c>
      <c r="AD14" s="86">
        <f ca="1">SUMIFS(OFFSET(BD_COMERCIAL!AF$5,0,0,$S$26,1),OFFSET(BD_COMERCIAL!$K$5,0,0,$S$26,1),"I0",OFFSET(BD_COMERCIAL!$FC$5,0,0,$S$26,1),"C",OFFSET(BD_COMERCIAL!$Q$5,0,0,$S$26,1),"Fixo",OFFSET(BD_COMERCIAL!$I$5,0,0,$S$26,1),"Trading")-SUMIFS(OFFSET(BD_COMERCIAL!AF$5,0,0,$S$26,1),OFFSET(BD_COMERCIAL!$K$5,0,0,$S$26,1),"I0",OFFSET(BD_COMERCIAL!$FC$5,0,0,$S$26,1),"V",OFFSET(BD_COMERCIAL!$Q$5,0,0,$S$26,1),"Fixo",OFFSET(BD_COMERCIAL!$I$5,0,0,$S$26,1),"Trading")</f>
        <v>0</v>
      </c>
      <c r="AE14" s="86">
        <f ca="1">SUMIFS(OFFSET(BD_COMERCIAL!AG$5,0,0,$S$26,1),OFFSET(BD_COMERCIAL!$K$5,0,0,$S$26,1),"I0",OFFSET(BD_COMERCIAL!$FC$5,0,0,$S$26,1),"C",OFFSET(BD_COMERCIAL!$Q$5,0,0,$S$26,1),"Fixo",OFFSET(BD_COMERCIAL!$I$5,0,0,$S$26,1),"Trading")-SUMIFS(OFFSET(BD_COMERCIAL!AG$5,0,0,$S$26,1),OFFSET(BD_COMERCIAL!$K$5,0,0,$S$26,1),"I0",OFFSET(BD_COMERCIAL!$FC$5,0,0,$S$26,1),"V",OFFSET(BD_COMERCIAL!$Q$5,0,0,$S$26,1),"Fixo",OFFSET(BD_COMERCIAL!$I$5,0,0,$S$26,1),"Trading")</f>
        <v>0</v>
      </c>
      <c r="AF14" s="86">
        <f ca="1">SUMIFS(OFFSET(BD_COMERCIAL!AH$5,0,0,$S$26,1),OFFSET(BD_COMERCIAL!$K$5,0,0,$S$26,1),"I0",OFFSET(BD_COMERCIAL!$FC$5,0,0,$S$26,1),"C",OFFSET(BD_COMERCIAL!$Q$5,0,0,$S$26,1),"Fixo",OFFSET(BD_COMERCIAL!$I$5,0,0,$S$26,1),"Trading")-SUMIFS(OFFSET(BD_COMERCIAL!AH$5,0,0,$S$26,1),OFFSET(BD_COMERCIAL!$K$5,0,0,$S$26,1),"I0",OFFSET(BD_COMERCIAL!$FC$5,0,0,$S$26,1),"V",OFFSET(BD_COMERCIAL!$Q$5,0,0,$S$26,1),"Fixo",OFFSET(BD_COMERCIAL!$I$5,0,0,$S$26,1),"Trading")</f>
        <v>0</v>
      </c>
      <c r="AG14" s="86">
        <f ca="1">SUMIFS(OFFSET(BD_COMERCIAL!AI$5,0,0,$S$26,1),OFFSET(BD_COMERCIAL!$K$5,0,0,$S$26,1),"I0",OFFSET(BD_COMERCIAL!$FC$5,0,0,$S$26,1),"C",OFFSET(BD_COMERCIAL!$Q$5,0,0,$S$26,1),"Fixo",OFFSET(BD_COMERCIAL!$I$5,0,0,$S$26,1),"Trading")-SUMIFS(OFFSET(BD_COMERCIAL!AI$5,0,0,$S$26,1),OFFSET(BD_COMERCIAL!$K$5,0,0,$S$26,1),"I0",OFFSET(BD_COMERCIAL!$FC$5,0,0,$S$26,1),"V",OFFSET(BD_COMERCIAL!$Q$5,0,0,$S$26,1),"Fixo",OFFSET(BD_COMERCIAL!$I$5,0,0,$S$26,1),"Trading")</f>
        <v>0</v>
      </c>
      <c r="AH14" s="86">
        <f ca="1">SUMIFS(OFFSET(BD_COMERCIAL!AJ$5,0,0,$S$26,1),OFFSET(BD_COMERCIAL!$K$5,0,0,$S$26,1),"I0",OFFSET(BD_COMERCIAL!$FC$5,0,0,$S$26,1),"C",OFFSET(BD_COMERCIAL!$Q$5,0,0,$S$26,1),"Fixo",OFFSET(BD_COMERCIAL!$I$5,0,0,$S$26,1),"Trading")-SUMIFS(OFFSET(BD_COMERCIAL!AJ$5,0,0,$S$26,1),OFFSET(BD_COMERCIAL!$K$5,0,0,$S$26,1),"I0",OFFSET(BD_COMERCIAL!$FC$5,0,0,$S$26,1),"V",OFFSET(BD_COMERCIAL!$Q$5,0,0,$S$26,1),"Fixo",OFFSET(BD_COMERCIAL!$I$5,0,0,$S$26,1),"Trading")</f>
        <v>0</v>
      </c>
      <c r="AI14" s="86">
        <f ca="1">SUMIFS(OFFSET(BD_COMERCIAL!AK$5,0,0,$S$26,1),OFFSET(BD_COMERCIAL!$K$5,0,0,$S$26,1),"I0",OFFSET(BD_COMERCIAL!$FC$5,0,0,$S$26,1),"C",OFFSET(BD_COMERCIAL!$Q$5,0,0,$S$26,1),"Fixo",OFFSET(BD_COMERCIAL!$I$5,0,0,$S$26,1),"Trading")-SUMIFS(OFFSET(BD_COMERCIAL!AK$5,0,0,$S$26,1),OFFSET(BD_COMERCIAL!$K$5,0,0,$S$26,1),"I0",OFFSET(BD_COMERCIAL!$FC$5,0,0,$S$26,1),"V",OFFSET(BD_COMERCIAL!$Q$5,0,0,$S$26,1),"Fixo",OFFSET(BD_COMERCIAL!$I$5,0,0,$S$26,1),"Trading")</f>
        <v>0</v>
      </c>
      <c r="AJ14" s="86">
        <f ca="1">SUMIFS(OFFSET(BD_COMERCIAL!AL$5,0,0,$S$26,1),OFFSET(BD_COMERCIAL!$K$5,0,0,$S$26,1),"I0",OFFSET(BD_COMERCIAL!$FC$5,0,0,$S$26,1),"C",OFFSET(BD_COMERCIAL!$Q$5,0,0,$S$26,1),"Fixo",OFFSET(BD_COMERCIAL!$I$5,0,0,$S$26,1),"Trading")-SUMIFS(OFFSET(BD_COMERCIAL!AL$5,0,0,$S$26,1),OFFSET(BD_COMERCIAL!$K$5,0,0,$S$26,1),"I0",OFFSET(BD_COMERCIAL!$FC$5,0,0,$S$26,1),"V",OFFSET(BD_COMERCIAL!$Q$5,0,0,$S$26,1),"Fixo",OFFSET(BD_COMERCIAL!$I$5,0,0,$S$26,1),"Trading")</f>
        <v>0</v>
      </c>
      <c r="AK14" s="86">
        <f ca="1">SUMIFS(OFFSET(BD_COMERCIAL!AM$5,0,0,$S$26,1),OFFSET(BD_COMERCIAL!$K$5,0,0,$S$26,1),"I0",OFFSET(BD_COMERCIAL!$FC$5,0,0,$S$26,1),"C",OFFSET(BD_COMERCIAL!$Q$5,0,0,$S$26,1),"Fixo",OFFSET(BD_COMERCIAL!$I$5,0,0,$S$26,1),"Trading")-SUMIFS(OFFSET(BD_COMERCIAL!AM$5,0,0,$S$26,1),OFFSET(BD_COMERCIAL!$K$5,0,0,$S$26,1),"I0",OFFSET(BD_COMERCIAL!$FC$5,0,0,$S$26,1),"V",OFFSET(BD_COMERCIAL!$Q$5,0,0,$S$26,1),"Fixo",OFFSET(BD_COMERCIAL!$I$5,0,0,$S$26,1),"Trading")</f>
        <v>0</v>
      </c>
      <c r="AM14" s="85" t="s">
        <v>72</v>
      </c>
      <c r="AN14" s="86">
        <f ca="1">SUMIFS(OFFSET(BD_COMERCIAL!AB$5,0,0,$S$26,1),OFFSET(BD_COMERCIAL!$K$5,0,0,$S$26,1),"I0",OFFSET(BD_COMERCIAL!$FC$5,0,0,$S$26,1),"C",OFFSET(BD_COMERCIAL!$Q$5,0,0,$S$26,1),"PLD + Spread",OFFSET(BD_COMERCIAL!$I$5,0,0,$S$26,1),"Trading")-SUMIFS(OFFSET(BD_COMERCIAL!AB$5,0,0,$S$26,1),OFFSET(BD_COMERCIAL!$K$5,0,0,$S$26,1),"I0",OFFSET(BD_COMERCIAL!$FC$5,0,0,$S$26,1),"V",OFFSET(BD_COMERCIAL!$Q$5,0,0,$S$26,1),"PLD + Spread",OFFSET(BD_COMERCIAL!$I$5,0,0,$S$26,1),"Trading")</f>
        <v>0</v>
      </c>
      <c r="AO14" s="86">
        <f ca="1">SUMIFS(OFFSET(BD_COMERCIAL!AC$5,0,0,$S$26,1),OFFSET(BD_COMERCIAL!$K$5,0,0,$S$26,1),"I0",OFFSET(BD_COMERCIAL!$FC$5,0,0,$S$26,1),"C",OFFSET(BD_COMERCIAL!$Q$5,0,0,$S$26,1),"PLD + Spread",OFFSET(BD_COMERCIAL!$I$5,0,0,$S$26,1),"Trading")-SUMIFS(OFFSET(BD_COMERCIAL!AC$5,0,0,$S$26,1),OFFSET(BD_COMERCIAL!$K$5,0,0,$S$26,1),"I0",OFFSET(BD_COMERCIAL!$FC$5,0,0,$S$26,1),"V",OFFSET(BD_COMERCIAL!$Q$5,0,0,$S$26,1),"PLD + Spread",OFFSET(BD_COMERCIAL!$I$5,0,0,$S$26,1),"Trading")</f>
        <v>0</v>
      </c>
      <c r="AP14" s="86">
        <f ca="1">SUMIFS(OFFSET(BD_COMERCIAL!AD$5,0,0,$S$26,1),OFFSET(BD_COMERCIAL!$K$5,0,0,$S$26,1),"I0",OFFSET(BD_COMERCIAL!$FC$5,0,0,$S$26,1),"C",OFFSET(BD_COMERCIAL!$Q$5,0,0,$S$26,1),"PLD + Spread",OFFSET(BD_COMERCIAL!$I$5,0,0,$S$26,1),"Trading")-SUMIFS(OFFSET(BD_COMERCIAL!AD$5,0,0,$S$26,1),OFFSET(BD_COMERCIAL!$K$5,0,0,$S$26,1),"I0",OFFSET(BD_COMERCIAL!$FC$5,0,0,$S$26,1),"V",OFFSET(BD_COMERCIAL!$Q$5,0,0,$S$26,1),"PLD + Spread",OFFSET(BD_COMERCIAL!$I$5,0,0,$S$26,1),"Trading")</f>
        <v>0</v>
      </c>
      <c r="AQ14" s="86">
        <f ca="1">SUMIFS(OFFSET(BD_COMERCIAL!AE$5,0,0,$S$26,1),OFFSET(BD_COMERCIAL!$K$5,0,0,$S$26,1),"I0",OFFSET(BD_COMERCIAL!$FC$5,0,0,$S$26,1),"C",OFFSET(BD_COMERCIAL!$Q$5,0,0,$S$26,1),"PLD + Spread",OFFSET(BD_COMERCIAL!$I$5,0,0,$S$26,1),"Trading")-SUMIFS(OFFSET(BD_COMERCIAL!AE$5,0,0,$S$26,1),OFFSET(BD_COMERCIAL!$K$5,0,0,$S$26,1),"I0",OFFSET(BD_COMERCIAL!$FC$5,0,0,$S$26,1),"V",OFFSET(BD_COMERCIAL!$Q$5,0,0,$S$26,1),"PLD + Spread",OFFSET(BD_COMERCIAL!$I$5,0,0,$S$26,1),"Trading")</f>
        <v>0</v>
      </c>
      <c r="AR14" s="86">
        <f ca="1">SUMIFS(OFFSET(BD_COMERCIAL!AF$5,0,0,$S$26,1),OFFSET(BD_COMERCIAL!$K$5,0,0,$S$26,1),"I0",OFFSET(BD_COMERCIAL!$FC$5,0,0,$S$26,1),"C",OFFSET(BD_COMERCIAL!$Q$5,0,0,$S$26,1),"PLD + Spread",OFFSET(BD_COMERCIAL!$I$5,0,0,$S$26,1),"Trading")-SUMIFS(OFFSET(BD_COMERCIAL!AF$5,0,0,$S$26,1),OFFSET(BD_COMERCIAL!$K$5,0,0,$S$26,1),"I0",OFFSET(BD_COMERCIAL!$FC$5,0,0,$S$26,1),"V",OFFSET(BD_COMERCIAL!$Q$5,0,0,$S$26,1),"PLD + Spread",OFFSET(BD_COMERCIAL!$I$5,0,0,$S$26,1),"Trading")</f>
        <v>0</v>
      </c>
      <c r="AS14" s="86">
        <f ca="1">SUMIFS(OFFSET(BD_COMERCIAL!AG$5,0,0,$S$26,1),OFFSET(BD_COMERCIAL!$K$5,0,0,$S$26,1),"I0",OFFSET(BD_COMERCIAL!$FC$5,0,0,$S$26,1),"C",OFFSET(BD_COMERCIAL!$Q$5,0,0,$S$26,1),"PLD + Spread",OFFSET(BD_COMERCIAL!$I$5,0,0,$S$26,1),"Trading")-SUMIFS(OFFSET(BD_COMERCIAL!AG$5,0,0,$S$26,1),OFFSET(BD_COMERCIAL!$K$5,0,0,$S$26,1),"I0",OFFSET(BD_COMERCIAL!$FC$5,0,0,$S$26,1),"V",OFFSET(BD_COMERCIAL!$Q$5,0,0,$S$26,1),"PLD + Spread",OFFSET(BD_COMERCIAL!$I$5,0,0,$S$26,1),"Trading")</f>
        <v>0</v>
      </c>
      <c r="AT14" s="86">
        <f ca="1">SUMIFS(OFFSET(BD_COMERCIAL!AH$5,0,0,$S$26,1),OFFSET(BD_COMERCIAL!$K$5,0,0,$S$26,1),"I0",OFFSET(BD_COMERCIAL!$FC$5,0,0,$S$26,1),"C",OFFSET(BD_COMERCIAL!$Q$5,0,0,$S$26,1),"PLD + Spread",OFFSET(BD_COMERCIAL!$I$5,0,0,$S$26,1),"Trading")-SUMIFS(OFFSET(BD_COMERCIAL!AH$5,0,0,$S$26,1),OFFSET(BD_COMERCIAL!$K$5,0,0,$S$26,1),"I0",OFFSET(BD_COMERCIAL!$FC$5,0,0,$S$26,1),"V",OFFSET(BD_COMERCIAL!$Q$5,0,0,$S$26,1),"PLD + Spread",OFFSET(BD_COMERCIAL!$I$5,0,0,$S$26,1),"Trading")</f>
        <v>0</v>
      </c>
      <c r="AU14" s="86">
        <f ca="1">SUMIFS(OFFSET(BD_COMERCIAL!AI$5,0,0,$S$26,1),OFFSET(BD_COMERCIAL!$K$5,0,0,$S$26,1),"I0",OFFSET(BD_COMERCIAL!$FC$5,0,0,$S$26,1),"C",OFFSET(BD_COMERCIAL!$Q$5,0,0,$S$26,1),"PLD + Spread",OFFSET(BD_COMERCIAL!$I$5,0,0,$S$26,1),"Trading")-SUMIFS(OFFSET(BD_COMERCIAL!AI$5,0,0,$S$26,1),OFFSET(BD_COMERCIAL!$K$5,0,0,$S$26,1),"I0",OFFSET(BD_COMERCIAL!$FC$5,0,0,$S$26,1),"V",OFFSET(BD_COMERCIAL!$Q$5,0,0,$S$26,1),"PLD + Spread",OFFSET(BD_COMERCIAL!$I$5,0,0,$S$26,1),"Trading")</f>
        <v>0</v>
      </c>
      <c r="AV14" s="86">
        <f ca="1">SUMIFS(OFFSET(BD_COMERCIAL!AJ$5,0,0,$S$26,1),OFFSET(BD_COMERCIAL!$K$5,0,0,$S$26,1),"I0",OFFSET(BD_COMERCIAL!$FC$5,0,0,$S$26,1),"C",OFFSET(BD_COMERCIAL!$Q$5,0,0,$S$26,1),"PLD + Spread",OFFSET(BD_COMERCIAL!$I$5,0,0,$S$26,1),"Trading")-SUMIFS(OFFSET(BD_COMERCIAL!AJ$5,0,0,$S$26,1),OFFSET(BD_COMERCIAL!$K$5,0,0,$S$26,1),"I0",OFFSET(BD_COMERCIAL!$FC$5,0,0,$S$26,1),"V",OFFSET(BD_COMERCIAL!$Q$5,0,0,$S$26,1),"PLD + Spread",OFFSET(BD_COMERCIAL!$I$5,0,0,$S$26,1),"Trading")</f>
        <v>0</v>
      </c>
      <c r="AW14" s="86">
        <f ca="1">SUMIFS(OFFSET(BD_COMERCIAL!AK$5,0,0,$S$26,1),OFFSET(BD_COMERCIAL!$K$5,0,0,$S$26,1),"I0",OFFSET(BD_COMERCIAL!$FC$5,0,0,$S$26,1),"C",OFFSET(BD_COMERCIAL!$Q$5,0,0,$S$26,1),"PLD + Spread",OFFSET(BD_COMERCIAL!$I$5,0,0,$S$26,1),"Trading")-SUMIFS(OFFSET(BD_COMERCIAL!AK$5,0,0,$S$26,1),OFFSET(BD_COMERCIAL!$K$5,0,0,$S$26,1),"I0",OFFSET(BD_COMERCIAL!$FC$5,0,0,$S$26,1),"V",OFFSET(BD_COMERCIAL!$Q$5,0,0,$S$26,1),"PLD + Spread",OFFSET(BD_COMERCIAL!$I$5,0,0,$S$26,1),"Trading")</f>
        <v>0</v>
      </c>
      <c r="AX14" s="86">
        <f ca="1">SUMIFS(OFFSET(BD_COMERCIAL!AL$5,0,0,$S$26,1),OFFSET(BD_COMERCIAL!$K$5,0,0,$S$26,1),"I0",OFFSET(BD_COMERCIAL!$FC$5,0,0,$S$26,1),"C",OFFSET(BD_COMERCIAL!$Q$5,0,0,$S$26,1),"PLD + Spread",OFFSET(BD_COMERCIAL!$I$5,0,0,$S$26,1),"Trading")-SUMIFS(OFFSET(BD_COMERCIAL!AL$5,0,0,$S$26,1),OFFSET(BD_COMERCIAL!$K$5,0,0,$S$26,1),"I0",OFFSET(BD_COMERCIAL!$FC$5,0,0,$S$26,1),"V",OFFSET(BD_COMERCIAL!$Q$5,0,0,$S$26,1),"PLD + Spread",OFFSET(BD_COMERCIAL!$I$5,0,0,$S$26,1),"Trading")</f>
        <v>0</v>
      </c>
      <c r="AY14" s="86">
        <f ca="1">SUMIFS(OFFSET(BD_COMERCIAL!AM$5,0,0,$S$26,1),OFFSET(BD_COMERCIAL!$K$5,0,0,$S$26,1),"I0",OFFSET(BD_COMERCIAL!$FC$5,0,0,$S$26,1),"C",OFFSET(BD_COMERCIAL!$Q$5,0,0,$S$26,1),"PLD + Spread",OFFSET(BD_COMERCIAL!$I$5,0,0,$S$26,1),"Trading")-SUMIFS(OFFSET(BD_COMERCIAL!AM$5,0,0,$S$26,1),OFFSET(BD_COMERCIAL!$K$5,0,0,$S$26,1),"I0",OFFSET(BD_COMERCIAL!$FC$5,0,0,$S$26,1),"V",OFFSET(BD_COMERCIAL!$Q$5,0,0,$S$26,1),"PLD + Spread",OFFSET(BD_COMERCIAL!$I$5,0,0,$S$26,1),"Trading")</f>
        <v>0</v>
      </c>
      <c r="BA14" s="85" t="s">
        <v>72</v>
      </c>
      <c r="BB14" s="86">
        <f t="shared" ca="1" si="12"/>
        <v>0</v>
      </c>
      <c r="BC14" s="86">
        <f t="shared" ca="1" si="1"/>
        <v>0</v>
      </c>
      <c r="BD14" s="86">
        <f t="shared" ca="1" si="2"/>
        <v>0</v>
      </c>
      <c r="BE14" s="86">
        <f t="shared" ca="1" si="3"/>
        <v>0</v>
      </c>
      <c r="BF14" s="86">
        <f t="shared" ca="1" si="4"/>
        <v>0</v>
      </c>
      <c r="BG14" s="86">
        <f t="shared" ca="1" si="5"/>
        <v>0</v>
      </c>
      <c r="BH14" s="86">
        <f t="shared" ca="1" si="6"/>
        <v>0</v>
      </c>
      <c r="BI14" s="86">
        <f t="shared" ca="1" si="7"/>
        <v>0</v>
      </c>
      <c r="BJ14" s="86">
        <f t="shared" ca="1" si="8"/>
        <v>0</v>
      </c>
      <c r="BK14" s="86">
        <f t="shared" ca="1" si="9"/>
        <v>0</v>
      </c>
      <c r="BL14" s="86">
        <f t="shared" ca="1" si="10"/>
        <v>0</v>
      </c>
      <c r="BM14" s="86">
        <f t="shared" ca="1" si="11"/>
        <v>0</v>
      </c>
    </row>
    <row r="15" spans="2:65" s="17" customFormat="1" ht="15" customHeight="1" x14ac:dyDescent="0.35">
      <c r="B15" s="296"/>
      <c r="C15" s="46" t="s">
        <v>26</v>
      </c>
      <c r="D15" s="67">
        <v>84.76</v>
      </c>
      <c r="E15" s="44">
        <f t="shared" si="18"/>
        <v>84.76</v>
      </c>
      <c r="F15" s="44">
        <f t="shared" si="18"/>
        <v>84.76</v>
      </c>
      <c r="G15" s="44">
        <f t="shared" si="18"/>
        <v>84.76</v>
      </c>
      <c r="H15" s="44">
        <f t="shared" si="18"/>
        <v>84.76</v>
      </c>
      <c r="I15" s="44">
        <f t="shared" si="18"/>
        <v>84.76</v>
      </c>
      <c r="J15" s="44">
        <f t="shared" si="18"/>
        <v>84.76</v>
      </c>
      <c r="K15" s="44">
        <f t="shared" si="18"/>
        <v>84.76</v>
      </c>
      <c r="L15" s="44">
        <f t="shared" si="18"/>
        <v>84.76</v>
      </c>
      <c r="M15" s="44">
        <f t="shared" si="18"/>
        <v>84.76</v>
      </c>
      <c r="N15" s="44">
        <f t="shared" si="18"/>
        <v>84.76</v>
      </c>
      <c r="O15" s="66">
        <f t="shared" si="18"/>
        <v>84.76</v>
      </c>
      <c r="P15" s="43">
        <f>P10+30</f>
        <v>250</v>
      </c>
      <c r="Y15" s="85" t="s">
        <v>73</v>
      </c>
      <c r="Z15" s="86">
        <f ca="1">SUMIFS(OFFSET(BD_COMERCIAL!AB$5,0,0,$S$26,1),OFFSET(BD_COMERCIAL!$K$5,0,0,$S$26,1),"I5",OFFSET(BD_COMERCIAL!$FC$5,0,0,$S$26,1),"C",OFFSET(BD_COMERCIAL!$Q$5,0,0,$S$26,1),"Fixo",OFFSET(BD_COMERCIAL!$I$5,0,0,$S$26,1),"Trading")-SUMIFS(OFFSET(BD_COMERCIAL!AB$5,0,0,$S$26,1),OFFSET(BD_COMERCIAL!$K$5,0,0,$S$26,1),"I5",OFFSET(BD_COMERCIAL!$FC$5,0,0,$S$26,1),"V",OFFSET(BD_COMERCIAL!$Q$5,0,0,$S$26,1),"Fixo",OFFSET(BD_COMERCIAL!$I$5,0,0,$S$26,1),"Trading")</f>
        <v>0</v>
      </c>
      <c r="AA15" s="86">
        <f ca="1">SUMIFS(OFFSET(BD_COMERCIAL!AC$5,0,0,$S$26,1),OFFSET(BD_COMERCIAL!$K$5,0,0,$S$26,1),"I5",OFFSET(BD_COMERCIAL!$FC$5,0,0,$S$26,1),"C",OFFSET(BD_COMERCIAL!$Q$5,0,0,$S$26,1),"Fixo",OFFSET(BD_COMERCIAL!$I$5,0,0,$S$26,1),"Trading")-SUMIFS(OFFSET(BD_COMERCIAL!AC$5,0,0,$S$26,1),OFFSET(BD_COMERCIAL!$K$5,0,0,$S$26,1),"I5",OFFSET(BD_COMERCIAL!$FC$5,0,0,$S$26,1),"V",OFFSET(BD_COMERCIAL!$Q$5,0,0,$S$26,1),"Fixo",OFFSET(BD_COMERCIAL!$I$5,0,0,$S$26,1),"Trading")</f>
        <v>0</v>
      </c>
      <c r="AB15" s="86">
        <f ca="1">SUMIFS(OFFSET(BD_COMERCIAL!AD$5,0,0,$S$26,1),OFFSET(BD_COMERCIAL!$K$5,0,0,$S$26,1),"I5",OFFSET(BD_COMERCIAL!$FC$5,0,0,$S$26,1),"C",OFFSET(BD_COMERCIAL!$Q$5,0,0,$S$26,1),"Fixo",OFFSET(BD_COMERCIAL!$I$5,0,0,$S$26,1),"Trading")-SUMIFS(OFFSET(BD_COMERCIAL!AD$5,0,0,$S$26,1),OFFSET(BD_COMERCIAL!$K$5,0,0,$S$26,1),"I5",OFFSET(BD_COMERCIAL!$FC$5,0,0,$S$26,1),"V",OFFSET(BD_COMERCIAL!$Q$5,0,0,$S$26,1),"Fixo",OFFSET(BD_COMERCIAL!$I$5,0,0,$S$26,1),"Trading")</f>
        <v>0</v>
      </c>
      <c r="AC15" s="86">
        <f ca="1">SUMIFS(OFFSET(BD_COMERCIAL!AE$5,0,0,$S$26,1),OFFSET(BD_COMERCIAL!$K$5,0,0,$S$26,1),"I5",OFFSET(BD_COMERCIAL!$FC$5,0,0,$S$26,1),"C",OFFSET(BD_COMERCIAL!$Q$5,0,0,$S$26,1),"Fixo",OFFSET(BD_COMERCIAL!$I$5,0,0,$S$26,1),"Trading")-SUMIFS(OFFSET(BD_COMERCIAL!AE$5,0,0,$S$26,1),OFFSET(BD_COMERCIAL!$K$5,0,0,$S$26,1),"I5",OFFSET(BD_COMERCIAL!$FC$5,0,0,$S$26,1),"V",OFFSET(BD_COMERCIAL!$Q$5,0,0,$S$26,1),"Fixo",OFFSET(BD_COMERCIAL!$I$5,0,0,$S$26,1),"Trading")</f>
        <v>0</v>
      </c>
      <c r="AD15" s="86">
        <f ca="1">SUMIFS(OFFSET(BD_COMERCIAL!AF$5,0,0,$S$26,1),OFFSET(BD_COMERCIAL!$K$5,0,0,$S$26,1),"I5",OFFSET(BD_COMERCIAL!$FC$5,0,0,$S$26,1),"C",OFFSET(BD_COMERCIAL!$Q$5,0,0,$S$26,1),"Fixo",OFFSET(BD_COMERCIAL!$I$5,0,0,$S$26,1),"Trading")-SUMIFS(OFFSET(BD_COMERCIAL!AF$5,0,0,$S$26,1),OFFSET(BD_COMERCIAL!$K$5,0,0,$S$26,1),"I5",OFFSET(BD_COMERCIAL!$FC$5,0,0,$S$26,1),"V",OFFSET(BD_COMERCIAL!$Q$5,0,0,$S$26,1),"Fixo",OFFSET(BD_COMERCIAL!$I$5,0,0,$S$26,1),"Trading")</f>
        <v>0</v>
      </c>
      <c r="AE15" s="86">
        <f ca="1">SUMIFS(OFFSET(BD_COMERCIAL!AG$5,0,0,$S$26,1),OFFSET(BD_COMERCIAL!$K$5,0,0,$S$26,1),"I5",OFFSET(BD_COMERCIAL!$FC$5,0,0,$S$26,1),"C",OFFSET(BD_COMERCIAL!$Q$5,0,0,$S$26,1),"Fixo",OFFSET(BD_COMERCIAL!$I$5,0,0,$S$26,1),"Trading")-SUMIFS(OFFSET(BD_COMERCIAL!AG$5,0,0,$S$26,1),OFFSET(BD_COMERCIAL!$K$5,0,0,$S$26,1),"I5",OFFSET(BD_COMERCIAL!$FC$5,0,0,$S$26,1),"V",OFFSET(BD_COMERCIAL!$Q$5,0,0,$S$26,1),"Fixo",OFFSET(BD_COMERCIAL!$I$5,0,0,$S$26,1),"Trading")</f>
        <v>0</v>
      </c>
      <c r="AF15" s="86">
        <f ca="1">SUMIFS(OFFSET(BD_COMERCIAL!AH$5,0,0,$S$26,1),OFFSET(BD_COMERCIAL!$K$5,0,0,$S$26,1),"I5",OFFSET(BD_COMERCIAL!$FC$5,0,0,$S$26,1),"C",OFFSET(BD_COMERCIAL!$Q$5,0,0,$S$26,1),"Fixo",OFFSET(BD_COMERCIAL!$I$5,0,0,$S$26,1),"Trading")-SUMIFS(OFFSET(BD_COMERCIAL!AH$5,0,0,$S$26,1),OFFSET(BD_COMERCIAL!$K$5,0,0,$S$26,1),"I5",OFFSET(BD_COMERCIAL!$FC$5,0,0,$S$26,1),"V",OFFSET(BD_COMERCIAL!$Q$5,0,0,$S$26,1),"Fixo",OFFSET(BD_COMERCIAL!$I$5,0,0,$S$26,1),"Trading")</f>
        <v>0</v>
      </c>
      <c r="AG15" s="86">
        <f ca="1">SUMIFS(OFFSET(BD_COMERCIAL!AI$5,0,0,$S$26,1),OFFSET(BD_COMERCIAL!$K$5,0,0,$S$26,1),"I5",OFFSET(BD_COMERCIAL!$FC$5,0,0,$S$26,1),"C",OFFSET(BD_COMERCIAL!$Q$5,0,0,$S$26,1),"Fixo",OFFSET(BD_COMERCIAL!$I$5,0,0,$S$26,1),"Trading")-SUMIFS(OFFSET(BD_COMERCIAL!AI$5,0,0,$S$26,1),OFFSET(BD_COMERCIAL!$K$5,0,0,$S$26,1),"I5",OFFSET(BD_COMERCIAL!$FC$5,0,0,$S$26,1),"V",OFFSET(BD_COMERCIAL!$Q$5,0,0,$S$26,1),"Fixo",OFFSET(BD_COMERCIAL!$I$5,0,0,$S$26,1),"Trading")</f>
        <v>0</v>
      </c>
      <c r="AH15" s="86">
        <f ca="1">SUMIFS(OFFSET(BD_COMERCIAL!AJ$5,0,0,$S$26,1),OFFSET(BD_COMERCIAL!$K$5,0,0,$S$26,1),"I5",OFFSET(BD_COMERCIAL!$FC$5,0,0,$S$26,1),"C",OFFSET(BD_COMERCIAL!$Q$5,0,0,$S$26,1),"Fixo",OFFSET(BD_COMERCIAL!$I$5,0,0,$S$26,1),"Trading")-SUMIFS(OFFSET(BD_COMERCIAL!AJ$5,0,0,$S$26,1),OFFSET(BD_COMERCIAL!$K$5,0,0,$S$26,1),"I5",OFFSET(BD_COMERCIAL!$FC$5,0,0,$S$26,1),"V",OFFSET(BD_COMERCIAL!$Q$5,0,0,$S$26,1),"Fixo",OFFSET(BD_COMERCIAL!$I$5,0,0,$S$26,1),"Trading")</f>
        <v>0</v>
      </c>
      <c r="AI15" s="86">
        <f ca="1">SUMIFS(OFFSET(BD_COMERCIAL!AK$5,0,0,$S$26,1),OFFSET(BD_COMERCIAL!$K$5,0,0,$S$26,1),"I5",OFFSET(BD_COMERCIAL!$FC$5,0,0,$S$26,1),"C",OFFSET(BD_COMERCIAL!$Q$5,0,0,$S$26,1),"Fixo",OFFSET(BD_COMERCIAL!$I$5,0,0,$S$26,1),"Trading")-SUMIFS(OFFSET(BD_COMERCIAL!AK$5,0,0,$S$26,1),OFFSET(BD_COMERCIAL!$K$5,0,0,$S$26,1),"I5",OFFSET(BD_COMERCIAL!$FC$5,0,0,$S$26,1),"V",OFFSET(BD_COMERCIAL!$Q$5,0,0,$S$26,1),"Fixo",OFFSET(BD_COMERCIAL!$I$5,0,0,$S$26,1),"Trading")</f>
        <v>0</v>
      </c>
      <c r="AJ15" s="86">
        <f ca="1">SUMIFS(OFFSET(BD_COMERCIAL!AL$5,0,0,$S$26,1),OFFSET(BD_COMERCIAL!$K$5,0,0,$S$26,1),"I5",OFFSET(BD_COMERCIAL!$FC$5,0,0,$S$26,1),"C",OFFSET(BD_COMERCIAL!$Q$5,0,0,$S$26,1),"Fixo",OFFSET(BD_COMERCIAL!$I$5,0,0,$S$26,1),"Trading")-SUMIFS(OFFSET(BD_COMERCIAL!AL$5,0,0,$S$26,1),OFFSET(BD_COMERCIAL!$K$5,0,0,$S$26,1),"I5",OFFSET(BD_COMERCIAL!$FC$5,0,0,$S$26,1),"V",OFFSET(BD_COMERCIAL!$Q$5,0,0,$S$26,1),"Fixo",OFFSET(BD_COMERCIAL!$I$5,0,0,$S$26,1),"Trading")</f>
        <v>0</v>
      </c>
      <c r="AK15" s="86">
        <f ca="1">SUMIFS(OFFSET(BD_COMERCIAL!AM$5,0,0,$S$26,1),OFFSET(BD_COMERCIAL!$K$5,0,0,$S$26,1),"I5",OFFSET(BD_COMERCIAL!$FC$5,0,0,$S$26,1),"C",OFFSET(BD_COMERCIAL!$Q$5,0,0,$S$26,1),"Fixo",OFFSET(BD_COMERCIAL!$I$5,0,0,$S$26,1),"Trading")-SUMIFS(OFFSET(BD_COMERCIAL!AM$5,0,0,$S$26,1),OFFSET(BD_COMERCIAL!$K$5,0,0,$S$26,1),"I5",OFFSET(BD_COMERCIAL!$FC$5,0,0,$S$26,1),"V",OFFSET(BD_COMERCIAL!$Q$5,0,0,$S$26,1),"Fixo",OFFSET(BD_COMERCIAL!$I$5,0,0,$S$26,1),"Trading")</f>
        <v>0</v>
      </c>
      <c r="AL15" s="21"/>
      <c r="AM15" s="85" t="s">
        <v>73</v>
      </c>
      <c r="AN15" s="86">
        <f ca="1">SUMIFS(OFFSET(BD_COMERCIAL!AB$5,0,0,$S$26,1),OFFSET(BD_COMERCIAL!$K$5,0,0,$S$26,1),"I5",OFFSET(BD_COMERCIAL!$FC$5,0,0,$S$26,1),"C",OFFSET(BD_COMERCIAL!$Q$5,0,0,$S$26,1),"PLD + Spread",OFFSET(BD_COMERCIAL!$I$5,0,0,$S$26,1),"Trading")-SUMIFS(OFFSET(BD_COMERCIAL!AB$5,0,0,$S$26,1),OFFSET(BD_COMERCIAL!$K$5,0,0,$S$26,1),"I5",OFFSET(BD_COMERCIAL!$FC$5,0,0,$S$26,1),"V",OFFSET(BD_COMERCIAL!$Q$5,0,0,$S$26,1),"PLD + Spread",OFFSET(BD_COMERCIAL!$I$5,0,0,$S$26,1),"Trading")</f>
        <v>0</v>
      </c>
      <c r="AO15" s="86">
        <f ca="1">SUMIFS(OFFSET(BD_COMERCIAL!AC$5,0,0,$S$26,1),OFFSET(BD_COMERCIAL!$K$5,0,0,$S$26,1),"I5",OFFSET(BD_COMERCIAL!$FC$5,0,0,$S$26,1),"C",OFFSET(BD_COMERCIAL!$Q$5,0,0,$S$26,1),"PLD + Spread",OFFSET(BD_COMERCIAL!$I$5,0,0,$S$26,1),"Trading")-SUMIFS(OFFSET(BD_COMERCIAL!AC$5,0,0,$S$26,1),OFFSET(BD_COMERCIAL!$K$5,0,0,$S$26,1),"I5",OFFSET(BD_COMERCIAL!$FC$5,0,0,$S$26,1),"V",OFFSET(BD_COMERCIAL!$Q$5,0,0,$S$26,1),"PLD + Spread",OFFSET(BD_COMERCIAL!$I$5,0,0,$S$26,1),"Trading")</f>
        <v>0</v>
      </c>
      <c r="AP15" s="86">
        <f ca="1">SUMIFS(OFFSET(BD_COMERCIAL!AD$5,0,0,$S$26,1),OFFSET(BD_COMERCIAL!$K$5,0,0,$S$26,1),"I5",OFFSET(BD_COMERCIAL!$FC$5,0,0,$S$26,1),"C",OFFSET(BD_COMERCIAL!$Q$5,0,0,$S$26,1),"PLD + Spread",OFFSET(BD_COMERCIAL!$I$5,0,0,$S$26,1),"Trading")-SUMIFS(OFFSET(BD_COMERCIAL!AD$5,0,0,$S$26,1),OFFSET(BD_COMERCIAL!$K$5,0,0,$S$26,1),"I5",OFFSET(BD_COMERCIAL!$FC$5,0,0,$S$26,1),"V",OFFSET(BD_COMERCIAL!$Q$5,0,0,$S$26,1),"PLD + Spread",OFFSET(BD_COMERCIAL!$I$5,0,0,$S$26,1),"Trading")</f>
        <v>0</v>
      </c>
      <c r="AQ15" s="86">
        <f ca="1">SUMIFS(OFFSET(BD_COMERCIAL!AE$5,0,0,$S$26,1),OFFSET(BD_COMERCIAL!$K$5,0,0,$S$26,1),"I5",OFFSET(BD_COMERCIAL!$FC$5,0,0,$S$26,1),"C",OFFSET(BD_COMERCIAL!$Q$5,0,0,$S$26,1),"PLD + Spread",OFFSET(BD_COMERCIAL!$I$5,0,0,$S$26,1),"Trading")-SUMIFS(OFFSET(BD_COMERCIAL!AE$5,0,0,$S$26,1),OFFSET(BD_COMERCIAL!$K$5,0,0,$S$26,1),"I5",OFFSET(BD_COMERCIAL!$FC$5,0,0,$S$26,1),"V",OFFSET(BD_COMERCIAL!$Q$5,0,0,$S$26,1),"PLD + Spread",OFFSET(BD_COMERCIAL!$I$5,0,0,$S$26,1),"Trading")</f>
        <v>0</v>
      </c>
      <c r="AR15" s="86">
        <f ca="1">SUMIFS(OFFSET(BD_COMERCIAL!AF$5,0,0,$S$26,1),OFFSET(BD_COMERCIAL!$K$5,0,0,$S$26,1),"I5",OFFSET(BD_COMERCIAL!$FC$5,0,0,$S$26,1),"C",OFFSET(BD_COMERCIAL!$Q$5,0,0,$S$26,1),"PLD + Spread",OFFSET(BD_COMERCIAL!$I$5,0,0,$S$26,1),"Trading")-SUMIFS(OFFSET(BD_COMERCIAL!AF$5,0,0,$S$26,1),OFFSET(BD_COMERCIAL!$K$5,0,0,$S$26,1),"I5",OFFSET(BD_COMERCIAL!$FC$5,0,0,$S$26,1),"V",OFFSET(BD_COMERCIAL!$Q$5,0,0,$S$26,1),"PLD + Spread",OFFSET(BD_COMERCIAL!$I$5,0,0,$S$26,1),"Trading")</f>
        <v>0</v>
      </c>
      <c r="AS15" s="86">
        <f ca="1">SUMIFS(OFFSET(BD_COMERCIAL!AG$5,0,0,$S$26,1),OFFSET(BD_COMERCIAL!$K$5,0,0,$S$26,1),"I5",OFFSET(BD_COMERCIAL!$FC$5,0,0,$S$26,1),"C",OFFSET(BD_COMERCIAL!$Q$5,0,0,$S$26,1),"PLD + Spread",OFFSET(BD_COMERCIAL!$I$5,0,0,$S$26,1),"Trading")-SUMIFS(OFFSET(BD_COMERCIAL!AG$5,0,0,$S$26,1),OFFSET(BD_COMERCIAL!$K$5,0,0,$S$26,1),"I5",OFFSET(BD_COMERCIAL!$FC$5,0,0,$S$26,1),"V",OFFSET(BD_COMERCIAL!$Q$5,0,0,$S$26,1),"PLD + Spread",OFFSET(BD_COMERCIAL!$I$5,0,0,$S$26,1),"Trading")</f>
        <v>0</v>
      </c>
      <c r="AT15" s="86">
        <f ca="1">SUMIFS(OFFSET(BD_COMERCIAL!AH$5,0,0,$S$26,1),OFFSET(BD_COMERCIAL!$K$5,0,0,$S$26,1),"I5",OFFSET(BD_COMERCIAL!$FC$5,0,0,$S$26,1),"C",OFFSET(BD_COMERCIAL!$Q$5,0,0,$S$26,1),"PLD + Spread",OFFSET(BD_COMERCIAL!$I$5,0,0,$S$26,1),"Trading")-SUMIFS(OFFSET(BD_COMERCIAL!AH$5,0,0,$S$26,1),OFFSET(BD_COMERCIAL!$K$5,0,0,$S$26,1),"I5",OFFSET(BD_COMERCIAL!$FC$5,0,0,$S$26,1),"V",OFFSET(BD_COMERCIAL!$Q$5,0,0,$S$26,1),"PLD + Spread",OFFSET(BD_COMERCIAL!$I$5,0,0,$S$26,1),"Trading")</f>
        <v>0</v>
      </c>
      <c r="AU15" s="86">
        <f ca="1">SUMIFS(OFFSET(BD_COMERCIAL!AI$5,0,0,$S$26,1),OFFSET(BD_COMERCIAL!$K$5,0,0,$S$26,1),"I5",OFFSET(BD_COMERCIAL!$FC$5,0,0,$S$26,1),"C",OFFSET(BD_COMERCIAL!$Q$5,0,0,$S$26,1),"PLD + Spread",OFFSET(BD_COMERCIAL!$I$5,0,0,$S$26,1),"Trading")-SUMIFS(OFFSET(BD_COMERCIAL!AI$5,0,0,$S$26,1),OFFSET(BD_COMERCIAL!$K$5,0,0,$S$26,1),"I5",OFFSET(BD_COMERCIAL!$FC$5,0,0,$S$26,1),"V",OFFSET(BD_COMERCIAL!$Q$5,0,0,$S$26,1),"PLD + Spread",OFFSET(BD_COMERCIAL!$I$5,0,0,$S$26,1),"Trading")</f>
        <v>0</v>
      </c>
      <c r="AV15" s="86">
        <f ca="1">SUMIFS(OFFSET(BD_COMERCIAL!AJ$5,0,0,$S$26,1),OFFSET(BD_COMERCIAL!$K$5,0,0,$S$26,1),"I5",OFFSET(BD_COMERCIAL!$FC$5,0,0,$S$26,1),"C",OFFSET(BD_COMERCIAL!$Q$5,0,0,$S$26,1),"PLD + Spread",OFFSET(BD_COMERCIAL!$I$5,0,0,$S$26,1),"Trading")-SUMIFS(OFFSET(BD_COMERCIAL!AJ$5,0,0,$S$26,1),OFFSET(BD_COMERCIAL!$K$5,0,0,$S$26,1),"I5",OFFSET(BD_COMERCIAL!$FC$5,0,0,$S$26,1),"V",OFFSET(BD_COMERCIAL!$Q$5,0,0,$S$26,1),"PLD + Spread",OFFSET(BD_COMERCIAL!$I$5,0,0,$S$26,1),"Trading")</f>
        <v>0</v>
      </c>
      <c r="AW15" s="86">
        <f ca="1">SUMIFS(OFFSET(BD_COMERCIAL!AK$5,0,0,$S$26,1),OFFSET(BD_COMERCIAL!$K$5,0,0,$S$26,1),"I5",OFFSET(BD_COMERCIAL!$FC$5,0,0,$S$26,1),"C",OFFSET(BD_COMERCIAL!$Q$5,0,0,$S$26,1),"PLD + Spread",OFFSET(BD_COMERCIAL!$I$5,0,0,$S$26,1),"Trading")-SUMIFS(OFFSET(BD_COMERCIAL!AK$5,0,0,$S$26,1),OFFSET(BD_COMERCIAL!$K$5,0,0,$S$26,1),"I5",OFFSET(BD_COMERCIAL!$FC$5,0,0,$S$26,1),"V",OFFSET(BD_COMERCIAL!$Q$5,0,0,$S$26,1),"PLD + Spread",OFFSET(BD_COMERCIAL!$I$5,0,0,$S$26,1),"Trading")</f>
        <v>0</v>
      </c>
      <c r="AX15" s="86">
        <f ca="1">SUMIFS(OFFSET(BD_COMERCIAL!AL$5,0,0,$S$26,1),OFFSET(BD_COMERCIAL!$K$5,0,0,$S$26,1),"I5",OFFSET(BD_COMERCIAL!$FC$5,0,0,$S$26,1),"C",OFFSET(BD_COMERCIAL!$Q$5,0,0,$S$26,1),"PLD + Spread",OFFSET(BD_COMERCIAL!$I$5,0,0,$S$26,1),"Trading")-SUMIFS(OFFSET(BD_COMERCIAL!AL$5,0,0,$S$26,1),OFFSET(BD_COMERCIAL!$K$5,0,0,$S$26,1),"I5",OFFSET(BD_COMERCIAL!$FC$5,0,0,$S$26,1),"V",OFFSET(BD_COMERCIAL!$Q$5,0,0,$S$26,1),"PLD + Spread",OFFSET(BD_COMERCIAL!$I$5,0,0,$S$26,1),"Trading")</f>
        <v>0</v>
      </c>
      <c r="AY15" s="86">
        <f ca="1">SUMIFS(OFFSET(BD_COMERCIAL!AM$5,0,0,$S$26,1),OFFSET(BD_COMERCIAL!$K$5,0,0,$S$26,1),"I5",OFFSET(BD_COMERCIAL!$FC$5,0,0,$S$26,1),"C",OFFSET(BD_COMERCIAL!$Q$5,0,0,$S$26,1),"PLD + Spread",OFFSET(BD_COMERCIAL!$I$5,0,0,$S$26,1),"Trading")-SUMIFS(OFFSET(BD_COMERCIAL!AM$5,0,0,$S$26,1),OFFSET(BD_COMERCIAL!$K$5,0,0,$S$26,1),"I5",OFFSET(BD_COMERCIAL!$FC$5,0,0,$S$26,1),"V",OFFSET(BD_COMERCIAL!$Q$5,0,0,$S$26,1),"PLD + Spread",OFFSET(BD_COMERCIAL!$I$5,0,0,$S$26,1),"Trading")</f>
        <v>0</v>
      </c>
      <c r="BA15" s="85" t="s">
        <v>73</v>
      </c>
      <c r="BB15" s="86">
        <f t="shared" ca="1" si="12"/>
        <v>0</v>
      </c>
      <c r="BC15" s="86">
        <f t="shared" ca="1" si="1"/>
        <v>0</v>
      </c>
      <c r="BD15" s="86">
        <f t="shared" ca="1" si="2"/>
        <v>0</v>
      </c>
      <c r="BE15" s="86">
        <f t="shared" ca="1" si="3"/>
        <v>0</v>
      </c>
      <c r="BF15" s="86">
        <f t="shared" ca="1" si="4"/>
        <v>0</v>
      </c>
      <c r="BG15" s="86">
        <f t="shared" ca="1" si="5"/>
        <v>0</v>
      </c>
      <c r="BH15" s="86">
        <f t="shared" ca="1" si="6"/>
        <v>0</v>
      </c>
      <c r="BI15" s="86">
        <f t="shared" ca="1" si="7"/>
        <v>0</v>
      </c>
      <c r="BJ15" s="86">
        <f t="shared" ca="1" si="8"/>
        <v>0</v>
      </c>
      <c r="BK15" s="86">
        <f t="shared" ca="1" si="9"/>
        <v>0</v>
      </c>
      <c r="BL15" s="86">
        <f t="shared" ca="1" si="10"/>
        <v>0</v>
      </c>
      <c r="BM15" s="86">
        <f t="shared" ca="1" si="11"/>
        <v>0</v>
      </c>
    </row>
    <row r="16" spans="2:65" s="17" customFormat="1" ht="15" customHeight="1" thickBot="1" x14ac:dyDescent="0.4">
      <c r="B16" s="297"/>
      <c r="C16" s="40" t="s">
        <v>25</v>
      </c>
      <c r="D16" s="64">
        <v>74.19</v>
      </c>
      <c r="E16" s="39">
        <f t="shared" si="18"/>
        <v>74.19</v>
      </c>
      <c r="F16" s="39">
        <f t="shared" si="18"/>
        <v>74.19</v>
      </c>
      <c r="G16" s="39">
        <f t="shared" si="18"/>
        <v>74.19</v>
      </c>
      <c r="H16" s="39">
        <f t="shared" si="18"/>
        <v>74.19</v>
      </c>
      <c r="I16" s="39">
        <f t="shared" si="18"/>
        <v>74.19</v>
      </c>
      <c r="J16" s="39">
        <f t="shared" si="18"/>
        <v>74.19</v>
      </c>
      <c r="K16" s="39">
        <f t="shared" si="18"/>
        <v>74.19</v>
      </c>
      <c r="L16" s="39">
        <f t="shared" si="18"/>
        <v>74.19</v>
      </c>
      <c r="M16" s="39">
        <f t="shared" si="18"/>
        <v>74.19</v>
      </c>
      <c r="N16" s="39">
        <f t="shared" si="18"/>
        <v>74.19</v>
      </c>
      <c r="O16" s="38">
        <f t="shared" si="18"/>
        <v>74.19</v>
      </c>
      <c r="P16" s="37">
        <f>P11+30</f>
        <v>250</v>
      </c>
      <c r="Y16" s="85" t="s">
        <v>74</v>
      </c>
      <c r="Z16" s="86">
        <f ca="1">SUMIFS(OFFSET(BD_COMERCIAL!AB$5,0,0,$S$26,1),OFFSET(BD_COMERCIAL!$K$5,0,0,$S$26,1),"I1",OFFSET(BD_COMERCIAL!$FC$5,0,0,$S$26,1),"C",OFFSET(BD_COMERCIAL!$Q$5,0,0,$S$26,1),"Fixo",OFFSET(BD_COMERCIAL!$I$5,0,0,$S$26,1),"Trading")-SUMIFS(OFFSET(BD_COMERCIAL!AB$5,0,0,$S$26,1),OFFSET(BD_COMERCIAL!$K$5,0,0,$S$26,1),"I1",OFFSET(BD_COMERCIAL!$FC$5,0,0,$S$26,1),"V",OFFSET(BD_COMERCIAL!$Q$5,0,0,$S$26,1),"Fixo",OFFSET(BD_COMERCIAL!$I$5,0,0,$S$26,1),"Trading")</f>
        <v>0</v>
      </c>
      <c r="AA16" s="86">
        <f ca="1">SUMIFS(OFFSET(BD_COMERCIAL!AC$5,0,0,$S$26,1),OFFSET(BD_COMERCIAL!$K$5,0,0,$S$26,1),"I1",OFFSET(BD_COMERCIAL!$FC$5,0,0,$S$26,1),"C",OFFSET(BD_COMERCIAL!$Q$5,0,0,$S$26,1),"Fixo",OFFSET(BD_COMERCIAL!$I$5,0,0,$S$26,1),"Trading")-SUMIFS(OFFSET(BD_COMERCIAL!AC$5,0,0,$S$26,1),OFFSET(BD_COMERCIAL!$K$5,0,0,$S$26,1),"I1",OFFSET(BD_COMERCIAL!$FC$5,0,0,$S$26,1),"V",OFFSET(BD_COMERCIAL!$Q$5,0,0,$S$26,1),"Fixo",OFFSET(BD_COMERCIAL!$I$5,0,0,$S$26,1),"Trading")</f>
        <v>0</v>
      </c>
      <c r="AB16" s="86">
        <f ca="1">SUMIFS(OFFSET(BD_COMERCIAL!AD$5,0,0,$S$26,1),OFFSET(BD_COMERCIAL!$K$5,0,0,$S$26,1),"I1",OFFSET(BD_COMERCIAL!$FC$5,0,0,$S$26,1),"C",OFFSET(BD_COMERCIAL!$Q$5,0,0,$S$26,1),"Fixo",OFFSET(BD_COMERCIAL!$I$5,0,0,$S$26,1),"Trading")-SUMIFS(OFFSET(BD_COMERCIAL!AD$5,0,0,$S$26,1),OFFSET(BD_COMERCIAL!$K$5,0,0,$S$26,1),"I1",OFFSET(BD_COMERCIAL!$FC$5,0,0,$S$26,1),"V",OFFSET(BD_COMERCIAL!$Q$5,0,0,$S$26,1),"Fixo",OFFSET(BD_COMERCIAL!$I$5,0,0,$S$26,1),"Trading")</f>
        <v>0</v>
      </c>
      <c r="AC16" s="86">
        <f ca="1">SUMIFS(OFFSET(BD_COMERCIAL!AE$5,0,0,$S$26,1),OFFSET(BD_COMERCIAL!$K$5,0,0,$S$26,1),"I1",OFFSET(BD_COMERCIAL!$FC$5,0,0,$S$26,1),"C",OFFSET(BD_COMERCIAL!$Q$5,0,0,$S$26,1),"Fixo",OFFSET(BD_COMERCIAL!$I$5,0,0,$S$26,1),"Trading")-SUMIFS(OFFSET(BD_COMERCIAL!AE$5,0,0,$S$26,1),OFFSET(BD_COMERCIAL!$K$5,0,0,$S$26,1),"I1",OFFSET(BD_COMERCIAL!$FC$5,0,0,$S$26,1),"V",OFFSET(BD_COMERCIAL!$Q$5,0,0,$S$26,1),"Fixo",OFFSET(BD_COMERCIAL!$I$5,0,0,$S$26,1),"Trading")</f>
        <v>0</v>
      </c>
      <c r="AD16" s="86">
        <f ca="1">SUMIFS(OFFSET(BD_COMERCIAL!AF$5,0,0,$S$26,1),OFFSET(BD_COMERCIAL!$K$5,0,0,$S$26,1),"I1",OFFSET(BD_COMERCIAL!$FC$5,0,0,$S$26,1),"C",OFFSET(BD_COMERCIAL!$Q$5,0,0,$S$26,1),"Fixo",OFFSET(BD_COMERCIAL!$I$5,0,0,$S$26,1),"Trading")-SUMIFS(OFFSET(BD_COMERCIAL!AF$5,0,0,$S$26,1),OFFSET(BD_COMERCIAL!$K$5,0,0,$S$26,1),"I1",OFFSET(BD_COMERCIAL!$FC$5,0,0,$S$26,1),"V",OFFSET(BD_COMERCIAL!$Q$5,0,0,$S$26,1),"Fixo",OFFSET(BD_COMERCIAL!$I$5,0,0,$S$26,1),"Trading")</f>
        <v>0</v>
      </c>
      <c r="AE16" s="86">
        <f ca="1">SUMIFS(OFFSET(BD_COMERCIAL!AG$5,0,0,$S$26,1),OFFSET(BD_COMERCIAL!$K$5,0,0,$S$26,1),"I1",OFFSET(BD_COMERCIAL!$FC$5,0,0,$S$26,1),"C",OFFSET(BD_COMERCIAL!$Q$5,0,0,$S$26,1),"Fixo",OFFSET(BD_COMERCIAL!$I$5,0,0,$S$26,1),"Trading")-SUMIFS(OFFSET(BD_COMERCIAL!AG$5,0,0,$S$26,1),OFFSET(BD_COMERCIAL!$K$5,0,0,$S$26,1),"I1",OFFSET(BD_COMERCIAL!$FC$5,0,0,$S$26,1),"V",OFFSET(BD_COMERCIAL!$Q$5,0,0,$S$26,1),"Fixo",OFFSET(BD_COMERCIAL!$I$5,0,0,$S$26,1),"Trading")</f>
        <v>0</v>
      </c>
      <c r="AF16" s="86">
        <f ca="1">SUMIFS(OFFSET(BD_COMERCIAL!AH$5,0,0,$S$26,1),OFFSET(BD_COMERCIAL!$K$5,0,0,$S$26,1),"I1",OFFSET(BD_COMERCIAL!$FC$5,0,0,$S$26,1),"C",OFFSET(BD_COMERCIAL!$Q$5,0,0,$S$26,1),"Fixo",OFFSET(BD_COMERCIAL!$I$5,0,0,$S$26,1),"Trading")-SUMIFS(OFFSET(BD_COMERCIAL!AH$5,0,0,$S$26,1),OFFSET(BD_COMERCIAL!$K$5,0,0,$S$26,1),"I1",OFFSET(BD_COMERCIAL!$FC$5,0,0,$S$26,1),"V",OFFSET(BD_COMERCIAL!$Q$5,0,0,$S$26,1),"Fixo",OFFSET(BD_COMERCIAL!$I$5,0,0,$S$26,1),"Trading")</f>
        <v>0</v>
      </c>
      <c r="AG16" s="86">
        <f ca="1">SUMIFS(OFFSET(BD_COMERCIAL!AI$5,0,0,$S$26,1),OFFSET(BD_COMERCIAL!$K$5,0,0,$S$26,1),"I1",OFFSET(BD_COMERCIAL!$FC$5,0,0,$S$26,1),"C",OFFSET(BD_COMERCIAL!$Q$5,0,0,$S$26,1),"Fixo",OFFSET(BD_COMERCIAL!$I$5,0,0,$S$26,1),"Trading")-SUMIFS(OFFSET(BD_COMERCIAL!AI$5,0,0,$S$26,1),OFFSET(BD_COMERCIAL!$K$5,0,0,$S$26,1),"I1",OFFSET(BD_COMERCIAL!$FC$5,0,0,$S$26,1),"V",OFFSET(BD_COMERCIAL!$Q$5,0,0,$S$26,1),"Fixo",OFFSET(BD_COMERCIAL!$I$5,0,0,$S$26,1),"Trading")</f>
        <v>0</v>
      </c>
      <c r="AH16" s="86">
        <f ca="1">SUMIFS(OFFSET(BD_COMERCIAL!AJ$5,0,0,$S$26,1),OFFSET(BD_COMERCIAL!$K$5,0,0,$S$26,1),"I1",OFFSET(BD_COMERCIAL!$FC$5,0,0,$S$26,1),"C",OFFSET(BD_COMERCIAL!$Q$5,0,0,$S$26,1),"Fixo",OFFSET(BD_COMERCIAL!$I$5,0,0,$S$26,1),"Trading")-SUMIFS(OFFSET(BD_COMERCIAL!AJ$5,0,0,$S$26,1),OFFSET(BD_COMERCIAL!$K$5,0,0,$S$26,1),"I1",OFFSET(BD_COMERCIAL!$FC$5,0,0,$S$26,1),"V",OFFSET(BD_COMERCIAL!$Q$5,0,0,$S$26,1),"Fixo",OFFSET(BD_COMERCIAL!$I$5,0,0,$S$26,1),"Trading")</f>
        <v>0</v>
      </c>
      <c r="AI16" s="86">
        <f ca="1">SUMIFS(OFFSET(BD_COMERCIAL!AK$5,0,0,$S$26,1),OFFSET(BD_COMERCIAL!$K$5,0,0,$S$26,1),"I1",OFFSET(BD_COMERCIAL!$FC$5,0,0,$S$26,1),"C",OFFSET(BD_COMERCIAL!$Q$5,0,0,$S$26,1),"Fixo",OFFSET(BD_COMERCIAL!$I$5,0,0,$S$26,1),"Trading")-SUMIFS(OFFSET(BD_COMERCIAL!AK$5,0,0,$S$26,1),OFFSET(BD_COMERCIAL!$K$5,0,0,$S$26,1),"I1",OFFSET(BD_COMERCIAL!$FC$5,0,0,$S$26,1),"V",OFFSET(BD_COMERCIAL!$Q$5,0,0,$S$26,1),"Fixo",OFFSET(BD_COMERCIAL!$I$5,0,0,$S$26,1),"Trading")</f>
        <v>0</v>
      </c>
      <c r="AJ16" s="86">
        <f ca="1">SUMIFS(OFFSET(BD_COMERCIAL!AL$5,0,0,$S$26,1),OFFSET(BD_COMERCIAL!$K$5,0,0,$S$26,1),"I1",OFFSET(BD_COMERCIAL!$FC$5,0,0,$S$26,1),"C",OFFSET(BD_COMERCIAL!$Q$5,0,0,$S$26,1),"Fixo",OFFSET(BD_COMERCIAL!$I$5,0,0,$S$26,1),"Trading")-SUMIFS(OFFSET(BD_COMERCIAL!AL$5,0,0,$S$26,1),OFFSET(BD_COMERCIAL!$K$5,0,0,$S$26,1),"I1",OFFSET(BD_COMERCIAL!$FC$5,0,0,$S$26,1),"V",OFFSET(BD_COMERCIAL!$Q$5,0,0,$S$26,1),"Fixo",OFFSET(BD_COMERCIAL!$I$5,0,0,$S$26,1),"Trading")</f>
        <v>0</v>
      </c>
      <c r="AK16" s="86">
        <f ca="1">SUMIFS(OFFSET(BD_COMERCIAL!AM$5,0,0,$S$26,1),OFFSET(BD_COMERCIAL!$K$5,0,0,$S$26,1),"I1",OFFSET(BD_COMERCIAL!$FC$5,0,0,$S$26,1),"C",OFFSET(BD_COMERCIAL!$Q$5,0,0,$S$26,1),"Fixo",OFFSET(BD_COMERCIAL!$I$5,0,0,$S$26,1),"Trading")-SUMIFS(OFFSET(BD_COMERCIAL!AM$5,0,0,$S$26,1),OFFSET(BD_COMERCIAL!$K$5,0,0,$S$26,1),"I1",OFFSET(BD_COMERCIAL!$FC$5,0,0,$S$26,1),"V",OFFSET(BD_COMERCIAL!$Q$5,0,0,$S$26,1),"Fixo",OFFSET(BD_COMERCIAL!$I$5,0,0,$S$26,1),"Trading")</f>
        <v>0</v>
      </c>
      <c r="AM16" s="85" t="s">
        <v>74</v>
      </c>
      <c r="AN16" s="86">
        <f ca="1">SUMIFS(OFFSET(BD_COMERCIAL!AB$5,0,0,$S$26,1),OFFSET(BD_COMERCIAL!$K$5,0,0,$S$26,1),"I1",OFFSET(BD_COMERCIAL!$FC$5,0,0,$S$26,1),"C",OFFSET(BD_COMERCIAL!$Q$5,0,0,$S$26,1),"PLD + Spread",OFFSET(BD_COMERCIAL!$I$5,0,0,$S$26,1),"Trading")-SUMIFS(OFFSET(BD_COMERCIAL!AB$5,0,0,$S$26,1),OFFSET(BD_COMERCIAL!$K$5,0,0,$S$26,1),"I1",OFFSET(BD_COMERCIAL!$FC$5,0,0,$S$26,1),"V",OFFSET(BD_COMERCIAL!$Q$5,0,0,$S$26,1),"PLD + Spread",OFFSET(BD_COMERCIAL!$I$5,0,0,$S$26,1),"Trading")</f>
        <v>0</v>
      </c>
      <c r="AO16" s="86">
        <f ca="1">SUMIFS(OFFSET(BD_COMERCIAL!AC$5,0,0,$S$26,1),OFFSET(BD_COMERCIAL!$K$5,0,0,$S$26,1),"I1",OFFSET(BD_COMERCIAL!$FC$5,0,0,$S$26,1),"C",OFFSET(BD_COMERCIAL!$Q$5,0,0,$S$26,1),"PLD + Spread",OFFSET(BD_COMERCIAL!$I$5,0,0,$S$26,1),"Trading")-SUMIFS(OFFSET(BD_COMERCIAL!AC$5,0,0,$S$26,1),OFFSET(BD_COMERCIAL!$K$5,0,0,$S$26,1),"I1",OFFSET(BD_COMERCIAL!$FC$5,0,0,$S$26,1),"V",OFFSET(BD_COMERCIAL!$Q$5,0,0,$S$26,1),"PLD + Spread",OFFSET(BD_COMERCIAL!$I$5,0,0,$S$26,1),"Trading")</f>
        <v>0</v>
      </c>
      <c r="AP16" s="86">
        <f ca="1">SUMIFS(OFFSET(BD_COMERCIAL!AD$5,0,0,$S$26,1),OFFSET(BD_COMERCIAL!$K$5,0,0,$S$26,1),"I1",OFFSET(BD_COMERCIAL!$FC$5,0,0,$S$26,1),"C",OFFSET(BD_COMERCIAL!$Q$5,0,0,$S$26,1),"PLD + Spread",OFFSET(BD_COMERCIAL!$I$5,0,0,$S$26,1),"Trading")-SUMIFS(OFFSET(BD_COMERCIAL!AD$5,0,0,$S$26,1),OFFSET(BD_COMERCIAL!$K$5,0,0,$S$26,1),"I1",OFFSET(BD_COMERCIAL!$FC$5,0,0,$S$26,1),"V",OFFSET(BD_COMERCIAL!$Q$5,0,0,$S$26,1),"PLD + Spread",OFFSET(BD_COMERCIAL!$I$5,0,0,$S$26,1),"Trading")</f>
        <v>0</v>
      </c>
      <c r="AQ16" s="86">
        <f ca="1">SUMIFS(OFFSET(BD_COMERCIAL!AE$5,0,0,$S$26,1),OFFSET(BD_COMERCIAL!$K$5,0,0,$S$26,1),"I1",OFFSET(BD_COMERCIAL!$FC$5,0,0,$S$26,1),"C",OFFSET(BD_COMERCIAL!$Q$5,0,0,$S$26,1),"PLD + Spread",OFFSET(BD_COMERCIAL!$I$5,0,0,$S$26,1),"Trading")-SUMIFS(OFFSET(BD_COMERCIAL!AE$5,0,0,$S$26,1),OFFSET(BD_COMERCIAL!$K$5,0,0,$S$26,1),"I1",OFFSET(BD_COMERCIAL!$FC$5,0,0,$S$26,1),"V",OFFSET(BD_COMERCIAL!$Q$5,0,0,$S$26,1),"PLD + Spread",OFFSET(BD_COMERCIAL!$I$5,0,0,$S$26,1),"Trading")</f>
        <v>0</v>
      </c>
      <c r="AR16" s="86">
        <f ca="1">SUMIFS(OFFSET(BD_COMERCIAL!AF$5,0,0,$S$26,1),OFFSET(BD_COMERCIAL!$K$5,0,0,$S$26,1),"I1",OFFSET(BD_COMERCIAL!$FC$5,0,0,$S$26,1),"C",OFFSET(BD_COMERCIAL!$Q$5,0,0,$S$26,1),"PLD + Spread",OFFSET(BD_COMERCIAL!$I$5,0,0,$S$26,1),"Trading")-SUMIFS(OFFSET(BD_COMERCIAL!AF$5,0,0,$S$26,1),OFFSET(BD_COMERCIAL!$K$5,0,0,$S$26,1),"I1",OFFSET(BD_COMERCIAL!$FC$5,0,0,$S$26,1),"V",OFFSET(BD_COMERCIAL!$Q$5,0,0,$S$26,1),"PLD + Spread",OFFSET(BD_COMERCIAL!$I$5,0,0,$S$26,1),"Trading")</f>
        <v>0</v>
      </c>
      <c r="AS16" s="86">
        <f ca="1">SUMIFS(OFFSET(BD_COMERCIAL!AG$5,0,0,$S$26,1),OFFSET(BD_COMERCIAL!$K$5,0,0,$S$26,1),"I1",OFFSET(BD_COMERCIAL!$FC$5,0,0,$S$26,1),"C",OFFSET(BD_COMERCIAL!$Q$5,0,0,$S$26,1),"PLD + Spread",OFFSET(BD_COMERCIAL!$I$5,0,0,$S$26,1),"Trading")-SUMIFS(OFFSET(BD_COMERCIAL!AG$5,0,0,$S$26,1),OFFSET(BD_COMERCIAL!$K$5,0,0,$S$26,1),"I1",OFFSET(BD_COMERCIAL!$FC$5,0,0,$S$26,1),"V",OFFSET(BD_COMERCIAL!$Q$5,0,0,$S$26,1),"PLD + Spread",OFFSET(BD_COMERCIAL!$I$5,0,0,$S$26,1),"Trading")</f>
        <v>0</v>
      </c>
      <c r="AT16" s="86">
        <f ca="1">SUMIFS(OFFSET(BD_COMERCIAL!AH$5,0,0,$S$26,1),OFFSET(BD_COMERCIAL!$K$5,0,0,$S$26,1),"I1",OFFSET(BD_COMERCIAL!$FC$5,0,0,$S$26,1),"C",OFFSET(BD_COMERCIAL!$Q$5,0,0,$S$26,1),"PLD + Spread",OFFSET(BD_COMERCIAL!$I$5,0,0,$S$26,1),"Trading")-SUMIFS(OFFSET(BD_COMERCIAL!AH$5,0,0,$S$26,1),OFFSET(BD_COMERCIAL!$K$5,0,0,$S$26,1),"I1",OFFSET(BD_COMERCIAL!$FC$5,0,0,$S$26,1),"V",OFFSET(BD_COMERCIAL!$Q$5,0,0,$S$26,1),"PLD + Spread",OFFSET(BD_COMERCIAL!$I$5,0,0,$S$26,1),"Trading")</f>
        <v>0</v>
      </c>
      <c r="AU16" s="86">
        <f ca="1">SUMIFS(OFFSET(BD_COMERCIAL!AI$5,0,0,$S$26,1),OFFSET(BD_COMERCIAL!$K$5,0,0,$S$26,1),"I1",OFFSET(BD_COMERCIAL!$FC$5,0,0,$S$26,1),"C",OFFSET(BD_COMERCIAL!$Q$5,0,0,$S$26,1),"PLD + Spread",OFFSET(BD_COMERCIAL!$I$5,0,0,$S$26,1),"Trading")-SUMIFS(OFFSET(BD_COMERCIAL!AI$5,0,0,$S$26,1),OFFSET(BD_COMERCIAL!$K$5,0,0,$S$26,1),"I1",OFFSET(BD_COMERCIAL!$FC$5,0,0,$S$26,1),"V",OFFSET(BD_COMERCIAL!$Q$5,0,0,$S$26,1),"PLD + Spread",OFFSET(BD_COMERCIAL!$I$5,0,0,$S$26,1),"Trading")</f>
        <v>0</v>
      </c>
      <c r="AV16" s="86">
        <f ca="1">SUMIFS(OFFSET(BD_COMERCIAL!AJ$5,0,0,$S$26,1),OFFSET(BD_COMERCIAL!$K$5,0,0,$S$26,1),"I1",OFFSET(BD_COMERCIAL!$FC$5,0,0,$S$26,1),"C",OFFSET(BD_COMERCIAL!$Q$5,0,0,$S$26,1),"PLD + Spread",OFFSET(BD_COMERCIAL!$I$5,0,0,$S$26,1),"Trading")-SUMIFS(OFFSET(BD_COMERCIAL!AJ$5,0,0,$S$26,1),OFFSET(BD_COMERCIAL!$K$5,0,0,$S$26,1),"I1",OFFSET(BD_COMERCIAL!$FC$5,0,0,$S$26,1),"V",OFFSET(BD_COMERCIAL!$Q$5,0,0,$S$26,1),"PLD + Spread",OFFSET(BD_COMERCIAL!$I$5,0,0,$S$26,1),"Trading")</f>
        <v>0</v>
      </c>
      <c r="AW16" s="86">
        <f ca="1">SUMIFS(OFFSET(BD_COMERCIAL!AK$5,0,0,$S$26,1),OFFSET(BD_COMERCIAL!$K$5,0,0,$S$26,1),"I1",OFFSET(BD_COMERCIAL!$FC$5,0,0,$S$26,1),"C",OFFSET(BD_COMERCIAL!$Q$5,0,0,$S$26,1),"PLD + Spread",OFFSET(BD_COMERCIAL!$I$5,0,0,$S$26,1),"Trading")-SUMIFS(OFFSET(BD_COMERCIAL!AK$5,0,0,$S$26,1),OFFSET(BD_COMERCIAL!$K$5,0,0,$S$26,1),"I1",OFFSET(BD_COMERCIAL!$FC$5,0,0,$S$26,1),"V",OFFSET(BD_COMERCIAL!$Q$5,0,0,$S$26,1),"PLD + Spread",OFFSET(BD_COMERCIAL!$I$5,0,0,$S$26,1),"Trading")</f>
        <v>0</v>
      </c>
      <c r="AX16" s="86">
        <f ca="1">SUMIFS(OFFSET(BD_COMERCIAL!AL$5,0,0,$S$26,1),OFFSET(BD_COMERCIAL!$K$5,0,0,$S$26,1),"I1",OFFSET(BD_COMERCIAL!$FC$5,0,0,$S$26,1),"C",OFFSET(BD_COMERCIAL!$Q$5,0,0,$S$26,1),"PLD + Spread",OFFSET(BD_COMERCIAL!$I$5,0,0,$S$26,1),"Trading")-SUMIFS(OFFSET(BD_COMERCIAL!AL$5,0,0,$S$26,1),OFFSET(BD_COMERCIAL!$K$5,0,0,$S$26,1),"I1",OFFSET(BD_COMERCIAL!$FC$5,0,0,$S$26,1),"V",OFFSET(BD_COMERCIAL!$Q$5,0,0,$S$26,1),"PLD + Spread",OFFSET(BD_COMERCIAL!$I$5,0,0,$S$26,1),"Trading")</f>
        <v>0</v>
      </c>
      <c r="AY16" s="86">
        <f ca="1">SUMIFS(OFFSET(BD_COMERCIAL!AM$5,0,0,$S$26,1),OFFSET(BD_COMERCIAL!$K$5,0,0,$S$26,1),"I1",OFFSET(BD_COMERCIAL!$FC$5,0,0,$S$26,1),"C",OFFSET(BD_COMERCIAL!$Q$5,0,0,$S$26,1),"PLD + Spread",OFFSET(BD_COMERCIAL!$I$5,0,0,$S$26,1),"Trading")-SUMIFS(OFFSET(BD_COMERCIAL!AM$5,0,0,$S$26,1),OFFSET(BD_COMERCIAL!$K$5,0,0,$S$26,1),"I1",OFFSET(BD_COMERCIAL!$FC$5,0,0,$S$26,1),"V",OFFSET(BD_COMERCIAL!$Q$5,0,0,$S$26,1),"PLD + Spread",OFFSET(BD_COMERCIAL!$I$5,0,0,$S$26,1),"Trading")</f>
        <v>0</v>
      </c>
      <c r="BA16" s="85" t="s">
        <v>74</v>
      </c>
      <c r="BB16" s="86">
        <f t="shared" ca="1" si="12"/>
        <v>0</v>
      </c>
      <c r="BC16" s="86">
        <f t="shared" ca="1" si="1"/>
        <v>0</v>
      </c>
      <c r="BD16" s="86">
        <f t="shared" ca="1" si="2"/>
        <v>0</v>
      </c>
      <c r="BE16" s="86">
        <f t="shared" ca="1" si="3"/>
        <v>0</v>
      </c>
      <c r="BF16" s="86">
        <f t="shared" ca="1" si="4"/>
        <v>0</v>
      </c>
      <c r="BG16" s="86">
        <f ca="1">AS16+AE16</f>
        <v>0</v>
      </c>
      <c r="BH16" s="86">
        <f t="shared" ca="1" si="6"/>
        <v>0</v>
      </c>
      <c r="BI16" s="86">
        <f t="shared" ca="1" si="7"/>
        <v>0</v>
      </c>
      <c r="BJ16" s="86">
        <f t="shared" ca="1" si="8"/>
        <v>0</v>
      </c>
      <c r="BK16" s="86">
        <f t="shared" ca="1" si="9"/>
        <v>0</v>
      </c>
      <c r="BL16" s="86">
        <f t="shared" ca="1" si="10"/>
        <v>0</v>
      </c>
      <c r="BM16" s="86">
        <f t="shared" ca="1" si="11"/>
        <v>0</v>
      </c>
    </row>
    <row r="17" spans="2:64" ht="13.5" customHeight="1" thickBot="1" x14ac:dyDescent="0.4">
      <c r="B17" s="62"/>
      <c r="C17" s="62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0"/>
      <c r="W17" s="17"/>
      <c r="X17" s="17"/>
      <c r="Y17" s="17"/>
      <c r="Z17" s="42"/>
      <c r="AA17" s="42"/>
      <c r="AB17" s="42"/>
      <c r="AC17" s="42"/>
      <c r="AD17" s="42"/>
      <c r="AE17" s="42">
        <f ca="1">SUMPRODUCT(AC19:AE19,AC20:AE20)/SUM(AC19:AE19)</f>
        <v>71.341335527862682</v>
      </c>
      <c r="AF17" s="42"/>
      <c r="AG17" s="42"/>
      <c r="AH17" s="42">
        <f ca="1">SUMPRODUCT(AF19:AH19,AF20:AH20)/SUM(AF19:AH19)</f>
        <v>110.11834319526628</v>
      </c>
      <c r="AI17" s="42"/>
      <c r="AJ17" s="42"/>
      <c r="AK17" s="42">
        <f ca="1">SUMPRODUCT(AI19:AK19,AI20:AK20)/SUM(AI19:AK19)</f>
        <v>103.04368138285444</v>
      </c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</row>
    <row r="18" spans="2:64" s="17" customFormat="1" ht="14.25" customHeight="1" x14ac:dyDescent="0.35">
      <c r="B18" s="298" t="s">
        <v>17</v>
      </c>
      <c r="C18" s="58" t="s">
        <v>33</v>
      </c>
      <c r="D18" s="56"/>
      <c r="E18" s="56"/>
      <c r="F18" s="56"/>
      <c r="G18" s="56"/>
      <c r="H18" s="57"/>
      <c r="I18" s="56"/>
      <c r="J18" s="56"/>
      <c r="K18" s="56"/>
      <c r="L18" s="56"/>
      <c r="M18" s="56"/>
      <c r="N18" s="56"/>
      <c r="O18" s="55"/>
      <c r="P18" s="54">
        <f>SUMPRODUCT($D$1:$O$1,D18:O18)/8760</f>
        <v>0</v>
      </c>
      <c r="W18" s="21"/>
      <c r="X18" s="21"/>
      <c r="Y18" s="30" t="s">
        <v>115</v>
      </c>
      <c r="Z18" s="30" t="s">
        <v>45</v>
      </c>
      <c r="AA18" s="30" t="s">
        <v>44</v>
      </c>
      <c r="AB18" s="30" t="s">
        <v>43</v>
      </c>
      <c r="AC18" s="30" t="s">
        <v>42</v>
      </c>
      <c r="AD18" s="30" t="s">
        <v>41</v>
      </c>
      <c r="AE18" s="30" t="s">
        <v>40</v>
      </c>
      <c r="AF18" s="30" t="s">
        <v>39</v>
      </c>
      <c r="AG18" s="30" t="s">
        <v>38</v>
      </c>
      <c r="AH18" s="30" t="s">
        <v>37</v>
      </c>
      <c r="AI18" s="30" t="s">
        <v>36</v>
      </c>
      <c r="AJ18" s="30" t="s">
        <v>35</v>
      </c>
      <c r="AK18" s="30" t="s">
        <v>34</v>
      </c>
      <c r="AM18" s="30" t="s">
        <v>117</v>
      </c>
      <c r="AN18" s="30" t="s">
        <v>45</v>
      </c>
      <c r="AO18" s="30" t="s">
        <v>44</v>
      </c>
      <c r="AP18" s="30" t="s">
        <v>43</v>
      </c>
      <c r="AQ18" s="30" t="s">
        <v>42</v>
      </c>
      <c r="AR18" s="30" t="s">
        <v>41</v>
      </c>
      <c r="AS18" s="30" t="s">
        <v>40</v>
      </c>
      <c r="AT18" s="30" t="s">
        <v>39</v>
      </c>
      <c r="AU18" s="30" t="s">
        <v>38</v>
      </c>
      <c r="AV18" s="30" t="s">
        <v>37</v>
      </c>
      <c r="AW18" s="30" t="s">
        <v>36</v>
      </c>
      <c r="AX18" s="30" t="s">
        <v>35</v>
      </c>
      <c r="AY18" s="30" t="s">
        <v>34</v>
      </c>
    </row>
    <row r="19" spans="2:64" s="17" customFormat="1" ht="14.25" customHeight="1" x14ac:dyDescent="0.35">
      <c r="B19" s="299"/>
      <c r="C19" s="51" t="s">
        <v>32</v>
      </c>
      <c r="D19" s="44">
        <v>39</v>
      </c>
      <c r="E19" s="44">
        <v>39</v>
      </c>
      <c r="F19" s="44">
        <v>39</v>
      </c>
      <c r="G19" s="44">
        <v>39</v>
      </c>
      <c r="H19" s="44">
        <v>39</v>
      </c>
      <c r="I19" s="44">
        <v>39</v>
      </c>
      <c r="J19" s="44">
        <v>39</v>
      </c>
      <c r="K19" s="44">
        <v>39</v>
      </c>
      <c r="L19" s="44">
        <v>39</v>
      </c>
      <c r="M19" s="44">
        <v>39</v>
      </c>
      <c r="N19" s="44">
        <v>39</v>
      </c>
      <c r="O19" s="44">
        <v>39</v>
      </c>
      <c r="P19" s="50">
        <f>SUMPRODUCT($D$1:$O$1,D19:O19)/8760</f>
        <v>39.106849315068494</v>
      </c>
      <c r="Y19" s="85" t="s">
        <v>78</v>
      </c>
      <c r="Z19" s="155">
        <f ca="1">Z7</f>
        <v>-13.666667000000004</v>
      </c>
      <c r="AA19" s="155">
        <f t="shared" ref="AA19:AK19" ca="1" si="21">AA7</f>
        <v>-2.8666670000000067</v>
      </c>
      <c r="AB19" s="155">
        <f t="shared" ca="1" si="21"/>
        <v>-0.1666670000000039</v>
      </c>
      <c r="AC19" s="155">
        <f t="shared" ca="1" si="21"/>
        <v>-15.420000000000002</v>
      </c>
      <c r="AD19" s="155">
        <f t="shared" ca="1" si="21"/>
        <v>-34.64</v>
      </c>
      <c r="AE19" s="155">
        <f t="shared" ca="1" si="21"/>
        <v>-35</v>
      </c>
      <c r="AF19" s="155">
        <f ca="1">AF7</f>
        <v>-31.5</v>
      </c>
      <c r="AG19" s="155">
        <f t="shared" ca="1" si="21"/>
        <v>-26.5</v>
      </c>
      <c r="AH19" s="155">
        <f t="shared" ca="1" si="21"/>
        <v>-26.5</v>
      </c>
      <c r="AI19" s="155">
        <f t="shared" ca="1" si="21"/>
        <v>-14.809999999999999</v>
      </c>
      <c r="AJ19" s="155">
        <f t="shared" ca="1" si="21"/>
        <v>-16</v>
      </c>
      <c r="AK19" s="155">
        <f t="shared" ca="1" si="21"/>
        <v>-12</v>
      </c>
      <c r="AM19" s="85" t="s">
        <v>78</v>
      </c>
      <c r="AN19" s="86">
        <f t="shared" ref="AN19:AY19" ca="1" si="22">AN7</f>
        <v>0</v>
      </c>
      <c r="AO19" s="86">
        <f t="shared" ca="1" si="22"/>
        <v>0</v>
      </c>
      <c r="AP19" s="86">
        <f ca="1">AP7</f>
        <v>0</v>
      </c>
      <c r="AQ19" s="86">
        <f t="shared" ca="1" si="22"/>
        <v>0</v>
      </c>
      <c r="AR19" s="86">
        <f t="shared" ca="1" si="22"/>
        <v>0</v>
      </c>
      <c r="AS19" s="86">
        <f t="shared" ca="1" si="22"/>
        <v>0</v>
      </c>
      <c r="AT19" s="86">
        <f t="shared" ca="1" si="22"/>
        <v>0</v>
      </c>
      <c r="AU19" s="86">
        <f t="shared" ca="1" si="22"/>
        <v>0</v>
      </c>
      <c r="AV19" s="86">
        <f t="shared" ca="1" si="22"/>
        <v>0</v>
      </c>
      <c r="AW19" s="86">
        <f t="shared" ca="1" si="22"/>
        <v>0</v>
      </c>
      <c r="AX19" s="86">
        <f t="shared" ca="1" si="22"/>
        <v>0</v>
      </c>
      <c r="AY19" s="86">
        <f t="shared" ca="1" si="22"/>
        <v>0</v>
      </c>
    </row>
    <row r="20" spans="2:64" s="17" customFormat="1" ht="16.5" customHeight="1" x14ac:dyDescent="0.35">
      <c r="B20" s="299"/>
      <c r="C20" s="46" t="s">
        <v>30</v>
      </c>
      <c r="D20" s="44">
        <f>P20</f>
        <v>52</v>
      </c>
      <c r="E20" s="44">
        <f t="shared" ref="E20:O20" si="23">D20</f>
        <v>52</v>
      </c>
      <c r="F20" s="44">
        <f t="shared" si="23"/>
        <v>52</v>
      </c>
      <c r="G20" s="44">
        <f t="shared" si="23"/>
        <v>52</v>
      </c>
      <c r="H20" s="45">
        <f t="shared" si="23"/>
        <v>52</v>
      </c>
      <c r="I20" s="44">
        <f t="shared" si="23"/>
        <v>52</v>
      </c>
      <c r="J20" s="44">
        <f t="shared" si="23"/>
        <v>52</v>
      </c>
      <c r="K20" s="44">
        <f t="shared" si="23"/>
        <v>52</v>
      </c>
      <c r="L20" s="44">
        <f t="shared" si="23"/>
        <v>52</v>
      </c>
      <c r="M20" s="44">
        <f t="shared" si="23"/>
        <v>52</v>
      </c>
      <c r="N20" s="44">
        <f t="shared" si="23"/>
        <v>52</v>
      </c>
      <c r="O20" s="44">
        <f t="shared" si="23"/>
        <v>52</v>
      </c>
      <c r="P20" s="43">
        <v>52</v>
      </c>
      <c r="Y20" s="85" t="s">
        <v>79</v>
      </c>
      <c r="Z20" s="86">
        <v>70.352439113355146</v>
      </c>
      <c r="AA20" s="86">
        <v>68.5</v>
      </c>
      <c r="AB20" s="86">
        <v>68.5</v>
      </c>
      <c r="AC20" s="86">
        <v>70.494811932555123</v>
      </c>
      <c r="AD20" s="86">
        <v>71.453926096997677</v>
      </c>
      <c r="AE20" s="86">
        <v>71.602857142857147</v>
      </c>
      <c r="AF20" s="86">
        <v>109.36507936507937</v>
      </c>
      <c r="AG20" s="86">
        <v>110.56603773584905</v>
      </c>
      <c r="AH20" s="86">
        <v>110.56603773584905</v>
      </c>
      <c r="AI20" s="86">
        <v>108.39297771775826</v>
      </c>
      <c r="AJ20" s="86">
        <v>106.28125</v>
      </c>
      <c r="AK20" s="86">
        <v>92.125</v>
      </c>
      <c r="AL20" s="42">
        <f ca="1">SUMPRODUCT(Z19:AK19,Z20:AK20)/SUM(Z19:AK19)</f>
        <v>91.47361350472076</v>
      </c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</row>
    <row r="21" spans="2:64" s="17" customFormat="1" ht="15.75" customHeight="1" thickBot="1" x14ac:dyDescent="0.5">
      <c r="B21" s="300"/>
      <c r="C21" s="40" t="s">
        <v>29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8"/>
      <c r="P21" s="37">
        <f>SUMPRODUCT($D$1:$O$1,D21:O21)/8760</f>
        <v>0</v>
      </c>
      <c r="V21" s="36"/>
      <c r="Z21" s="90">
        <v>744</v>
      </c>
      <c r="AA21" s="90">
        <v>672</v>
      </c>
      <c r="AB21" s="90">
        <v>744</v>
      </c>
      <c r="AC21" s="90">
        <v>720</v>
      </c>
      <c r="AD21" s="90">
        <v>744</v>
      </c>
      <c r="AE21" s="90">
        <v>720</v>
      </c>
      <c r="AF21" s="90">
        <v>744</v>
      </c>
      <c r="AG21" s="90">
        <v>744</v>
      </c>
      <c r="AH21" s="90">
        <v>720</v>
      </c>
      <c r="AI21" s="90">
        <v>744</v>
      </c>
      <c r="AJ21" s="90">
        <v>720</v>
      </c>
      <c r="AK21" s="90">
        <v>744</v>
      </c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</row>
    <row r="22" spans="2:64" x14ac:dyDescent="0.35"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W22" s="17"/>
      <c r="X22" s="17"/>
      <c r="Y22" s="92" t="s">
        <v>80</v>
      </c>
      <c r="Z22" s="93">
        <v>69</v>
      </c>
      <c r="AA22" s="93">
        <v>69</v>
      </c>
      <c r="AB22" s="93">
        <v>69</v>
      </c>
      <c r="AC22" s="93">
        <v>70</v>
      </c>
      <c r="AD22" s="93">
        <v>70</v>
      </c>
      <c r="AE22" s="93">
        <v>70</v>
      </c>
      <c r="AF22" s="93">
        <v>73</v>
      </c>
      <c r="AG22" s="93">
        <v>73</v>
      </c>
      <c r="AH22" s="93">
        <v>73</v>
      </c>
      <c r="AI22" s="93">
        <v>75</v>
      </c>
      <c r="AJ22" s="93">
        <v>75</v>
      </c>
      <c r="AK22" s="93">
        <v>75</v>
      </c>
      <c r="AL22" s="3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</row>
    <row r="23" spans="2:64" s="17" customFormat="1" x14ac:dyDescent="0.35">
      <c r="W23" s="21"/>
      <c r="X23" s="21"/>
      <c r="Y23" s="92" t="s">
        <v>81</v>
      </c>
      <c r="Z23" s="91">
        <f t="shared" ref="Z23:AK23" ca="1" si="24">IF(Z28&lt;0,(-Z28*Z21*(Z20-Z22)/1000000),(Z28*Z21*(Z22-Z20))/1000000)</f>
        <v>1.3751601240000029E-2</v>
      </c>
      <c r="AA23" s="91">
        <f t="shared" ca="1" si="24"/>
        <v>-9.6320011200000226E-4</v>
      </c>
      <c r="AB23" s="91">
        <f t="shared" ca="1" si="24"/>
        <v>-6.2000124000001445E-5</v>
      </c>
      <c r="AC23" s="91">
        <f t="shared" ca="1" si="24"/>
        <v>5.4936000000000013E-3</v>
      </c>
      <c r="AD23" s="91">
        <f t="shared" ca="1" si="24"/>
        <v>3.7470815999999643E-2</v>
      </c>
      <c r="AE23" s="91">
        <f t="shared" ca="1" si="24"/>
        <v>4.0392000000000101E-2</v>
      </c>
      <c r="AF23" s="91">
        <f t="shared" ca="1" si="24"/>
        <v>0.85225200000000001</v>
      </c>
      <c r="AG23" s="91">
        <f t="shared" ca="1" si="24"/>
        <v>0.74065199999999987</v>
      </c>
      <c r="AH23" s="91">
        <f ca="1">IF(AH28&lt;0,(-AH28*AH21*(AH20-AH22)/1000000),(AH28*AH21*(AH22-AH20))/1000000)</f>
        <v>0.71675999999999984</v>
      </c>
      <c r="AI23" s="91">
        <f t="shared" ca="1" si="24"/>
        <v>0.36794519999999986</v>
      </c>
      <c r="AJ23" s="91">
        <f t="shared" ca="1" si="24"/>
        <v>0.36036000000000001</v>
      </c>
      <c r="AK23" s="91">
        <f t="shared" ca="1" si="24"/>
        <v>0.152892</v>
      </c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</row>
    <row r="24" spans="2:64" s="17" customFormat="1" ht="15.75" customHeight="1" thickBot="1" x14ac:dyDescent="0.4"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3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</row>
    <row r="25" spans="2:64" s="17" customFormat="1" ht="15" thickBot="1" x14ac:dyDescent="0.4">
      <c r="S25" s="33" t="s">
        <v>28</v>
      </c>
      <c r="W25" s="32"/>
      <c r="X25" s="21"/>
      <c r="Y25" s="92" t="s">
        <v>108</v>
      </c>
      <c r="Z25" s="122">
        <f>'Curva Forward'!C5</f>
        <v>69</v>
      </c>
      <c r="AA25" s="122">
        <f>'Curva Forward'!D5</f>
        <v>69</v>
      </c>
      <c r="AB25" s="122">
        <f>'Curva Forward'!E5</f>
        <v>69</v>
      </c>
      <c r="AC25" s="122">
        <f>'Curva Forward'!F5</f>
        <v>69</v>
      </c>
      <c r="AD25" s="122">
        <f>'Curva Forward'!G5</f>
        <v>70</v>
      </c>
      <c r="AE25" s="122">
        <f>'Curva Forward'!H5</f>
        <v>70</v>
      </c>
      <c r="AF25" s="122">
        <f>'Curva Forward'!I5</f>
        <v>73</v>
      </c>
      <c r="AG25" s="122">
        <f>'Curva Forward'!J5</f>
        <v>73</v>
      </c>
      <c r="AH25" s="122">
        <f>'Curva Forward'!K5</f>
        <v>73</v>
      </c>
      <c r="AI25" s="122">
        <f>'Curva Forward'!L5</f>
        <v>75</v>
      </c>
      <c r="AJ25" s="122">
        <f>'Curva Forward'!M5</f>
        <v>75</v>
      </c>
      <c r="AK25" s="122">
        <f>'Curva Forward'!N5</f>
        <v>75</v>
      </c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</row>
    <row r="26" spans="2:64" s="17" customFormat="1" ht="15" thickBot="1" x14ac:dyDescent="0.4">
      <c r="S26" s="31">
        <f ca="1">COUNTA(OFFSET(BD_COMERCIAL!$C$5,0,0,5000,1))</f>
        <v>166</v>
      </c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</row>
    <row r="27" spans="2:64" s="17" customFormat="1" ht="15" thickBot="1" x14ac:dyDescent="0.4">
      <c r="Y27" s="21"/>
      <c r="Z27" s="63" t="s">
        <v>45</v>
      </c>
      <c r="AA27" s="63" t="s">
        <v>44</v>
      </c>
      <c r="AB27" s="63" t="s">
        <v>43</v>
      </c>
      <c r="AC27" s="63" t="s">
        <v>42</v>
      </c>
      <c r="AD27" s="63" t="s">
        <v>41</v>
      </c>
      <c r="AE27" s="63" t="s">
        <v>40</v>
      </c>
      <c r="AF27" s="63" t="s">
        <v>39</v>
      </c>
      <c r="AG27" s="63" t="s">
        <v>38</v>
      </c>
      <c r="AH27" s="63" t="s">
        <v>37</v>
      </c>
      <c r="AI27" s="63" t="s">
        <v>36</v>
      </c>
      <c r="AJ27" s="63" t="s">
        <v>35</v>
      </c>
      <c r="AK27" s="63" t="s">
        <v>34</v>
      </c>
      <c r="AL27" s="63" t="s">
        <v>93</v>
      </c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</row>
    <row r="28" spans="2:64" s="17" customFormat="1" ht="17.25" customHeight="1" thickBot="1" x14ac:dyDescent="0.4">
      <c r="Y28" s="53" t="s">
        <v>68</v>
      </c>
      <c r="Z28" s="86">
        <f ca="1">Z7+AN7</f>
        <v>-13.666667000000004</v>
      </c>
      <c r="AA28" s="86">
        <f t="shared" ref="AA28:AK28" ca="1" si="25">AA7+AO7</f>
        <v>-2.8666670000000067</v>
      </c>
      <c r="AB28" s="86">
        <f t="shared" ca="1" si="25"/>
        <v>-0.1666670000000039</v>
      </c>
      <c r="AC28" s="86">
        <f t="shared" ca="1" si="25"/>
        <v>-15.420000000000002</v>
      </c>
      <c r="AD28" s="86">
        <f t="shared" ca="1" si="25"/>
        <v>-34.64</v>
      </c>
      <c r="AE28" s="86">
        <f t="shared" ca="1" si="25"/>
        <v>-35</v>
      </c>
      <c r="AF28" s="86">
        <f t="shared" ca="1" si="25"/>
        <v>-31.5</v>
      </c>
      <c r="AG28" s="155">
        <f t="shared" ca="1" si="25"/>
        <v>-26.5</v>
      </c>
      <c r="AH28" s="86">
        <f t="shared" ca="1" si="25"/>
        <v>-26.5</v>
      </c>
      <c r="AI28" s="86">
        <f t="shared" ca="1" si="25"/>
        <v>-14.809999999999999</v>
      </c>
      <c r="AJ28" s="86">
        <f t="shared" ca="1" si="25"/>
        <v>-16</v>
      </c>
      <c r="AK28" s="86">
        <f t="shared" ca="1" si="25"/>
        <v>-12</v>
      </c>
      <c r="AL28" s="120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</row>
    <row r="29" spans="2:64" ht="15" thickBot="1" x14ac:dyDescent="0.4">
      <c r="T29" s="25"/>
      <c r="U29" s="25"/>
      <c r="V29" s="25"/>
      <c r="W29" s="25"/>
      <c r="X29" s="17"/>
      <c r="Y29" s="53" t="s">
        <v>94</v>
      </c>
      <c r="Z29" s="52">
        <f>(SUMPRODUCT('[4]POSIÇÕES (2021)'!Z13:AK13,'[4]POSIÇÕES (2021)'!$D$1:$O$1)+SUMPRODUCT('[4]POSIÇÕES (2021)'!AN13:AY13,'[4]POSIÇÕES (2021)'!$D$1:$O$1))/D1</f>
        <v>15.829709677419356</v>
      </c>
      <c r="AA29" s="52">
        <f ca="1">(Z29*D1+(Z13+AN13)*D1-('[4]POSIÇÕES (2021)'!Z13+'[4]POSIÇÕES (2021)'!AN13)*'[4]POSIÇÕES (2021)'!D$1)/E1</f>
        <v>14.270379310344827</v>
      </c>
      <c r="AB29" s="52">
        <f ca="1">(AA29*E1+(AA13+AO13)*E1-('[4]POSIÇÕES (2021)'!AA13+'[4]POSIÇÕES (2021)'!AO13)*'[4]POSIÇÕES (2021)'!E$1)/F1</f>
        <v>13.349709677419353</v>
      </c>
      <c r="AC29" s="52">
        <f ca="1">(AB29*F1+(AB13+AP13)*F1-('[4]POSIÇÕES (2021)'!AB13+'[4]POSIÇÕES (2021)'!AP13)*'[4]POSIÇÕES (2021)'!F$1)/G1</f>
        <v>13.794699999999999</v>
      </c>
      <c r="AD29" s="52">
        <f ca="1">(AC29*G1+(AC13+AQ13)*G1-('[4]POSIÇÕES (2021)'!AC13+'[4]POSIÇÕES (2021)'!AQ13)*'[4]POSIÇÕES (2021)'!G$1)/H1</f>
        <v>13.191967741935482</v>
      </c>
      <c r="AE29" s="52">
        <f ca="1">(AD29*H1+(AD13+AR13)*H1-('[4]POSIÇÕES (2021)'!AD13+'[4]POSIÇÕES (2021)'!AR13)*'[4]POSIÇÕES (2021)'!H$1)/I1</f>
        <v>11.913266666666663</v>
      </c>
      <c r="AF29" s="52">
        <f ca="1">(AE29*I1+(AE13+AS13)*I1-('[4]POSIÇÕES (2021)'!AE13+'[4]POSIÇÕES (2021)'!AS13)*'[4]POSIÇÕES (2021)'!I$1)/J1</f>
        <v>6.1560645161290299</v>
      </c>
      <c r="AG29" s="52">
        <f ca="1">(AF29*J1+(AF13+AT13)*J1-('[4]POSIÇÕES (2021)'!AF13+'[4]POSIÇÕES (2021)'!AT13)*'[4]POSIÇÕES (2021)'!J$1)/K1</f>
        <v>-0.32993548387096988</v>
      </c>
      <c r="AH29" s="52">
        <f ca="1">(AG29*K1+(AG13+AU13)*K1-('[4]POSIÇÕES (2021)'!AG13+'[4]POSIÇÕES (2021)'!AU13)*'[4]POSIÇÕES (2021)'!K$1)/L1</f>
        <v>-0.3099333333333355</v>
      </c>
      <c r="AI29" s="52">
        <f ca="1">(AH29*L1+(AH13+AV13)*L1-('[4]POSIÇÕES (2021)'!AH13+'[4]POSIÇÕES (2021)'!AV13)*'[4]POSIÇÕES (2021)'!L$1)/M1</f>
        <v>-0.27090322580645365</v>
      </c>
      <c r="AJ29" s="52">
        <f ca="1">(AI29*M1+(AI13+AW13)*M1-('[4]POSIÇÕES (2021)'!AI13+'[4]POSIÇÕES (2021)'!AW13)*'[4]POSIÇÕES (2021)'!M$1)/N1</f>
        <v>-0.19520000000000204</v>
      </c>
      <c r="AK29" s="52">
        <f ca="1">(AJ29*N1+(AJ13+AX13)*N1-('[4]POSIÇÕES (2021)'!AJ13+'[4]POSIÇÕES (2021)'!AX13)*'[4]POSIÇÕES (2021)'!N$1)/O1</f>
        <v>-9.6000000000001875E-2</v>
      </c>
      <c r="AL29" s="120">
        <f ca="1">(SUMPRODUCT(AN13:AY13,D1:O1)+SUMPRODUCT(Z13:AK13,D1:O1))/744</f>
        <v>0</v>
      </c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</row>
    <row r="30" spans="2:64" ht="18.75" customHeight="1" thickBot="1" x14ac:dyDescent="0.4">
      <c r="E30" s="29"/>
      <c r="F30" s="29"/>
      <c r="G30" s="29"/>
      <c r="H30" s="29"/>
      <c r="I30" s="29"/>
      <c r="J30" s="29"/>
      <c r="K30" s="29"/>
      <c r="L30" s="29"/>
      <c r="M30" s="29"/>
      <c r="N30" s="29"/>
      <c r="P30" s="28"/>
      <c r="T30" s="25"/>
      <c r="X30" s="17"/>
      <c r="Y30" s="49" t="s">
        <v>31</v>
      </c>
      <c r="Z30" s="48">
        <f ca="1">(Z15+Z12+AN15+AN12)*D1+'[4]POSIÇÕES (2021)'!$AK$30</f>
        <v>8812.4480000000367</v>
      </c>
      <c r="AA30" s="47">
        <f ca="1">(AA15+AA12+AO12+AO15)*E1+Z30</f>
        <v>8812.4480000000367</v>
      </c>
      <c r="AB30" s="47">
        <f t="shared" ref="AB30:AK30" ca="1" si="26">(AB15+AB12+AP12+AP15)*F1+AA30</f>
        <v>8812.4480000000367</v>
      </c>
      <c r="AC30" s="47">
        <f t="shared" ca="1" si="26"/>
        <v>8812.4480000000367</v>
      </c>
      <c r="AD30" s="47">
        <f t="shared" ca="1" si="26"/>
        <v>8812.4480000000367</v>
      </c>
      <c r="AE30" s="47">
        <f t="shared" ca="1" si="26"/>
        <v>8812.4480000000367</v>
      </c>
      <c r="AF30" s="47">
        <f t="shared" ca="1" si="26"/>
        <v>8812.4480000000367</v>
      </c>
      <c r="AG30" s="47">
        <f t="shared" ca="1" si="26"/>
        <v>8812.4480000000367</v>
      </c>
      <c r="AH30" s="47">
        <f t="shared" ca="1" si="26"/>
        <v>8812.4480000000367</v>
      </c>
      <c r="AI30" s="47">
        <f t="shared" ca="1" si="26"/>
        <v>8812.4480000000367</v>
      </c>
      <c r="AJ30" s="47">
        <f t="shared" ca="1" si="26"/>
        <v>8812.4480000000367</v>
      </c>
      <c r="AK30" s="47">
        <f t="shared" ca="1" si="26"/>
        <v>8812.4480000000367</v>
      </c>
      <c r="AL30" s="59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</row>
    <row r="31" spans="2:64" x14ac:dyDescent="0.35">
      <c r="B31" s="27"/>
      <c r="C31" s="2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T31" s="25"/>
      <c r="X31" s="17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</row>
    <row r="32" spans="2:64" x14ac:dyDescent="0.35"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T32" s="25"/>
      <c r="X32" s="17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</row>
    <row r="33" spans="4:40" x14ac:dyDescent="0.35"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T33" s="25"/>
      <c r="X33" s="17"/>
    </row>
    <row r="34" spans="4:40" x14ac:dyDescent="0.35"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X34" s="17"/>
      <c r="AN34" s="17"/>
    </row>
    <row r="35" spans="4:40" x14ac:dyDescent="0.35"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X35" s="17"/>
      <c r="AN35" s="17"/>
    </row>
    <row r="36" spans="4:40" x14ac:dyDescent="0.35"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T36" s="21" t="s">
        <v>11</v>
      </c>
      <c r="X36" s="17"/>
      <c r="AN36" s="17"/>
    </row>
    <row r="37" spans="4:40" x14ac:dyDescent="0.35"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X37" s="17"/>
    </row>
    <row r="38" spans="4:40" x14ac:dyDescent="0.35"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4:40" x14ac:dyDescent="0.35"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X39" s="17"/>
    </row>
    <row r="40" spans="4:40" x14ac:dyDescent="0.35">
      <c r="X40" s="17"/>
    </row>
    <row r="42" spans="4:40" x14ac:dyDescent="0.35">
      <c r="W42" s="22"/>
    </row>
    <row r="49" spans="24:24" ht="15" hidden="1" customHeight="1" x14ac:dyDescent="0.35">
      <c r="X49" s="23"/>
    </row>
    <row r="50" spans="24:24" ht="15" hidden="1" customHeight="1" x14ac:dyDescent="0.35">
      <c r="X50" s="23"/>
    </row>
    <row r="51" spans="24:24" ht="15" hidden="1" customHeight="1" x14ac:dyDescent="0.35">
      <c r="X51" s="23"/>
    </row>
    <row r="52" spans="24:24" ht="15" hidden="1" customHeight="1" x14ac:dyDescent="0.35">
      <c r="X52" s="23"/>
    </row>
    <row r="53" spans="24:24" ht="15" hidden="1" customHeight="1" x14ac:dyDescent="0.35">
      <c r="X53" s="23"/>
    </row>
    <row r="54" spans="24:24" ht="15" hidden="1" customHeight="1" x14ac:dyDescent="0.35">
      <c r="X54" s="23"/>
    </row>
    <row r="55" spans="24:24" ht="15" hidden="1" customHeight="1" x14ac:dyDescent="0.35">
      <c r="X55" s="23"/>
    </row>
    <row r="56" spans="24:24" ht="15.75" hidden="1" customHeight="1" x14ac:dyDescent="0.35">
      <c r="X56" s="23"/>
    </row>
    <row r="57" spans="24:24" ht="15" customHeight="1" x14ac:dyDescent="0.35"/>
    <row r="58" spans="24:24" ht="15.75" customHeight="1" x14ac:dyDescent="0.35"/>
    <row r="60" spans="24:24" ht="15" hidden="1" customHeight="1" x14ac:dyDescent="0.35"/>
    <row r="61" spans="24:24" ht="15" hidden="1" customHeight="1" x14ac:dyDescent="0.35"/>
    <row r="62" spans="24:24" ht="15" hidden="1" customHeight="1" x14ac:dyDescent="0.35"/>
    <row r="63" spans="24:24" ht="15" hidden="1" customHeight="1" x14ac:dyDescent="0.35"/>
    <row r="64" spans="24:24" ht="15" hidden="1" customHeight="1" x14ac:dyDescent="0.35"/>
    <row r="65" ht="15" hidden="1" customHeight="1" x14ac:dyDescent="0.35"/>
    <row r="66" ht="15" hidden="1" customHeight="1" x14ac:dyDescent="0.35"/>
    <row r="67" ht="15" hidden="1" customHeight="1" x14ac:dyDescent="0.35"/>
    <row r="68" ht="15" customHeight="1" x14ac:dyDescent="0.35"/>
    <row r="69" ht="15.75" customHeight="1" x14ac:dyDescent="0.35"/>
    <row r="70" ht="15.75" customHeight="1" x14ac:dyDescent="0.35"/>
    <row r="71" ht="15" hidden="1" customHeight="1" x14ac:dyDescent="0.35"/>
    <row r="72" ht="15" hidden="1" customHeight="1" x14ac:dyDescent="0.35"/>
    <row r="73" ht="15" hidden="1" customHeight="1" x14ac:dyDescent="0.35"/>
    <row r="74" ht="15" hidden="1" customHeight="1" x14ac:dyDescent="0.35"/>
    <row r="75" ht="15" hidden="1" customHeight="1" x14ac:dyDescent="0.35"/>
    <row r="76" ht="15" hidden="1" customHeight="1" x14ac:dyDescent="0.35"/>
    <row r="77" ht="15" hidden="1" customHeight="1" x14ac:dyDescent="0.35"/>
    <row r="78" ht="15" hidden="1" customHeight="1" x14ac:dyDescent="0.35"/>
    <row r="80" ht="15" customHeight="1" x14ac:dyDescent="0.35"/>
    <row r="82" ht="15" hidden="1" customHeight="1" x14ac:dyDescent="0.35"/>
    <row r="83" ht="15" hidden="1" customHeight="1" x14ac:dyDescent="0.35"/>
    <row r="84" ht="15" hidden="1" customHeight="1" x14ac:dyDescent="0.35"/>
    <row r="85" ht="15" hidden="1" customHeight="1" x14ac:dyDescent="0.35"/>
    <row r="86" ht="15" hidden="1" customHeight="1" x14ac:dyDescent="0.35"/>
    <row r="87" ht="15" hidden="1" customHeight="1" x14ac:dyDescent="0.35"/>
    <row r="88" ht="15" hidden="1" customHeight="1" x14ac:dyDescent="0.35"/>
    <row r="89" ht="15" hidden="1" customHeight="1" x14ac:dyDescent="0.35"/>
    <row r="91" ht="15" customHeight="1" x14ac:dyDescent="0.35"/>
    <row r="105" ht="15" hidden="1" customHeight="1" x14ac:dyDescent="0.35"/>
    <row r="106" ht="15" hidden="1" customHeight="1" x14ac:dyDescent="0.35"/>
    <row r="107" ht="15" hidden="1" customHeight="1" x14ac:dyDescent="0.35"/>
    <row r="108" ht="15" hidden="1" customHeight="1" x14ac:dyDescent="0.35"/>
    <row r="109" ht="15" hidden="1" customHeight="1" x14ac:dyDescent="0.35"/>
    <row r="110" ht="15" hidden="1" customHeight="1" x14ac:dyDescent="0.35"/>
    <row r="111" ht="15" hidden="1" customHeight="1" x14ac:dyDescent="0.35"/>
    <row r="112" ht="15" hidden="1" customHeight="1" x14ac:dyDescent="0.35"/>
    <row r="114" ht="15" customHeight="1" x14ac:dyDescent="0.35"/>
    <row r="116" ht="15" hidden="1" customHeight="1" x14ac:dyDescent="0.35"/>
    <row r="117" ht="15" hidden="1" customHeight="1" x14ac:dyDescent="0.35"/>
    <row r="118" ht="15" hidden="1" customHeight="1" x14ac:dyDescent="0.35"/>
    <row r="119" ht="15" hidden="1" customHeight="1" x14ac:dyDescent="0.35"/>
    <row r="120" ht="15" hidden="1" customHeight="1" x14ac:dyDescent="0.35"/>
    <row r="121" ht="15" hidden="1" customHeight="1" x14ac:dyDescent="0.35"/>
    <row r="122" ht="15" hidden="1" customHeight="1" x14ac:dyDescent="0.35"/>
    <row r="123" ht="15" hidden="1" customHeight="1" x14ac:dyDescent="0.35"/>
    <row r="125" ht="15" customHeight="1" x14ac:dyDescent="0.35"/>
    <row r="127" ht="15" hidden="1" customHeight="1" x14ac:dyDescent="0.35"/>
    <row r="128" ht="15" hidden="1" customHeight="1" x14ac:dyDescent="0.35"/>
    <row r="129" ht="15" hidden="1" customHeight="1" x14ac:dyDescent="0.35"/>
    <row r="130" ht="15" hidden="1" customHeight="1" x14ac:dyDescent="0.35"/>
    <row r="131" ht="15" hidden="1" customHeight="1" x14ac:dyDescent="0.35"/>
    <row r="132" ht="15" hidden="1" customHeight="1" x14ac:dyDescent="0.35"/>
    <row r="133" ht="15" hidden="1" customHeight="1" x14ac:dyDescent="0.35"/>
    <row r="134" ht="15" hidden="1" customHeight="1" x14ac:dyDescent="0.35"/>
    <row r="136" ht="15" customHeight="1" x14ac:dyDescent="0.35"/>
    <row r="138" ht="15" hidden="1" customHeight="1" x14ac:dyDescent="0.35"/>
    <row r="139" ht="15" hidden="1" customHeight="1" x14ac:dyDescent="0.35"/>
    <row r="140" ht="15" hidden="1" customHeight="1" x14ac:dyDescent="0.35"/>
    <row r="141" ht="15" hidden="1" customHeight="1" x14ac:dyDescent="0.35"/>
    <row r="142" ht="15" hidden="1" customHeight="1" x14ac:dyDescent="0.35"/>
    <row r="143" ht="15" hidden="1" customHeight="1" x14ac:dyDescent="0.35"/>
    <row r="144" ht="15" hidden="1" customHeight="1" x14ac:dyDescent="0.35"/>
    <row r="145" ht="15" hidden="1" customHeight="1" x14ac:dyDescent="0.35"/>
    <row r="147" ht="15" customHeight="1" x14ac:dyDescent="0.35"/>
  </sheetData>
  <mergeCells count="4">
    <mergeCell ref="B3:B6"/>
    <mergeCell ref="B8:B11"/>
    <mergeCell ref="B13:B16"/>
    <mergeCell ref="B18:B21"/>
  </mergeCells>
  <conditionalFormatting sqref="Z155">
    <cfRule type="containsText" dxfId="18" priority="3" operator="containsText" text="Long">
      <formula>NOT(ISERROR(SEARCH("Long",Z155)))</formula>
    </cfRule>
  </conditionalFormatting>
  <dataValidations count="1">
    <dataValidation type="custom" allowBlank="1" showInputMessage="1" showErrorMessage="1" errorTitle="Novo Produto" error="O produto que voce digitou já consta na lista, favor verificar." promptTitle="Novo Produto" prompt="Favor digitar o nome de um novo produto." sqref="Y19:Y20 Y3:Y16 AM3:AM16 AM19 BA3:BA16" xr:uid="{00000000-0002-0000-0000-000000000000}">
      <formula1>COUNTIF(Produtos,Y3)&lt;2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Precos2023">
                <anchor moveWithCells="1" sizeWithCells="1">
                  <from>
                    <xdr:col>22</xdr:col>
                    <xdr:colOff>762000</xdr:colOff>
                    <xdr:row>17</xdr:row>
                    <xdr:rowOff>165100</xdr:rowOff>
                  </from>
                  <to>
                    <xdr:col>23</xdr:col>
                    <xdr:colOff>317500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5" tint="-0.249977111117893"/>
  </sheetPr>
  <dimension ref="B1:AY147"/>
  <sheetViews>
    <sheetView topLeftCell="Z14" zoomScaleNormal="100" workbookViewId="0">
      <selection activeCell="Z23" sqref="Z23:AK23"/>
    </sheetView>
  </sheetViews>
  <sheetFormatPr defaultColWidth="9.1796875" defaultRowHeight="14.5" x14ac:dyDescent="0.35"/>
  <cols>
    <col min="1" max="1" width="2.453125" style="21" customWidth="1"/>
    <col min="2" max="2" width="15.1796875" style="21" bestFit="1" customWidth="1"/>
    <col min="3" max="3" width="12.26953125" style="21" bestFit="1" customWidth="1"/>
    <col min="4" max="4" width="9.81640625" style="21" customWidth="1"/>
    <col min="5" max="15" width="9" style="21" customWidth="1"/>
    <col min="16" max="16" width="9.81640625" style="21" customWidth="1"/>
    <col min="17" max="17" width="2.453125" style="21" customWidth="1"/>
    <col min="18" max="18" width="6.1796875" style="21" customWidth="1"/>
    <col min="19" max="19" width="26.453125" style="21" customWidth="1"/>
    <col min="20" max="20" width="17.1796875" style="21" customWidth="1"/>
    <col min="21" max="21" width="23.1796875" style="21" customWidth="1"/>
    <col min="22" max="22" width="27" style="21" customWidth="1"/>
    <col min="23" max="23" width="18.54296875" style="21" customWidth="1"/>
    <col min="24" max="24" width="6.1796875" style="21" customWidth="1"/>
    <col min="25" max="25" width="34" style="21" bestFit="1" customWidth="1"/>
    <col min="26" max="37" width="13.453125" style="21" customWidth="1"/>
    <col min="38" max="38" width="22.54296875" style="21" bestFit="1" customWidth="1"/>
    <col min="39" max="39" width="32.26953125" style="21" bestFit="1" customWidth="1"/>
    <col min="40" max="51" width="13.453125" style="21" customWidth="1"/>
    <col min="52" max="16384" width="9.1796875" style="21"/>
  </cols>
  <sheetData>
    <row r="1" spans="2:51" s="79" customFormat="1" ht="11" thickBot="1" x14ac:dyDescent="0.3">
      <c r="D1" s="81">
        <v>744</v>
      </c>
      <c r="E1" s="81">
        <f>24*28</f>
        <v>672</v>
      </c>
      <c r="F1" s="81">
        <v>744</v>
      </c>
      <c r="G1" s="81">
        <v>720</v>
      </c>
      <c r="H1" s="81">
        <v>744</v>
      </c>
      <c r="I1" s="81">
        <v>720</v>
      </c>
      <c r="J1" s="81">
        <v>744</v>
      </c>
      <c r="K1" s="81">
        <v>744</v>
      </c>
      <c r="L1" s="81">
        <v>720</v>
      </c>
      <c r="M1" s="81">
        <v>744</v>
      </c>
      <c r="N1" s="81">
        <v>720</v>
      </c>
      <c r="O1" s="81">
        <v>744</v>
      </c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 t="s">
        <v>11</v>
      </c>
      <c r="AL1" s="80"/>
    </row>
    <row r="2" spans="2:51" ht="19" thickBot="1" x14ac:dyDescent="0.4">
      <c r="D2" s="78">
        <v>43466</v>
      </c>
      <c r="E2" s="77">
        <v>43497</v>
      </c>
      <c r="F2" s="76">
        <v>43525</v>
      </c>
      <c r="G2" s="76">
        <v>43556</v>
      </c>
      <c r="H2" s="77">
        <v>43586</v>
      </c>
      <c r="I2" s="76">
        <v>43617</v>
      </c>
      <c r="J2" s="76">
        <v>43647</v>
      </c>
      <c r="K2" s="77">
        <v>43678</v>
      </c>
      <c r="L2" s="76">
        <v>43709</v>
      </c>
      <c r="M2" s="76">
        <v>43739</v>
      </c>
      <c r="N2" s="77">
        <v>43770</v>
      </c>
      <c r="O2" s="76">
        <v>43800</v>
      </c>
      <c r="P2" s="75" t="s">
        <v>62</v>
      </c>
      <c r="S2" s="74"/>
      <c r="T2" s="73"/>
      <c r="U2" s="17"/>
      <c r="V2" s="72" t="s">
        <v>61</v>
      </c>
      <c r="W2" s="71"/>
      <c r="Y2" s="30" t="s">
        <v>114</v>
      </c>
      <c r="Z2" s="30" t="s">
        <v>45</v>
      </c>
      <c r="AA2" s="30" t="s">
        <v>44</v>
      </c>
      <c r="AB2" s="30" t="s">
        <v>43</v>
      </c>
      <c r="AC2" s="30" t="s">
        <v>42</v>
      </c>
      <c r="AD2" s="30" t="s">
        <v>41</v>
      </c>
      <c r="AE2" s="30" t="s">
        <v>40</v>
      </c>
      <c r="AF2" s="30" t="s">
        <v>39</v>
      </c>
      <c r="AG2" s="30" t="s">
        <v>38</v>
      </c>
      <c r="AH2" s="30" t="s">
        <v>37</v>
      </c>
      <c r="AI2" s="30" t="s">
        <v>36</v>
      </c>
      <c r="AJ2" s="30" t="s">
        <v>35</v>
      </c>
      <c r="AK2" s="30" t="s">
        <v>34</v>
      </c>
      <c r="AL2" s="17"/>
      <c r="AM2" s="30" t="s">
        <v>116</v>
      </c>
      <c r="AN2" s="30" t="s">
        <v>45</v>
      </c>
      <c r="AO2" s="30" t="s">
        <v>44</v>
      </c>
      <c r="AP2" s="30" t="s">
        <v>43</v>
      </c>
      <c r="AQ2" s="30" t="s">
        <v>42</v>
      </c>
      <c r="AR2" s="30" t="s">
        <v>41</v>
      </c>
      <c r="AS2" s="30" t="s">
        <v>40</v>
      </c>
      <c r="AT2" s="30" t="s">
        <v>39</v>
      </c>
      <c r="AU2" s="30" t="s">
        <v>38</v>
      </c>
      <c r="AV2" s="30" t="s">
        <v>37</v>
      </c>
      <c r="AW2" s="30" t="s">
        <v>36</v>
      </c>
      <c r="AX2" s="30" t="s">
        <v>35</v>
      </c>
      <c r="AY2" s="30" t="s">
        <v>34</v>
      </c>
    </row>
    <row r="3" spans="2:51" s="17" customFormat="1" ht="15" customHeight="1" x14ac:dyDescent="0.35">
      <c r="B3" s="295" t="s">
        <v>60</v>
      </c>
      <c r="C3" s="58" t="s">
        <v>22</v>
      </c>
      <c r="D3" s="68">
        <v>192.1</v>
      </c>
      <c r="E3" s="56">
        <f t="shared" ref="E3:O6" si="0">D3</f>
        <v>192.1</v>
      </c>
      <c r="F3" s="56">
        <f t="shared" si="0"/>
        <v>192.1</v>
      </c>
      <c r="G3" s="56">
        <f t="shared" si="0"/>
        <v>192.1</v>
      </c>
      <c r="H3" s="56">
        <f t="shared" si="0"/>
        <v>192.1</v>
      </c>
      <c r="I3" s="56">
        <f t="shared" si="0"/>
        <v>192.1</v>
      </c>
      <c r="J3" s="56">
        <f t="shared" si="0"/>
        <v>192.1</v>
      </c>
      <c r="K3" s="56">
        <f t="shared" si="0"/>
        <v>192.1</v>
      </c>
      <c r="L3" s="56">
        <f t="shared" si="0"/>
        <v>192.1</v>
      </c>
      <c r="M3" s="56">
        <f t="shared" si="0"/>
        <v>192.1</v>
      </c>
      <c r="N3" s="56">
        <f t="shared" si="0"/>
        <v>192.1</v>
      </c>
      <c r="O3" s="56">
        <f t="shared" si="0"/>
        <v>192.1</v>
      </c>
      <c r="P3" s="54">
        <f>P8-30</f>
        <v>190</v>
      </c>
      <c r="Y3" s="85" t="s">
        <v>59</v>
      </c>
      <c r="Z3" s="86">
        <f ca="1">SUMIFS(OFFSET(BD_COMERCIAL!AN$5,0,0,$S$26,1),OFFSET(BD_COMERCIAL!$L$5,0,0,$S$26,1),"SE",OFFSET(BD_COMERCIAL!$FC$5,0,0,$S$26,1),"C",OFFSET(BD_COMERCIAL!$Q$5,0,0,$S$26,1),"Fixo",OFFSET(BD_COMERCIAL!$I$5,0,0,$S$26,1),"Trading")-SUMIFS(OFFSET(BD_COMERCIAL!AN$5,0,0,$S$26,1),OFFSET(BD_COMERCIAL!$L$5,0,0,$S$26,1),"SE",OFFSET(BD_COMERCIAL!$FC$5,0,0,$S$26,1),"V",OFFSET(BD_COMERCIAL!$Q$5,0,0,$S$26,1),"Fixo",OFFSET(BD_COMERCIAL!$I$5,0,0,$S$26,1),"Trading")</f>
        <v>-17.8</v>
      </c>
      <c r="AA3" s="86">
        <f ca="1">SUMIFS(OFFSET(BD_COMERCIAL!AO$5,0,0,$S$26,1),OFFSET(BD_COMERCIAL!$L$5,0,0,$S$26,1),"SE",OFFSET(BD_COMERCIAL!$FC$5,0,0,$S$26,1),"C",OFFSET(BD_COMERCIAL!$Q$5,0,0,$S$26,1),"Fixo",OFFSET(BD_COMERCIAL!$I$5,0,0,$S$26,1),"Trading")-SUMIFS(OFFSET(BD_COMERCIAL!AO$5,0,0,$S$26,1),OFFSET(BD_COMERCIAL!$L$5,0,0,$S$26,1),"SE",OFFSET(BD_COMERCIAL!$FC$5,0,0,$S$26,1),"V",OFFSET(BD_COMERCIAL!$Q$5,0,0,$S$26,1),"Fixo",OFFSET(BD_COMERCIAL!$I$5,0,0,$S$26,1),"Trading")</f>
        <v>-17.8</v>
      </c>
      <c r="AB3" s="86">
        <f ca="1">SUMIFS(OFFSET(BD_COMERCIAL!AP$5,0,0,$S$26,1),OFFSET(BD_COMERCIAL!$L$5,0,0,$S$26,1),"SE",OFFSET(BD_COMERCIAL!$FC$5,0,0,$S$26,1),"C",OFFSET(BD_COMERCIAL!$Q$5,0,0,$S$26,1),"Fixo",OFFSET(BD_COMERCIAL!$I$5,0,0,$S$26,1),"Trading")-SUMIFS(OFFSET(BD_COMERCIAL!AP$5,0,0,$S$26,1),OFFSET(BD_COMERCIAL!$L$5,0,0,$S$26,1),"SE",OFFSET(BD_COMERCIAL!$FC$5,0,0,$S$26,1),"V",OFFSET(BD_COMERCIAL!$Q$5,0,0,$S$26,1),"Fixo",OFFSET(BD_COMERCIAL!$I$5,0,0,$S$26,1),"Trading")</f>
        <v>-17.8</v>
      </c>
      <c r="AC3" s="86">
        <f ca="1">SUMIFS(OFFSET(BD_COMERCIAL!AQ$5,0,0,$S$26,1),OFFSET(BD_COMERCIAL!$L$5,0,0,$S$26,1),"SE",OFFSET(BD_COMERCIAL!$FC$5,0,0,$S$26,1),"C",OFFSET(BD_COMERCIAL!$Q$5,0,0,$S$26,1),"Fixo",OFFSET(BD_COMERCIAL!$I$5,0,0,$S$26,1),"Trading")-SUMIFS(OFFSET(BD_COMERCIAL!AQ$5,0,0,$S$26,1),OFFSET(BD_COMERCIAL!$L$5,0,0,$S$26,1),"SE",OFFSET(BD_COMERCIAL!$FC$5,0,0,$S$26,1),"V",OFFSET(BD_COMERCIAL!$Q$5,0,0,$S$26,1),"Fixo",OFFSET(BD_COMERCIAL!$I$5,0,0,$S$26,1),"Trading")</f>
        <v>-17.8</v>
      </c>
      <c r="AD3" s="86">
        <f ca="1">SUMIFS(OFFSET(BD_COMERCIAL!AR$5,0,0,$S$26,1),OFFSET(BD_COMERCIAL!$L$5,0,0,$S$26,1),"SE",OFFSET(BD_COMERCIAL!$FC$5,0,0,$S$26,1),"C",OFFSET(BD_COMERCIAL!$Q$5,0,0,$S$26,1),"Fixo",OFFSET(BD_COMERCIAL!$I$5,0,0,$S$26,1),"Trading")-SUMIFS(OFFSET(BD_COMERCIAL!AR$5,0,0,$S$26,1),OFFSET(BD_COMERCIAL!$L$5,0,0,$S$26,1),"SE",OFFSET(BD_COMERCIAL!$FC$5,0,0,$S$26,1),"V",OFFSET(BD_COMERCIAL!$Q$5,0,0,$S$26,1),"Fixo",OFFSET(BD_COMERCIAL!$I$5,0,0,$S$26,1),"Trading")</f>
        <v>-17.8</v>
      </c>
      <c r="AE3" s="86">
        <f ca="1">SUMIFS(OFFSET(BD_COMERCIAL!AS$5,0,0,$S$26,1),OFFSET(BD_COMERCIAL!$L$5,0,0,$S$26,1),"SE",OFFSET(BD_COMERCIAL!$FC$5,0,0,$S$26,1),"C",OFFSET(BD_COMERCIAL!$Q$5,0,0,$S$26,1),"Fixo",OFFSET(BD_COMERCIAL!$I$5,0,0,$S$26,1),"Trading")-SUMIFS(OFFSET(BD_COMERCIAL!AS$5,0,0,$S$26,1),OFFSET(BD_COMERCIAL!$L$5,0,0,$S$26,1),"SE",OFFSET(BD_COMERCIAL!$FC$5,0,0,$S$26,1),"V",OFFSET(BD_COMERCIAL!$Q$5,0,0,$S$26,1),"Fixo",OFFSET(BD_COMERCIAL!$I$5,0,0,$S$26,1),"Trading")</f>
        <v>-17.8</v>
      </c>
      <c r="AF3" s="86">
        <f ca="1">SUMIFS(OFFSET(BD_COMERCIAL!AT$5,0,0,$S$26,1),OFFSET(BD_COMERCIAL!$L$5,0,0,$S$26,1),"SE",OFFSET(BD_COMERCIAL!$FC$5,0,0,$S$26,1),"C",OFFSET(BD_COMERCIAL!$Q$5,0,0,$S$26,1),"Fixo",OFFSET(BD_COMERCIAL!$I$5,0,0,$S$26,1),"Trading")-SUMIFS(OFFSET(BD_COMERCIAL!AT$5,0,0,$S$26,1),OFFSET(BD_COMERCIAL!$L$5,0,0,$S$26,1),"SE",OFFSET(BD_COMERCIAL!$FC$5,0,0,$S$26,1),"V",OFFSET(BD_COMERCIAL!$Q$5,0,0,$S$26,1),"Fixo",OFFSET(BD_COMERCIAL!$I$5,0,0,$S$26,1),"Trading")</f>
        <v>-22</v>
      </c>
      <c r="AG3" s="86">
        <f ca="1">SUMIFS(OFFSET(BD_COMERCIAL!AU$5,0,0,$S$26,1),OFFSET(BD_COMERCIAL!$L$5,0,0,$S$26,1),"SE",OFFSET(BD_COMERCIAL!$FC$5,0,0,$S$26,1),"C",OFFSET(BD_COMERCIAL!$Q$5,0,0,$S$26,1),"Fixo",OFFSET(BD_COMERCIAL!$I$5,0,0,$S$26,1),"Trading")-SUMIFS(OFFSET(BD_COMERCIAL!AU$5,0,0,$S$26,1),OFFSET(BD_COMERCIAL!$L$5,0,0,$S$26,1),"SE",OFFSET(BD_COMERCIAL!$FC$5,0,0,$S$26,1),"V",OFFSET(BD_COMERCIAL!$Q$5,0,0,$S$26,1),"Fixo",OFFSET(BD_COMERCIAL!$I$5,0,0,$S$26,1),"Trading")</f>
        <v>-22</v>
      </c>
      <c r="AH3" s="86">
        <f ca="1">SUMIFS(OFFSET(BD_COMERCIAL!AV$5,0,0,$S$26,1),OFFSET(BD_COMERCIAL!$L$5,0,0,$S$26,1),"SE",OFFSET(BD_COMERCIAL!$FC$5,0,0,$S$26,1),"C",OFFSET(BD_COMERCIAL!$Q$5,0,0,$S$26,1),"Fixo",OFFSET(BD_COMERCIAL!$I$5,0,0,$S$26,1),"Trading")-SUMIFS(OFFSET(BD_COMERCIAL!AV$5,0,0,$S$26,1),OFFSET(BD_COMERCIAL!$L$5,0,0,$S$26,1),"SE",OFFSET(BD_COMERCIAL!$FC$5,0,0,$S$26,1),"V",OFFSET(BD_COMERCIAL!$Q$5,0,0,$S$26,1),"Fixo",OFFSET(BD_COMERCIAL!$I$5,0,0,$S$26,1),"Trading")</f>
        <v>-22</v>
      </c>
      <c r="AI3" s="86">
        <f ca="1">SUMIFS(OFFSET(BD_COMERCIAL!AW$5,0,0,$S$26,1),OFFSET(BD_COMERCIAL!$L$5,0,0,$S$26,1),"SE",OFFSET(BD_COMERCIAL!$FC$5,0,0,$S$26,1),"C",OFFSET(BD_COMERCIAL!$Q$5,0,0,$S$26,1),"Fixo",OFFSET(BD_COMERCIAL!$I$5,0,0,$S$26,1),"Trading")-SUMIFS(OFFSET(BD_COMERCIAL!AW$5,0,0,$S$26,1),OFFSET(BD_COMERCIAL!$L$5,0,0,$S$26,1),"SE",OFFSET(BD_COMERCIAL!$FC$5,0,0,$S$26,1),"V",OFFSET(BD_COMERCIAL!$Q$5,0,0,$S$26,1),"Fixo",OFFSET(BD_COMERCIAL!$I$5,0,0,$S$26,1),"Trading")</f>
        <v>-22</v>
      </c>
      <c r="AJ3" s="86">
        <f ca="1">SUMIFS(OFFSET(BD_COMERCIAL!AX$5,0,0,$S$26,1),OFFSET(BD_COMERCIAL!$L$5,0,0,$S$26,1),"SE",OFFSET(BD_COMERCIAL!$FC$5,0,0,$S$26,1),"C",OFFSET(BD_COMERCIAL!$Q$5,0,0,$S$26,1),"Fixo",OFFSET(BD_COMERCIAL!$I$5,0,0,$S$26,1),"Trading")-SUMIFS(OFFSET(BD_COMERCIAL!AX$5,0,0,$S$26,1),OFFSET(BD_COMERCIAL!$L$5,0,0,$S$26,1),"SE",OFFSET(BD_COMERCIAL!$FC$5,0,0,$S$26,1),"V",OFFSET(BD_COMERCIAL!$Q$5,0,0,$S$26,1),"Fixo",OFFSET(BD_COMERCIAL!$I$5,0,0,$S$26,1),"Trading")</f>
        <v>-22</v>
      </c>
      <c r="AK3" s="86">
        <f ca="1">SUMIFS(OFFSET(BD_COMERCIAL!AY$5,0,0,$S$26,1),OFFSET(BD_COMERCIAL!$L$5,0,0,$S$26,1),"SE",OFFSET(BD_COMERCIAL!$FC$5,0,0,$S$26,1),"C",OFFSET(BD_COMERCIAL!$Q$5,0,0,$S$26,1),"Fixo",OFFSET(BD_COMERCIAL!$I$5,0,0,$S$26,1),"Trading")-SUMIFS(OFFSET(BD_COMERCIAL!AY$5,0,0,$S$26,1),OFFSET(BD_COMERCIAL!$L$5,0,0,$S$26,1),"SE",OFFSET(BD_COMERCIAL!$FC$5,0,0,$S$26,1),"V",OFFSET(BD_COMERCIAL!$Q$5,0,0,$S$26,1),"Fixo",OFFSET(BD_COMERCIAL!$I$5,0,0,$S$26,1),"Trading")</f>
        <v>-22</v>
      </c>
      <c r="AM3" s="85" t="s">
        <v>59</v>
      </c>
      <c r="AN3" s="86">
        <f ca="1">SUMIFS(OFFSET(BD_COMERCIAL!AN$5,0,0,$S$26,1),OFFSET(BD_COMERCIAL!$L$5,0,0,$S$26,1),"SE",OFFSET(BD_COMERCIAL!$FC$5,0,0,$S$26,1),"C",OFFSET(BD_COMERCIAL!$Q$5,0,0,$S$26,1),"PLD + Spread",OFFSET(BD_COMERCIAL!$I$5,0,0,$S$26,1),"Trading")-SUMIFS(OFFSET(BD_COMERCIAL!AN$5,0,0,$S$26,1),OFFSET(BD_COMERCIAL!$L$5,0,0,$S$26,1),"SE",OFFSET(BD_COMERCIAL!$FC$5,0,0,$S$26,1),"V",OFFSET(BD_COMERCIAL!$Q$5,0,0,$S$26,1),"PLD + Spread",OFFSET(BD_COMERCIAL!$I$5,0,0,$S$26,1),"Trading")</f>
        <v>0</v>
      </c>
      <c r="AO3" s="86">
        <f ca="1">SUMIFS(OFFSET(BD_COMERCIAL!AO$5,0,0,$S$26,1),OFFSET(BD_COMERCIAL!$L$5,0,0,$S$26,1),"SE",OFFSET(BD_COMERCIAL!$FC$5,0,0,$S$26,1),"C",OFFSET(BD_COMERCIAL!$Q$5,0,0,$S$26,1),"PLD + Spread",OFFSET(BD_COMERCIAL!$I$5,0,0,$S$26,1),"Trading")-SUMIFS(OFFSET(BD_COMERCIAL!AO$5,0,0,$S$26,1),OFFSET(BD_COMERCIAL!$L$5,0,0,$S$26,1),"SE",OFFSET(BD_COMERCIAL!$FC$5,0,0,$S$26,1),"V",OFFSET(BD_COMERCIAL!$Q$5,0,0,$S$26,1),"PLD + Spread",OFFSET(BD_COMERCIAL!$I$5,0,0,$S$26,1),"Trading")</f>
        <v>0</v>
      </c>
      <c r="AP3" s="86">
        <f ca="1">SUMIFS(OFFSET(BD_COMERCIAL!AP$5,0,0,$S$26,1),OFFSET(BD_COMERCIAL!$L$5,0,0,$S$26,1),"SE",OFFSET(BD_COMERCIAL!$FC$5,0,0,$S$26,1),"C",OFFSET(BD_COMERCIAL!$Q$5,0,0,$S$26,1),"PLD + Spread",OFFSET(BD_COMERCIAL!$I$5,0,0,$S$26,1),"Trading")-SUMIFS(OFFSET(BD_COMERCIAL!AP$5,0,0,$S$26,1),OFFSET(BD_COMERCIAL!$L$5,0,0,$S$26,1),"SE",OFFSET(BD_COMERCIAL!$FC$5,0,0,$S$26,1),"V",OFFSET(BD_COMERCIAL!$Q$5,0,0,$S$26,1),"PLD + Spread",OFFSET(BD_COMERCIAL!$I$5,0,0,$S$26,1),"Trading")</f>
        <v>0</v>
      </c>
      <c r="AQ3" s="86">
        <f ca="1">SUMIFS(OFFSET(BD_COMERCIAL!AQ$5,0,0,$S$26,1),OFFSET(BD_COMERCIAL!$L$5,0,0,$S$26,1),"SE",OFFSET(BD_COMERCIAL!$FC$5,0,0,$S$26,1),"C",OFFSET(BD_COMERCIAL!$Q$5,0,0,$S$26,1),"PLD + Spread",OFFSET(BD_COMERCIAL!$I$5,0,0,$S$26,1),"Trading")-SUMIFS(OFFSET(BD_COMERCIAL!AQ$5,0,0,$S$26,1),OFFSET(BD_COMERCIAL!$L$5,0,0,$S$26,1),"SE",OFFSET(BD_COMERCIAL!$FC$5,0,0,$S$26,1),"V",OFFSET(BD_COMERCIAL!$Q$5,0,0,$S$26,1),"PLD + Spread",OFFSET(BD_COMERCIAL!$I$5,0,0,$S$26,1),"Trading")</f>
        <v>0</v>
      </c>
      <c r="AR3" s="86">
        <f ca="1">SUMIFS(OFFSET(BD_COMERCIAL!AR$5,0,0,$S$26,1),OFFSET(BD_COMERCIAL!$L$5,0,0,$S$26,1),"SE",OFFSET(BD_COMERCIAL!$FC$5,0,0,$S$26,1),"C",OFFSET(BD_COMERCIAL!$Q$5,0,0,$S$26,1),"PLD + Spread",OFFSET(BD_COMERCIAL!$I$5,0,0,$S$26,1),"Trading")-SUMIFS(OFFSET(BD_COMERCIAL!AR$5,0,0,$S$26,1),OFFSET(BD_COMERCIAL!$L$5,0,0,$S$26,1),"SE",OFFSET(BD_COMERCIAL!$FC$5,0,0,$S$26,1),"V",OFFSET(BD_COMERCIAL!$Q$5,0,0,$S$26,1),"PLD + Spread",OFFSET(BD_COMERCIAL!$I$5,0,0,$S$26,1),"Trading")</f>
        <v>0</v>
      </c>
      <c r="AS3" s="86">
        <f ca="1">SUMIFS(OFFSET(BD_COMERCIAL!AS$5,0,0,$S$26,1),OFFSET(BD_COMERCIAL!$L$5,0,0,$S$26,1),"SE",OFFSET(BD_COMERCIAL!$FC$5,0,0,$S$26,1),"C",OFFSET(BD_COMERCIAL!$Q$5,0,0,$S$26,1),"PLD + Spread",OFFSET(BD_COMERCIAL!$I$5,0,0,$S$26,1),"Trading")-SUMIFS(OFFSET(BD_COMERCIAL!AS$5,0,0,$S$26,1),OFFSET(BD_COMERCIAL!$L$5,0,0,$S$26,1),"SE",OFFSET(BD_COMERCIAL!$FC$5,0,0,$S$26,1),"V",OFFSET(BD_COMERCIAL!$Q$5,0,0,$S$26,1),"PLD + Spread",OFFSET(BD_COMERCIAL!$I$5,0,0,$S$26,1),"Trading")</f>
        <v>0</v>
      </c>
      <c r="AT3" s="86">
        <f ca="1">SUMIFS(OFFSET(BD_COMERCIAL!AT$5,0,0,$S$26,1),OFFSET(BD_COMERCIAL!$L$5,0,0,$S$26,1),"SE",OFFSET(BD_COMERCIAL!$FC$5,0,0,$S$26,1),"C",OFFSET(BD_COMERCIAL!$Q$5,0,0,$S$26,1),"PLD + Spread",OFFSET(BD_COMERCIAL!$I$5,0,0,$S$26,1),"Trading")-SUMIFS(OFFSET(BD_COMERCIAL!AT$5,0,0,$S$26,1),OFFSET(BD_COMERCIAL!$L$5,0,0,$S$26,1),"SE",OFFSET(BD_COMERCIAL!$FC$5,0,0,$S$26,1),"V",OFFSET(BD_COMERCIAL!$Q$5,0,0,$S$26,1),"PLD + Spread",OFFSET(BD_COMERCIAL!$I$5,0,0,$S$26,1),"Trading")</f>
        <v>0</v>
      </c>
      <c r="AU3" s="86">
        <f ca="1">SUMIFS(OFFSET(BD_COMERCIAL!AU$5,0,0,$S$26,1),OFFSET(BD_COMERCIAL!$L$5,0,0,$S$26,1),"SE",OFFSET(BD_COMERCIAL!$FC$5,0,0,$S$26,1),"C",OFFSET(BD_COMERCIAL!$Q$5,0,0,$S$26,1),"PLD + Spread",OFFSET(BD_COMERCIAL!$I$5,0,0,$S$26,1),"Trading")-SUMIFS(OFFSET(BD_COMERCIAL!AU$5,0,0,$S$26,1),OFFSET(BD_COMERCIAL!$L$5,0,0,$S$26,1),"SE",OFFSET(BD_COMERCIAL!$FC$5,0,0,$S$26,1),"V",OFFSET(BD_COMERCIAL!$Q$5,0,0,$S$26,1),"PLD + Spread",OFFSET(BD_COMERCIAL!$I$5,0,0,$S$26,1),"Trading")</f>
        <v>0</v>
      </c>
      <c r="AV3" s="86">
        <f ca="1">SUMIFS(OFFSET(BD_COMERCIAL!AV$5,0,0,$S$26,1),OFFSET(BD_COMERCIAL!$L$5,0,0,$S$26,1),"SE",OFFSET(BD_COMERCIAL!$FC$5,0,0,$S$26,1),"C",OFFSET(BD_COMERCIAL!$Q$5,0,0,$S$26,1),"PLD + Spread",OFFSET(BD_COMERCIAL!$I$5,0,0,$S$26,1),"Trading")-SUMIFS(OFFSET(BD_COMERCIAL!AV$5,0,0,$S$26,1),OFFSET(BD_COMERCIAL!$L$5,0,0,$S$26,1),"SE",OFFSET(BD_COMERCIAL!$FC$5,0,0,$S$26,1),"V",OFFSET(BD_COMERCIAL!$Q$5,0,0,$S$26,1),"PLD + Spread",OFFSET(BD_COMERCIAL!$I$5,0,0,$S$26,1),"Trading")</f>
        <v>0</v>
      </c>
      <c r="AW3" s="86">
        <f ca="1">SUMIFS(OFFSET(BD_COMERCIAL!AW$5,0,0,$S$26,1),OFFSET(BD_COMERCIAL!$L$5,0,0,$S$26,1),"SE",OFFSET(BD_COMERCIAL!$FC$5,0,0,$S$26,1),"C",OFFSET(BD_COMERCIAL!$Q$5,0,0,$S$26,1),"PLD + Spread",OFFSET(BD_COMERCIAL!$I$5,0,0,$S$26,1),"Trading")-SUMIFS(OFFSET(BD_COMERCIAL!AW$5,0,0,$S$26,1),OFFSET(BD_COMERCIAL!$L$5,0,0,$S$26,1),"SE",OFFSET(BD_COMERCIAL!$FC$5,0,0,$S$26,1),"V",OFFSET(BD_COMERCIAL!$Q$5,0,0,$S$26,1),"PLD + Spread",OFFSET(BD_COMERCIAL!$I$5,0,0,$S$26,1),"Trading")</f>
        <v>0</v>
      </c>
      <c r="AX3" s="86">
        <f ca="1">SUMIFS(OFFSET(BD_COMERCIAL!AX$5,0,0,$S$26,1),OFFSET(BD_COMERCIAL!$L$5,0,0,$S$26,1),"SE",OFFSET(BD_COMERCIAL!$FC$5,0,0,$S$26,1),"C",OFFSET(BD_COMERCIAL!$Q$5,0,0,$S$26,1),"PLD + Spread",OFFSET(BD_COMERCIAL!$I$5,0,0,$S$26,1),"Trading")-SUMIFS(OFFSET(BD_COMERCIAL!AX$5,0,0,$S$26,1),OFFSET(BD_COMERCIAL!$L$5,0,0,$S$26,1),"SE",OFFSET(BD_COMERCIAL!$FC$5,0,0,$S$26,1),"V",OFFSET(BD_COMERCIAL!$Q$5,0,0,$S$26,1),"PLD + Spread",OFFSET(BD_COMERCIAL!$I$5,0,0,$S$26,1),"Trading")</f>
        <v>0</v>
      </c>
      <c r="AY3" s="86">
        <f ca="1">SUMIFS(OFFSET(BD_COMERCIAL!AY$5,0,0,$S$26,1),OFFSET(BD_COMERCIAL!$L$5,0,0,$S$26,1),"SE",OFFSET(BD_COMERCIAL!$FC$5,0,0,$S$26,1),"C",OFFSET(BD_COMERCIAL!$Q$5,0,0,$S$26,1),"PLD + Spread",OFFSET(BD_COMERCIAL!$I$5,0,0,$S$26,1),"Trading")-SUMIFS(OFFSET(BD_COMERCIAL!AY$5,0,0,$S$26,1),OFFSET(BD_COMERCIAL!$L$5,0,0,$S$26,1),"SE",OFFSET(BD_COMERCIAL!$FC$5,0,0,$S$26,1),"V",OFFSET(BD_COMERCIAL!$Q$5,0,0,$S$26,1),"PLD + Spread",OFFSET(BD_COMERCIAL!$I$5,0,0,$S$26,1),"Trading")</f>
        <v>0</v>
      </c>
    </row>
    <row r="4" spans="2:51" s="17" customFormat="1" ht="15" customHeight="1" x14ac:dyDescent="0.35">
      <c r="B4" s="296"/>
      <c r="C4" s="51" t="s">
        <v>27</v>
      </c>
      <c r="D4" s="67">
        <v>192.1</v>
      </c>
      <c r="E4" s="44">
        <f t="shared" si="0"/>
        <v>192.1</v>
      </c>
      <c r="F4" s="44">
        <f t="shared" si="0"/>
        <v>192.1</v>
      </c>
      <c r="G4" s="44">
        <f t="shared" si="0"/>
        <v>192.1</v>
      </c>
      <c r="H4" s="44">
        <f t="shared" si="0"/>
        <v>192.1</v>
      </c>
      <c r="I4" s="44">
        <f t="shared" si="0"/>
        <v>192.1</v>
      </c>
      <c r="J4" s="44">
        <f t="shared" si="0"/>
        <v>192.1</v>
      </c>
      <c r="K4" s="44">
        <f t="shared" si="0"/>
        <v>192.1</v>
      </c>
      <c r="L4" s="44">
        <f t="shared" si="0"/>
        <v>192.1</v>
      </c>
      <c r="M4" s="44">
        <f t="shared" si="0"/>
        <v>192.1</v>
      </c>
      <c r="N4" s="44">
        <f t="shared" si="0"/>
        <v>192.1</v>
      </c>
      <c r="O4" s="44">
        <f t="shared" si="0"/>
        <v>192.1</v>
      </c>
      <c r="P4" s="50">
        <f>P9-30</f>
        <v>190</v>
      </c>
      <c r="Y4" s="85" t="s">
        <v>58</v>
      </c>
      <c r="Z4" s="86">
        <f ca="1">SUMIFS(OFFSET(BD_COMERCIAL!AN$5,0,0,$S$26,1),OFFSET(BD_COMERCIAL!$L$5,0,0,$S$26,1),"S",OFFSET(BD_COMERCIAL!$FC$5,0,0,$S$26,1),"C",OFFSET(BD_COMERCIAL!$Q$5,0,0,$S$26,1),"Fixo",OFFSET(BD_COMERCIAL!$I$5,0,0,$S$26,1),"Trading")-SUMIFS(OFFSET(BD_COMERCIAL!AN$5,0,0,$S$26,1),OFFSET(BD_COMERCIAL!$L$5,0,0,$S$26,1),"S",OFFSET(BD_COMERCIAL!$FC$5,0,0,$S$26,1),"V",OFFSET(BD_COMERCIAL!$Q$5,0,0,$S$26,1),"Fixo",OFFSET(BD_COMERCIAL!$I$5,0,0,$S$26,1),"Trading")</f>
        <v>0</v>
      </c>
      <c r="AA4" s="86">
        <f ca="1">SUMIFS(OFFSET(BD_COMERCIAL!AO$5,0,0,$S$26,1),OFFSET(BD_COMERCIAL!$L$5,0,0,$S$26,1),"S",OFFSET(BD_COMERCIAL!$FC$5,0,0,$S$26,1),"C",OFFSET(BD_COMERCIAL!$Q$5,0,0,$S$26,1),"Fixo",OFFSET(BD_COMERCIAL!$I$5,0,0,$S$26,1),"Trading")-SUMIFS(OFFSET(BD_COMERCIAL!AO$5,0,0,$S$26,1),OFFSET(BD_COMERCIAL!$L$5,0,0,$S$26,1),"S",OFFSET(BD_COMERCIAL!$FC$5,0,0,$S$26,1),"V",OFFSET(BD_COMERCIAL!$Q$5,0,0,$S$26,1),"Fixo",OFFSET(BD_COMERCIAL!$I$5,0,0,$S$26,1),"Trading")</f>
        <v>0</v>
      </c>
      <c r="AB4" s="86">
        <f ca="1">SUMIFS(OFFSET(BD_COMERCIAL!AP$5,0,0,$S$26,1),OFFSET(BD_COMERCIAL!$L$5,0,0,$S$26,1),"S",OFFSET(BD_COMERCIAL!$FC$5,0,0,$S$26,1),"C",OFFSET(BD_COMERCIAL!$Q$5,0,0,$S$26,1),"Fixo",OFFSET(BD_COMERCIAL!$I$5,0,0,$S$26,1),"Trading")-SUMIFS(OFFSET(BD_COMERCIAL!AP$5,0,0,$S$26,1),OFFSET(BD_COMERCIAL!$L$5,0,0,$S$26,1),"S",OFFSET(BD_COMERCIAL!$FC$5,0,0,$S$26,1),"V",OFFSET(BD_COMERCIAL!$Q$5,0,0,$S$26,1),"Fixo",OFFSET(BD_COMERCIAL!$I$5,0,0,$S$26,1),"Trading")</f>
        <v>0</v>
      </c>
      <c r="AC4" s="86">
        <f ca="1">SUMIFS(OFFSET(BD_COMERCIAL!AQ$5,0,0,$S$26,1),OFFSET(BD_COMERCIAL!$L$5,0,0,$S$26,1),"S",OFFSET(BD_COMERCIAL!$FC$5,0,0,$S$26,1),"C",OFFSET(BD_COMERCIAL!$Q$5,0,0,$S$26,1),"Fixo",OFFSET(BD_COMERCIAL!$I$5,0,0,$S$26,1),"Trading")-SUMIFS(OFFSET(BD_COMERCIAL!AQ$5,0,0,$S$26,1),OFFSET(BD_COMERCIAL!$L$5,0,0,$S$26,1),"S",OFFSET(BD_COMERCIAL!$FC$5,0,0,$S$26,1),"V",OFFSET(BD_COMERCIAL!$Q$5,0,0,$S$26,1),"Fixo",OFFSET(BD_COMERCIAL!$I$5,0,0,$S$26,1),"Trading")</f>
        <v>0</v>
      </c>
      <c r="AD4" s="86">
        <f ca="1">SUMIFS(OFFSET(BD_COMERCIAL!AR$5,0,0,$S$26,1),OFFSET(BD_COMERCIAL!$L$5,0,0,$S$26,1),"S",OFFSET(BD_COMERCIAL!$FC$5,0,0,$S$26,1),"C",OFFSET(BD_COMERCIAL!$Q$5,0,0,$S$26,1),"Fixo",OFFSET(BD_COMERCIAL!$I$5,0,0,$S$26,1),"Trading")-SUMIFS(OFFSET(BD_COMERCIAL!AR$5,0,0,$S$26,1),OFFSET(BD_COMERCIAL!$L$5,0,0,$S$26,1),"S",OFFSET(BD_COMERCIAL!$FC$5,0,0,$S$26,1),"V",OFFSET(BD_COMERCIAL!$Q$5,0,0,$S$26,1),"Fixo",OFFSET(BD_COMERCIAL!$I$5,0,0,$S$26,1),"Trading")</f>
        <v>0</v>
      </c>
      <c r="AE4" s="86">
        <f ca="1">SUMIFS(OFFSET(BD_COMERCIAL!AS$5,0,0,$S$26,1),OFFSET(BD_COMERCIAL!$L$5,0,0,$S$26,1),"S",OFFSET(BD_COMERCIAL!$FC$5,0,0,$S$26,1),"C",OFFSET(BD_COMERCIAL!$Q$5,0,0,$S$26,1),"Fixo",OFFSET(BD_COMERCIAL!$I$5,0,0,$S$26,1),"Trading")-SUMIFS(OFFSET(BD_COMERCIAL!AS$5,0,0,$S$26,1),OFFSET(BD_COMERCIAL!$L$5,0,0,$S$26,1),"S",OFFSET(BD_COMERCIAL!$FC$5,0,0,$S$26,1),"V",OFFSET(BD_COMERCIAL!$Q$5,0,0,$S$26,1),"Fixo",OFFSET(BD_COMERCIAL!$I$5,0,0,$S$26,1),"Trading")</f>
        <v>0</v>
      </c>
      <c r="AF4" s="86">
        <f ca="1">SUMIFS(OFFSET(BD_COMERCIAL!AT$5,0,0,$S$26,1),OFFSET(BD_COMERCIAL!$L$5,0,0,$S$26,1),"S",OFFSET(BD_COMERCIAL!$FC$5,0,0,$S$26,1),"C",OFFSET(BD_COMERCIAL!$Q$5,0,0,$S$26,1),"Fixo",OFFSET(BD_COMERCIAL!$I$5,0,0,$S$26,1),"Trading")-SUMIFS(OFFSET(BD_COMERCIAL!AT$5,0,0,$S$26,1),OFFSET(BD_COMERCIAL!$L$5,0,0,$S$26,1),"S",OFFSET(BD_COMERCIAL!$FC$5,0,0,$S$26,1),"V",OFFSET(BD_COMERCIAL!$Q$5,0,0,$S$26,1),"Fixo",OFFSET(BD_COMERCIAL!$I$5,0,0,$S$26,1),"Trading")</f>
        <v>0</v>
      </c>
      <c r="AG4" s="86">
        <f ca="1">SUMIFS(OFFSET(BD_COMERCIAL!AU$5,0,0,$S$26,1),OFFSET(BD_COMERCIAL!$L$5,0,0,$S$26,1),"S",OFFSET(BD_COMERCIAL!$FC$5,0,0,$S$26,1),"C",OFFSET(BD_COMERCIAL!$Q$5,0,0,$S$26,1),"Fixo",OFFSET(BD_COMERCIAL!$I$5,0,0,$S$26,1),"Trading")-SUMIFS(OFFSET(BD_COMERCIAL!AU$5,0,0,$S$26,1),OFFSET(BD_COMERCIAL!$L$5,0,0,$S$26,1),"S",OFFSET(BD_COMERCIAL!$FC$5,0,0,$S$26,1),"V",OFFSET(BD_COMERCIAL!$Q$5,0,0,$S$26,1),"Fixo",OFFSET(BD_COMERCIAL!$I$5,0,0,$S$26,1),"Trading")</f>
        <v>0</v>
      </c>
      <c r="AH4" s="86">
        <f ca="1">SUMIFS(OFFSET(BD_COMERCIAL!AV$5,0,0,$S$26,1),OFFSET(BD_COMERCIAL!$L$5,0,0,$S$26,1),"S",OFFSET(BD_COMERCIAL!$FC$5,0,0,$S$26,1),"C",OFFSET(BD_COMERCIAL!$Q$5,0,0,$S$26,1),"Fixo",OFFSET(BD_COMERCIAL!$I$5,0,0,$S$26,1),"Trading")-SUMIFS(OFFSET(BD_COMERCIAL!AV$5,0,0,$S$26,1),OFFSET(BD_COMERCIAL!$L$5,0,0,$S$26,1),"S",OFFSET(BD_COMERCIAL!$FC$5,0,0,$S$26,1),"V",OFFSET(BD_COMERCIAL!$Q$5,0,0,$S$26,1),"Fixo",OFFSET(BD_COMERCIAL!$I$5,0,0,$S$26,1),"Trading")</f>
        <v>0</v>
      </c>
      <c r="AI4" s="86">
        <f ca="1">SUMIFS(OFFSET(BD_COMERCIAL!AW$5,0,0,$S$26,1),OFFSET(BD_COMERCIAL!$L$5,0,0,$S$26,1),"S",OFFSET(BD_COMERCIAL!$FC$5,0,0,$S$26,1),"C",OFFSET(BD_COMERCIAL!$Q$5,0,0,$S$26,1),"Fixo",OFFSET(BD_COMERCIAL!$I$5,0,0,$S$26,1),"Trading")-SUMIFS(OFFSET(BD_COMERCIAL!AW$5,0,0,$S$26,1),OFFSET(BD_COMERCIAL!$L$5,0,0,$S$26,1),"S",OFFSET(BD_COMERCIAL!$FC$5,0,0,$S$26,1),"V",OFFSET(BD_COMERCIAL!$Q$5,0,0,$S$26,1),"Fixo",OFFSET(BD_COMERCIAL!$I$5,0,0,$S$26,1),"Trading")</f>
        <v>0</v>
      </c>
      <c r="AJ4" s="86">
        <f ca="1">SUMIFS(OFFSET(BD_COMERCIAL!AX$5,0,0,$S$26,1),OFFSET(BD_COMERCIAL!$L$5,0,0,$S$26,1),"S",OFFSET(BD_COMERCIAL!$FC$5,0,0,$S$26,1),"C",OFFSET(BD_COMERCIAL!$Q$5,0,0,$S$26,1),"Fixo",OFFSET(BD_COMERCIAL!$I$5,0,0,$S$26,1),"Trading")-SUMIFS(OFFSET(BD_COMERCIAL!AX$5,0,0,$S$26,1),OFFSET(BD_COMERCIAL!$L$5,0,0,$S$26,1),"S",OFFSET(BD_COMERCIAL!$FC$5,0,0,$S$26,1),"V",OFFSET(BD_COMERCIAL!$Q$5,0,0,$S$26,1),"Fixo",OFFSET(BD_COMERCIAL!$I$5,0,0,$S$26,1),"Trading")</f>
        <v>0</v>
      </c>
      <c r="AK4" s="86">
        <f ca="1">SUMIFS(OFFSET(BD_COMERCIAL!AY$5,0,0,$S$26,1),OFFSET(BD_COMERCIAL!$L$5,0,0,$S$26,1),"S",OFFSET(BD_COMERCIAL!$FC$5,0,0,$S$26,1),"C",OFFSET(BD_COMERCIAL!$Q$5,0,0,$S$26,1),"Fixo",OFFSET(BD_COMERCIAL!$I$5,0,0,$S$26,1),"Trading")-SUMIFS(OFFSET(BD_COMERCIAL!AY$5,0,0,$S$26,1),OFFSET(BD_COMERCIAL!$L$5,0,0,$S$26,1),"S",OFFSET(BD_COMERCIAL!$FC$5,0,0,$S$26,1),"V",OFFSET(BD_COMERCIAL!$Q$5,0,0,$S$26,1),"Fixo",OFFSET(BD_COMERCIAL!$I$5,0,0,$S$26,1),"Trading")</f>
        <v>0</v>
      </c>
      <c r="AM4" s="85" t="s">
        <v>58</v>
      </c>
      <c r="AN4" s="86">
        <f ca="1">SUMIFS(OFFSET(BD_COMERCIAL!AN$5,0,0,$S$26,1),OFFSET(BD_COMERCIAL!$L$5,0,0,$S$26,1),"S",OFFSET(BD_COMERCIAL!$FC$5,0,0,$S$26,1),"C",OFFSET(BD_COMERCIAL!$Q$5,0,0,$S$26,1),"PLD + Spread",OFFSET(BD_COMERCIAL!$I$5,0,0,$S$26,1),"Trading")-SUMIFS(OFFSET(BD_COMERCIAL!AN$5,0,0,$S$26,1),OFFSET(BD_COMERCIAL!$L$5,0,0,$S$26,1),"S",OFFSET(BD_COMERCIAL!$FC$5,0,0,$S$26,1),"V",OFFSET(BD_COMERCIAL!$Q$5,0,0,$S$26,1),"PLD + Spread",OFFSET(BD_COMERCIAL!$I$5,0,0,$S$26,1),"Trading")</f>
        <v>0</v>
      </c>
      <c r="AO4" s="86">
        <f ca="1">SUMIFS(OFFSET(BD_COMERCIAL!AO$5,0,0,$S$26,1),OFFSET(BD_COMERCIAL!$L$5,0,0,$S$26,1),"S",OFFSET(BD_COMERCIAL!$FC$5,0,0,$S$26,1),"C",OFFSET(BD_COMERCIAL!$Q$5,0,0,$S$26,1),"PLD + Spread",OFFSET(BD_COMERCIAL!$I$5,0,0,$S$26,1),"Trading")-SUMIFS(OFFSET(BD_COMERCIAL!AO$5,0,0,$S$26,1),OFFSET(BD_COMERCIAL!$L$5,0,0,$S$26,1),"S",OFFSET(BD_COMERCIAL!$FC$5,0,0,$S$26,1),"V",OFFSET(BD_COMERCIAL!$Q$5,0,0,$S$26,1),"PLD + Spread",OFFSET(BD_COMERCIAL!$I$5,0,0,$S$26,1),"Trading")</f>
        <v>0</v>
      </c>
      <c r="AP4" s="86">
        <f ca="1">SUMIFS(OFFSET(BD_COMERCIAL!AP$5,0,0,$S$26,1),OFFSET(BD_COMERCIAL!$L$5,0,0,$S$26,1),"S",OFFSET(BD_COMERCIAL!$FC$5,0,0,$S$26,1),"C",OFFSET(BD_COMERCIAL!$Q$5,0,0,$S$26,1),"PLD + Spread",OFFSET(BD_COMERCIAL!$I$5,0,0,$S$26,1),"Trading")-SUMIFS(OFFSET(BD_COMERCIAL!AP$5,0,0,$S$26,1),OFFSET(BD_COMERCIAL!$L$5,0,0,$S$26,1),"S",OFFSET(BD_COMERCIAL!$FC$5,0,0,$S$26,1),"V",OFFSET(BD_COMERCIAL!$Q$5,0,0,$S$26,1),"PLD + Spread",OFFSET(BD_COMERCIAL!$I$5,0,0,$S$26,1),"Trading")</f>
        <v>0</v>
      </c>
      <c r="AQ4" s="86">
        <f ca="1">SUMIFS(OFFSET(BD_COMERCIAL!AQ$5,0,0,$S$26,1),OFFSET(BD_COMERCIAL!$L$5,0,0,$S$26,1),"S",OFFSET(BD_COMERCIAL!$FC$5,0,0,$S$26,1),"C",OFFSET(BD_COMERCIAL!$Q$5,0,0,$S$26,1),"PLD + Spread",OFFSET(BD_COMERCIAL!$I$5,0,0,$S$26,1),"Trading")-SUMIFS(OFFSET(BD_COMERCIAL!AQ$5,0,0,$S$26,1),OFFSET(BD_COMERCIAL!$L$5,0,0,$S$26,1),"S",OFFSET(BD_COMERCIAL!$FC$5,0,0,$S$26,1),"V",OFFSET(BD_COMERCIAL!$Q$5,0,0,$S$26,1),"PLD + Spread",OFFSET(BD_COMERCIAL!$I$5,0,0,$S$26,1),"Trading")</f>
        <v>0</v>
      </c>
      <c r="AR4" s="86">
        <f ca="1">SUMIFS(OFFSET(BD_COMERCIAL!AR$5,0,0,$S$26,1),OFFSET(BD_COMERCIAL!$L$5,0,0,$S$26,1),"S",OFFSET(BD_COMERCIAL!$FC$5,0,0,$S$26,1),"C",OFFSET(BD_COMERCIAL!$Q$5,0,0,$S$26,1),"PLD + Spread",OFFSET(BD_COMERCIAL!$I$5,0,0,$S$26,1),"Trading")-SUMIFS(OFFSET(BD_COMERCIAL!AR$5,0,0,$S$26,1),OFFSET(BD_COMERCIAL!$L$5,0,0,$S$26,1),"S",OFFSET(BD_COMERCIAL!$FC$5,0,0,$S$26,1),"V",OFFSET(BD_COMERCIAL!$Q$5,0,0,$S$26,1),"PLD + Spread",OFFSET(BD_COMERCIAL!$I$5,0,0,$S$26,1),"Trading")</f>
        <v>0</v>
      </c>
      <c r="AS4" s="86">
        <f ca="1">SUMIFS(OFFSET(BD_COMERCIAL!AS$5,0,0,$S$26,1),OFFSET(BD_COMERCIAL!$L$5,0,0,$S$26,1),"S",OFFSET(BD_COMERCIAL!$FC$5,0,0,$S$26,1),"C",OFFSET(BD_COMERCIAL!$Q$5,0,0,$S$26,1),"PLD + Spread",OFFSET(BD_COMERCIAL!$I$5,0,0,$S$26,1),"Trading")-SUMIFS(OFFSET(BD_COMERCIAL!AS$5,0,0,$S$26,1),OFFSET(BD_COMERCIAL!$L$5,0,0,$S$26,1),"S",OFFSET(BD_COMERCIAL!$FC$5,0,0,$S$26,1),"V",OFFSET(BD_COMERCIAL!$Q$5,0,0,$S$26,1),"PLD + Spread",OFFSET(BD_COMERCIAL!$I$5,0,0,$S$26,1),"Trading")</f>
        <v>0</v>
      </c>
      <c r="AT4" s="86">
        <f ca="1">SUMIFS(OFFSET(BD_COMERCIAL!AT$5,0,0,$S$26,1),OFFSET(BD_COMERCIAL!$L$5,0,0,$S$26,1),"S",OFFSET(BD_COMERCIAL!$FC$5,0,0,$S$26,1),"C",OFFSET(BD_COMERCIAL!$Q$5,0,0,$S$26,1),"PLD + Spread",OFFSET(BD_COMERCIAL!$I$5,0,0,$S$26,1),"Trading")-SUMIFS(OFFSET(BD_COMERCIAL!AT$5,0,0,$S$26,1),OFFSET(BD_COMERCIAL!$L$5,0,0,$S$26,1),"S",OFFSET(BD_COMERCIAL!$FC$5,0,0,$S$26,1),"V",OFFSET(BD_COMERCIAL!$Q$5,0,0,$S$26,1),"PLD + Spread",OFFSET(BD_COMERCIAL!$I$5,0,0,$S$26,1),"Trading")</f>
        <v>0</v>
      </c>
      <c r="AU4" s="86">
        <f ca="1">SUMIFS(OFFSET(BD_COMERCIAL!AU$5,0,0,$S$26,1),OFFSET(BD_COMERCIAL!$L$5,0,0,$S$26,1),"S",OFFSET(BD_COMERCIAL!$FC$5,0,0,$S$26,1),"C",OFFSET(BD_COMERCIAL!$Q$5,0,0,$S$26,1),"PLD + Spread",OFFSET(BD_COMERCIAL!$I$5,0,0,$S$26,1),"Trading")-SUMIFS(OFFSET(BD_COMERCIAL!AU$5,0,0,$S$26,1),OFFSET(BD_COMERCIAL!$L$5,0,0,$S$26,1),"S",OFFSET(BD_COMERCIAL!$FC$5,0,0,$S$26,1),"V",OFFSET(BD_COMERCIAL!$Q$5,0,0,$S$26,1),"PLD + Spread",OFFSET(BD_COMERCIAL!$I$5,0,0,$S$26,1),"Trading")</f>
        <v>0</v>
      </c>
      <c r="AV4" s="86">
        <f ca="1">SUMIFS(OFFSET(BD_COMERCIAL!AV$5,0,0,$S$26,1),OFFSET(BD_COMERCIAL!$L$5,0,0,$S$26,1),"S",OFFSET(BD_COMERCIAL!$FC$5,0,0,$S$26,1),"C",OFFSET(BD_COMERCIAL!$Q$5,0,0,$S$26,1),"PLD + Spread",OFFSET(BD_COMERCIAL!$I$5,0,0,$S$26,1),"Trading")-SUMIFS(OFFSET(BD_COMERCIAL!AV$5,0,0,$S$26,1),OFFSET(BD_COMERCIAL!$L$5,0,0,$S$26,1),"S",OFFSET(BD_COMERCIAL!$FC$5,0,0,$S$26,1),"V",OFFSET(BD_COMERCIAL!$Q$5,0,0,$S$26,1),"PLD + Spread",OFFSET(BD_COMERCIAL!$I$5,0,0,$S$26,1),"Trading")</f>
        <v>0</v>
      </c>
      <c r="AW4" s="86">
        <f ca="1">SUMIFS(OFFSET(BD_COMERCIAL!AW$5,0,0,$S$26,1),OFFSET(BD_COMERCIAL!$L$5,0,0,$S$26,1),"S",OFFSET(BD_COMERCIAL!$FC$5,0,0,$S$26,1),"C",OFFSET(BD_COMERCIAL!$Q$5,0,0,$S$26,1),"PLD + Spread",OFFSET(BD_COMERCIAL!$I$5,0,0,$S$26,1),"Trading")-SUMIFS(OFFSET(BD_COMERCIAL!AW$5,0,0,$S$26,1),OFFSET(BD_COMERCIAL!$L$5,0,0,$S$26,1),"S",OFFSET(BD_COMERCIAL!$FC$5,0,0,$S$26,1),"V",OFFSET(BD_COMERCIAL!$Q$5,0,0,$S$26,1),"PLD + Spread",OFFSET(BD_COMERCIAL!$I$5,0,0,$S$26,1),"Trading")</f>
        <v>0</v>
      </c>
      <c r="AX4" s="86">
        <f ca="1">SUMIFS(OFFSET(BD_COMERCIAL!AX$5,0,0,$S$26,1),OFFSET(BD_COMERCIAL!$L$5,0,0,$S$26,1),"S",OFFSET(BD_COMERCIAL!$FC$5,0,0,$S$26,1),"C",OFFSET(BD_COMERCIAL!$Q$5,0,0,$S$26,1),"PLD + Spread",OFFSET(BD_COMERCIAL!$I$5,0,0,$S$26,1),"Trading")-SUMIFS(OFFSET(BD_COMERCIAL!AX$5,0,0,$S$26,1),OFFSET(BD_COMERCIAL!$L$5,0,0,$S$26,1),"S",OFFSET(BD_COMERCIAL!$FC$5,0,0,$S$26,1),"V",OFFSET(BD_COMERCIAL!$Q$5,0,0,$S$26,1),"PLD + Spread",OFFSET(BD_COMERCIAL!$I$5,0,0,$S$26,1),"Trading")</f>
        <v>0</v>
      </c>
      <c r="AY4" s="86">
        <f ca="1">SUMIFS(OFFSET(BD_COMERCIAL!AY$5,0,0,$S$26,1),OFFSET(BD_COMERCIAL!$L$5,0,0,$S$26,1),"S",OFFSET(BD_COMERCIAL!$FC$5,0,0,$S$26,1),"C",OFFSET(BD_COMERCIAL!$Q$5,0,0,$S$26,1),"PLD + Spread",OFFSET(BD_COMERCIAL!$I$5,0,0,$S$26,1),"Trading")-SUMIFS(OFFSET(BD_COMERCIAL!AY$5,0,0,$S$26,1),OFFSET(BD_COMERCIAL!$L$5,0,0,$S$26,1),"S",OFFSET(BD_COMERCIAL!$FC$5,0,0,$S$26,1),"V",OFFSET(BD_COMERCIAL!$Q$5,0,0,$S$26,1),"PLD + Spread",OFFSET(BD_COMERCIAL!$I$5,0,0,$S$26,1),"Trading")</f>
        <v>0</v>
      </c>
    </row>
    <row r="5" spans="2:51" s="17" customFormat="1" ht="15" customHeight="1" x14ac:dyDescent="0.35">
      <c r="B5" s="296"/>
      <c r="C5" s="46" t="s">
        <v>26</v>
      </c>
      <c r="D5" s="67">
        <v>84.76</v>
      </c>
      <c r="E5" s="44">
        <f t="shared" si="0"/>
        <v>84.76</v>
      </c>
      <c r="F5" s="44">
        <f t="shared" si="0"/>
        <v>84.76</v>
      </c>
      <c r="G5" s="44">
        <f t="shared" si="0"/>
        <v>84.76</v>
      </c>
      <c r="H5" s="44">
        <f t="shared" si="0"/>
        <v>84.76</v>
      </c>
      <c r="I5" s="44">
        <f t="shared" si="0"/>
        <v>84.76</v>
      </c>
      <c r="J5" s="44">
        <f t="shared" si="0"/>
        <v>84.76</v>
      </c>
      <c r="K5" s="44">
        <f t="shared" si="0"/>
        <v>84.76</v>
      </c>
      <c r="L5" s="44">
        <f t="shared" si="0"/>
        <v>84.76</v>
      </c>
      <c r="M5" s="44">
        <f t="shared" si="0"/>
        <v>84.76</v>
      </c>
      <c r="N5" s="44">
        <f t="shared" si="0"/>
        <v>84.76</v>
      </c>
      <c r="O5" s="66">
        <f t="shared" si="0"/>
        <v>84.76</v>
      </c>
      <c r="P5" s="43">
        <f>P10-30</f>
        <v>190</v>
      </c>
      <c r="Y5" s="85" t="s">
        <v>57</v>
      </c>
      <c r="Z5" s="86">
        <f ca="1">SUMIFS(OFFSET(BD_COMERCIAL!AN$5,0,0,$S$26,1),OFFSET(BD_COMERCIAL!$L$5,0,0,$S$26,1),"NE",OFFSET(BD_COMERCIAL!$FC$5,0,0,$S$26,1),"C",OFFSET(BD_COMERCIAL!$Q$5,0,0,$S$26,1),"Fixo",OFFSET(BD_COMERCIAL!$I$5,0,0,$S$26,1),"Trading")-SUMIFS(OFFSET(BD_COMERCIAL!AN$5,0,0,$S$26,1),OFFSET(BD_COMERCIAL!$L$5,0,0,$S$26,1),"NE",OFFSET(BD_COMERCIAL!$FC$5,0,0,$S$26,1),"V",OFFSET(BD_COMERCIAL!$Q$5,0,0,$S$26,1),"Fixo",OFFSET(BD_COMERCIAL!$I$5,0,0,$S$26,1),"Trading")</f>
        <v>0</v>
      </c>
      <c r="AA5" s="86">
        <f ca="1">SUMIFS(OFFSET(BD_COMERCIAL!AO$5,0,0,$S$26,1),OFFSET(BD_COMERCIAL!$L$5,0,0,$S$26,1),"NE",OFFSET(BD_COMERCIAL!$FC$5,0,0,$S$26,1),"C",OFFSET(BD_COMERCIAL!$Q$5,0,0,$S$26,1),"Fixo",OFFSET(BD_COMERCIAL!$I$5,0,0,$S$26,1),"Trading")-SUMIFS(OFFSET(BD_COMERCIAL!AO$5,0,0,$S$26,1),OFFSET(BD_COMERCIAL!$L$5,0,0,$S$26,1),"NE",OFFSET(BD_COMERCIAL!$FC$5,0,0,$S$26,1),"V",OFFSET(BD_COMERCIAL!$Q$5,0,0,$S$26,1),"Fixo",OFFSET(BD_COMERCIAL!$I$5,0,0,$S$26,1),"Trading")</f>
        <v>0</v>
      </c>
      <c r="AB5" s="86">
        <f ca="1">SUMIFS(OFFSET(BD_COMERCIAL!AP$5,0,0,$S$26,1),OFFSET(BD_COMERCIAL!$L$5,0,0,$S$26,1),"NE",OFFSET(BD_COMERCIAL!$FC$5,0,0,$S$26,1),"C",OFFSET(BD_COMERCIAL!$Q$5,0,0,$S$26,1),"Fixo",OFFSET(BD_COMERCIAL!$I$5,0,0,$S$26,1),"Trading")-SUMIFS(OFFSET(BD_COMERCIAL!AP$5,0,0,$S$26,1),OFFSET(BD_COMERCIAL!$L$5,0,0,$S$26,1),"NE",OFFSET(BD_COMERCIAL!$FC$5,0,0,$S$26,1),"V",OFFSET(BD_COMERCIAL!$Q$5,0,0,$S$26,1),"Fixo",OFFSET(BD_COMERCIAL!$I$5,0,0,$S$26,1),"Trading")</f>
        <v>0</v>
      </c>
      <c r="AC5" s="86">
        <f ca="1">SUMIFS(OFFSET(BD_COMERCIAL!AQ$5,0,0,$S$26,1),OFFSET(BD_COMERCIAL!$L$5,0,0,$S$26,1),"NE",OFFSET(BD_COMERCIAL!$FC$5,0,0,$S$26,1),"C",OFFSET(BD_COMERCIAL!$Q$5,0,0,$S$26,1),"Fixo",OFFSET(BD_COMERCIAL!$I$5,0,0,$S$26,1),"Trading")-SUMIFS(OFFSET(BD_COMERCIAL!AQ$5,0,0,$S$26,1),OFFSET(BD_COMERCIAL!$L$5,0,0,$S$26,1),"NE",OFFSET(BD_COMERCIAL!$FC$5,0,0,$S$26,1),"V",OFFSET(BD_COMERCIAL!$Q$5,0,0,$S$26,1),"Fixo",OFFSET(BD_COMERCIAL!$I$5,0,0,$S$26,1),"Trading")</f>
        <v>0</v>
      </c>
      <c r="AD5" s="86">
        <f ca="1">SUMIFS(OFFSET(BD_COMERCIAL!AR$5,0,0,$S$26,1),OFFSET(BD_COMERCIAL!$L$5,0,0,$S$26,1),"NE",OFFSET(BD_COMERCIAL!$FC$5,0,0,$S$26,1),"C",OFFSET(BD_COMERCIAL!$Q$5,0,0,$S$26,1),"Fixo",OFFSET(BD_COMERCIAL!$I$5,0,0,$S$26,1),"Trading")-SUMIFS(OFFSET(BD_COMERCIAL!AR$5,0,0,$S$26,1),OFFSET(BD_COMERCIAL!$L$5,0,0,$S$26,1),"NE",OFFSET(BD_COMERCIAL!$FC$5,0,0,$S$26,1),"V",OFFSET(BD_COMERCIAL!$Q$5,0,0,$S$26,1),"Fixo",OFFSET(BD_COMERCIAL!$I$5,0,0,$S$26,1),"Trading")</f>
        <v>0</v>
      </c>
      <c r="AE5" s="86">
        <f ca="1">SUMIFS(OFFSET(BD_COMERCIAL!AS$5,0,0,$S$26,1),OFFSET(BD_COMERCIAL!$L$5,0,0,$S$26,1),"NE",OFFSET(BD_COMERCIAL!$FC$5,0,0,$S$26,1),"C",OFFSET(BD_COMERCIAL!$Q$5,0,0,$S$26,1),"Fixo",OFFSET(BD_COMERCIAL!$I$5,0,0,$S$26,1),"Trading")-SUMIFS(OFFSET(BD_COMERCIAL!AS$5,0,0,$S$26,1),OFFSET(BD_COMERCIAL!$L$5,0,0,$S$26,1),"NE",OFFSET(BD_COMERCIAL!$FC$5,0,0,$S$26,1),"V",OFFSET(BD_COMERCIAL!$Q$5,0,0,$S$26,1),"Fixo",OFFSET(BD_COMERCIAL!$I$5,0,0,$S$26,1),"Trading")</f>
        <v>0</v>
      </c>
      <c r="AF5" s="86">
        <f ca="1">SUMIFS(OFFSET(BD_COMERCIAL!AT$5,0,0,$S$26,1),OFFSET(BD_COMERCIAL!$L$5,0,0,$S$26,1),"NE",OFFSET(BD_COMERCIAL!$FC$5,0,0,$S$26,1),"C",OFFSET(BD_COMERCIAL!$Q$5,0,0,$S$26,1),"Fixo",OFFSET(BD_COMERCIAL!$I$5,0,0,$S$26,1),"Trading")-SUMIFS(OFFSET(BD_COMERCIAL!AT$5,0,0,$S$26,1),OFFSET(BD_COMERCIAL!$L$5,0,0,$S$26,1),"NE",OFFSET(BD_COMERCIAL!$FC$5,0,0,$S$26,1),"V",OFFSET(BD_COMERCIAL!$Q$5,0,0,$S$26,1),"Fixo",OFFSET(BD_COMERCIAL!$I$5,0,0,$S$26,1),"Trading")</f>
        <v>0</v>
      </c>
      <c r="AG5" s="86">
        <f ca="1">SUMIFS(OFFSET(BD_COMERCIAL!AU$5,0,0,$S$26,1),OFFSET(BD_COMERCIAL!$L$5,0,0,$S$26,1),"NE",OFFSET(BD_COMERCIAL!$FC$5,0,0,$S$26,1),"C",OFFSET(BD_COMERCIAL!$Q$5,0,0,$S$26,1),"Fixo",OFFSET(BD_COMERCIAL!$I$5,0,0,$S$26,1),"Trading")-SUMIFS(OFFSET(BD_COMERCIAL!AU$5,0,0,$S$26,1),OFFSET(BD_COMERCIAL!$L$5,0,0,$S$26,1),"NE",OFFSET(BD_COMERCIAL!$FC$5,0,0,$S$26,1),"V",OFFSET(BD_COMERCIAL!$Q$5,0,0,$S$26,1),"Fixo",OFFSET(BD_COMERCIAL!$I$5,0,0,$S$26,1),"Trading")</f>
        <v>0</v>
      </c>
      <c r="AH5" s="86">
        <f ca="1">SUMIFS(OFFSET(BD_COMERCIAL!AV$5,0,0,$S$26,1),OFFSET(BD_COMERCIAL!$L$5,0,0,$S$26,1),"NE",OFFSET(BD_COMERCIAL!$FC$5,0,0,$S$26,1),"C",OFFSET(BD_COMERCIAL!$Q$5,0,0,$S$26,1),"Fixo",OFFSET(BD_COMERCIAL!$I$5,0,0,$S$26,1),"Trading")-SUMIFS(OFFSET(BD_COMERCIAL!AV$5,0,0,$S$26,1),OFFSET(BD_COMERCIAL!$L$5,0,0,$S$26,1),"NE",OFFSET(BD_COMERCIAL!$FC$5,0,0,$S$26,1),"V",OFFSET(BD_COMERCIAL!$Q$5,0,0,$S$26,1),"Fixo",OFFSET(BD_COMERCIAL!$I$5,0,0,$S$26,1),"Trading")</f>
        <v>0</v>
      </c>
      <c r="AI5" s="86">
        <f ca="1">SUMIFS(OFFSET(BD_COMERCIAL!AW$5,0,0,$S$26,1),OFFSET(BD_COMERCIAL!$L$5,0,0,$S$26,1),"NE",OFFSET(BD_COMERCIAL!$FC$5,0,0,$S$26,1),"C",OFFSET(BD_COMERCIAL!$Q$5,0,0,$S$26,1),"Fixo",OFFSET(BD_COMERCIAL!$I$5,0,0,$S$26,1),"Trading")-SUMIFS(OFFSET(BD_COMERCIAL!AW$5,0,0,$S$26,1),OFFSET(BD_COMERCIAL!$L$5,0,0,$S$26,1),"NE",OFFSET(BD_COMERCIAL!$FC$5,0,0,$S$26,1),"V",OFFSET(BD_COMERCIAL!$Q$5,0,0,$S$26,1),"Fixo",OFFSET(BD_COMERCIAL!$I$5,0,0,$S$26,1),"Trading")</f>
        <v>0</v>
      </c>
      <c r="AJ5" s="86">
        <f ca="1">SUMIFS(OFFSET(BD_COMERCIAL!AX$5,0,0,$S$26,1),OFFSET(BD_COMERCIAL!$L$5,0,0,$S$26,1),"NE",OFFSET(BD_COMERCIAL!$FC$5,0,0,$S$26,1),"C",OFFSET(BD_COMERCIAL!$Q$5,0,0,$S$26,1),"Fixo",OFFSET(BD_COMERCIAL!$I$5,0,0,$S$26,1),"Trading")-SUMIFS(OFFSET(BD_COMERCIAL!AX$5,0,0,$S$26,1),OFFSET(BD_COMERCIAL!$L$5,0,0,$S$26,1),"NE",OFFSET(BD_COMERCIAL!$FC$5,0,0,$S$26,1),"V",OFFSET(BD_COMERCIAL!$Q$5,0,0,$S$26,1),"Fixo",OFFSET(BD_COMERCIAL!$I$5,0,0,$S$26,1),"Trading")</f>
        <v>0</v>
      </c>
      <c r="AK5" s="86">
        <f ca="1">SUMIFS(OFFSET(BD_COMERCIAL!AY$5,0,0,$S$26,1),OFFSET(BD_COMERCIAL!$L$5,0,0,$S$26,1),"NE",OFFSET(BD_COMERCIAL!$FC$5,0,0,$S$26,1),"C",OFFSET(BD_COMERCIAL!$Q$5,0,0,$S$26,1),"Fixo",OFFSET(BD_COMERCIAL!$I$5,0,0,$S$26,1),"Trading")-SUMIFS(OFFSET(BD_COMERCIAL!AY$5,0,0,$S$26,1),OFFSET(BD_COMERCIAL!$L$5,0,0,$S$26,1),"NE",OFFSET(BD_COMERCIAL!$FC$5,0,0,$S$26,1),"V",OFFSET(BD_COMERCIAL!$Q$5,0,0,$S$26,1),"Fixo",OFFSET(BD_COMERCIAL!$I$5,0,0,$S$26,1),"Trading")</f>
        <v>0</v>
      </c>
      <c r="AM5" s="85" t="s">
        <v>57</v>
      </c>
      <c r="AN5" s="86">
        <f ca="1">SUMIFS(OFFSET(BD_COMERCIAL!AN$5,0,0,$S$26,1),OFFSET(BD_COMERCIAL!$L$5,0,0,$S$26,1),"NE",OFFSET(BD_COMERCIAL!$FC$5,0,0,$S$26,1),"C",OFFSET(BD_COMERCIAL!$Q$5,0,0,$S$26,1),"PLD + Spread",OFFSET(BD_COMERCIAL!$I$5,0,0,$S$26,1),"Trading")-SUMIFS(OFFSET(BD_COMERCIAL!AN$5,0,0,$S$26,1),OFFSET(BD_COMERCIAL!$L$5,0,0,$S$26,1),"NE",OFFSET(BD_COMERCIAL!$FC$5,0,0,$S$26,1),"V",OFFSET(BD_COMERCIAL!$Q$5,0,0,$S$26,1),"PLD + Spread",OFFSET(BD_COMERCIAL!$I$5,0,0,$S$26,1),"Trading")</f>
        <v>0</v>
      </c>
      <c r="AO5" s="86">
        <f ca="1">SUMIFS(OFFSET(BD_COMERCIAL!AO$5,0,0,$S$26,1),OFFSET(BD_COMERCIAL!$L$5,0,0,$S$26,1),"NE",OFFSET(BD_COMERCIAL!$FC$5,0,0,$S$26,1),"C",OFFSET(BD_COMERCIAL!$Q$5,0,0,$S$26,1),"PLD + Spread",OFFSET(BD_COMERCIAL!$I$5,0,0,$S$26,1),"Trading")-SUMIFS(OFFSET(BD_COMERCIAL!AO$5,0,0,$S$26,1),OFFSET(BD_COMERCIAL!$L$5,0,0,$S$26,1),"NE",OFFSET(BD_COMERCIAL!$FC$5,0,0,$S$26,1),"V",OFFSET(BD_COMERCIAL!$Q$5,0,0,$S$26,1),"PLD + Spread",OFFSET(BD_COMERCIAL!$I$5,0,0,$S$26,1),"Trading")</f>
        <v>0</v>
      </c>
      <c r="AP5" s="86">
        <f ca="1">SUMIFS(OFFSET(BD_COMERCIAL!AP$5,0,0,$S$26,1),OFFSET(BD_COMERCIAL!$L$5,0,0,$S$26,1),"NE",OFFSET(BD_COMERCIAL!$FC$5,0,0,$S$26,1),"C",OFFSET(BD_COMERCIAL!$Q$5,0,0,$S$26,1),"PLD + Spread",OFFSET(BD_COMERCIAL!$I$5,0,0,$S$26,1),"Trading")-SUMIFS(OFFSET(BD_COMERCIAL!AP$5,0,0,$S$26,1),OFFSET(BD_COMERCIAL!$L$5,0,0,$S$26,1),"NE",OFFSET(BD_COMERCIAL!$FC$5,0,0,$S$26,1),"V",OFFSET(BD_COMERCIAL!$Q$5,0,0,$S$26,1),"PLD + Spread",OFFSET(BD_COMERCIAL!$I$5,0,0,$S$26,1),"Trading")</f>
        <v>0</v>
      </c>
      <c r="AQ5" s="86">
        <f ca="1">SUMIFS(OFFSET(BD_COMERCIAL!AQ$5,0,0,$S$26,1),OFFSET(BD_COMERCIAL!$L$5,0,0,$S$26,1),"NE",OFFSET(BD_COMERCIAL!$FC$5,0,0,$S$26,1),"C",OFFSET(BD_COMERCIAL!$Q$5,0,0,$S$26,1),"PLD + Spread",OFFSET(BD_COMERCIAL!$I$5,0,0,$S$26,1),"Trading")-SUMIFS(OFFSET(BD_COMERCIAL!AQ$5,0,0,$S$26,1),OFFSET(BD_COMERCIAL!$L$5,0,0,$S$26,1),"NE",OFFSET(BD_COMERCIAL!$FC$5,0,0,$S$26,1),"V",OFFSET(BD_COMERCIAL!$Q$5,0,0,$S$26,1),"PLD + Spread",OFFSET(BD_COMERCIAL!$I$5,0,0,$S$26,1),"Trading")</f>
        <v>0</v>
      </c>
      <c r="AR5" s="86">
        <f ca="1">SUMIFS(OFFSET(BD_COMERCIAL!AR$5,0,0,$S$26,1),OFFSET(BD_COMERCIAL!$L$5,0,0,$S$26,1),"NE",OFFSET(BD_COMERCIAL!$FC$5,0,0,$S$26,1),"C",OFFSET(BD_COMERCIAL!$Q$5,0,0,$S$26,1),"PLD + Spread",OFFSET(BD_COMERCIAL!$I$5,0,0,$S$26,1),"Trading")-SUMIFS(OFFSET(BD_COMERCIAL!AR$5,0,0,$S$26,1),OFFSET(BD_COMERCIAL!$L$5,0,0,$S$26,1),"NE",OFFSET(BD_COMERCIAL!$FC$5,0,0,$S$26,1),"V",OFFSET(BD_COMERCIAL!$Q$5,0,0,$S$26,1),"PLD + Spread",OFFSET(BD_COMERCIAL!$I$5,0,0,$S$26,1),"Trading")</f>
        <v>0</v>
      </c>
      <c r="AS5" s="86">
        <f ca="1">SUMIFS(OFFSET(BD_COMERCIAL!AS$5,0,0,$S$26,1),OFFSET(BD_COMERCIAL!$L$5,0,0,$S$26,1),"NE",OFFSET(BD_COMERCIAL!$FC$5,0,0,$S$26,1),"C",OFFSET(BD_COMERCIAL!$Q$5,0,0,$S$26,1),"PLD + Spread",OFFSET(BD_COMERCIAL!$I$5,0,0,$S$26,1),"Trading")-SUMIFS(OFFSET(BD_COMERCIAL!AS$5,0,0,$S$26,1),OFFSET(BD_COMERCIAL!$L$5,0,0,$S$26,1),"NE",OFFSET(BD_COMERCIAL!$FC$5,0,0,$S$26,1),"V",OFFSET(BD_COMERCIAL!$Q$5,0,0,$S$26,1),"PLD + Spread",OFFSET(BD_COMERCIAL!$I$5,0,0,$S$26,1),"Trading")</f>
        <v>0</v>
      </c>
      <c r="AT5" s="86">
        <f ca="1">SUMIFS(OFFSET(BD_COMERCIAL!AT$5,0,0,$S$26,1),OFFSET(BD_COMERCIAL!$L$5,0,0,$S$26,1),"NE",OFFSET(BD_COMERCIAL!$FC$5,0,0,$S$26,1),"C",OFFSET(BD_COMERCIAL!$Q$5,0,0,$S$26,1),"PLD + Spread",OFFSET(BD_COMERCIAL!$I$5,0,0,$S$26,1),"Trading")-SUMIFS(OFFSET(BD_COMERCIAL!AT$5,0,0,$S$26,1),OFFSET(BD_COMERCIAL!$L$5,0,0,$S$26,1),"NE",OFFSET(BD_COMERCIAL!$FC$5,0,0,$S$26,1),"V",OFFSET(BD_COMERCIAL!$Q$5,0,0,$S$26,1),"PLD + Spread",OFFSET(BD_COMERCIAL!$I$5,0,0,$S$26,1),"Trading")</f>
        <v>0</v>
      </c>
      <c r="AU5" s="86">
        <f ca="1">SUMIFS(OFFSET(BD_COMERCIAL!AU$5,0,0,$S$26,1),OFFSET(BD_COMERCIAL!$L$5,0,0,$S$26,1),"NE",OFFSET(BD_COMERCIAL!$FC$5,0,0,$S$26,1),"C",OFFSET(BD_COMERCIAL!$Q$5,0,0,$S$26,1),"PLD + Spread",OFFSET(BD_COMERCIAL!$I$5,0,0,$S$26,1),"Trading")-SUMIFS(OFFSET(BD_COMERCIAL!AU$5,0,0,$S$26,1),OFFSET(BD_COMERCIAL!$L$5,0,0,$S$26,1),"NE",OFFSET(BD_COMERCIAL!$FC$5,0,0,$S$26,1),"V",OFFSET(BD_COMERCIAL!$Q$5,0,0,$S$26,1),"PLD + Spread",OFFSET(BD_COMERCIAL!$I$5,0,0,$S$26,1),"Trading")</f>
        <v>0</v>
      </c>
      <c r="AV5" s="86">
        <f ca="1">SUMIFS(OFFSET(BD_COMERCIAL!AV$5,0,0,$S$26,1),OFFSET(BD_COMERCIAL!$L$5,0,0,$S$26,1),"NE",OFFSET(BD_COMERCIAL!$FC$5,0,0,$S$26,1),"C",OFFSET(BD_COMERCIAL!$Q$5,0,0,$S$26,1),"PLD + Spread",OFFSET(BD_COMERCIAL!$I$5,0,0,$S$26,1),"Trading")-SUMIFS(OFFSET(BD_COMERCIAL!AV$5,0,0,$S$26,1),OFFSET(BD_COMERCIAL!$L$5,0,0,$S$26,1),"NE",OFFSET(BD_COMERCIAL!$FC$5,0,0,$S$26,1),"V",OFFSET(BD_COMERCIAL!$Q$5,0,0,$S$26,1),"PLD + Spread",OFFSET(BD_COMERCIAL!$I$5,0,0,$S$26,1),"Trading")</f>
        <v>0</v>
      </c>
      <c r="AW5" s="86">
        <f ca="1">SUMIFS(OFFSET(BD_COMERCIAL!AW$5,0,0,$S$26,1),OFFSET(BD_COMERCIAL!$L$5,0,0,$S$26,1),"NE",OFFSET(BD_COMERCIAL!$FC$5,0,0,$S$26,1),"C",OFFSET(BD_COMERCIAL!$Q$5,0,0,$S$26,1),"PLD + Spread",OFFSET(BD_COMERCIAL!$I$5,0,0,$S$26,1),"Trading")-SUMIFS(OFFSET(BD_COMERCIAL!AW$5,0,0,$S$26,1),OFFSET(BD_COMERCIAL!$L$5,0,0,$S$26,1),"NE",OFFSET(BD_COMERCIAL!$FC$5,0,0,$S$26,1),"V",OFFSET(BD_COMERCIAL!$Q$5,0,0,$S$26,1),"PLD + Spread",OFFSET(BD_COMERCIAL!$I$5,0,0,$S$26,1),"Trading")</f>
        <v>0</v>
      </c>
      <c r="AX5" s="86">
        <f ca="1">SUMIFS(OFFSET(BD_COMERCIAL!AX$5,0,0,$S$26,1),OFFSET(BD_COMERCIAL!$L$5,0,0,$S$26,1),"NE",OFFSET(BD_COMERCIAL!$FC$5,0,0,$S$26,1),"C",OFFSET(BD_COMERCIAL!$Q$5,0,0,$S$26,1),"PLD + Spread",OFFSET(BD_COMERCIAL!$I$5,0,0,$S$26,1),"Trading")-SUMIFS(OFFSET(BD_COMERCIAL!AX$5,0,0,$S$26,1),OFFSET(BD_COMERCIAL!$L$5,0,0,$S$26,1),"NE",OFFSET(BD_COMERCIAL!$FC$5,0,0,$S$26,1),"V",OFFSET(BD_COMERCIAL!$Q$5,0,0,$S$26,1),"PLD + Spread",OFFSET(BD_COMERCIAL!$I$5,0,0,$S$26,1),"Trading")</f>
        <v>0</v>
      </c>
      <c r="AY5" s="86">
        <f ca="1">SUMIFS(OFFSET(BD_COMERCIAL!AY$5,0,0,$S$26,1),OFFSET(BD_COMERCIAL!$L$5,0,0,$S$26,1),"NE",OFFSET(BD_COMERCIAL!$FC$5,0,0,$S$26,1),"C",OFFSET(BD_COMERCIAL!$Q$5,0,0,$S$26,1),"PLD + Spread",OFFSET(BD_COMERCIAL!$I$5,0,0,$S$26,1),"Trading")-SUMIFS(OFFSET(BD_COMERCIAL!AY$5,0,0,$S$26,1),OFFSET(BD_COMERCIAL!$L$5,0,0,$S$26,1),"NE",OFFSET(BD_COMERCIAL!$FC$5,0,0,$S$26,1),"V",OFFSET(BD_COMERCIAL!$Q$5,0,0,$S$26,1),"PLD + Spread",OFFSET(BD_COMERCIAL!$I$5,0,0,$S$26,1),"Trading")</f>
        <v>0</v>
      </c>
    </row>
    <row r="6" spans="2:51" s="17" customFormat="1" ht="15" customHeight="1" thickBot="1" x14ac:dyDescent="0.4">
      <c r="B6" s="297"/>
      <c r="C6" s="40" t="s">
        <v>25</v>
      </c>
      <c r="D6" s="64">
        <v>74.19</v>
      </c>
      <c r="E6" s="39">
        <f t="shared" si="0"/>
        <v>74.19</v>
      </c>
      <c r="F6" s="39">
        <f t="shared" si="0"/>
        <v>74.19</v>
      </c>
      <c r="G6" s="39">
        <f t="shared" si="0"/>
        <v>74.19</v>
      </c>
      <c r="H6" s="39">
        <f t="shared" si="0"/>
        <v>74.19</v>
      </c>
      <c r="I6" s="39">
        <f t="shared" si="0"/>
        <v>74.19</v>
      </c>
      <c r="J6" s="39">
        <f t="shared" si="0"/>
        <v>74.19</v>
      </c>
      <c r="K6" s="39">
        <f t="shared" si="0"/>
        <v>74.19</v>
      </c>
      <c r="L6" s="39">
        <f t="shared" si="0"/>
        <v>74.19</v>
      </c>
      <c r="M6" s="39">
        <f t="shared" si="0"/>
        <v>74.19</v>
      </c>
      <c r="N6" s="39">
        <f t="shared" si="0"/>
        <v>74.19</v>
      </c>
      <c r="O6" s="38">
        <f t="shared" si="0"/>
        <v>74.19</v>
      </c>
      <c r="P6" s="37">
        <f>P11-30</f>
        <v>190</v>
      </c>
      <c r="Y6" s="85" t="s">
        <v>56</v>
      </c>
      <c r="Z6" s="86">
        <f ca="1">SUMIFS(OFFSET(BD_COMERCIAL!AN$5,0,0,$S$26,1),OFFSET(BD_COMERCIAL!$L$5,0,0,$S$26,1),"N",OFFSET(BD_COMERCIAL!$FC$5,0,0,$S$26,1),"C",OFFSET(BD_COMERCIAL!$Q$5,0,0,$S$26,1),"Fixo",OFFSET(BD_COMERCIAL!$I$5,0,0,$S$26,1),"Trading")-SUMIFS(OFFSET(BD_COMERCIAL!AN$5,0,0,$S$26,1),OFFSET(BD_COMERCIAL!$L$5,0,0,$S$26,1),"N",OFFSET(BD_COMERCIAL!$FC$5,0,0,$S$26,1),"V",OFFSET(BD_COMERCIAL!$Q$5,0,0,$S$26,1),"Fixo",OFFSET(BD_COMERCIAL!$I$5,0,0,$S$26,1),"Trading")</f>
        <v>0</v>
      </c>
      <c r="AA6" s="86">
        <f ca="1">SUMIFS(OFFSET(BD_COMERCIAL!AO$5,0,0,$S$26,1),OFFSET(BD_COMERCIAL!$L$5,0,0,$S$26,1),"N",OFFSET(BD_COMERCIAL!$FC$5,0,0,$S$26,1),"C",OFFSET(BD_COMERCIAL!$Q$5,0,0,$S$26,1),"Fixo",OFFSET(BD_COMERCIAL!$I$5,0,0,$S$26,1),"Trading")-SUMIFS(OFFSET(BD_COMERCIAL!AO$5,0,0,$S$26,1),OFFSET(BD_COMERCIAL!$L$5,0,0,$S$26,1),"N",OFFSET(BD_COMERCIAL!$FC$5,0,0,$S$26,1),"V",OFFSET(BD_COMERCIAL!$Q$5,0,0,$S$26,1),"Fixo",OFFSET(BD_COMERCIAL!$I$5,0,0,$S$26,1),"Trading")</f>
        <v>0</v>
      </c>
      <c r="AB6" s="86">
        <f ca="1">SUMIFS(OFFSET(BD_COMERCIAL!AP$5,0,0,$S$26,1),OFFSET(BD_COMERCIAL!$L$5,0,0,$S$26,1),"N",OFFSET(BD_COMERCIAL!$FC$5,0,0,$S$26,1),"C",OFFSET(BD_COMERCIAL!$Q$5,0,0,$S$26,1),"Fixo",OFFSET(BD_COMERCIAL!$I$5,0,0,$S$26,1),"Trading")-SUMIFS(OFFSET(BD_COMERCIAL!AP$5,0,0,$S$26,1),OFFSET(BD_COMERCIAL!$L$5,0,0,$S$26,1),"N",OFFSET(BD_COMERCIAL!$FC$5,0,0,$S$26,1),"V",OFFSET(BD_COMERCIAL!$Q$5,0,0,$S$26,1),"Fixo",OFFSET(BD_COMERCIAL!$I$5,0,0,$S$26,1),"Trading")</f>
        <v>0</v>
      </c>
      <c r="AC6" s="86">
        <f ca="1">SUMIFS(OFFSET(BD_COMERCIAL!AQ$5,0,0,$S$26,1),OFFSET(BD_COMERCIAL!$L$5,0,0,$S$26,1),"N",OFFSET(BD_COMERCIAL!$FC$5,0,0,$S$26,1),"C",OFFSET(BD_COMERCIAL!$Q$5,0,0,$S$26,1),"Fixo",OFFSET(BD_COMERCIAL!$I$5,0,0,$S$26,1),"Trading")-SUMIFS(OFFSET(BD_COMERCIAL!AQ$5,0,0,$S$26,1),OFFSET(BD_COMERCIAL!$L$5,0,0,$S$26,1),"N",OFFSET(BD_COMERCIAL!$FC$5,0,0,$S$26,1),"V",OFFSET(BD_COMERCIAL!$Q$5,0,0,$S$26,1),"Fixo",OFFSET(BD_COMERCIAL!$I$5,0,0,$S$26,1),"Trading")</f>
        <v>0</v>
      </c>
      <c r="AD6" s="86">
        <f ca="1">SUMIFS(OFFSET(BD_COMERCIAL!AR$5,0,0,$S$26,1),OFFSET(BD_COMERCIAL!$L$5,0,0,$S$26,1),"N",OFFSET(BD_COMERCIAL!$FC$5,0,0,$S$26,1),"C",OFFSET(BD_COMERCIAL!$Q$5,0,0,$S$26,1),"Fixo",OFFSET(BD_COMERCIAL!$I$5,0,0,$S$26,1),"Trading")-SUMIFS(OFFSET(BD_COMERCIAL!AR$5,0,0,$S$26,1),OFFSET(BD_COMERCIAL!$L$5,0,0,$S$26,1),"N",OFFSET(BD_COMERCIAL!$FC$5,0,0,$S$26,1),"V",OFFSET(BD_COMERCIAL!$Q$5,0,0,$S$26,1),"Fixo",OFFSET(BD_COMERCIAL!$I$5,0,0,$S$26,1),"Trading")</f>
        <v>0</v>
      </c>
      <c r="AE6" s="86">
        <f ca="1">SUMIFS(OFFSET(BD_COMERCIAL!AS$5,0,0,$S$26,1),OFFSET(BD_COMERCIAL!$L$5,0,0,$S$26,1),"N",OFFSET(BD_COMERCIAL!$FC$5,0,0,$S$26,1),"C",OFFSET(BD_COMERCIAL!$Q$5,0,0,$S$26,1),"Fixo",OFFSET(BD_COMERCIAL!$I$5,0,0,$S$26,1),"Trading")-SUMIFS(OFFSET(BD_COMERCIAL!AS$5,0,0,$S$26,1),OFFSET(BD_COMERCIAL!$L$5,0,0,$S$26,1),"N",OFFSET(BD_COMERCIAL!$FC$5,0,0,$S$26,1),"V",OFFSET(BD_COMERCIAL!$Q$5,0,0,$S$26,1),"Fixo",OFFSET(BD_COMERCIAL!$I$5,0,0,$S$26,1),"Trading")</f>
        <v>0</v>
      </c>
      <c r="AF6" s="86">
        <f ca="1">SUMIFS(OFFSET(BD_COMERCIAL!AT$5,0,0,$S$26,1),OFFSET(BD_COMERCIAL!$L$5,0,0,$S$26,1),"N",OFFSET(BD_COMERCIAL!$FC$5,0,0,$S$26,1),"C",OFFSET(BD_COMERCIAL!$Q$5,0,0,$S$26,1),"Fixo",OFFSET(BD_COMERCIAL!$I$5,0,0,$S$26,1),"Trading")-SUMIFS(OFFSET(BD_COMERCIAL!AT$5,0,0,$S$26,1),OFFSET(BD_COMERCIAL!$L$5,0,0,$S$26,1),"N",OFFSET(BD_COMERCIAL!$FC$5,0,0,$S$26,1),"V",OFFSET(BD_COMERCIAL!$Q$5,0,0,$S$26,1),"Fixo",OFFSET(BD_COMERCIAL!$I$5,0,0,$S$26,1),"Trading")</f>
        <v>0</v>
      </c>
      <c r="AG6" s="86">
        <f ca="1">SUMIFS(OFFSET(BD_COMERCIAL!AU$5,0,0,$S$26,1),OFFSET(BD_COMERCIAL!$L$5,0,0,$S$26,1),"N",OFFSET(BD_COMERCIAL!$FC$5,0,0,$S$26,1),"C",OFFSET(BD_COMERCIAL!$Q$5,0,0,$S$26,1),"Fixo",OFFSET(BD_COMERCIAL!$I$5,0,0,$S$26,1),"Trading")-SUMIFS(OFFSET(BD_COMERCIAL!AU$5,0,0,$S$26,1),OFFSET(BD_COMERCIAL!$L$5,0,0,$S$26,1),"N",OFFSET(BD_COMERCIAL!$FC$5,0,0,$S$26,1),"V",OFFSET(BD_COMERCIAL!$Q$5,0,0,$S$26,1),"Fixo",OFFSET(BD_COMERCIAL!$I$5,0,0,$S$26,1),"Trading")</f>
        <v>0</v>
      </c>
      <c r="AH6" s="86">
        <f ca="1">SUMIFS(OFFSET(BD_COMERCIAL!AV$5,0,0,$S$26,1),OFFSET(BD_COMERCIAL!$L$5,0,0,$S$26,1),"N",OFFSET(BD_COMERCIAL!$FC$5,0,0,$S$26,1),"C",OFFSET(BD_COMERCIAL!$Q$5,0,0,$S$26,1),"Fixo",OFFSET(BD_COMERCIAL!$I$5,0,0,$S$26,1),"Trading")-SUMIFS(OFFSET(BD_COMERCIAL!AV$5,0,0,$S$26,1),OFFSET(BD_COMERCIAL!$L$5,0,0,$S$26,1),"N",OFFSET(BD_COMERCIAL!$FC$5,0,0,$S$26,1),"V",OFFSET(BD_COMERCIAL!$Q$5,0,0,$S$26,1),"Fixo",OFFSET(BD_COMERCIAL!$I$5,0,0,$S$26,1),"Trading")</f>
        <v>0</v>
      </c>
      <c r="AI6" s="86">
        <f ca="1">SUMIFS(OFFSET(BD_COMERCIAL!AW$5,0,0,$S$26,1),OFFSET(BD_COMERCIAL!$L$5,0,0,$S$26,1),"N",OFFSET(BD_COMERCIAL!$FC$5,0,0,$S$26,1),"C",OFFSET(BD_COMERCIAL!$Q$5,0,0,$S$26,1),"Fixo",OFFSET(BD_COMERCIAL!$I$5,0,0,$S$26,1),"Trading")-SUMIFS(OFFSET(BD_COMERCIAL!AW$5,0,0,$S$26,1),OFFSET(BD_COMERCIAL!$L$5,0,0,$S$26,1),"N",OFFSET(BD_COMERCIAL!$FC$5,0,0,$S$26,1),"V",OFFSET(BD_COMERCIAL!$Q$5,0,0,$S$26,1),"Fixo",OFFSET(BD_COMERCIAL!$I$5,0,0,$S$26,1),"Trading")</f>
        <v>0</v>
      </c>
      <c r="AJ6" s="86">
        <f ca="1">SUMIFS(OFFSET(BD_COMERCIAL!AX$5,0,0,$S$26,1),OFFSET(BD_COMERCIAL!$L$5,0,0,$S$26,1),"N",OFFSET(BD_COMERCIAL!$FC$5,0,0,$S$26,1),"C",OFFSET(BD_COMERCIAL!$Q$5,0,0,$S$26,1),"Fixo",OFFSET(BD_COMERCIAL!$I$5,0,0,$S$26,1),"Trading")-SUMIFS(OFFSET(BD_COMERCIAL!AX$5,0,0,$S$26,1),OFFSET(BD_COMERCIAL!$L$5,0,0,$S$26,1),"N",OFFSET(BD_COMERCIAL!$FC$5,0,0,$S$26,1),"V",OFFSET(BD_COMERCIAL!$Q$5,0,0,$S$26,1),"Fixo",OFFSET(BD_COMERCIAL!$I$5,0,0,$S$26,1),"Trading")</f>
        <v>0</v>
      </c>
      <c r="AK6" s="86">
        <f ca="1">SUMIFS(OFFSET(BD_COMERCIAL!AY$5,0,0,$S$26,1),OFFSET(BD_COMERCIAL!$L$5,0,0,$S$26,1),"N",OFFSET(BD_COMERCIAL!$FC$5,0,0,$S$26,1),"C",OFFSET(BD_COMERCIAL!$Q$5,0,0,$S$26,1),"Fixo",OFFSET(BD_COMERCIAL!$I$5,0,0,$S$26,1),"Trading")-SUMIFS(OFFSET(BD_COMERCIAL!AY$5,0,0,$S$26,1),OFFSET(BD_COMERCIAL!$L$5,0,0,$S$26,1),"N",OFFSET(BD_COMERCIAL!$FC$5,0,0,$S$26,1),"V",OFFSET(BD_COMERCIAL!$Q$5,0,0,$S$26,1),"Fixo",OFFSET(BD_COMERCIAL!$I$5,0,0,$S$26,1),"Trading")</f>
        <v>0</v>
      </c>
      <c r="AM6" s="85" t="s">
        <v>56</v>
      </c>
      <c r="AN6" s="86">
        <f ca="1">SUMIFS(OFFSET(BD_COMERCIAL!AN$5,0,0,$S$26,1),OFFSET(BD_COMERCIAL!$L$5,0,0,$S$26,1),"N",OFFSET(BD_COMERCIAL!$FC$5,0,0,$S$26,1),"C",OFFSET(BD_COMERCIAL!$Q$5,0,0,$S$26,1),"PLD + Spread",OFFSET(BD_COMERCIAL!$I$5,0,0,$S$26,1),"Trading")-SUMIFS(OFFSET(BD_COMERCIAL!AN$5,0,0,$S$26,1),OFFSET(BD_COMERCIAL!$L$5,0,0,$S$26,1),"N",OFFSET(BD_COMERCIAL!$FC$5,0,0,$S$26,1),"V",OFFSET(BD_COMERCIAL!$Q$5,0,0,$S$26,1),"PLD + Spread",OFFSET(BD_COMERCIAL!$I$5,0,0,$S$26,1),"Trading")</f>
        <v>0</v>
      </c>
      <c r="AO6" s="86">
        <f ca="1">SUMIFS(OFFSET(BD_COMERCIAL!AO$5,0,0,$S$26,1),OFFSET(BD_COMERCIAL!$L$5,0,0,$S$26,1),"N",OFFSET(BD_COMERCIAL!$FC$5,0,0,$S$26,1),"C",OFFSET(BD_COMERCIAL!$Q$5,0,0,$S$26,1),"PLD + Spread",OFFSET(BD_COMERCIAL!$I$5,0,0,$S$26,1),"Trading")-SUMIFS(OFFSET(BD_COMERCIAL!AO$5,0,0,$S$26,1),OFFSET(BD_COMERCIAL!$L$5,0,0,$S$26,1),"N",OFFSET(BD_COMERCIAL!$FC$5,0,0,$S$26,1),"V",OFFSET(BD_COMERCIAL!$Q$5,0,0,$S$26,1),"PLD + Spread",OFFSET(BD_COMERCIAL!$I$5,0,0,$S$26,1),"Trading")</f>
        <v>0</v>
      </c>
      <c r="AP6" s="86">
        <f ca="1">SUMIFS(OFFSET(BD_COMERCIAL!AP$5,0,0,$S$26,1),OFFSET(BD_COMERCIAL!$L$5,0,0,$S$26,1),"N",OFFSET(BD_COMERCIAL!$FC$5,0,0,$S$26,1),"C",OFFSET(BD_COMERCIAL!$Q$5,0,0,$S$26,1),"PLD + Spread",OFFSET(BD_COMERCIAL!$I$5,0,0,$S$26,1),"Trading")-SUMIFS(OFFSET(BD_COMERCIAL!AP$5,0,0,$S$26,1),OFFSET(BD_COMERCIAL!$L$5,0,0,$S$26,1),"N",OFFSET(BD_COMERCIAL!$FC$5,0,0,$S$26,1),"V",OFFSET(BD_COMERCIAL!$Q$5,0,0,$S$26,1),"PLD + Spread",OFFSET(BD_COMERCIAL!$I$5,0,0,$S$26,1),"Trading")</f>
        <v>0</v>
      </c>
      <c r="AQ6" s="86">
        <f ca="1">SUMIFS(OFFSET(BD_COMERCIAL!AQ$5,0,0,$S$26,1),OFFSET(BD_COMERCIAL!$L$5,0,0,$S$26,1),"N",OFFSET(BD_COMERCIAL!$FC$5,0,0,$S$26,1),"C",OFFSET(BD_COMERCIAL!$Q$5,0,0,$S$26,1),"PLD + Spread",OFFSET(BD_COMERCIAL!$I$5,0,0,$S$26,1),"Trading")-SUMIFS(OFFSET(BD_COMERCIAL!AQ$5,0,0,$S$26,1),OFFSET(BD_COMERCIAL!$L$5,0,0,$S$26,1),"N",OFFSET(BD_COMERCIAL!$FC$5,0,0,$S$26,1),"V",OFFSET(BD_COMERCIAL!$Q$5,0,0,$S$26,1),"PLD + Spread",OFFSET(BD_COMERCIAL!$I$5,0,0,$S$26,1),"Trading")</f>
        <v>0</v>
      </c>
      <c r="AR6" s="86">
        <f ca="1">SUMIFS(OFFSET(BD_COMERCIAL!AR$5,0,0,$S$26,1),OFFSET(BD_COMERCIAL!$L$5,0,0,$S$26,1),"N",OFFSET(BD_COMERCIAL!$FC$5,0,0,$S$26,1),"C",OFFSET(BD_COMERCIAL!$Q$5,0,0,$S$26,1),"PLD + Spread",OFFSET(BD_COMERCIAL!$I$5,0,0,$S$26,1),"Trading")-SUMIFS(OFFSET(BD_COMERCIAL!AR$5,0,0,$S$26,1),OFFSET(BD_COMERCIAL!$L$5,0,0,$S$26,1),"N",OFFSET(BD_COMERCIAL!$FC$5,0,0,$S$26,1),"V",OFFSET(BD_COMERCIAL!$Q$5,0,0,$S$26,1),"PLD + Spread",OFFSET(BD_COMERCIAL!$I$5,0,0,$S$26,1),"Trading")</f>
        <v>0</v>
      </c>
      <c r="AS6" s="86">
        <f ca="1">SUMIFS(OFFSET(BD_COMERCIAL!AS$5,0,0,$S$26,1),OFFSET(BD_COMERCIAL!$L$5,0,0,$S$26,1),"N",OFFSET(BD_COMERCIAL!$FC$5,0,0,$S$26,1),"C",OFFSET(BD_COMERCIAL!$Q$5,0,0,$S$26,1),"PLD + Spread",OFFSET(BD_COMERCIAL!$I$5,0,0,$S$26,1),"Trading")-SUMIFS(OFFSET(BD_COMERCIAL!AS$5,0,0,$S$26,1),OFFSET(BD_COMERCIAL!$L$5,0,0,$S$26,1),"N",OFFSET(BD_COMERCIAL!$FC$5,0,0,$S$26,1),"V",OFFSET(BD_COMERCIAL!$Q$5,0,0,$S$26,1),"PLD + Spread",OFFSET(BD_COMERCIAL!$I$5,0,0,$S$26,1),"Trading")</f>
        <v>0</v>
      </c>
      <c r="AT6" s="86">
        <f ca="1">SUMIFS(OFFSET(BD_COMERCIAL!AT$5,0,0,$S$26,1),OFFSET(BD_COMERCIAL!$L$5,0,0,$S$26,1),"N",OFFSET(BD_COMERCIAL!$FC$5,0,0,$S$26,1),"C",OFFSET(BD_COMERCIAL!$Q$5,0,0,$S$26,1),"PLD + Spread",OFFSET(BD_COMERCIAL!$I$5,0,0,$S$26,1),"Trading")-SUMIFS(OFFSET(BD_COMERCIAL!AT$5,0,0,$S$26,1),OFFSET(BD_COMERCIAL!$L$5,0,0,$S$26,1),"N",OFFSET(BD_COMERCIAL!$FC$5,0,0,$S$26,1),"V",OFFSET(BD_COMERCIAL!$Q$5,0,0,$S$26,1),"PLD + Spread",OFFSET(BD_COMERCIAL!$I$5,0,0,$S$26,1),"Trading")</f>
        <v>0</v>
      </c>
      <c r="AU6" s="86">
        <f ca="1">SUMIFS(OFFSET(BD_COMERCIAL!AU$5,0,0,$S$26,1),OFFSET(BD_COMERCIAL!$L$5,0,0,$S$26,1),"N",OFFSET(BD_COMERCIAL!$FC$5,0,0,$S$26,1),"C",OFFSET(BD_COMERCIAL!$Q$5,0,0,$S$26,1),"PLD + Spread",OFFSET(BD_COMERCIAL!$I$5,0,0,$S$26,1),"Trading")-SUMIFS(OFFSET(BD_COMERCIAL!AU$5,0,0,$S$26,1),OFFSET(BD_COMERCIAL!$L$5,0,0,$S$26,1),"N",OFFSET(BD_COMERCIAL!$FC$5,0,0,$S$26,1),"V",OFFSET(BD_COMERCIAL!$Q$5,0,0,$S$26,1),"PLD + Spread",OFFSET(BD_COMERCIAL!$I$5,0,0,$S$26,1),"Trading")</f>
        <v>0</v>
      </c>
      <c r="AV6" s="86">
        <f ca="1">SUMIFS(OFFSET(BD_COMERCIAL!AV$5,0,0,$S$26,1),OFFSET(BD_COMERCIAL!$L$5,0,0,$S$26,1),"N",OFFSET(BD_COMERCIAL!$FC$5,0,0,$S$26,1),"C",OFFSET(BD_COMERCIAL!$Q$5,0,0,$S$26,1),"PLD + Spread",OFFSET(BD_COMERCIAL!$I$5,0,0,$S$26,1),"Trading")-SUMIFS(OFFSET(BD_COMERCIAL!AV$5,0,0,$S$26,1),OFFSET(BD_COMERCIAL!$L$5,0,0,$S$26,1),"N",OFFSET(BD_COMERCIAL!$FC$5,0,0,$S$26,1),"V",OFFSET(BD_COMERCIAL!$Q$5,0,0,$S$26,1),"PLD + Spread",OFFSET(BD_COMERCIAL!$I$5,0,0,$S$26,1),"Trading")</f>
        <v>0</v>
      </c>
      <c r="AW6" s="86">
        <f ca="1">SUMIFS(OFFSET(BD_COMERCIAL!AW$5,0,0,$S$26,1),OFFSET(BD_COMERCIAL!$L$5,0,0,$S$26,1),"N",OFFSET(BD_COMERCIAL!$FC$5,0,0,$S$26,1),"C",OFFSET(BD_COMERCIAL!$Q$5,0,0,$S$26,1),"PLD + Spread",OFFSET(BD_COMERCIAL!$I$5,0,0,$S$26,1),"Trading")-SUMIFS(OFFSET(BD_COMERCIAL!AW$5,0,0,$S$26,1),OFFSET(BD_COMERCIAL!$L$5,0,0,$S$26,1),"N",OFFSET(BD_COMERCIAL!$FC$5,0,0,$S$26,1),"V",OFFSET(BD_COMERCIAL!$Q$5,0,0,$S$26,1),"PLD + Spread",OFFSET(BD_COMERCIAL!$I$5,0,0,$S$26,1),"Trading")</f>
        <v>0</v>
      </c>
      <c r="AX6" s="86">
        <f ca="1">SUMIFS(OFFSET(BD_COMERCIAL!AX$5,0,0,$S$26,1),OFFSET(BD_COMERCIAL!$L$5,0,0,$S$26,1),"N",OFFSET(BD_COMERCIAL!$FC$5,0,0,$S$26,1),"C",OFFSET(BD_COMERCIAL!$Q$5,0,0,$S$26,1),"PLD + Spread",OFFSET(BD_COMERCIAL!$I$5,0,0,$S$26,1),"Trading")-SUMIFS(OFFSET(BD_COMERCIAL!AX$5,0,0,$S$26,1),OFFSET(BD_COMERCIAL!$L$5,0,0,$S$26,1),"N",OFFSET(BD_COMERCIAL!$FC$5,0,0,$S$26,1),"V",OFFSET(BD_COMERCIAL!$Q$5,0,0,$S$26,1),"PLD + Spread",OFFSET(BD_COMERCIAL!$I$5,0,0,$S$26,1),"Trading")</f>
        <v>0</v>
      </c>
      <c r="AY6" s="86">
        <f ca="1">SUMIFS(OFFSET(BD_COMERCIAL!AY$5,0,0,$S$26,1),OFFSET(BD_COMERCIAL!$L$5,0,0,$S$26,1),"N",OFFSET(BD_COMERCIAL!$FC$5,0,0,$S$26,1),"C",OFFSET(BD_COMERCIAL!$Q$5,0,0,$S$26,1),"PLD + Spread",OFFSET(BD_COMERCIAL!$I$5,0,0,$S$26,1),"Trading")-SUMIFS(OFFSET(BD_COMERCIAL!AY$5,0,0,$S$26,1),OFFSET(BD_COMERCIAL!$L$5,0,0,$S$26,1),"N",OFFSET(BD_COMERCIAL!$FC$5,0,0,$S$26,1),"V",OFFSET(BD_COMERCIAL!$Q$5,0,0,$S$26,1),"PLD + Spread",OFFSET(BD_COMERCIAL!$I$5,0,0,$S$26,1),"Trading")</f>
        <v>0</v>
      </c>
    </row>
    <row r="7" spans="2:51" ht="13.5" customHeight="1" thickBot="1" x14ac:dyDescent="0.4">
      <c r="B7" s="62"/>
      <c r="C7" s="62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0"/>
      <c r="Y7" s="88" t="s">
        <v>55</v>
      </c>
      <c r="Z7" s="89">
        <f ca="1">SUM(Z3:Z6)</f>
        <v>-17.8</v>
      </c>
      <c r="AA7" s="89">
        <f t="shared" ref="AA7:AK7" ca="1" si="1">SUM(AA3:AA6)</f>
        <v>-17.8</v>
      </c>
      <c r="AB7" s="89">
        <f t="shared" ca="1" si="1"/>
        <v>-17.8</v>
      </c>
      <c r="AC7" s="89">
        <f t="shared" ca="1" si="1"/>
        <v>-17.8</v>
      </c>
      <c r="AD7" s="89">
        <f ca="1">SUM(AD3:AD6)</f>
        <v>-17.8</v>
      </c>
      <c r="AE7" s="89">
        <f t="shared" ca="1" si="1"/>
        <v>-17.8</v>
      </c>
      <c r="AF7" s="89">
        <f t="shared" ca="1" si="1"/>
        <v>-22</v>
      </c>
      <c r="AG7" s="89">
        <f t="shared" ca="1" si="1"/>
        <v>-22</v>
      </c>
      <c r="AH7" s="89">
        <f t="shared" ca="1" si="1"/>
        <v>-22</v>
      </c>
      <c r="AI7" s="89">
        <f t="shared" ca="1" si="1"/>
        <v>-22</v>
      </c>
      <c r="AJ7" s="89">
        <f t="shared" ca="1" si="1"/>
        <v>-22</v>
      </c>
      <c r="AK7" s="89">
        <f t="shared" ca="1" si="1"/>
        <v>-22</v>
      </c>
      <c r="AL7" s="17"/>
      <c r="AM7" s="88" t="s">
        <v>55</v>
      </c>
      <c r="AN7" s="89">
        <f ca="1">SUM(AN3:AN6)</f>
        <v>0</v>
      </c>
      <c r="AO7" s="89">
        <f t="shared" ref="AO7:AY7" ca="1" si="2">SUM(AO3:AO6)</f>
        <v>0</v>
      </c>
      <c r="AP7" s="89">
        <f t="shared" ca="1" si="2"/>
        <v>0</v>
      </c>
      <c r="AQ7" s="89">
        <f t="shared" ca="1" si="2"/>
        <v>0</v>
      </c>
      <c r="AR7" s="89">
        <f t="shared" ca="1" si="2"/>
        <v>0</v>
      </c>
      <c r="AS7" s="89">
        <f t="shared" ca="1" si="2"/>
        <v>0</v>
      </c>
      <c r="AT7" s="89">
        <f t="shared" ca="1" si="2"/>
        <v>0</v>
      </c>
      <c r="AU7" s="89">
        <f t="shared" ca="1" si="2"/>
        <v>0</v>
      </c>
      <c r="AV7" s="89">
        <f t="shared" ca="1" si="2"/>
        <v>0</v>
      </c>
      <c r="AW7" s="89">
        <f t="shared" ca="1" si="2"/>
        <v>0</v>
      </c>
      <c r="AX7" s="89">
        <f t="shared" ca="1" si="2"/>
        <v>0</v>
      </c>
      <c r="AY7" s="89">
        <f t="shared" ca="1" si="2"/>
        <v>0</v>
      </c>
    </row>
    <row r="8" spans="2:51" s="17" customFormat="1" ht="15" customHeight="1" x14ac:dyDescent="0.35">
      <c r="B8" s="295" t="s">
        <v>54</v>
      </c>
      <c r="C8" s="58" t="s">
        <v>22</v>
      </c>
      <c r="D8" s="68">
        <v>192.1</v>
      </c>
      <c r="E8" s="56">
        <f t="shared" ref="E8:O11" si="3">D8</f>
        <v>192.1</v>
      </c>
      <c r="F8" s="56">
        <f t="shared" si="3"/>
        <v>192.1</v>
      </c>
      <c r="G8" s="56">
        <f t="shared" si="3"/>
        <v>192.1</v>
      </c>
      <c r="H8" s="56">
        <f t="shared" si="3"/>
        <v>192.1</v>
      </c>
      <c r="I8" s="56">
        <f t="shared" si="3"/>
        <v>192.1</v>
      </c>
      <c r="J8" s="56">
        <f t="shared" si="3"/>
        <v>192.1</v>
      </c>
      <c r="K8" s="56">
        <f t="shared" si="3"/>
        <v>192.1</v>
      </c>
      <c r="L8" s="56">
        <f t="shared" si="3"/>
        <v>192.1</v>
      </c>
      <c r="M8" s="56">
        <f t="shared" si="3"/>
        <v>192.1</v>
      </c>
      <c r="N8" s="56">
        <f t="shared" si="3"/>
        <v>192.1</v>
      </c>
      <c r="O8" s="56">
        <f t="shared" si="3"/>
        <v>192.1</v>
      </c>
      <c r="P8" s="54">
        <v>220</v>
      </c>
      <c r="Y8" s="87" t="s">
        <v>75</v>
      </c>
      <c r="Z8" s="86">
        <f ca="1">SUMIFS(OFFSET(BD_COMERCIAL!AN$5,0,0,$S$26,1),OFFSET(BD_COMERCIAL!$FC$5,0,0,$S$26,1),"C",OFFSET(BD_COMERCIAL!$Q$5,0,0,$S$26,1),"Fixo",OFFSET(BD_COMERCIAL!$I$5,0,0,$S$26,1),"Trading")</f>
        <v>12.2</v>
      </c>
      <c r="AA8" s="86">
        <f ca="1">SUMIFS(OFFSET(BD_COMERCIAL!AO$5,0,0,$S$26,1),OFFSET(BD_COMERCIAL!$FC$5,0,0,$S$26,1),"C",OFFSET(BD_COMERCIAL!$Q$5,0,0,$S$26,1),"Fixo",OFFSET(BD_COMERCIAL!$I$5,0,0,$S$26,1),"Trading")</f>
        <v>12.2</v>
      </c>
      <c r="AB8" s="86">
        <f ca="1">SUMIFS(OFFSET(BD_COMERCIAL!AP$5,0,0,$S$26,1),OFFSET(BD_COMERCIAL!$FC$5,0,0,$S$26,1),"C",OFFSET(BD_COMERCIAL!$Q$5,0,0,$S$26,1),"Fixo",OFFSET(BD_COMERCIAL!$I$5,0,0,$S$26,1),"Trading")</f>
        <v>12.2</v>
      </c>
      <c r="AC8" s="86">
        <f ca="1">SUMIFS(OFFSET(BD_COMERCIAL!AQ$5,0,0,$S$26,1),OFFSET(BD_COMERCIAL!$FC$5,0,0,$S$26,1),"C",OFFSET(BD_COMERCIAL!$Q$5,0,0,$S$26,1),"Fixo",OFFSET(BD_COMERCIAL!$I$5,0,0,$S$26,1),"Trading")</f>
        <v>12.2</v>
      </c>
      <c r="AD8" s="86">
        <f ca="1">SUMIFS(OFFSET(BD_COMERCIAL!AR$5,0,0,$S$26,1),OFFSET(BD_COMERCIAL!$FC$5,0,0,$S$26,1),"C",OFFSET(BD_COMERCIAL!$Q$5,0,0,$S$26,1),"Fixo",OFFSET(BD_COMERCIAL!$I$5,0,0,$S$26,1),"Trading")</f>
        <v>12.2</v>
      </c>
      <c r="AE8" s="86">
        <f ca="1">SUMIFS(OFFSET(BD_COMERCIAL!AS$5,0,0,$S$26,1),OFFSET(BD_COMERCIAL!$FC$5,0,0,$S$26,1),"C",OFFSET(BD_COMERCIAL!$Q$5,0,0,$S$26,1),"Fixo",OFFSET(BD_COMERCIAL!$I$5,0,0,$S$26,1),"Trading")</f>
        <v>12.2</v>
      </c>
      <c r="AF8" s="86">
        <f ca="1">SUMIFS(OFFSET(BD_COMERCIAL!AT$5,0,0,$S$26,1),OFFSET(BD_COMERCIAL!$FC$5,0,0,$S$26,1),"C",OFFSET(BD_COMERCIAL!$Q$5,0,0,$S$26,1),"Fixo",OFFSET(BD_COMERCIAL!$I$5,0,0,$S$26,1),"Trading")</f>
        <v>8</v>
      </c>
      <c r="AG8" s="86">
        <f ca="1">SUMIFS(OFFSET(BD_COMERCIAL!AU$5,0,0,$S$26,1),OFFSET(BD_COMERCIAL!$FC$5,0,0,$S$26,1),"C",OFFSET(BD_COMERCIAL!$Q$5,0,0,$S$26,1),"Fixo",OFFSET(BD_COMERCIAL!$I$5,0,0,$S$26,1),"Trading")</f>
        <v>8</v>
      </c>
      <c r="AH8" s="86">
        <f ca="1">SUMIFS(OFFSET(BD_COMERCIAL!AV$5,0,0,$S$26,1),OFFSET(BD_COMERCIAL!$FC$5,0,0,$S$26,1),"C",OFFSET(BD_COMERCIAL!$Q$5,0,0,$S$26,1),"Fixo",OFFSET(BD_COMERCIAL!$I$5,0,0,$S$26,1),"Trading")</f>
        <v>8</v>
      </c>
      <c r="AI8" s="86">
        <f ca="1">SUMIFS(OFFSET(BD_COMERCIAL!AW$5,0,0,$S$26,1),OFFSET(BD_COMERCIAL!$FC$5,0,0,$S$26,1),"C",OFFSET(BD_COMERCIAL!$Q$5,0,0,$S$26,1),"Fixo",OFFSET(BD_COMERCIAL!$I$5,0,0,$S$26,1),"Trading")</f>
        <v>8</v>
      </c>
      <c r="AJ8" s="86">
        <f ca="1">SUMIFS(OFFSET(BD_COMERCIAL!AX$5,0,0,$S$26,1),OFFSET(BD_COMERCIAL!$FC$5,0,0,$S$26,1),"C",OFFSET(BD_COMERCIAL!$Q$5,0,0,$S$26,1),"Fixo",OFFSET(BD_COMERCIAL!$I$5,0,0,$S$26,1),"Trading")</f>
        <v>8</v>
      </c>
      <c r="AK8" s="86">
        <f ca="1">SUMIFS(OFFSET(BD_COMERCIAL!AY$5,0,0,$S$26,1),OFFSET(BD_COMERCIAL!$FC$5,0,0,$S$26,1),"C",OFFSET(BD_COMERCIAL!$Q$5,0,0,$S$26,1),"Fixo",OFFSET(BD_COMERCIAL!$I$5,0,0,$S$26,1),"Trading")</f>
        <v>8</v>
      </c>
      <c r="AM8" s="87" t="s">
        <v>75</v>
      </c>
      <c r="AN8" s="86">
        <f ca="1">SUMIFS(OFFSET(BD_COMERCIAL!AN$5,0,0,$S$26,1),OFFSET(BD_COMERCIAL!$FC$5,0,0,$S$26,1),"C",OFFSET(BD_COMERCIAL!$Q$5,0,0,$S$26,1),"PLD + Spread",OFFSET(BD_COMERCIAL!$I$5,0,0,$S$26,1),"Trading")</f>
        <v>0</v>
      </c>
      <c r="AO8" s="86">
        <f ca="1">SUMIFS(OFFSET(BD_COMERCIAL!AO$5,0,0,$S$26,1),OFFSET(BD_COMERCIAL!$FC$5,0,0,$S$26,1),"C",OFFSET(BD_COMERCIAL!$Q$5,0,0,$S$26,1),"PLD + Spread",OFFSET(BD_COMERCIAL!$I$5,0,0,$S$26,1),"Trading")</f>
        <v>0</v>
      </c>
      <c r="AP8" s="86">
        <f ca="1">SUMIFS(OFFSET(BD_COMERCIAL!AP$5,0,0,$S$26,1),OFFSET(BD_COMERCIAL!$FC$5,0,0,$S$26,1),"C",OFFSET(BD_COMERCIAL!$Q$5,0,0,$S$26,1),"PLD + Spread",OFFSET(BD_COMERCIAL!$I$5,0,0,$S$26,1),"Trading")</f>
        <v>0</v>
      </c>
      <c r="AQ8" s="86">
        <f ca="1">SUMIFS(OFFSET(BD_COMERCIAL!AQ$5,0,0,$S$26,1),OFFSET(BD_COMERCIAL!$FC$5,0,0,$S$26,1),"C",OFFSET(BD_COMERCIAL!$Q$5,0,0,$S$26,1),"PLD + Spread",OFFSET(BD_COMERCIAL!$I$5,0,0,$S$26,1),"Trading")</f>
        <v>0</v>
      </c>
      <c r="AR8" s="86">
        <f ca="1">SUMIFS(OFFSET(BD_COMERCIAL!AR$5,0,0,$S$26,1),OFFSET(BD_COMERCIAL!$FC$5,0,0,$S$26,1),"C",OFFSET(BD_COMERCIAL!$Q$5,0,0,$S$26,1),"PLD + Spread",OFFSET(BD_COMERCIAL!$I$5,0,0,$S$26,1),"Trading")</f>
        <v>0</v>
      </c>
      <c r="AS8" s="86">
        <f ca="1">SUMIFS(OFFSET(BD_COMERCIAL!AS$5,0,0,$S$26,1),OFFSET(BD_COMERCIAL!$FC$5,0,0,$S$26,1),"C",OFFSET(BD_COMERCIAL!$Q$5,0,0,$S$26,1),"PLD + Spread",OFFSET(BD_COMERCIAL!$I$5,0,0,$S$26,1),"Trading")</f>
        <v>0</v>
      </c>
      <c r="AT8" s="86">
        <f ca="1">SUMIFS(OFFSET(BD_COMERCIAL!AT$5,0,0,$S$26,1),OFFSET(BD_COMERCIAL!$FC$5,0,0,$S$26,1),"C",OFFSET(BD_COMERCIAL!$Q$5,0,0,$S$26,1),"PLD + Spread",OFFSET(BD_COMERCIAL!$I$5,0,0,$S$26,1),"Trading")</f>
        <v>0</v>
      </c>
      <c r="AU8" s="86">
        <f ca="1">SUMIFS(OFFSET(BD_COMERCIAL!AU$5,0,0,$S$26,1),OFFSET(BD_COMERCIAL!$FC$5,0,0,$S$26,1),"C",OFFSET(BD_COMERCIAL!$Q$5,0,0,$S$26,1),"PLD + Spread",OFFSET(BD_COMERCIAL!$I$5,0,0,$S$26,1),"Trading")</f>
        <v>0</v>
      </c>
      <c r="AV8" s="86">
        <f ca="1">SUMIFS(OFFSET(BD_COMERCIAL!AV$5,0,0,$S$26,1),OFFSET(BD_COMERCIAL!$FC$5,0,0,$S$26,1),"C",OFFSET(BD_COMERCIAL!$Q$5,0,0,$S$26,1),"PLD + Spread",OFFSET(BD_COMERCIAL!$I$5,0,0,$S$26,1),"Trading")</f>
        <v>0</v>
      </c>
      <c r="AW8" s="86">
        <f ca="1">SUMIFS(OFFSET(BD_COMERCIAL!AW$5,0,0,$S$26,1),OFFSET(BD_COMERCIAL!$FC$5,0,0,$S$26,1),"C",OFFSET(BD_COMERCIAL!$Q$5,0,0,$S$26,1),"PLD + Spread",OFFSET(BD_COMERCIAL!$I$5,0,0,$S$26,1),"Trading")</f>
        <v>0</v>
      </c>
      <c r="AX8" s="86">
        <f ca="1">SUMIFS(OFFSET(BD_COMERCIAL!AX$5,0,0,$S$26,1),OFFSET(BD_COMERCIAL!$FC$5,0,0,$S$26,1),"C",OFFSET(BD_COMERCIAL!$Q$5,0,0,$S$26,1),"PLD + Spread",OFFSET(BD_COMERCIAL!$I$5,0,0,$S$26,1),"Trading")</f>
        <v>0</v>
      </c>
      <c r="AY8" s="86">
        <f ca="1">SUMIFS(OFFSET(BD_COMERCIAL!AY$5,0,0,$S$26,1),OFFSET(BD_COMERCIAL!$FC$5,0,0,$S$26,1),"C",OFFSET(BD_COMERCIAL!$Q$5,0,0,$S$26,1),"PLD + Spread",OFFSET(BD_COMERCIAL!$I$5,0,0,$S$26,1),"Trading")</f>
        <v>0</v>
      </c>
    </row>
    <row r="9" spans="2:51" s="17" customFormat="1" ht="15" customHeight="1" x14ac:dyDescent="0.35">
      <c r="B9" s="296"/>
      <c r="C9" s="51" t="s">
        <v>27</v>
      </c>
      <c r="D9" s="67">
        <v>192.1</v>
      </c>
      <c r="E9" s="44">
        <f t="shared" si="3"/>
        <v>192.1</v>
      </c>
      <c r="F9" s="44">
        <f t="shared" si="3"/>
        <v>192.1</v>
      </c>
      <c r="G9" s="44">
        <f t="shared" si="3"/>
        <v>192.1</v>
      </c>
      <c r="H9" s="44">
        <f t="shared" si="3"/>
        <v>192.1</v>
      </c>
      <c r="I9" s="44">
        <f t="shared" si="3"/>
        <v>192.1</v>
      </c>
      <c r="J9" s="44">
        <f t="shared" si="3"/>
        <v>192.1</v>
      </c>
      <c r="K9" s="44">
        <f t="shared" si="3"/>
        <v>192.1</v>
      </c>
      <c r="L9" s="44">
        <f t="shared" si="3"/>
        <v>192.1</v>
      </c>
      <c r="M9" s="44">
        <f t="shared" si="3"/>
        <v>192.1</v>
      </c>
      <c r="N9" s="44">
        <f t="shared" si="3"/>
        <v>192.1</v>
      </c>
      <c r="O9" s="44">
        <f t="shared" si="3"/>
        <v>192.1</v>
      </c>
      <c r="P9" s="50">
        <f>P8</f>
        <v>220</v>
      </c>
      <c r="Y9" s="87" t="s">
        <v>76</v>
      </c>
      <c r="Z9" s="86">
        <f ca="1">SUMIFS(OFFSET(BD_COMERCIAL!AN$5,0,0,$S$26,1),OFFSET(BD_COMERCIAL!$FC$5,0,0,$S$26,1),"V",OFFSET(BD_COMERCIAL!$Q$5,0,0,$S$26,1),"Fixo",OFFSET(BD_COMERCIAL!$I$5,0,0,$S$26,1),"Trading")</f>
        <v>30</v>
      </c>
      <c r="AA9" s="86">
        <f ca="1">SUMIFS(OFFSET(BD_COMERCIAL!AO$5,0,0,$S$26,1),OFFSET(BD_COMERCIAL!$FC$5,0,0,$S$26,1),"V",OFFSET(BD_COMERCIAL!$Q$5,0,0,$S$26,1),"Fixo",OFFSET(BD_COMERCIAL!$I$5,0,0,$S$26,1),"Trading")</f>
        <v>30</v>
      </c>
      <c r="AB9" s="86">
        <f ca="1">SUMIFS(OFFSET(BD_COMERCIAL!AP$5,0,0,$S$26,1),OFFSET(BD_COMERCIAL!$FC$5,0,0,$S$26,1),"V",OFFSET(BD_COMERCIAL!$Q$5,0,0,$S$26,1),"Fixo",OFFSET(BD_COMERCIAL!$I$5,0,0,$S$26,1),"Trading")</f>
        <v>30</v>
      </c>
      <c r="AC9" s="86">
        <f ca="1">SUMIFS(OFFSET(BD_COMERCIAL!AQ$5,0,0,$S$26,1),OFFSET(BD_COMERCIAL!$FC$5,0,0,$S$26,1),"V",OFFSET(BD_COMERCIAL!$Q$5,0,0,$S$26,1),"Fixo",OFFSET(BD_COMERCIAL!$I$5,0,0,$S$26,1),"Trading")</f>
        <v>30</v>
      </c>
      <c r="AD9" s="86">
        <f ca="1">SUMIFS(OFFSET(BD_COMERCIAL!AR$5,0,0,$S$26,1),OFFSET(BD_COMERCIAL!$FC$5,0,0,$S$26,1),"V",OFFSET(BD_COMERCIAL!$Q$5,0,0,$S$26,1),"Fixo",OFFSET(BD_COMERCIAL!$I$5,0,0,$S$26,1),"Trading")</f>
        <v>30</v>
      </c>
      <c r="AE9" s="86">
        <f ca="1">SUMIFS(OFFSET(BD_COMERCIAL!AS$5,0,0,$S$26,1),OFFSET(BD_COMERCIAL!$FC$5,0,0,$S$26,1),"V",OFFSET(BD_COMERCIAL!$Q$5,0,0,$S$26,1),"Fixo",OFFSET(BD_COMERCIAL!$I$5,0,0,$S$26,1),"Trading")</f>
        <v>30</v>
      </c>
      <c r="AF9" s="86">
        <f ca="1">SUMIFS(OFFSET(BD_COMERCIAL!AT$5,0,0,$S$26,1),OFFSET(BD_COMERCIAL!$FC$5,0,0,$S$26,1),"V",OFFSET(BD_COMERCIAL!$Q$5,0,0,$S$26,1),"Fixo",OFFSET(BD_COMERCIAL!$I$5,0,0,$S$26,1),"Trading")</f>
        <v>30</v>
      </c>
      <c r="AG9" s="86">
        <f ca="1">SUMIFS(OFFSET(BD_COMERCIAL!AU$5,0,0,$S$26,1),OFFSET(BD_COMERCIAL!$FC$5,0,0,$S$26,1),"V",OFFSET(BD_COMERCIAL!$Q$5,0,0,$S$26,1),"Fixo",OFFSET(BD_COMERCIAL!$I$5,0,0,$S$26,1),"Trading")</f>
        <v>30</v>
      </c>
      <c r="AH9" s="86">
        <f ca="1">SUMIFS(OFFSET(BD_COMERCIAL!AV$5,0,0,$S$26,1),OFFSET(BD_COMERCIAL!$FC$5,0,0,$S$26,1),"V",OFFSET(BD_COMERCIAL!$Q$5,0,0,$S$26,1),"Fixo",OFFSET(BD_COMERCIAL!$I$5,0,0,$S$26,1),"Trading")</f>
        <v>30</v>
      </c>
      <c r="AI9" s="86">
        <f ca="1">SUMIFS(OFFSET(BD_COMERCIAL!AW$5,0,0,$S$26,1),OFFSET(BD_COMERCIAL!$FC$5,0,0,$S$26,1),"V",OFFSET(BD_COMERCIAL!$Q$5,0,0,$S$26,1),"Fixo",OFFSET(BD_COMERCIAL!$I$5,0,0,$S$26,1),"Trading")</f>
        <v>30</v>
      </c>
      <c r="AJ9" s="86">
        <f ca="1">SUMIFS(OFFSET(BD_COMERCIAL!AX$5,0,0,$S$26,1),OFFSET(BD_COMERCIAL!$FC$5,0,0,$S$26,1),"V",OFFSET(BD_COMERCIAL!$Q$5,0,0,$S$26,1),"Fixo",OFFSET(BD_COMERCIAL!$I$5,0,0,$S$26,1),"Trading")</f>
        <v>30</v>
      </c>
      <c r="AK9" s="86">
        <f ca="1">SUMIFS(OFFSET(BD_COMERCIAL!AY$5,0,0,$S$26,1),OFFSET(BD_COMERCIAL!$FC$5,0,0,$S$26,1),"V",OFFSET(BD_COMERCIAL!$Q$5,0,0,$S$26,1),"Fixo",OFFSET(BD_COMERCIAL!$I$5,0,0,$S$26,1),"Trading")</f>
        <v>30</v>
      </c>
      <c r="AM9" s="87" t="s">
        <v>76</v>
      </c>
      <c r="AN9" s="86">
        <f ca="1">SUMIFS(OFFSET(BD_COMERCIAL!AN$5,0,0,$S$26,1),OFFSET(BD_COMERCIAL!$FC$5,0,0,$S$26,1),"V",OFFSET(BD_COMERCIAL!$Q$5,0,0,$S$26,1),"PLD + Spread",OFFSET(BD_COMERCIAL!$I$5,0,0,$S$26,1),"Trading")</f>
        <v>0</v>
      </c>
      <c r="AO9" s="86">
        <f ca="1">SUMIFS(OFFSET(BD_COMERCIAL!AO$5,0,0,$S$26,1),OFFSET(BD_COMERCIAL!$FC$5,0,0,$S$26,1),"V",OFFSET(BD_COMERCIAL!$Q$5,0,0,$S$26,1),"PLD + Spread",OFFSET(BD_COMERCIAL!$I$5,0,0,$S$26,1),"Trading")</f>
        <v>0</v>
      </c>
      <c r="AP9" s="86">
        <f ca="1">SUMIFS(OFFSET(BD_COMERCIAL!AP$5,0,0,$S$26,1),OFFSET(BD_COMERCIAL!$FC$5,0,0,$S$26,1),"V",OFFSET(BD_COMERCIAL!$Q$5,0,0,$S$26,1),"PLD + Spread",OFFSET(BD_COMERCIAL!$I$5,0,0,$S$26,1),"Trading")</f>
        <v>0</v>
      </c>
      <c r="AQ9" s="86">
        <f ca="1">SUMIFS(OFFSET(BD_COMERCIAL!AQ$5,0,0,$S$26,1),OFFSET(BD_COMERCIAL!$FC$5,0,0,$S$26,1),"V",OFFSET(BD_COMERCIAL!$Q$5,0,0,$S$26,1),"PLD + Spread",OFFSET(BD_COMERCIAL!$I$5,0,0,$S$26,1),"Trading")</f>
        <v>0</v>
      </c>
      <c r="AR9" s="86">
        <f ca="1">SUMIFS(OFFSET(BD_COMERCIAL!AR$5,0,0,$S$26,1),OFFSET(BD_COMERCIAL!$FC$5,0,0,$S$26,1),"V",OFFSET(BD_COMERCIAL!$Q$5,0,0,$S$26,1),"PLD + Spread",OFFSET(BD_COMERCIAL!$I$5,0,0,$S$26,1),"Trading")</f>
        <v>0</v>
      </c>
      <c r="AS9" s="86">
        <f ca="1">SUMIFS(OFFSET(BD_COMERCIAL!AS$5,0,0,$S$26,1),OFFSET(BD_COMERCIAL!$FC$5,0,0,$S$26,1),"V",OFFSET(BD_COMERCIAL!$Q$5,0,0,$S$26,1),"PLD + Spread",OFFSET(BD_COMERCIAL!$I$5,0,0,$S$26,1),"Trading")</f>
        <v>0</v>
      </c>
      <c r="AT9" s="86">
        <f ca="1">SUMIFS(OFFSET(BD_COMERCIAL!AT$5,0,0,$S$26,1),OFFSET(BD_COMERCIAL!$FC$5,0,0,$S$26,1),"V",OFFSET(BD_COMERCIAL!$Q$5,0,0,$S$26,1),"PLD + Spread",OFFSET(BD_COMERCIAL!$I$5,0,0,$S$26,1),"Trading")</f>
        <v>0</v>
      </c>
      <c r="AU9" s="86">
        <f ca="1">SUMIFS(OFFSET(BD_COMERCIAL!AU$5,0,0,$S$26,1),OFFSET(BD_COMERCIAL!$FC$5,0,0,$S$26,1),"V",OFFSET(BD_COMERCIAL!$Q$5,0,0,$S$26,1),"PLD + Spread",OFFSET(BD_COMERCIAL!$I$5,0,0,$S$26,1),"Trading")</f>
        <v>0</v>
      </c>
      <c r="AV9" s="86">
        <f ca="1">SUMIFS(OFFSET(BD_COMERCIAL!AV$5,0,0,$S$26,1),OFFSET(BD_COMERCIAL!$FC$5,0,0,$S$26,1),"V",OFFSET(BD_COMERCIAL!$Q$5,0,0,$S$26,1),"PLD + Spread",OFFSET(BD_COMERCIAL!$I$5,0,0,$S$26,1),"Trading")</f>
        <v>0</v>
      </c>
      <c r="AW9" s="86">
        <f ca="1">SUMIFS(OFFSET(BD_COMERCIAL!AW$5,0,0,$S$26,1),OFFSET(BD_COMERCIAL!$FC$5,0,0,$S$26,1),"V",OFFSET(BD_COMERCIAL!$Q$5,0,0,$S$26,1),"PLD + Spread",OFFSET(BD_COMERCIAL!$I$5,0,0,$S$26,1),"Trading")</f>
        <v>0</v>
      </c>
      <c r="AX9" s="86">
        <f ca="1">SUMIFS(OFFSET(BD_COMERCIAL!AX$5,0,0,$S$26,1),OFFSET(BD_COMERCIAL!$FC$5,0,0,$S$26,1),"V",OFFSET(BD_COMERCIAL!$Q$5,0,0,$S$26,1),"PLD + Spread",OFFSET(BD_COMERCIAL!$I$5,0,0,$S$26,1),"Trading")</f>
        <v>0</v>
      </c>
      <c r="AY9" s="86">
        <f ca="1">SUMIFS(OFFSET(BD_COMERCIAL!AY$5,0,0,$S$26,1),OFFSET(BD_COMERCIAL!$FC$5,0,0,$S$26,1),"V",OFFSET(BD_COMERCIAL!$Q$5,0,0,$S$26,1),"PLD + Spread",OFFSET(BD_COMERCIAL!$I$5,0,0,$S$26,1),"Trading")</f>
        <v>0</v>
      </c>
    </row>
    <row r="10" spans="2:51" s="17" customFormat="1" ht="15" customHeight="1" x14ac:dyDescent="0.35">
      <c r="B10" s="296"/>
      <c r="C10" s="46" t="s">
        <v>26</v>
      </c>
      <c r="D10" s="67">
        <v>84.76</v>
      </c>
      <c r="E10" s="44">
        <f t="shared" si="3"/>
        <v>84.76</v>
      </c>
      <c r="F10" s="44">
        <f t="shared" si="3"/>
        <v>84.76</v>
      </c>
      <c r="G10" s="44">
        <f t="shared" si="3"/>
        <v>84.76</v>
      </c>
      <c r="H10" s="44">
        <f t="shared" si="3"/>
        <v>84.76</v>
      </c>
      <c r="I10" s="44">
        <f t="shared" si="3"/>
        <v>84.76</v>
      </c>
      <c r="J10" s="44">
        <f t="shared" si="3"/>
        <v>84.76</v>
      </c>
      <c r="K10" s="44">
        <f t="shared" si="3"/>
        <v>84.76</v>
      </c>
      <c r="L10" s="44">
        <f t="shared" si="3"/>
        <v>84.76</v>
      </c>
      <c r="M10" s="44">
        <f t="shared" si="3"/>
        <v>84.76</v>
      </c>
      <c r="N10" s="44">
        <f t="shared" si="3"/>
        <v>84.76</v>
      </c>
      <c r="O10" s="66">
        <f t="shared" si="3"/>
        <v>84.76</v>
      </c>
      <c r="P10" s="43">
        <f>P9</f>
        <v>220</v>
      </c>
      <c r="S10" s="21"/>
      <c r="T10" s="21"/>
      <c r="U10" s="21"/>
      <c r="V10" s="21"/>
      <c r="Y10" s="88" t="s">
        <v>53</v>
      </c>
      <c r="Z10" s="89">
        <f t="shared" ref="Z10:AK10" ca="1" si="4">SUM(Z11:Z12)</f>
        <v>-12.8</v>
      </c>
      <c r="AA10" s="89">
        <f t="shared" ca="1" si="4"/>
        <v>-12.8</v>
      </c>
      <c r="AB10" s="89">
        <f t="shared" ca="1" si="4"/>
        <v>-12.8</v>
      </c>
      <c r="AC10" s="89">
        <f t="shared" ca="1" si="4"/>
        <v>-12.8</v>
      </c>
      <c r="AD10" s="89">
        <f t="shared" ca="1" si="4"/>
        <v>-12.8</v>
      </c>
      <c r="AE10" s="89">
        <f t="shared" ca="1" si="4"/>
        <v>-12.8</v>
      </c>
      <c r="AF10" s="89">
        <f t="shared" ca="1" si="4"/>
        <v>-17</v>
      </c>
      <c r="AG10" s="89">
        <f t="shared" ca="1" si="4"/>
        <v>-17</v>
      </c>
      <c r="AH10" s="89">
        <f t="shared" ca="1" si="4"/>
        <v>-17</v>
      </c>
      <c r="AI10" s="89">
        <f t="shared" ca="1" si="4"/>
        <v>-17</v>
      </c>
      <c r="AJ10" s="89">
        <f t="shared" ca="1" si="4"/>
        <v>-17</v>
      </c>
      <c r="AK10" s="89">
        <f t="shared" ca="1" si="4"/>
        <v>-17</v>
      </c>
      <c r="AM10" s="88" t="s">
        <v>53</v>
      </c>
      <c r="AN10" s="89">
        <f ca="1">SUM(AN11:AN12)</f>
        <v>0</v>
      </c>
      <c r="AO10" s="89">
        <f t="shared" ref="AO10:AY10" ca="1" si="5">SUM(AO11:AO12)</f>
        <v>0</v>
      </c>
      <c r="AP10" s="89">
        <f t="shared" ca="1" si="5"/>
        <v>0</v>
      </c>
      <c r="AQ10" s="89">
        <f t="shared" ca="1" si="5"/>
        <v>0</v>
      </c>
      <c r="AR10" s="89">
        <f t="shared" ca="1" si="5"/>
        <v>0</v>
      </c>
      <c r="AS10" s="89">
        <f t="shared" ca="1" si="5"/>
        <v>0</v>
      </c>
      <c r="AT10" s="89">
        <f t="shared" ca="1" si="5"/>
        <v>0</v>
      </c>
      <c r="AU10" s="89">
        <f t="shared" ca="1" si="5"/>
        <v>0</v>
      </c>
      <c r="AV10" s="89">
        <f t="shared" ca="1" si="5"/>
        <v>0</v>
      </c>
      <c r="AW10" s="89">
        <f t="shared" ca="1" si="5"/>
        <v>0</v>
      </c>
      <c r="AX10" s="89">
        <f t="shared" ca="1" si="5"/>
        <v>0</v>
      </c>
      <c r="AY10" s="89">
        <f t="shared" ca="1" si="5"/>
        <v>0</v>
      </c>
    </row>
    <row r="11" spans="2:51" s="17" customFormat="1" ht="15" customHeight="1" thickBot="1" x14ac:dyDescent="0.4">
      <c r="B11" s="297"/>
      <c r="C11" s="40" t="s">
        <v>25</v>
      </c>
      <c r="D11" s="64">
        <v>74.19</v>
      </c>
      <c r="E11" s="39">
        <f t="shared" si="3"/>
        <v>74.19</v>
      </c>
      <c r="F11" s="39">
        <f t="shared" si="3"/>
        <v>74.19</v>
      </c>
      <c r="G11" s="39">
        <f t="shared" si="3"/>
        <v>74.19</v>
      </c>
      <c r="H11" s="39">
        <f t="shared" si="3"/>
        <v>74.19</v>
      </c>
      <c r="I11" s="39">
        <f t="shared" si="3"/>
        <v>74.19</v>
      </c>
      <c r="J11" s="39">
        <f t="shared" si="3"/>
        <v>74.19</v>
      </c>
      <c r="K11" s="39">
        <f t="shared" si="3"/>
        <v>74.19</v>
      </c>
      <c r="L11" s="39">
        <f t="shared" si="3"/>
        <v>74.19</v>
      </c>
      <c r="M11" s="39">
        <f t="shared" si="3"/>
        <v>74.19</v>
      </c>
      <c r="N11" s="39">
        <f t="shared" si="3"/>
        <v>74.19</v>
      </c>
      <c r="O11" s="38">
        <f t="shared" si="3"/>
        <v>74.19</v>
      </c>
      <c r="P11" s="37">
        <f>P10</f>
        <v>220</v>
      </c>
      <c r="X11" s="70"/>
      <c r="Y11" s="85" t="s">
        <v>52</v>
      </c>
      <c r="Z11" s="86">
        <f ca="1">SUMIFS(OFFSET(BD_COMERCIAL!AN$5,0,0,$S$26,1),OFFSET(BD_COMERCIAL!$K$5,0,0,$S$26,1),"Conv",OFFSET(BD_COMERCIAL!$FC$5,0,0,$S$26,1),"C",OFFSET(BD_COMERCIAL!$Q$5,0,0,$S$26,1),"Fixo",OFFSET(BD_COMERCIAL!$I$5,0,0,$S$26,1),"Trading")-SUMIFS(OFFSET(BD_COMERCIAL!AN$5,0,0,$S$26,1),OFFSET(BD_COMERCIAL!$K$5,0,0,$S$26,1),"Conv",OFFSET(BD_COMERCIAL!$FC$5,0,0,$S$26,1),"V",OFFSET(BD_COMERCIAL!$Q$5,0,0,$S$26,1),"Fixo",OFFSET(BD_COMERCIAL!$I$5,0,0,$S$26,1),"Trading")</f>
        <v>-12.8</v>
      </c>
      <c r="AA11" s="86">
        <f ca="1">SUMIFS(OFFSET(BD_COMERCIAL!AO$5,0,0,$S$26,1),OFFSET(BD_COMERCIAL!$K$5,0,0,$S$26,1),"Conv",OFFSET(BD_COMERCIAL!$FC$5,0,0,$S$26,1),"C",OFFSET(BD_COMERCIAL!$Q$5,0,0,$S$26,1),"Fixo",OFFSET(BD_COMERCIAL!$I$5,0,0,$S$26,1),"Trading")-SUMIFS(OFFSET(BD_COMERCIAL!AO$5,0,0,$S$26,1),OFFSET(BD_COMERCIAL!$K$5,0,0,$S$26,1),"Conv",OFFSET(BD_COMERCIAL!$FC$5,0,0,$S$26,1),"V",OFFSET(BD_COMERCIAL!$Q$5,0,0,$S$26,1),"Fixo",OFFSET(BD_COMERCIAL!$I$5,0,0,$S$26,1),"Trading")</f>
        <v>-12.8</v>
      </c>
      <c r="AB11" s="86">
        <f ca="1">SUMIFS(OFFSET(BD_COMERCIAL!AP$5,0,0,$S$26,1),OFFSET(BD_COMERCIAL!$K$5,0,0,$S$26,1),"Conv",OFFSET(BD_COMERCIAL!$FC$5,0,0,$S$26,1),"C",OFFSET(BD_COMERCIAL!$Q$5,0,0,$S$26,1),"Fixo",OFFSET(BD_COMERCIAL!$I$5,0,0,$S$26,1),"Trading")-SUMIFS(OFFSET(BD_COMERCIAL!AP$5,0,0,$S$26,1),OFFSET(BD_COMERCIAL!$K$5,0,0,$S$26,1),"Conv",OFFSET(BD_COMERCIAL!$FC$5,0,0,$S$26,1),"V",OFFSET(BD_COMERCIAL!$Q$5,0,0,$S$26,1),"Fixo",OFFSET(BD_COMERCIAL!$I$5,0,0,$S$26,1),"Trading")</f>
        <v>-12.8</v>
      </c>
      <c r="AC11" s="86">
        <f ca="1">SUMIFS(OFFSET(BD_COMERCIAL!AQ$5,0,0,$S$26,1),OFFSET(BD_COMERCIAL!$K$5,0,0,$S$26,1),"Conv",OFFSET(BD_COMERCIAL!$FC$5,0,0,$S$26,1),"C",OFFSET(BD_COMERCIAL!$Q$5,0,0,$S$26,1),"Fixo",OFFSET(BD_COMERCIAL!$I$5,0,0,$S$26,1),"Trading")-SUMIFS(OFFSET(BD_COMERCIAL!AQ$5,0,0,$S$26,1),OFFSET(BD_COMERCIAL!$K$5,0,0,$S$26,1),"Conv",OFFSET(BD_COMERCIAL!$FC$5,0,0,$S$26,1),"V",OFFSET(BD_COMERCIAL!$Q$5,0,0,$S$26,1),"Fixo",OFFSET(BD_COMERCIAL!$I$5,0,0,$S$26,1),"Trading")</f>
        <v>-12.8</v>
      </c>
      <c r="AD11" s="86">
        <f ca="1">SUMIFS(OFFSET(BD_COMERCIAL!AR$5,0,0,$S$26,1),OFFSET(BD_COMERCIAL!$K$5,0,0,$S$26,1),"Conv",OFFSET(BD_COMERCIAL!$FC$5,0,0,$S$26,1),"C",OFFSET(BD_COMERCIAL!$Q$5,0,0,$S$26,1),"Fixo",OFFSET(BD_COMERCIAL!$I$5,0,0,$S$26,1),"Trading")-SUMIFS(OFFSET(BD_COMERCIAL!AR$5,0,0,$S$26,1),OFFSET(BD_COMERCIAL!$K$5,0,0,$S$26,1),"Conv",OFFSET(BD_COMERCIAL!$FC$5,0,0,$S$26,1),"V",OFFSET(BD_COMERCIAL!$Q$5,0,0,$S$26,1),"Fixo",OFFSET(BD_COMERCIAL!$I$5,0,0,$S$26,1),"Trading")</f>
        <v>-12.8</v>
      </c>
      <c r="AE11" s="86">
        <f ca="1">SUMIFS(OFFSET(BD_COMERCIAL!AS$5,0,0,$S$26,1),OFFSET(BD_COMERCIAL!$K$5,0,0,$S$26,1),"Conv",OFFSET(BD_COMERCIAL!$FC$5,0,0,$S$26,1),"C",OFFSET(BD_COMERCIAL!$Q$5,0,0,$S$26,1),"Fixo",OFFSET(BD_COMERCIAL!$I$5,0,0,$S$26,1),"Trading")-SUMIFS(OFFSET(BD_COMERCIAL!AS$5,0,0,$S$26,1),OFFSET(BD_COMERCIAL!$K$5,0,0,$S$26,1),"Conv",OFFSET(BD_COMERCIAL!$FC$5,0,0,$S$26,1),"V",OFFSET(BD_COMERCIAL!$Q$5,0,0,$S$26,1),"Fixo",OFFSET(BD_COMERCIAL!$I$5,0,0,$S$26,1),"Trading")</f>
        <v>-12.8</v>
      </c>
      <c r="AF11" s="86">
        <f ca="1">SUMIFS(OFFSET(BD_COMERCIAL!AT$5,0,0,$S$26,1),OFFSET(BD_COMERCIAL!$K$5,0,0,$S$26,1),"Conv",OFFSET(BD_COMERCIAL!$FC$5,0,0,$S$26,1),"C",OFFSET(BD_COMERCIAL!$Q$5,0,0,$S$26,1),"Fixo",OFFSET(BD_COMERCIAL!$I$5,0,0,$S$26,1),"Trading")-SUMIFS(OFFSET(BD_COMERCIAL!AT$5,0,0,$S$26,1),OFFSET(BD_COMERCIAL!$K$5,0,0,$S$26,1),"Conv",OFFSET(BD_COMERCIAL!$FC$5,0,0,$S$26,1),"V",OFFSET(BD_COMERCIAL!$Q$5,0,0,$S$26,1),"Fixo",OFFSET(BD_COMERCIAL!$I$5,0,0,$S$26,1),"Trading")</f>
        <v>-17</v>
      </c>
      <c r="AG11" s="86">
        <f ca="1">SUMIFS(OFFSET(BD_COMERCIAL!AU$5,0,0,$S$26,1),OFFSET(BD_COMERCIAL!$K$5,0,0,$S$26,1),"Conv",OFFSET(BD_COMERCIAL!$FC$5,0,0,$S$26,1),"C",OFFSET(BD_COMERCIAL!$Q$5,0,0,$S$26,1),"Fixo",OFFSET(BD_COMERCIAL!$I$5,0,0,$S$26,1),"Trading")-SUMIFS(OFFSET(BD_COMERCIAL!AU$5,0,0,$S$26,1),OFFSET(BD_COMERCIAL!$K$5,0,0,$S$26,1),"Conv",OFFSET(BD_COMERCIAL!$FC$5,0,0,$S$26,1),"V",OFFSET(BD_COMERCIAL!$Q$5,0,0,$S$26,1),"Fixo",OFFSET(BD_COMERCIAL!$I$5,0,0,$S$26,1),"Trading")</f>
        <v>-17</v>
      </c>
      <c r="AH11" s="86">
        <f ca="1">SUMIFS(OFFSET(BD_COMERCIAL!AV$5,0,0,$S$26,1),OFFSET(BD_COMERCIAL!$K$5,0,0,$S$26,1),"Conv",OFFSET(BD_COMERCIAL!$FC$5,0,0,$S$26,1),"C",OFFSET(BD_COMERCIAL!$Q$5,0,0,$S$26,1),"Fixo",OFFSET(BD_COMERCIAL!$I$5,0,0,$S$26,1),"Trading")-SUMIFS(OFFSET(BD_COMERCIAL!AV$5,0,0,$S$26,1),OFFSET(BD_COMERCIAL!$K$5,0,0,$S$26,1),"Conv",OFFSET(BD_COMERCIAL!$FC$5,0,0,$S$26,1),"V",OFFSET(BD_COMERCIAL!$Q$5,0,0,$S$26,1),"Fixo",OFFSET(BD_COMERCIAL!$I$5,0,0,$S$26,1),"Trading")</f>
        <v>-17</v>
      </c>
      <c r="AI11" s="86">
        <f ca="1">SUMIFS(OFFSET(BD_COMERCIAL!AW$5,0,0,$S$26,1),OFFSET(BD_COMERCIAL!$K$5,0,0,$S$26,1),"Conv",OFFSET(BD_COMERCIAL!$FC$5,0,0,$S$26,1),"C",OFFSET(BD_COMERCIAL!$Q$5,0,0,$S$26,1),"Fixo",OFFSET(BD_COMERCIAL!$I$5,0,0,$S$26,1),"Trading")-SUMIFS(OFFSET(BD_COMERCIAL!AW$5,0,0,$S$26,1),OFFSET(BD_COMERCIAL!$K$5,0,0,$S$26,1),"Conv",OFFSET(BD_COMERCIAL!$FC$5,0,0,$S$26,1),"V",OFFSET(BD_COMERCIAL!$Q$5,0,0,$S$26,1),"Fixo",OFFSET(BD_COMERCIAL!$I$5,0,0,$S$26,1),"Trading")</f>
        <v>-17</v>
      </c>
      <c r="AJ11" s="86">
        <f ca="1">SUMIFS(OFFSET(BD_COMERCIAL!AX$5,0,0,$S$26,1),OFFSET(BD_COMERCIAL!$K$5,0,0,$S$26,1),"Conv",OFFSET(BD_COMERCIAL!$FC$5,0,0,$S$26,1),"C",OFFSET(BD_COMERCIAL!$Q$5,0,0,$S$26,1),"Fixo",OFFSET(BD_COMERCIAL!$I$5,0,0,$S$26,1),"Trading")-SUMIFS(OFFSET(BD_COMERCIAL!AX$5,0,0,$S$26,1),OFFSET(BD_COMERCIAL!$K$5,0,0,$S$26,1),"Conv",OFFSET(BD_COMERCIAL!$FC$5,0,0,$S$26,1),"V",OFFSET(BD_COMERCIAL!$Q$5,0,0,$S$26,1),"Fixo",OFFSET(BD_COMERCIAL!$I$5,0,0,$S$26,1),"Trading")</f>
        <v>-17</v>
      </c>
      <c r="AK11" s="86">
        <f ca="1">SUMIFS(OFFSET(BD_COMERCIAL!AY$5,0,0,$S$26,1),OFFSET(BD_COMERCIAL!$K$5,0,0,$S$26,1),"Conv",OFFSET(BD_COMERCIAL!$FC$5,0,0,$S$26,1),"C",OFFSET(BD_COMERCIAL!$Q$5,0,0,$S$26,1),"Fixo",OFFSET(BD_COMERCIAL!$I$5,0,0,$S$26,1),"Trading")-SUMIFS(OFFSET(BD_COMERCIAL!AY$5,0,0,$S$26,1),OFFSET(BD_COMERCIAL!$K$5,0,0,$S$26,1),"Conv",OFFSET(BD_COMERCIAL!$FC$5,0,0,$S$26,1),"V",OFFSET(BD_COMERCIAL!$Q$5,0,0,$S$26,1),"Fixo",OFFSET(BD_COMERCIAL!$I$5,0,0,$S$26,1),"Trading")</f>
        <v>-17</v>
      </c>
      <c r="AM11" s="85" t="s">
        <v>52</v>
      </c>
      <c r="AN11" s="86">
        <f ca="1">SUMIFS(OFFSET(BD_COMERCIAL!AN$5,0,0,$S$26,1),OFFSET(BD_COMERCIAL!$K$5,0,0,$S$26,1),"Conv",OFFSET(BD_COMERCIAL!$FC$5,0,0,$S$26,1),"C",OFFSET(BD_COMERCIAL!$Q$5,0,0,$S$26,1),"PLD + Spread",OFFSET(BD_COMERCIAL!$I$5,0,0,$S$26,1),"Trading")-SUMIFS(OFFSET(BD_COMERCIAL!AN$5,0,0,$S$26,1),OFFSET(BD_COMERCIAL!$K$5,0,0,$S$26,1),"Conv",OFFSET(BD_COMERCIAL!$FC$5,0,0,$S$26,1),"V",OFFSET(BD_COMERCIAL!$Q$5,0,0,$S$26,1),"PLD + Spread",OFFSET(BD_COMERCIAL!$I$5,0,0,$S$26,1),"Trading")</f>
        <v>0</v>
      </c>
      <c r="AO11" s="86">
        <f ca="1">SUMIFS(OFFSET(BD_COMERCIAL!AO$5,0,0,$S$26,1),OFFSET(BD_COMERCIAL!$K$5,0,0,$S$26,1),"Conv",OFFSET(BD_COMERCIAL!$FC$5,0,0,$S$26,1),"C",OFFSET(BD_COMERCIAL!$Q$5,0,0,$S$26,1),"PLD + Spread",OFFSET(BD_COMERCIAL!$I$5,0,0,$S$26,1),"Trading")-SUMIFS(OFFSET(BD_COMERCIAL!AO$5,0,0,$S$26,1),OFFSET(BD_COMERCIAL!$K$5,0,0,$S$26,1),"Conv",OFFSET(BD_COMERCIAL!$FC$5,0,0,$S$26,1),"V",OFFSET(BD_COMERCIAL!$Q$5,0,0,$S$26,1),"PLD + Spread",OFFSET(BD_COMERCIAL!$I$5,0,0,$S$26,1),"Trading")</f>
        <v>0</v>
      </c>
      <c r="AP11" s="86">
        <f ca="1">SUMIFS(OFFSET(BD_COMERCIAL!AP$5,0,0,$S$26,1),OFFSET(BD_COMERCIAL!$K$5,0,0,$S$26,1),"Conv",OFFSET(BD_COMERCIAL!$FC$5,0,0,$S$26,1),"C",OFFSET(BD_COMERCIAL!$Q$5,0,0,$S$26,1),"PLD + Spread",OFFSET(BD_COMERCIAL!$I$5,0,0,$S$26,1),"Trading")-SUMIFS(OFFSET(BD_COMERCIAL!AP$5,0,0,$S$26,1),OFFSET(BD_COMERCIAL!$K$5,0,0,$S$26,1),"Conv",OFFSET(BD_COMERCIAL!$FC$5,0,0,$S$26,1),"V",OFFSET(BD_COMERCIAL!$Q$5,0,0,$S$26,1),"PLD + Spread",OFFSET(BD_COMERCIAL!$I$5,0,0,$S$26,1),"Trading")</f>
        <v>0</v>
      </c>
      <c r="AQ11" s="86">
        <f ca="1">SUMIFS(OFFSET(BD_COMERCIAL!AQ$5,0,0,$S$26,1),OFFSET(BD_COMERCIAL!$K$5,0,0,$S$26,1),"Conv",OFFSET(BD_COMERCIAL!$FC$5,0,0,$S$26,1),"C",OFFSET(BD_COMERCIAL!$Q$5,0,0,$S$26,1),"PLD + Spread",OFFSET(BD_COMERCIAL!$I$5,0,0,$S$26,1),"Trading")-SUMIFS(OFFSET(BD_COMERCIAL!AQ$5,0,0,$S$26,1),OFFSET(BD_COMERCIAL!$K$5,0,0,$S$26,1),"Conv",OFFSET(BD_COMERCIAL!$FC$5,0,0,$S$26,1),"V",OFFSET(BD_COMERCIAL!$Q$5,0,0,$S$26,1),"PLD + Spread",OFFSET(BD_COMERCIAL!$I$5,0,0,$S$26,1),"Trading")</f>
        <v>0</v>
      </c>
      <c r="AR11" s="86">
        <f ca="1">SUMIFS(OFFSET(BD_COMERCIAL!AR$5,0,0,$S$26,1),OFFSET(BD_COMERCIAL!$K$5,0,0,$S$26,1),"Conv",OFFSET(BD_COMERCIAL!$FC$5,0,0,$S$26,1),"C",OFFSET(BD_COMERCIAL!$Q$5,0,0,$S$26,1),"PLD + Spread",OFFSET(BD_COMERCIAL!$I$5,0,0,$S$26,1),"Trading")-SUMIFS(OFFSET(BD_COMERCIAL!AR$5,0,0,$S$26,1),OFFSET(BD_COMERCIAL!$K$5,0,0,$S$26,1),"Conv",OFFSET(BD_COMERCIAL!$FC$5,0,0,$S$26,1),"V",OFFSET(BD_COMERCIAL!$Q$5,0,0,$S$26,1),"PLD + Spread",OFFSET(BD_COMERCIAL!$I$5,0,0,$S$26,1),"Trading")</f>
        <v>0</v>
      </c>
      <c r="AS11" s="86">
        <f ca="1">SUMIFS(OFFSET(BD_COMERCIAL!AS$5,0,0,$S$26,1),OFFSET(BD_COMERCIAL!$K$5,0,0,$S$26,1),"Conv",OFFSET(BD_COMERCIAL!$FC$5,0,0,$S$26,1),"C",OFFSET(BD_COMERCIAL!$Q$5,0,0,$S$26,1),"PLD + Spread",OFFSET(BD_COMERCIAL!$I$5,0,0,$S$26,1),"Trading")-SUMIFS(OFFSET(BD_COMERCIAL!AS$5,0,0,$S$26,1),OFFSET(BD_COMERCIAL!$K$5,0,0,$S$26,1),"Conv",OFFSET(BD_COMERCIAL!$FC$5,0,0,$S$26,1),"V",OFFSET(BD_COMERCIAL!$Q$5,0,0,$S$26,1),"PLD + Spread",OFFSET(BD_COMERCIAL!$I$5,0,0,$S$26,1),"Trading")</f>
        <v>0</v>
      </c>
      <c r="AT11" s="86">
        <f ca="1">SUMIFS(OFFSET(BD_COMERCIAL!AT$5,0,0,$S$26,1),OFFSET(BD_COMERCIAL!$K$5,0,0,$S$26,1),"Conv",OFFSET(BD_COMERCIAL!$FC$5,0,0,$S$26,1),"C",OFFSET(BD_COMERCIAL!$Q$5,0,0,$S$26,1),"PLD + Spread",OFFSET(BD_COMERCIAL!$I$5,0,0,$S$26,1),"Trading")-SUMIFS(OFFSET(BD_COMERCIAL!AT$5,0,0,$S$26,1),OFFSET(BD_COMERCIAL!$K$5,0,0,$S$26,1),"Conv",OFFSET(BD_COMERCIAL!$FC$5,0,0,$S$26,1),"V",OFFSET(BD_COMERCIAL!$Q$5,0,0,$S$26,1),"PLD + Spread",OFFSET(BD_COMERCIAL!$I$5,0,0,$S$26,1),"Trading")</f>
        <v>0</v>
      </c>
      <c r="AU11" s="86">
        <f ca="1">SUMIFS(OFFSET(BD_COMERCIAL!AU$5,0,0,$S$26,1),OFFSET(BD_COMERCIAL!$K$5,0,0,$S$26,1),"Conv",OFFSET(BD_COMERCIAL!$FC$5,0,0,$S$26,1),"C",OFFSET(BD_COMERCIAL!$Q$5,0,0,$S$26,1),"PLD + Spread",OFFSET(BD_COMERCIAL!$I$5,0,0,$S$26,1),"Trading")-SUMIFS(OFFSET(BD_COMERCIAL!AU$5,0,0,$S$26,1),OFFSET(BD_COMERCIAL!$K$5,0,0,$S$26,1),"Conv",OFFSET(BD_COMERCIAL!$FC$5,0,0,$S$26,1),"V",OFFSET(BD_COMERCIAL!$Q$5,0,0,$S$26,1),"PLD + Spread",OFFSET(BD_COMERCIAL!$I$5,0,0,$S$26,1),"Trading")</f>
        <v>0</v>
      </c>
      <c r="AV11" s="86">
        <f ca="1">SUMIFS(OFFSET(BD_COMERCIAL!AV$5,0,0,$S$26,1),OFFSET(BD_COMERCIAL!$K$5,0,0,$S$26,1),"Conv",OFFSET(BD_COMERCIAL!$FC$5,0,0,$S$26,1),"C",OFFSET(BD_COMERCIAL!$Q$5,0,0,$S$26,1),"PLD + Spread",OFFSET(BD_COMERCIAL!$I$5,0,0,$S$26,1),"Trading")-SUMIFS(OFFSET(BD_COMERCIAL!AV$5,0,0,$S$26,1),OFFSET(BD_COMERCIAL!$K$5,0,0,$S$26,1),"Conv",OFFSET(BD_COMERCIAL!$FC$5,0,0,$S$26,1),"V",OFFSET(BD_COMERCIAL!$Q$5,0,0,$S$26,1),"PLD + Spread",OFFSET(BD_COMERCIAL!$I$5,0,0,$S$26,1),"Trading")</f>
        <v>0</v>
      </c>
      <c r="AW11" s="86">
        <f ca="1">SUMIFS(OFFSET(BD_COMERCIAL!AW$5,0,0,$S$26,1),OFFSET(BD_COMERCIAL!$K$5,0,0,$S$26,1),"Conv",OFFSET(BD_COMERCIAL!$FC$5,0,0,$S$26,1),"C",OFFSET(BD_COMERCIAL!$Q$5,0,0,$S$26,1),"PLD + Spread",OFFSET(BD_COMERCIAL!$I$5,0,0,$S$26,1),"Trading")-SUMIFS(OFFSET(BD_COMERCIAL!AW$5,0,0,$S$26,1),OFFSET(BD_COMERCIAL!$K$5,0,0,$S$26,1),"Conv",OFFSET(BD_COMERCIAL!$FC$5,0,0,$S$26,1),"V",OFFSET(BD_COMERCIAL!$Q$5,0,0,$S$26,1),"PLD + Spread",OFFSET(BD_COMERCIAL!$I$5,0,0,$S$26,1),"Trading")</f>
        <v>0</v>
      </c>
      <c r="AX11" s="86">
        <f ca="1">SUMIFS(OFFSET(BD_COMERCIAL!AX$5,0,0,$S$26,1),OFFSET(BD_COMERCIAL!$K$5,0,0,$S$26,1),"Conv",OFFSET(BD_COMERCIAL!$FC$5,0,0,$S$26,1),"C",OFFSET(BD_COMERCIAL!$Q$5,0,0,$S$26,1),"PLD + Spread",OFFSET(BD_COMERCIAL!$I$5,0,0,$S$26,1),"Trading")-SUMIFS(OFFSET(BD_COMERCIAL!AX$5,0,0,$S$26,1),OFFSET(BD_COMERCIAL!$K$5,0,0,$S$26,1),"Conv",OFFSET(BD_COMERCIAL!$FC$5,0,0,$S$26,1),"V",OFFSET(BD_COMERCIAL!$Q$5,0,0,$S$26,1),"PLD + Spread",OFFSET(BD_COMERCIAL!$I$5,0,0,$S$26,1),"Trading")</f>
        <v>0</v>
      </c>
      <c r="AY11" s="86">
        <f ca="1">SUMIFS(OFFSET(BD_COMERCIAL!AY$5,0,0,$S$26,1),OFFSET(BD_COMERCIAL!$K$5,0,0,$S$26,1),"Conv",OFFSET(BD_COMERCIAL!$FC$5,0,0,$S$26,1),"C",OFFSET(BD_COMERCIAL!$Q$5,0,0,$S$26,1),"PLD + Spread",OFFSET(BD_COMERCIAL!$I$5,0,0,$S$26,1),"Trading")-SUMIFS(OFFSET(BD_COMERCIAL!AY$5,0,0,$S$26,1),OFFSET(BD_COMERCIAL!$K$5,0,0,$S$26,1),"Conv",OFFSET(BD_COMERCIAL!$FC$5,0,0,$S$26,1),"V",OFFSET(BD_COMERCIAL!$Q$5,0,0,$S$26,1),"PLD + Spread",OFFSET(BD_COMERCIAL!$I$5,0,0,$S$26,1),"Trading")</f>
        <v>0</v>
      </c>
    </row>
    <row r="12" spans="2:51" ht="15.75" customHeight="1" thickBot="1" x14ac:dyDescent="0.4">
      <c r="B12" s="62"/>
      <c r="C12" s="62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0"/>
      <c r="X12" s="17"/>
      <c r="Y12" s="85" t="s">
        <v>51</v>
      </c>
      <c r="Z12" s="86">
        <f ca="1">SUMIFS(OFFSET(BD_COMERCIAL!AN$5,0,0,$S$26,1),OFFSET(BD_COMERCIAL!$K$5,0,0,$S$26,1),"CQI5",OFFSET(BD_COMERCIAL!$FC$5,0,0,$S$26,1),"C",OFFSET(BD_COMERCIAL!$Q$5,0,0,$S$26,1),"Fixo",OFFSET(BD_COMERCIAL!$I$5,0,0,$S$26,1),"Trading")-SUMIFS(OFFSET(BD_COMERCIAL!AN$5,0,0,$S$26,1),OFFSET(BD_COMERCIAL!$K$5,0,0,$S$26,1),"CQI5",OFFSET(BD_COMERCIAL!$FC$5,0,0,$S$26,1),"V",OFFSET(BD_COMERCIAL!$Q$5,0,0,$S$26,1),"Fixo",OFFSET(BD_COMERCIAL!$I$5,0,0,$S$26,1),"Trading")</f>
        <v>0</v>
      </c>
      <c r="AA12" s="86">
        <f ca="1">SUMIFS(OFFSET(BD_COMERCIAL!AO$5,0,0,$S$26,1),OFFSET(BD_COMERCIAL!$K$5,0,0,$S$26,1),"CQI5",OFFSET(BD_COMERCIAL!$FC$5,0,0,$S$26,1),"C",OFFSET(BD_COMERCIAL!$Q$5,0,0,$S$26,1),"Fixo",OFFSET(BD_COMERCIAL!$I$5,0,0,$S$26,1),"Trading")-SUMIFS(OFFSET(BD_COMERCIAL!AO$5,0,0,$S$26,1),OFFSET(BD_COMERCIAL!$K$5,0,0,$S$26,1),"CQI5",OFFSET(BD_COMERCIAL!$FC$5,0,0,$S$26,1),"V",OFFSET(BD_COMERCIAL!$Q$5,0,0,$S$26,1),"Fixo",OFFSET(BD_COMERCIAL!$I$5,0,0,$S$26,1),"Trading")</f>
        <v>0</v>
      </c>
      <c r="AB12" s="86">
        <f ca="1">SUMIFS(OFFSET(BD_COMERCIAL!AP$5,0,0,$S$26,1),OFFSET(BD_COMERCIAL!$K$5,0,0,$S$26,1),"CQI5",OFFSET(BD_COMERCIAL!$FC$5,0,0,$S$26,1),"C",OFFSET(BD_COMERCIAL!$Q$5,0,0,$S$26,1),"Fixo",OFFSET(BD_COMERCIAL!$I$5,0,0,$S$26,1),"Trading")-SUMIFS(OFFSET(BD_COMERCIAL!AP$5,0,0,$S$26,1),OFFSET(BD_COMERCIAL!$K$5,0,0,$S$26,1),"CQI5",OFFSET(BD_COMERCIAL!$FC$5,0,0,$S$26,1),"V",OFFSET(BD_COMERCIAL!$Q$5,0,0,$S$26,1),"Fixo",OFFSET(BD_COMERCIAL!$I$5,0,0,$S$26,1),"Trading")</f>
        <v>0</v>
      </c>
      <c r="AC12" s="86">
        <f ca="1">SUMIFS(OFFSET(BD_COMERCIAL!AQ$5,0,0,$S$26,1),OFFSET(BD_COMERCIAL!$K$5,0,0,$S$26,1),"CQI5",OFFSET(BD_COMERCIAL!$FC$5,0,0,$S$26,1),"C",OFFSET(BD_COMERCIAL!$Q$5,0,0,$S$26,1),"Fixo",OFFSET(BD_COMERCIAL!$I$5,0,0,$S$26,1),"Trading")-SUMIFS(OFFSET(BD_COMERCIAL!AQ$5,0,0,$S$26,1),OFFSET(BD_COMERCIAL!$K$5,0,0,$S$26,1),"CQI5",OFFSET(BD_COMERCIAL!$FC$5,0,0,$S$26,1),"V",OFFSET(BD_COMERCIAL!$Q$5,0,0,$S$26,1),"Fixo",OFFSET(BD_COMERCIAL!$I$5,0,0,$S$26,1),"Trading")</f>
        <v>0</v>
      </c>
      <c r="AD12" s="86">
        <f ca="1">SUMIFS(OFFSET(BD_COMERCIAL!AR$5,0,0,$S$26,1),OFFSET(BD_COMERCIAL!$K$5,0,0,$S$26,1),"CQI5",OFFSET(BD_COMERCIAL!$FC$5,0,0,$S$26,1),"C",OFFSET(BD_COMERCIAL!$Q$5,0,0,$S$26,1),"Fixo",OFFSET(BD_COMERCIAL!$I$5,0,0,$S$26,1),"Trading")-SUMIFS(OFFSET(BD_COMERCIAL!AR$5,0,0,$S$26,1),OFFSET(BD_COMERCIAL!$K$5,0,0,$S$26,1),"CQI5",OFFSET(BD_COMERCIAL!$FC$5,0,0,$S$26,1),"V",OFFSET(BD_COMERCIAL!$Q$5,0,0,$S$26,1),"Fixo",OFFSET(BD_COMERCIAL!$I$5,0,0,$S$26,1),"Trading")</f>
        <v>0</v>
      </c>
      <c r="AE12" s="86">
        <f ca="1">SUMIFS(OFFSET(BD_COMERCIAL!AS$5,0,0,$S$26,1),OFFSET(BD_COMERCIAL!$K$5,0,0,$S$26,1),"CQI5",OFFSET(BD_COMERCIAL!$FC$5,0,0,$S$26,1),"C",OFFSET(BD_COMERCIAL!$Q$5,0,0,$S$26,1),"Fixo",OFFSET(BD_COMERCIAL!$I$5,0,0,$S$26,1),"Trading")-SUMIFS(OFFSET(BD_COMERCIAL!AS$5,0,0,$S$26,1),OFFSET(BD_COMERCIAL!$K$5,0,0,$S$26,1),"CQI5",OFFSET(BD_COMERCIAL!$FC$5,0,0,$S$26,1),"V",OFFSET(BD_COMERCIAL!$Q$5,0,0,$S$26,1),"Fixo",OFFSET(BD_COMERCIAL!$I$5,0,0,$S$26,1),"Trading")</f>
        <v>0</v>
      </c>
      <c r="AF12" s="86">
        <f ca="1">SUMIFS(OFFSET(BD_COMERCIAL!AT$5,0,0,$S$26,1),OFFSET(BD_COMERCIAL!$K$5,0,0,$S$26,1),"CQI5",OFFSET(BD_COMERCIAL!$FC$5,0,0,$S$26,1),"C",OFFSET(BD_COMERCIAL!$Q$5,0,0,$S$26,1),"Fixo",OFFSET(BD_COMERCIAL!$I$5,0,0,$S$26,1),"Trading")-SUMIFS(OFFSET(BD_COMERCIAL!AT$5,0,0,$S$26,1),OFFSET(BD_COMERCIAL!$K$5,0,0,$S$26,1),"CQI5",OFFSET(BD_COMERCIAL!$FC$5,0,0,$S$26,1),"V",OFFSET(BD_COMERCIAL!$Q$5,0,0,$S$26,1),"Fixo",OFFSET(BD_COMERCIAL!$I$5,0,0,$S$26,1),"Trading")</f>
        <v>0</v>
      </c>
      <c r="AG12" s="86">
        <f ca="1">SUMIFS(OFFSET(BD_COMERCIAL!AU$5,0,0,$S$26,1),OFFSET(BD_COMERCIAL!$K$5,0,0,$S$26,1),"CQI5",OFFSET(BD_COMERCIAL!$FC$5,0,0,$S$26,1),"C",OFFSET(BD_COMERCIAL!$Q$5,0,0,$S$26,1),"Fixo",OFFSET(BD_COMERCIAL!$I$5,0,0,$S$26,1),"Trading")-SUMIFS(OFFSET(BD_COMERCIAL!AU$5,0,0,$S$26,1),OFFSET(BD_COMERCIAL!$K$5,0,0,$S$26,1),"CQI5",OFFSET(BD_COMERCIAL!$FC$5,0,0,$S$26,1),"V",OFFSET(BD_COMERCIAL!$Q$5,0,0,$S$26,1),"Fixo",OFFSET(BD_COMERCIAL!$I$5,0,0,$S$26,1),"Trading")</f>
        <v>0</v>
      </c>
      <c r="AH12" s="86">
        <f ca="1">SUMIFS(OFFSET(BD_COMERCIAL!AV$5,0,0,$S$26,1),OFFSET(BD_COMERCIAL!$K$5,0,0,$S$26,1),"CQI5",OFFSET(BD_COMERCIAL!$FC$5,0,0,$S$26,1),"C",OFFSET(BD_COMERCIAL!$Q$5,0,0,$S$26,1),"Fixo",OFFSET(BD_COMERCIAL!$I$5,0,0,$S$26,1),"Trading")-SUMIFS(OFFSET(BD_COMERCIAL!AV$5,0,0,$S$26,1),OFFSET(BD_COMERCIAL!$K$5,0,0,$S$26,1),"CQI5",OFFSET(BD_COMERCIAL!$FC$5,0,0,$S$26,1),"V",OFFSET(BD_COMERCIAL!$Q$5,0,0,$S$26,1),"Fixo",OFFSET(BD_COMERCIAL!$I$5,0,0,$S$26,1),"Trading")</f>
        <v>0</v>
      </c>
      <c r="AI12" s="86">
        <f ca="1">SUMIFS(OFFSET(BD_COMERCIAL!AW$5,0,0,$S$26,1),OFFSET(BD_COMERCIAL!$K$5,0,0,$S$26,1),"CQI5",OFFSET(BD_COMERCIAL!$FC$5,0,0,$S$26,1),"C",OFFSET(BD_COMERCIAL!$Q$5,0,0,$S$26,1),"Fixo",OFFSET(BD_COMERCIAL!$I$5,0,0,$S$26,1),"Trading")-SUMIFS(OFFSET(BD_COMERCIAL!AW$5,0,0,$S$26,1),OFFSET(BD_COMERCIAL!$K$5,0,0,$S$26,1),"CQI5",OFFSET(BD_COMERCIAL!$FC$5,0,0,$S$26,1),"V",OFFSET(BD_COMERCIAL!$Q$5,0,0,$S$26,1),"Fixo",OFFSET(BD_COMERCIAL!$I$5,0,0,$S$26,1),"Trading")</f>
        <v>0</v>
      </c>
      <c r="AJ12" s="86">
        <f ca="1">SUMIFS(OFFSET(BD_COMERCIAL!AX$5,0,0,$S$26,1),OFFSET(BD_COMERCIAL!$K$5,0,0,$S$26,1),"CQI5",OFFSET(BD_COMERCIAL!$FC$5,0,0,$S$26,1),"C",OFFSET(BD_COMERCIAL!$Q$5,0,0,$S$26,1),"Fixo",OFFSET(BD_COMERCIAL!$I$5,0,0,$S$26,1),"Trading")-SUMIFS(OFFSET(BD_COMERCIAL!AX$5,0,0,$S$26,1),OFFSET(BD_COMERCIAL!$K$5,0,0,$S$26,1),"CQI5",OFFSET(BD_COMERCIAL!$FC$5,0,0,$S$26,1),"V",OFFSET(BD_COMERCIAL!$Q$5,0,0,$S$26,1),"Fixo",OFFSET(BD_COMERCIAL!$I$5,0,0,$S$26,1),"Trading")</f>
        <v>0</v>
      </c>
      <c r="AK12" s="86">
        <f ca="1">SUMIFS(OFFSET(BD_COMERCIAL!AY$5,0,0,$S$26,1),OFFSET(BD_COMERCIAL!$K$5,0,0,$S$26,1),"CQI5",OFFSET(BD_COMERCIAL!$FC$5,0,0,$S$26,1),"C",OFFSET(BD_COMERCIAL!$Q$5,0,0,$S$26,1),"Fixo",OFFSET(BD_COMERCIAL!$I$5,0,0,$S$26,1),"Trading")-SUMIFS(OFFSET(BD_COMERCIAL!AY$5,0,0,$S$26,1),OFFSET(BD_COMERCIAL!$K$5,0,0,$S$26,1),"CQI5",OFFSET(BD_COMERCIAL!$FC$5,0,0,$S$26,1),"V",OFFSET(BD_COMERCIAL!$Q$5,0,0,$S$26,1),"Fixo",OFFSET(BD_COMERCIAL!$I$5,0,0,$S$26,1),"Trading")</f>
        <v>0</v>
      </c>
      <c r="AL12" s="17"/>
      <c r="AM12" s="85" t="s">
        <v>51</v>
      </c>
      <c r="AN12" s="86">
        <f ca="1">SUMIFS(OFFSET(BD_COMERCIAL!AN$5,0,0,$S$26,1),OFFSET(BD_COMERCIAL!$K$5,0,0,$S$26,1),"CQI5",OFFSET(BD_COMERCIAL!$FC$5,0,0,$S$26,1),"C",OFFSET(BD_COMERCIAL!$Q$5,0,0,$S$26,1),"PLD + Spread",OFFSET(BD_COMERCIAL!$I$5,0,0,$S$26,1),"Trading")-SUMIFS(OFFSET(BD_COMERCIAL!AN$5,0,0,$S$26,1),OFFSET(BD_COMERCIAL!$K$5,0,0,$S$26,1),"CQI5",OFFSET(BD_COMERCIAL!$FC$5,0,0,$S$26,1),"V",OFFSET(BD_COMERCIAL!$Q$5,0,0,$S$26,1),"PLD + Spread",OFFSET(BD_COMERCIAL!$I$5,0,0,$S$26,1),"Trading")</f>
        <v>0</v>
      </c>
      <c r="AO12" s="86">
        <f ca="1">SUMIFS(OFFSET(BD_COMERCIAL!AO$5,0,0,$S$26,1),OFFSET(BD_COMERCIAL!$K$5,0,0,$S$26,1),"CQI5",OFFSET(BD_COMERCIAL!$FC$5,0,0,$S$26,1),"C",OFFSET(BD_COMERCIAL!$Q$5,0,0,$S$26,1),"PLD + Spread",OFFSET(BD_COMERCIAL!$I$5,0,0,$S$26,1),"Trading")-SUMIFS(OFFSET(BD_COMERCIAL!AO$5,0,0,$S$26,1),OFFSET(BD_COMERCIAL!$K$5,0,0,$S$26,1),"CQI5",OFFSET(BD_COMERCIAL!$FC$5,0,0,$S$26,1),"V",OFFSET(BD_COMERCIAL!$Q$5,0,0,$S$26,1),"PLD + Spread",OFFSET(BD_COMERCIAL!$I$5,0,0,$S$26,1),"Trading")</f>
        <v>0</v>
      </c>
      <c r="AP12" s="86">
        <f ca="1">SUMIFS(OFFSET(BD_COMERCIAL!AP$5,0,0,$S$26,1),OFFSET(BD_COMERCIAL!$K$5,0,0,$S$26,1),"CQI5",OFFSET(BD_COMERCIAL!$FC$5,0,0,$S$26,1),"C",OFFSET(BD_COMERCIAL!$Q$5,0,0,$S$26,1),"PLD + Spread",OFFSET(BD_COMERCIAL!$I$5,0,0,$S$26,1),"Trading")-SUMIFS(OFFSET(BD_COMERCIAL!AP$5,0,0,$S$26,1),OFFSET(BD_COMERCIAL!$K$5,0,0,$S$26,1),"CQI5",OFFSET(BD_COMERCIAL!$FC$5,0,0,$S$26,1),"V",OFFSET(BD_COMERCIAL!$Q$5,0,0,$S$26,1),"PLD + Spread",OFFSET(BD_COMERCIAL!$I$5,0,0,$S$26,1),"Trading")</f>
        <v>0</v>
      </c>
      <c r="AQ12" s="86">
        <f ca="1">SUMIFS(OFFSET(BD_COMERCIAL!AQ$5,0,0,$S$26,1),OFFSET(BD_COMERCIAL!$K$5,0,0,$S$26,1),"CQI5",OFFSET(BD_COMERCIAL!$FC$5,0,0,$S$26,1),"C",OFFSET(BD_COMERCIAL!$Q$5,0,0,$S$26,1),"PLD + Spread",OFFSET(BD_COMERCIAL!$I$5,0,0,$S$26,1),"Trading")-SUMIFS(OFFSET(BD_COMERCIAL!AQ$5,0,0,$S$26,1),OFFSET(BD_COMERCIAL!$K$5,0,0,$S$26,1),"CQI5",OFFSET(BD_COMERCIAL!$FC$5,0,0,$S$26,1),"V",OFFSET(BD_COMERCIAL!$Q$5,0,0,$S$26,1),"PLD + Spread",OFFSET(BD_COMERCIAL!$I$5,0,0,$S$26,1),"Trading")</f>
        <v>0</v>
      </c>
      <c r="AR12" s="86">
        <f ca="1">SUMIFS(OFFSET(BD_COMERCIAL!AR$5,0,0,$S$26,1),OFFSET(BD_COMERCIAL!$K$5,0,0,$S$26,1),"CQI5",OFFSET(BD_COMERCIAL!$FC$5,0,0,$S$26,1),"C",OFFSET(BD_COMERCIAL!$Q$5,0,0,$S$26,1),"PLD + Spread",OFFSET(BD_COMERCIAL!$I$5,0,0,$S$26,1),"Trading")-SUMIFS(OFFSET(BD_COMERCIAL!AR$5,0,0,$S$26,1),OFFSET(BD_COMERCIAL!$K$5,0,0,$S$26,1),"CQI5",OFFSET(BD_COMERCIAL!$FC$5,0,0,$S$26,1),"V",OFFSET(BD_COMERCIAL!$Q$5,0,0,$S$26,1),"PLD + Spread",OFFSET(BD_COMERCIAL!$I$5,0,0,$S$26,1),"Trading")</f>
        <v>0</v>
      </c>
      <c r="AS12" s="86">
        <f ca="1">SUMIFS(OFFSET(BD_COMERCIAL!AS$5,0,0,$S$26,1),OFFSET(BD_COMERCIAL!$K$5,0,0,$S$26,1),"CQI5",OFFSET(BD_COMERCIAL!$FC$5,0,0,$S$26,1),"C",OFFSET(BD_COMERCIAL!$Q$5,0,0,$S$26,1),"PLD + Spread",OFFSET(BD_COMERCIAL!$I$5,0,0,$S$26,1),"Trading")-SUMIFS(OFFSET(BD_COMERCIAL!AS$5,0,0,$S$26,1),OFFSET(BD_COMERCIAL!$K$5,0,0,$S$26,1),"CQI5",OFFSET(BD_COMERCIAL!$FC$5,0,0,$S$26,1),"V",OFFSET(BD_COMERCIAL!$Q$5,0,0,$S$26,1),"PLD + Spread",OFFSET(BD_COMERCIAL!$I$5,0,0,$S$26,1),"Trading")</f>
        <v>0</v>
      </c>
      <c r="AT12" s="86">
        <f ca="1">SUMIFS(OFFSET(BD_COMERCIAL!AT$5,0,0,$S$26,1),OFFSET(BD_COMERCIAL!$K$5,0,0,$S$26,1),"CQI5",OFFSET(BD_COMERCIAL!$FC$5,0,0,$S$26,1),"C",OFFSET(BD_COMERCIAL!$Q$5,0,0,$S$26,1),"PLD + Spread",OFFSET(BD_COMERCIAL!$I$5,0,0,$S$26,1),"Trading")-SUMIFS(OFFSET(BD_COMERCIAL!AT$5,0,0,$S$26,1),OFFSET(BD_COMERCIAL!$K$5,0,0,$S$26,1),"CQI5",OFFSET(BD_COMERCIAL!$FC$5,0,0,$S$26,1),"V",OFFSET(BD_COMERCIAL!$Q$5,0,0,$S$26,1),"PLD + Spread",OFFSET(BD_COMERCIAL!$I$5,0,0,$S$26,1),"Trading")</f>
        <v>0</v>
      </c>
      <c r="AU12" s="86">
        <f ca="1">SUMIFS(OFFSET(BD_COMERCIAL!AU$5,0,0,$S$26,1),OFFSET(BD_COMERCIAL!$K$5,0,0,$S$26,1),"CQI5",OFFSET(BD_COMERCIAL!$FC$5,0,0,$S$26,1),"C",OFFSET(BD_COMERCIAL!$Q$5,0,0,$S$26,1),"PLD + Spread",OFFSET(BD_COMERCIAL!$I$5,0,0,$S$26,1),"Trading")-SUMIFS(OFFSET(BD_COMERCIAL!AU$5,0,0,$S$26,1),OFFSET(BD_COMERCIAL!$K$5,0,0,$S$26,1),"CQI5",OFFSET(BD_COMERCIAL!$FC$5,0,0,$S$26,1),"V",OFFSET(BD_COMERCIAL!$Q$5,0,0,$S$26,1),"PLD + Spread",OFFSET(BD_COMERCIAL!$I$5,0,0,$S$26,1),"Trading")</f>
        <v>0</v>
      </c>
      <c r="AV12" s="86">
        <f ca="1">SUMIFS(OFFSET(BD_COMERCIAL!AV$5,0,0,$S$26,1),OFFSET(BD_COMERCIAL!$K$5,0,0,$S$26,1),"CQI5",OFFSET(BD_COMERCIAL!$FC$5,0,0,$S$26,1),"C",OFFSET(BD_COMERCIAL!$Q$5,0,0,$S$26,1),"PLD + Spread",OFFSET(BD_COMERCIAL!$I$5,0,0,$S$26,1),"Trading")-SUMIFS(OFFSET(BD_COMERCIAL!AV$5,0,0,$S$26,1),OFFSET(BD_COMERCIAL!$K$5,0,0,$S$26,1),"CQI5",OFFSET(BD_COMERCIAL!$FC$5,0,0,$S$26,1),"V",OFFSET(BD_COMERCIAL!$Q$5,0,0,$S$26,1),"PLD + Spread",OFFSET(BD_COMERCIAL!$I$5,0,0,$S$26,1),"Trading")</f>
        <v>0</v>
      </c>
      <c r="AW12" s="86">
        <f ca="1">SUMIFS(OFFSET(BD_COMERCIAL!AW$5,0,0,$S$26,1),OFFSET(BD_COMERCIAL!$K$5,0,0,$S$26,1),"CQI5",OFFSET(BD_COMERCIAL!$FC$5,0,0,$S$26,1),"C",OFFSET(BD_COMERCIAL!$Q$5,0,0,$S$26,1),"PLD + Spread",OFFSET(BD_COMERCIAL!$I$5,0,0,$S$26,1),"Trading")-SUMIFS(OFFSET(BD_COMERCIAL!AW$5,0,0,$S$26,1),OFFSET(BD_COMERCIAL!$K$5,0,0,$S$26,1),"CQI5",OFFSET(BD_COMERCIAL!$FC$5,0,0,$S$26,1),"V",OFFSET(BD_COMERCIAL!$Q$5,0,0,$S$26,1),"PLD + Spread",OFFSET(BD_COMERCIAL!$I$5,0,0,$S$26,1),"Trading")</f>
        <v>0</v>
      </c>
      <c r="AX12" s="86">
        <f ca="1">SUMIFS(OFFSET(BD_COMERCIAL!AX$5,0,0,$S$26,1),OFFSET(BD_COMERCIAL!$K$5,0,0,$S$26,1),"CQI5",OFFSET(BD_COMERCIAL!$FC$5,0,0,$S$26,1),"C",OFFSET(BD_COMERCIAL!$Q$5,0,0,$S$26,1),"PLD + Spread",OFFSET(BD_COMERCIAL!$I$5,0,0,$S$26,1),"Trading")-SUMIFS(OFFSET(BD_COMERCIAL!AX$5,0,0,$S$26,1),OFFSET(BD_COMERCIAL!$K$5,0,0,$S$26,1),"CQI5",OFFSET(BD_COMERCIAL!$FC$5,0,0,$S$26,1),"V",OFFSET(BD_COMERCIAL!$Q$5,0,0,$S$26,1),"PLD + Spread",OFFSET(BD_COMERCIAL!$I$5,0,0,$S$26,1),"Trading")</f>
        <v>0</v>
      </c>
      <c r="AY12" s="86">
        <f ca="1">SUMIFS(OFFSET(BD_COMERCIAL!AY$5,0,0,$S$26,1),OFFSET(BD_COMERCIAL!$K$5,0,0,$S$26,1),"CQI5",OFFSET(BD_COMERCIAL!$FC$5,0,0,$S$26,1),"C",OFFSET(BD_COMERCIAL!$Q$5,0,0,$S$26,1),"PLD + Spread",OFFSET(BD_COMERCIAL!$I$5,0,0,$S$26,1),"Trading")-SUMIFS(OFFSET(BD_COMERCIAL!AY$5,0,0,$S$26,1),OFFSET(BD_COMERCIAL!$K$5,0,0,$S$26,1),"CQI5",OFFSET(BD_COMERCIAL!$FC$5,0,0,$S$26,1),"V",OFFSET(BD_COMERCIAL!$Q$5,0,0,$S$26,1),"PLD + Spread",OFFSET(BD_COMERCIAL!$I$5,0,0,$S$26,1),"Trading")</f>
        <v>0</v>
      </c>
    </row>
    <row r="13" spans="2:51" s="17" customFormat="1" ht="15" customHeight="1" x14ac:dyDescent="0.35">
      <c r="B13" s="295" t="s">
        <v>48</v>
      </c>
      <c r="C13" s="58" t="s">
        <v>22</v>
      </c>
      <c r="D13" s="68">
        <v>192.1</v>
      </c>
      <c r="E13" s="56">
        <f t="shared" ref="E13:O16" si="6">D13</f>
        <v>192.1</v>
      </c>
      <c r="F13" s="56">
        <f t="shared" si="6"/>
        <v>192.1</v>
      </c>
      <c r="G13" s="56">
        <f t="shared" si="6"/>
        <v>192.1</v>
      </c>
      <c r="H13" s="56">
        <f t="shared" si="6"/>
        <v>192.1</v>
      </c>
      <c r="I13" s="56">
        <f t="shared" si="6"/>
        <v>192.1</v>
      </c>
      <c r="J13" s="56">
        <f t="shared" si="6"/>
        <v>192.1</v>
      </c>
      <c r="K13" s="56">
        <f t="shared" si="6"/>
        <v>192.1</v>
      </c>
      <c r="L13" s="56">
        <f t="shared" si="6"/>
        <v>192.1</v>
      </c>
      <c r="M13" s="56">
        <f t="shared" si="6"/>
        <v>192.1</v>
      </c>
      <c r="N13" s="56">
        <f t="shared" si="6"/>
        <v>192.1</v>
      </c>
      <c r="O13" s="56">
        <f t="shared" si="6"/>
        <v>192.1</v>
      </c>
      <c r="P13" s="54">
        <f>P8+30</f>
        <v>250</v>
      </c>
      <c r="Y13" s="88" t="s">
        <v>50</v>
      </c>
      <c r="Z13" s="89">
        <f t="shared" ref="Z13:AK13" ca="1" si="7">SUM(Z14:Z16)</f>
        <v>-5</v>
      </c>
      <c r="AA13" s="89">
        <f t="shared" ca="1" si="7"/>
        <v>-5</v>
      </c>
      <c r="AB13" s="89">
        <f t="shared" ca="1" si="7"/>
        <v>-5</v>
      </c>
      <c r="AC13" s="89">
        <f t="shared" ca="1" si="7"/>
        <v>-5</v>
      </c>
      <c r="AD13" s="89">
        <f t="shared" ca="1" si="7"/>
        <v>-5</v>
      </c>
      <c r="AE13" s="89">
        <f t="shared" ca="1" si="7"/>
        <v>-5</v>
      </c>
      <c r="AF13" s="89">
        <f t="shared" ca="1" si="7"/>
        <v>-5</v>
      </c>
      <c r="AG13" s="89">
        <f t="shared" ca="1" si="7"/>
        <v>-5</v>
      </c>
      <c r="AH13" s="89">
        <f t="shared" ca="1" si="7"/>
        <v>-5</v>
      </c>
      <c r="AI13" s="89">
        <f t="shared" ca="1" si="7"/>
        <v>-5</v>
      </c>
      <c r="AJ13" s="89">
        <f t="shared" ca="1" si="7"/>
        <v>-5</v>
      </c>
      <c r="AK13" s="89">
        <f t="shared" ca="1" si="7"/>
        <v>-5</v>
      </c>
      <c r="AM13" s="88" t="s">
        <v>50</v>
      </c>
      <c r="AN13" s="89">
        <f ca="1">SUM(AN14:AN16)</f>
        <v>0</v>
      </c>
      <c r="AO13" s="89">
        <f t="shared" ref="AO13:AY13" ca="1" si="8">SUM(AO14:AO16)</f>
        <v>0</v>
      </c>
      <c r="AP13" s="89">
        <f t="shared" ca="1" si="8"/>
        <v>0</v>
      </c>
      <c r="AQ13" s="89">
        <f t="shared" ca="1" si="8"/>
        <v>0</v>
      </c>
      <c r="AR13" s="89">
        <f t="shared" ca="1" si="8"/>
        <v>0</v>
      </c>
      <c r="AS13" s="89">
        <f t="shared" ca="1" si="8"/>
        <v>0</v>
      </c>
      <c r="AT13" s="89">
        <f t="shared" ca="1" si="8"/>
        <v>0</v>
      </c>
      <c r="AU13" s="89">
        <f t="shared" ca="1" si="8"/>
        <v>0</v>
      </c>
      <c r="AV13" s="89">
        <f t="shared" ca="1" si="8"/>
        <v>0</v>
      </c>
      <c r="AW13" s="89">
        <f t="shared" ca="1" si="8"/>
        <v>0</v>
      </c>
      <c r="AX13" s="89">
        <f t="shared" ca="1" si="8"/>
        <v>0</v>
      </c>
      <c r="AY13" s="89">
        <f t="shared" ca="1" si="8"/>
        <v>0</v>
      </c>
    </row>
    <row r="14" spans="2:51" s="17" customFormat="1" ht="15" customHeight="1" x14ac:dyDescent="0.35">
      <c r="B14" s="296"/>
      <c r="C14" s="51" t="s">
        <v>27</v>
      </c>
      <c r="D14" s="67">
        <v>192.1</v>
      </c>
      <c r="E14" s="44">
        <f t="shared" si="6"/>
        <v>192.1</v>
      </c>
      <c r="F14" s="44">
        <f t="shared" si="6"/>
        <v>192.1</v>
      </c>
      <c r="G14" s="44">
        <f t="shared" si="6"/>
        <v>192.1</v>
      </c>
      <c r="H14" s="44">
        <f t="shared" si="6"/>
        <v>192.1</v>
      </c>
      <c r="I14" s="44">
        <f t="shared" si="6"/>
        <v>192.1</v>
      </c>
      <c r="J14" s="44">
        <f t="shared" si="6"/>
        <v>192.1</v>
      </c>
      <c r="K14" s="44">
        <f t="shared" si="6"/>
        <v>192.1</v>
      </c>
      <c r="L14" s="44">
        <f t="shared" si="6"/>
        <v>192.1</v>
      </c>
      <c r="M14" s="44">
        <f t="shared" si="6"/>
        <v>192.1</v>
      </c>
      <c r="N14" s="44">
        <f t="shared" si="6"/>
        <v>192.1</v>
      </c>
      <c r="O14" s="44">
        <f t="shared" si="6"/>
        <v>192.1</v>
      </c>
      <c r="P14" s="50">
        <f>P9+30</f>
        <v>250</v>
      </c>
      <c r="Y14" s="85" t="s">
        <v>49</v>
      </c>
      <c r="Z14" s="86">
        <f ca="1">SUMIFS(OFFSET(BD_COMERCIAL!AN$5,0,0,$S$26,1),OFFSET(BD_COMERCIAL!$K$5,0,0,$S$26,1),"I0",OFFSET(BD_COMERCIAL!$FC$5,0,0,$S$26,1),"C",OFFSET(BD_COMERCIAL!$Q$5,0,0,$S$26,1),"Fixo",OFFSET(BD_COMERCIAL!$I$5,0,0,$S$26,1),"Trading")-SUMIFS(OFFSET(BD_COMERCIAL!AN$5,0,0,$S$26,1),OFFSET(BD_COMERCIAL!$K$5,0,0,$S$26,1),"I0",OFFSET(BD_COMERCIAL!$FC$5,0,0,$S$26,1),"V",OFFSET(BD_COMERCIAL!$Q$5,0,0,$S$26,1),"Fixo",OFFSET(BD_COMERCIAL!$I$5,0,0,$S$26,1),"Trading")</f>
        <v>0</v>
      </c>
      <c r="AA14" s="86">
        <f ca="1">SUMIFS(OFFSET(BD_COMERCIAL!AO$5,0,0,$S$26,1),OFFSET(BD_COMERCIAL!$K$5,0,0,$S$26,1),"I0",OFFSET(BD_COMERCIAL!$FC$5,0,0,$S$26,1),"C",OFFSET(BD_COMERCIAL!$Q$5,0,0,$S$26,1),"Fixo",OFFSET(BD_COMERCIAL!$I$5,0,0,$S$26,1),"Trading")-SUMIFS(OFFSET(BD_COMERCIAL!AO$5,0,0,$S$26,1),OFFSET(BD_COMERCIAL!$K$5,0,0,$S$26,1),"I0",OFFSET(BD_COMERCIAL!$FC$5,0,0,$S$26,1),"V",OFFSET(BD_COMERCIAL!$Q$5,0,0,$S$26,1),"Fixo",OFFSET(BD_COMERCIAL!$I$5,0,0,$S$26,1),"Trading")</f>
        <v>0</v>
      </c>
      <c r="AB14" s="86">
        <f ca="1">SUMIFS(OFFSET(BD_COMERCIAL!AP$5,0,0,$S$26,1),OFFSET(BD_COMERCIAL!$K$5,0,0,$S$26,1),"I0",OFFSET(BD_COMERCIAL!$FC$5,0,0,$S$26,1),"C",OFFSET(BD_COMERCIAL!$Q$5,0,0,$S$26,1),"Fixo",OFFSET(BD_COMERCIAL!$I$5,0,0,$S$26,1),"Trading")-SUMIFS(OFFSET(BD_COMERCIAL!AP$5,0,0,$S$26,1),OFFSET(BD_COMERCIAL!$K$5,0,0,$S$26,1),"I0",OFFSET(BD_COMERCIAL!$FC$5,0,0,$S$26,1),"V",OFFSET(BD_COMERCIAL!$Q$5,0,0,$S$26,1),"Fixo",OFFSET(BD_COMERCIAL!$I$5,0,0,$S$26,1),"Trading")</f>
        <v>0</v>
      </c>
      <c r="AC14" s="86">
        <f ca="1">SUMIFS(OFFSET(BD_COMERCIAL!AQ$5,0,0,$S$26,1),OFFSET(BD_COMERCIAL!$K$5,0,0,$S$26,1),"I0",OFFSET(BD_COMERCIAL!$FC$5,0,0,$S$26,1),"C",OFFSET(BD_COMERCIAL!$Q$5,0,0,$S$26,1),"Fixo",OFFSET(BD_COMERCIAL!$I$5,0,0,$S$26,1),"Trading")-SUMIFS(OFFSET(BD_COMERCIAL!AQ$5,0,0,$S$26,1),OFFSET(BD_COMERCIAL!$K$5,0,0,$S$26,1),"I0",OFFSET(BD_COMERCIAL!$FC$5,0,0,$S$26,1),"V",OFFSET(BD_COMERCIAL!$Q$5,0,0,$S$26,1),"Fixo",OFFSET(BD_COMERCIAL!$I$5,0,0,$S$26,1),"Trading")</f>
        <v>0</v>
      </c>
      <c r="AD14" s="86">
        <f ca="1">SUMIFS(OFFSET(BD_COMERCIAL!AR$5,0,0,$S$26,1),OFFSET(BD_COMERCIAL!$K$5,0,0,$S$26,1),"I0",OFFSET(BD_COMERCIAL!$FC$5,0,0,$S$26,1),"C",OFFSET(BD_COMERCIAL!$Q$5,0,0,$S$26,1),"Fixo",OFFSET(BD_COMERCIAL!$I$5,0,0,$S$26,1),"Trading")-SUMIFS(OFFSET(BD_COMERCIAL!AR$5,0,0,$S$26,1),OFFSET(BD_COMERCIAL!$K$5,0,0,$S$26,1),"I0",OFFSET(BD_COMERCIAL!$FC$5,0,0,$S$26,1),"V",OFFSET(BD_COMERCIAL!$Q$5,0,0,$S$26,1),"Fixo",OFFSET(BD_COMERCIAL!$I$5,0,0,$S$26,1),"Trading")</f>
        <v>0</v>
      </c>
      <c r="AE14" s="86">
        <f ca="1">SUMIFS(OFFSET(BD_COMERCIAL!AS$5,0,0,$S$26,1),OFFSET(BD_COMERCIAL!$K$5,0,0,$S$26,1),"I0",OFFSET(BD_COMERCIAL!$FC$5,0,0,$S$26,1),"C",OFFSET(BD_COMERCIAL!$Q$5,0,0,$S$26,1),"Fixo",OFFSET(BD_COMERCIAL!$I$5,0,0,$S$26,1),"Trading")-SUMIFS(OFFSET(BD_COMERCIAL!AS$5,0,0,$S$26,1),OFFSET(BD_COMERCIAL!$K$5,0,0,$S$26,1),"I0",OFFSET(BD_COMERCIAL!$FC$5,0,0,$S$26,1),"V",OFFSET(BD_COMERCIAL!$Q$5,0,0,$S$26,1),"Fixo",OFFSET(BD_COMERCIAL!$I$5,0,0,$S$26,1),"Trading")</f>
        <v>0</v>
      </c>
      <c r="AF14" s="86">
        <f ca="1">SUMIFS(OFFSET(BD_COMERCIAL!AT$5,0,0,$S$26,1),OFFSET(BD_COMERCIAL!$K$5,0,0,$S$26,1),"I0",OFFSET(BD_COMERCIAL!$FC$5,0,0,$S$26,1),"C",OFFSET(BD_COMERCIAL!$Q$5,0,0,$S$26,1),"Fixo",OFFSET(BD_COMERCIAL!$I$5,0,0,$S$26,1),"Trading")-SUMIFS(OFFSET(BD_COMERCIAL!AT$5,0,0,$S$26,1),OFFSET(BD_COMERCIAL!$K$5,0,0,$S$26,1),"I0",OFFSET(BD_COMERCIAL!$FC$5,0,0,$S$26,1),"V",OFFSET(BD_COMERCIAL!$Q$5,0,0,$S$26,1),"Fixo",OFFSET(BD_COMERCIAL!$I$5,0,0,$S$26,1),"Trading")</f>
        <v>0</v>
      </c>
      <c r="AG14" s="86">
        <f ca="1">SUMIFS(OFFSET(BD_COMERCIAL!AU$5,0,0,$S$26,1),OFFSET(BD_COMERCIAL!$K$5,0,0,$S$26,1),"I0",OFFSET(BD_COMERCIAL!$FC$5,0,0,$S$26,1),"C",OFFSET(BD_COMERCIAL!$Q$5,0,0,$S$26,1),"Fixo",OFFSET(BD_COMERCIAL!$I$5,0,0,$S$26,1),"Trading")-SUMIFS(OFFSET(BD_COMERCIAL!AU$5,0,0,$S$26,1),OFFSET(BD_COMERCIAL!$K$5,0,0,$S$26,1),"I0",OFFSET(BD_COMERCIAL!$FC$5,0,0,$S$26,1),"V",OFFSET(BD_COMERCIAL!$Q$5,0,0,$S$26,1),"Fixo",OFFSET(BD_COMERCIAL!$I$5,0,0,$S$26,1),"Trading")</f>
        <v>0</v>
      </c>
      <c r="AH14" s="86">
        <f ca="1">SUMIFS(OFFSET(BD_COMERCIAL!AV$5,0,0,$S$26,1),OFFSET(BD_COMERCIAL!$K$5,0,0,$S$26,1),"I0",OFFSET(BD_COMERCIAL!$FC$5,0,0,$S$26,1),"C",OFFSET(BD_COMERCIAL!$Q$5,0,0,$S$26,1),"Fixo",OFFSET(BD_COMERCIAL!$I$5,0,0,$S$26,1),"Trading")-SUMIFS(OFFSET(BD_COMERCIAL!AV$5,0,0,$S$26,1),OFFSET(BD_COMERCIAL!$K$5,0,0,$S$26,1),"I0",OFFSET(BD_COMERCIAL!$FC$5,0,0,$S$26,1),"V",OFFSET(BD_COMERCIAL!$Q$5,0,0,$S$26,1),"Fixo",OFFSET(BD_COMERCIAL!$I$5,0,0,$S$26,1),"Trading")</f>
        <v>0</v>
      </c>
      <c r="AI14" s="86">
        <f ca="1">SUMIFS(OFFSET(BD_COMERCIAL!AW$5,0,0,$S$26,1),OFFSET(BD_COMERCIAL!$K$5,0,0,$S$26,1),"I0",OFFSET(BD_COMERCIAL!$FC$5,0,0,$S$26,1),"C",OFFSET(BD_COMERCIAL!$Q$5,0,0,$S$26,1),"Fixo",OFFSET(BD_COMERCIAL!$I$5,0,0,$S$26,1),"Trading")-SUMIFS(OFFSET(BD_COMERCIAL!AW$5,0,0,$S$26,1),OFFSET(BD_COMERCIAL!$K$5,0,0,$S$26,1),"I0",OFFSET(BD_COMERCIAL!$FC$5,0,0,$S$26,1),"V",OFFSET(BD_COMERCIAL!$Q$5,0,0,$S$26,1),"Fixo",OFFSET(BD_COMERCIAL!$I$5,0,0,$S$26,1),"Trading")</f>
        <v>0</v>
      </c>
      <c r="AJ14" s="86">
        <f ca="1">SUMIFS(OFFSET(BD_COMERCIAL!AX$5,0,0,$S$26,1),OFFSET(BD_COMERCIAL!$K$5,0,0,$S$26,1),"I0",OFFSET(BD_COMERCIAL!$FC$5,0,0,$S$26,1),"C",OFFSET(BD_COMERCIAL!$Q$5,0,0,$S$26,1),"Fixo",OFFSET(BD_COMERCIAL!$I$5,0,0,$S$26,1),"Trading")-SUMIFS(OFFSET(BD_COMERCIAL!AX$5,0,0,$S$26,1),OFFSET(BD_COMERCIAL!$K$5,0,0,$S$26,1),"I0",OFFSET(BD_COMERCIAL!$FC$5,0,0,$S$26,1),"V",OFFSET(BD_COMERCIAL!$Q$5,0,0,$S$26,1),"Fixo",OFFSET(BD_COMERCIAL!$I$5,0,0,$S$26,1),"Trading")</f>
        <v>0</v>
      </c>
      <c r="AK14" s="86">
        <f ca="1">SUMIFS(OFFSET(BD_COMERCIAL!AY$5,0,0,$S$26,1),OFFSET(BD_COMERCIAL!$K$5,0,0,$S$26,1),"I0",OFFSET(BD_COMERCIAL!$FC$5,0,0,$S$26,1),"C",OFFSET(BD_COMERCIAL!$Q$5,0,0,$S$26,1),"Fixo",OFFSET(BD_COMERCIAL!$I$5,0,0,$S$26,1),"Trading")-SUMIFS(OFFSET(BD_COMERCIAL!AY$5,0,0,$S$26,1),OFFSET(BD_COMERCIAL!$K$5,0,0,$S$26,1),"I0",OFFSET(BD_COMERCIAL!$FC$5,0,0,$S$26,1),"V",OFFSET(BD_COMERCIAL!$Q$5,0,0,$S$26,1),"Fixo",OFFSET(BD_COMERCIAL!$I$5,0,0,$S$26,1),"Trading")</f>
        <v>0</v>
      </c>
      <c r="AM14" s="85" t="s">
        <v>49</v>
      </c>
      <c r="AN14" s="86">
        <f ca="1">SUMIFS(OFFSET(BD_COMERCIAL!AN$5,0,0,$S$26,1),OFFSET(BD_COMERCIAL!$K$5,0,0,$S$26,1),"I0",OFFSET(BD_COMERCIAL!$FC$5,0,0,$S$26,1),"C",OFFSET(BD_COMERCIAL!$Q$5,0,0,$S$26,1),"PLD + Spread",OFFSET(BD_COMERCIAL!$I$5,0,0,$S$26,1),"Trading")-SUMIFS(OFFSET(BD_COMERCIAL!AN$5,0,0,$S$26,1),OFFSET(BD_COMERCIAL!$K$5,0,0,$S$26,1),"I0",OFFSET(BD_COMERCIAL!$FC$5,0,0,$S$26,1),"V",OFFSET(BD_COMERCIAL!$Q$5,0,0,$S$26,1),"PLD + Spread",OFFSET(BD_COMERCIAL!$I$5,0,0,$S$26,1),"Trading")</f>
        <v>0</v>
      </c>
      <c r="AO14" s="86">
        <f ca="1">SUMIFS(OFFSET(BD_COMERCIAL!AO$5,0,0,$S$26,1),OFFSET(BD_COMERCIAL!$K$5,0,0,$S$26,1),"I0",OFFSET(BD_COMERCIAL!$FC$5,0,0,$S$26,1),"C",OFFSET(BD_COMERCIAL!$Q$5,0,0,$S$26,1),"PLD + Spread",OFFSET(BD_COMERCIAL!$I$5,0,0,$S$26,1),"Trading")-SUMIFS(OFFSET(BD_COMERCIAL!AO$5,0,0,$S$26,1),OFFSET(BD_COMERCIAL!$K$5,0,0,$S$26,1),"I0",OFFSET(BD_COMERCIAL!$FC$5,0,0,$S$26,1),"V",OFFSET(BD_COMERCIAL!$Q$5,0,0,$S$26,1),"PLD + Spread",OFFSET(BD_COMERCIAL!$I$5,0,0,$S$26,1),"Trading")</f>
        <v>0</v>
      </c>
      <c r="AP14" s="86">
        <f ca="1">SUMIFS(OFFSET(BD_COMERCIAL!AP$5,0,0,$S$26,1),OFFSET(BD_COMERCIAL!$K$5,0,0,$S$26,1),"I0",OFFSET(BD_COMERCIAL!$FC$5,0,0,$S$26,1),"C",OFFSET(BD_COMERCIAL!$Q$5,0,0,$S$26,1),"PLD + Spread",OFFSET(BD_COMERCIAL!$I$5,0,0,$S$26,1),"Trading")-SUMIFS(OFFSET(BD_COMERCIAL!AP$5,0,0,$S$26,1),OFFSET(BD_COMERCIAL!$K$5,0,0,$S$26,1),"I0",OFFSET(BD_COMERCIAL!$FC$5,0,0,$S$26,1),"V",OFFSET(BD_COMERCIAL!$Q$5,0,0,$S$26,1),"PLD + Spread",OFFSET(BD_COMERCIAL!$I$5,0,0,$S$26,1),"Trading")</f>
        <v>0</v>
      </c>
      <c r="AQ14" s="86">
        <f ca="1">SUMIFS(OFFSET(BD_COMERCIAL!AQ$5,0,0,$S$26,1),OFFSET(BD_COMERCIAL!$K$5,0,0,$S$26,1),"I0",OFFSET(BD_COMERCIAL!$FC$5,0,0,$S$26,1),"C",OFFSET(BD_COMERCIAL!$Q$5,0,0,$S$26,1),"PLD + Spread",OFFSET(BD_COMERCIAL!$I$5,0,0,$S$26,1),"Trading")-SUMIFS(OFFSET(BD_COMERCIAL!AQ$5,0,0,$S$26,1),OFFSET(BD_COMERCIAL!$K$5,0,0,$S$26,1),"I0",OFFSET(BD_COMERCIAL!$FC$5,0,0,$S$26,1),"V",OFFSET(BD_COMERCIAL!$Q$5,0,0,$S$26,1),"PLD + Spread",OFFSET(BD_COMERCIAL!$I$5,0,0,$S$26,1),"Trading")</f>
        <v>0</v>
      </c>
      <c r="AR14" s="86">
        <f ca="1">SUMIFS(OFFSET(BD_COMERCIAL!AR$5,0,0,$S$26,1),OFFSET(BD_COMERCIAL!$K$5,0,0,$S$26,1),"I0",OFFSET(BD_COMERCIAL!$FC$5,0,0,$S$26,1),"C",OFFSET(BD_COMERCIAL!$Q$5,0,0,$S$26,1),"PLD + Spread",OFFSET(BD_COMERCIAL!$I$5,0,0,$S$26,1),"Trading")-SUMIFS(OFFSET(BD_COMERCIAL!AR$5,0,0,$S$26,1),OFFSET(BD_COMERCIAL!$K$5,0,0,$S$26,1),"I0",OFFSET(BD_COMERCIAL!$FC$5,0,0,$S$26,1),"V",OFFSET(BD_COMERCIAL!$Q$5,0,0,$S$26,1),"PLD + Spread",OFFSET(BD_COMERCIAL!$I$5,0,0,$S$26,1),"Trading")</f>
        <v>0</v>
      </c>
      <c r="AS14" s="86">
        <f ca="1">SUMIFS(OFFSET(BD_COMERCIAL!AS$5,0,0,$S$26,1),OFFSET(BD_COMERCIAL!$K$5,0,0,$S$26,1),"I0",OFFSET(BD_COMERCIAL!$FC$5,0,0,$S$26,1),"C",OFFSET(BD_COMERCIAL!$Q$5,0,0,$S$26,1),"PLD + Spread",OFFSET(BD_COMERCIAL!$I$5,0,0,$S$26,1),"Trading")-SUMIFS(OFFSET(BD_COMERCIAL!AS$5,0,0,$S$26,1),OFFSET(BD_COMERCIAL!$K$5,0,0,$S$26,1),"I0",OFFSET(BD_COMERCIAL!$FC$5,0,0,$S$26,1),"V",OFFSET(BD_COMERCIAL!$Q$5,0,0,$S$26,1),"PLD + Spread",OFFSET(BD_COMERCIAL!$I$5,0,0,$S$26,1),"Trading")</f>
        <v>0</v>
      </c>
      <c r="AT14" s="86">
        <f ca="1">SUMIFS(OFFSET(BD_COMERCIAL!AT$5,0,0,$S$26,1),OFFSET(BD_COMERCIAL!$K$5,0,0,$S$26,1),"I0",OFFSET(BD_COMERCIAL!$FC$5,0,0,$S$26,1),"C",OFFSET(BD_COMERCIAL!$Q$5,0,0,$S$26,1),"PLD + Spread",OFFSET(BD_COMERCIAL!$I$5,0,0,$S$26,1),"Trading")-SUMIFS(OFFSET(BD_COMERCIAL!AT$5,0,0,$S$26,1),OFFSET(BD_COMERCIAL!$K$5,0,0,$S$26,1),"I0",OFFSET(BD_COMERCIAL!$FC$5,0,0,$S$26,1),"V",OFFSET(BD_COMERCIAL!$Q$5,0,0,$S$26,1),"PLD + Spread",OFFSET(BD_COMERCIAL!$I$5,0,0,$S$26,1),"Trading")</f>
        <v>0</v>
      </c>
      <c r="AU14" s="86">
        <f ca="1">SUMIFS(OFFSET(BD_COMERCIAL!AU$5,0,0,$S$26,1),OFFSET(BD_COMERCIAL!$K$5,0,0,$S$26,1),"I0",OFFSET(BD_COMERCIAL!$FC$5,0,0,$S$26,1),"C",OFFSET(BD_COMERCIAL!$Q$5,0,0,$S$26,1),"PLD + Spread",OFFSET(BD_COMERCIAL!$I$5,0,0,$S$26,1),"Trading")-SUMIFS(OFFSET(BD_COMERCIAL!AU$5,0,0,$S$26,1),OFFSET(BD_COMERCIAL!$K$5,0,0,$S$26,1),"I0",OFFSET(BD_COMERCIAL!$FC$5,0,0,$S$26,1),"V",OFFSET(BD_COMERCIAL!$Q$5,0,0,$S$26,1),"PLD + Spread",OFFSET(BD_COMERCIAL!$I$5,0,0,$S$26,1),"Trading")</f>
        <v>0</v>
      </c>
      <c r="AV14" s="86">
        <f ca="1">SUMIFS(OFFSET(BD_COMERCIAL!AV$5,0,0,$S$26,1),OFFSET(BD_COMERCIAL!$K$5,0,0,$S$26,1),"I0",OFFSET(BD_COMERCIAL!$FC$5,0,0,$S$26,1),"C",OFFSET(BD_COMERCIAL!$Q$5,0,0,$S$26,1),"PLD + Spread",OFFSET(BD_COMERCIAL!$I$5,0,0,$S$26,1),"Trading")-SUMIFS(OFFSET(BD_COMERCIAL!AV$5,0,0,$S$26,1),OFFSET(BD_COMERCIAL!$K$5,0,0,$S$26,1),"I0",OFFSET(BD_COMERCIAL!$FC$5,0,0,$S$26,1),"V",OFFSET(BD_COMERCIAL!$Q$5,0,0,$S$26,1),"PLD + Spread",OFFSET(BD_COMERCIAL!$I$5,0,0,$S$26,1),"Trading")</f>
        <v>0</v>
      </c>
      <c r="AW14" s="86">
        <f ca="1">SUMIFS(OFFSET(BD_COMERCIAL!AW$5,0,0,$S$26,1),OFFSET(BD_COMERCIAL!$K$5,0,0,$S$26,1),"I0",OFFSET(BD_COMERCIAL!$FC$5,0,0,$S$26,1),"C",OFFSET(BD_COMERCIAL!$Q$5,0,0,$S$26,1),"PLD + Spread",OFFSET(BD_COMERCIAL!$I$5,0,0,$S$26,1),"Trading")-SUMIFS(OFFSET(BD_COMERCIAL!AW$5,0,0,$S$26,1),OFFSET(BD_COMERCIAL!$K$5,0,0,$S$26,1),"I0",OFFSET(BD_COMERCIAL!$FC$5,0,0,$S$26,1),"V",OFFSET(BD_COMERCIAL!$Q$5,0,0,$S$26,1),"PLD + Spread",OFFSET(BD_COMERCIAL!$I$5,0,0,$S$26,1),"Trading")</f>
        <v>0</v>
      </c>
      <c r="AX14" s="86">
        <f ca="1">SUMIFS(OFFSET(BD_COMERCIAL!AX$5,0,0,$S$26,1),OFFSET(BD_COMERCIAL!$K$5,0,0,$S$26,1),"I0",OFFSET(BD_COMERCIAL!$FC$5,0,0,$S$26,1),"C",OFFSET(BD_COMERCIAL!$Q$5,0,0,$S$26,1),"PLD + Spread",OFFSET(BD_COMERCIAL!$I$5,0,0,$S$26,1),"Trading")-SUMIFS(OFFSET(BD_COMERCIAL!AX$5,0,0,$S$26,1),OFFSET(BD_COMERCIAL!$K$5,0,0,$S$26,1),"I0",OFFSET(BD_COMERCIAL!$FC$5,0,0,$S$26,1),"V",OFFSET(BD_COMERCIAL!$Q$5,0,0,$S$26,1),"PLD + Spread",OFFSET(BD_COMERCIAL!$I$5,0,0,$S$26,1),"Trading")</f>
        <v>0</v>
      </c>
      <c r="AY14" s="86">
        <f ca="1">SUMIFS(OFFSET(BD_COMERCIAL!AY$5,0,0,$S$26,1),OFFSET(BD_COMERCIAL!$K$5,0,0,$S$26,1),"I0",OFFSET(BD_COMERCIAL!$FC$5,0,0,$S$26,1),"C",OFFSET(BD_COMERCIAL!$Q$5,0,0,$S$26,1),"PLD + Spread",OFFSET(BD_COMERCIAL!$I$5,0,0,$S$26,1),"Trading")-SUMIFS(OFFSET(BD_COMERCIAL!AY$5,0,0,$S$26,1),OFFSET(BD_COMERCIAL!$K$5,0,0,$S$26,1),"I0",OFFSET(BD_COMERCIAL!$FC$5,0,0,$S$26,1),"V",OFFSET(BD_COMERCIAL!$Q$5,0,0,$S$26,1),"PLD + Spread",OFFSET(BD_COMERCIAL!$I$5,0,0,$S$26,1),"Trading")</f>
        <v>0</v>
      </c>
    </row>
    <row r="15" spans="2:51" s="17" customFormat="1" ht="15" customHeight="1" x14ac:dyDescent="0.35">
      <c r="B15" s="296"/>
      <c r="C15" s="46" t="s">
        <v>26</v>
      </c>
      <c r="D15" s="67">
        <v>84.76</v>
      </c>
      <c r="E15" s="44">
        <f t="shared" si="6"/>
        <v>84.76</v>
      </c>
      <c r="F15" s="44">
        <f t="shared" si="6"/>
        <v>84.76</v>
      </c>
      <c r="G15" s="44">
        <f t="shared" si="6"/>
        <v>84.76</v>
      </c>
      <c r="H15" s="44">
        <f t="shared" si="6"/>
        <v>84.76</v>
      </c>
      <c r="I15" s="44">
        <f t="shared" si="6"/>
        <v>84.76</v>
      </c>
      <c r="J15" s="44">
        <f t="shared" si="6"/>
        <v>84.76</v>
      </c>
      <c r="K15" s="44">
        <f t="shared" si="6"/>
        <v>84.76</v>
      </c>
      <c r="L15" s="44">
        <f t="shared" si="6"/>
        <v>84.76</v>
      </c>
      <c r="M15" s="44">
        <f t="shared" si="6"/>
        <v>84.76</v>
      </c>
      <c r="N15" s="44">
        <f t="shared" si="6"/>
        <v>84.76</v>
      </c>
      <c r="O15" s="66">
        <f t="shared" si="6"/>
        <v>84.76</v>
      </c>
      <c r="P15" s="43">
        <f>P10+30</f>
        <v>250</v>
      </c>
      <c r="Y15" s="85" t="s">
        <v>47</v>
      </c>
      <c r="Z15" s="86">
        <f ca="1">SUMIFS(OFFSET(BD_COMERCIAL!AN$5,0,0,$S$26,1),OFFSET(BD_COMERCIAL!$K$5,0,0,$S$26,1),"I5",OFFSET(BD_COMERCIAL!$FC$5,0,0,$S$26,1),"C",OFFSET(BD_COMERCIAL!$Q$5,0,0,$S$26,1),"Fixo",OFFSET(BD_COMERCIAL!$I$5,0,0,$S$26,1),"Trading")-SUMIFS(OFFSET(BD_COMERCIAL!AN$5,0,0,$S$26,1),OFFSET(BD_COMERCIAL!$K$5,0,0,$S$26,1),"I5",OFFSET(BD_COMERCIAL!$FC$5,0,0,$S$26,1),"V",OFFSET(BD_COMERCIAL!$Q$5,0,0,$S$26,1),"Fixo",OFFSET(BD_COMERCIAL!$I$5,0,0,$S$26,1),"Trading")</f>
        <v>-5</v>
      </c>
      <c r="AA15" s="86">
        <f ca="1">SUMIFS(OFFSET(BD_COMERCIAL!AO$5,0,0,$S$26,1),OFFSET(BD_COMERCIAL!$K$5,0,0,$S$26,1),"I5",OFFSET(BD_COMERCIAL!$FC$5,0,0,$S$26,1),"C",OFFSET(BD_COMERCIAL!$Q$5,0,0,$S$26,1),"Fixo",OFFSET(BD_COMERCIAL!$I$5,0,0,$S$26,1),"Trading")-SUMIFS(OFFSET(BD_COMERCIAL!AO$5,0,0,$S$26,1),OFFSET(BD_COMERCIAL!$K$5,0,0,$S$26,1),"I5",OFFSET(BD_COMERCIAL!$FC$5,0,0,$S$26,1),"V",OFFSET(BD_COMERCIAL!$Q$5,0,0,$S$26,1),"Fixo",OFFSET(BD_COMERCIAL!$I$5,0,0,$S$26,1),"Trading")</f>
        <v>-5</v>
      </c>
      <c r="AB15" s="86">
        <f ca="1">SUMIFS(OFFSET(BD_COMERCIAL!AP$5,0,0,$S$26,1),OFFSET(BD_COMERCIAL!$K$5,0,0,$S$26,1),"I5",OFFSET(BD_COMERCIAL!$FC$5,0,0,$S$26,1),"C",OFFSET(BD_COMERCIAL!$Q$5,0,0,$S$26,1),"Fixo",OFFSET(BD_COMERCIAL!$I$5,0,0,$S$26,1),"Trading")-SUMIFS(OFFSET(BD_COMERCIAL!AP$5,0,0,$S$26,1),OFFSET(BD_COMERCIAL!$K$5,0,0,$S$26,1),"I5",OFFSET(BD_COMERCIAL!$FC$5,0,0,$S$26,1),"V",OFFSET(BD_COMERCIAL!$Q$5,0,0,$S$26,1),"Fixo",OFFSET(BD_COMERCIAL!$I$5,0,0,$S$26,1),"Trading")</f>
        <v>-5</v>
      </c>
      <c r="AC15" s="86">
        <f ca="1">SUMIFS(OFFSET(BD_COMERCIAL!AQ$5,0,0,$S$26,1),OFFSET(BD_COMERCIAL!$K$5,0,0,$S$26,1),"I5",OFFSET(BD_COMERCIAL!$FC$5,0,0,$S$26,1),"C",OFFSET(BD_COMERCIAL!$Q$5,0,0,$S$26,1),"Fixo",OFFSET(BD_COMERCIAL!$I$5,0,0,$S$26,1),"Trading")-SUMIFS(OFFSET(BD_COMERCIAL!AQ$5,0,0,$S$26,1),OFFSET(BD_COMERCIAL!$K$5,0,0,$S$26,1),"I5",OFFSET(BD_COMERCIAL!$FC$5,0,0,$S$26,1),"V",OFFSET(BD_COMERCIAL!$Q$5,0,0,$S$26,1),"Fixo",OFFSET(BD_COMERCIAL!$I$5,0,0,$S$26,1),"Trading")</f>
        <v>-5</v>
      </c>
      <c r="AD15" s="86">
        <f ca="1">SUMIFS(OFFSET(BD_COMERCIAL!AR$5,0,0,$S$26,1),OFFSET(BD_COMERCIAL!$K$5,0,0,$S$26,1),"I5",OFFSET(BD_COMERCIAL!$FC$5,0,0,$S$26,1),"C",OFFSET(BD_COMERCIAL!$Q$5,0,0,$S$26,1),"Fixo",OFFSET(BD_COMERCIAL!$I$5,0,0,$S$26,1),"Trading")-SUMIFS(OFFSET(BD_COMERCIAL!AR$5,0,0,$S$26,1),OFFSET(BD_COMERCIAL!$K$5,0,0,$S$26,1),"I5",OFFSET(BD_COMERCIAL!$FC$5,0,0,$S$26,1),"V",OFFSET(BD_COMERCIAL!$Q$5,0,0,$S$26,1),"Fixo",OFFSET(BD_COMERCIAL!$I$5,0,0,$S$26,1),"Trading")</f>
        <v>-5</v>
      </c>
      <c r="AE15" s="86">
        <f ca="1">SUMIFS(OFFSET(BD_COMERCIAL!AS$5,0,0,$S$26,1),OFFSET(BD_COMERCIAL!$K$5,0,0,$S$26,1),"I5",OFFSET(BD_COMERCIAL!$FC$5,0,0,$S$26,1),"C",OFFSET(BD_COMERCIAL!$Q$5,0,0,$S$26,1),"Fixo",OFFSET(BD_COMERCIAL!$I$5,0,0,$S$26,1),"Trading")-SUMIFS(OFFSET(BD_COMERCIAL!AS$5,0,0,$S$26,1),OFFSET(BD_COMERCIAL!$K$5,0,0,$S$26,1),"I5",OFFSET(BD_COMERCIAL!$FC$5,0,0,$S$26,1),"V",OFFSET(BD_COMERCIAL!$Q$5,0,0,$S$26,1),"Fixo",OFFSET(BD_COMERCIAL!$I$5,0,0,$S$26,1),"Trading")</f>
        <v>-5</v>
      </c>
      <c r="AF15" s="86">
        <f ca="1">SUMIFS(OFFSET(BD_COMERCIAL!AT$5,0,0,$S$26,1),OFFSET(BD_COMERCIAL!$K$5,0,0,$S$26,1),"I5",OFFSET(BD_COMERCIAL!$FC$5,0,0,$S$26,1),"C",OFFSET(BD_COMERCIAL!$Q$5,0,0,$S$26,1),"Fixo",OFFSET(BD_COMERCIAL!$I$5,0,0,$S$26,1),"Trading")-SUMIFS(OFFSET(BD_COMERCIAL!AT$5,0,0,$S$26,1),OFFSET(BD_COMERCIAL!$K$5,0,0,$S$26,1),"I5",OFFSET(BD_COMERCIAL!$FC$5,0,0,$S$26,1),"V",OFFSET(BD_COMERCIAL!$Q$5,0,0,$S$26,1),"Fixo",OFFSET(BD_COMERCIAL!$I$5,0,0,$S$26,1),"Trading")</f>
        <v>-5</v>
      </c>
      <c r="AG15" s="86">
        <f ca="1">SUMIFS(OFFSET(BD_COMERCIAL!AU$5,0,0,$S$26,1),OFFSET(BD_COMERCIAL!$K$5,0,0,$S$26,1),"I5",OFFSET(BD_COMERCIAL!$FC$5,0,0,$S$26,1),"C",OFFSET(BD_COMERCIAL!$Q$5,0,0,$S$26,1),"Fixo",OFFSET(BD_COMERCIAL!$I$5,0,0,$S$26,1),"Trading")-SUMIFS(OFFSET(BD_COMERCIAL!AU$5,0,0,$S$26,1),OFFSET(BD_COMERCIAL!$K$5,0,0,$S$26,1),"I5",OFFSET(BD_COMERCIAL!$FC$5,0,0,$S$26,1),"V",OFFSET(BD_COMERCIAL!$Q$5,0,0,$S$26,1),"Fixo",OFFSET(BD_COMERCIAL!$I$5,0,0,$S$26,1),"Trading")</f>
        <v>-5</v>
      </c>
      <c r="AH15" s="86">
        <f ca="1">SUMIFS(OFFSET(BD_COMERCIAL!AV$5,0,0,$S$26,1),OFFSET(BD_COMERCIAL!$K$5,0,0,$S$26,1),"I5",OFFSET(BD_COMERCIAL!$FC$5,0,0,$S$26,1),"C",OFFSET(BD_COMERCIAL!$Q$5,0,0,$S$26,1),"Fixo",OFFSET(BD_COMERCIAL!$I$5,0,0,$S$26,1),"Trading")-SUMIFS(OFFSET(BD_COMERCIAL!AV$5,0,0,$S$26,1),OFFSET(BD_COMERCIAL!$K$5,0,0,$S$26,1),"I5",OFFSET(BD_COMERCIAL!$FC$5,0,0,$S$26,1),"V",OFFSET(BD_COMERCIAL!$Q$5,0,0,$S$26,1),"Fixo",OFFSET(BD_COMERCIAL!$I$5,0,0,$S$26,1),"Trading")</f>
        <v>-5</v>
      </c>
      <c r="AI15" s="86">
        <f ca="1">SUMIFS(OFFSET(BD_COMERCIAL!AW$5,0,0,$S$26,1),OFFSET(BD_COMERCIAL!$K$5,0,0,$S$26,1),"I5",OFFSET(BD_COMERCIAL!$FC$5,0,0,$S$26,1),"C",OFFSET(BD_COMERCIAL!$Q$5,0,0,$S$26,1),"Fixo",OFFSET(BD_COMERCIAL!$I$5,0,0,$S$26,1),"Trading")-SUMIFS(OFFSET(BD_COMERCIAL!AW$5,0,0,$S$26,1),OFFSET(BD_COMERCIAL!$K$5,0,0,$S$26,1),"I5",OFFSET(BD_COMERCIAL!$FC$5,0,0,$S$26,1),"V",OFFSET(BD_COMERCIAL!$Q$5,0,0,$S$26,1),"Fixo",OFFSET(BD_COMERCIAL!$I$5,0,0,$S$26,1),"Trading")</f>
        <v>-5</v>
      </c>
      <c r="AJ15" s="86">
        <f ca="1">SUMIFS(OFFSET(BD_COMERCIAL!AX$5,0,0,$S$26,1),OFFSET(BD_COMERCIAL!$K$5,0,0,$S$26,1),"I5",OFFSET(BD_COMERCIAL!$FC$5,0,0,$S$26,1),"C",OFFSET(BD_COMERCIAL!$Q$5,0,0,$S$26,1),"Fixo",OFFSET(BD_COMERCIAL!$I$5,0,0,$S$26,1),"Trading")-SUMIFS(OFFSET(BD_COMERCIAL!AX$5,0,0,$S$26,1),OFFSET(BD_COMERCIAL!$K$5,0,0,$S$26,1),"I5",OFFSET(BD_COMERCIAL!$FC$5,0,0,$S$26,1),"V",OFFSET(BD_COMERCIAL!$Q$5,0,0,$S$26,1),"Fixo",OFFSET(BD_COMERCIAL!$I$5,0,0,$S$26,1),"Trading")</f>
        <v>-5</v>
      </c>
      <c r="AK15" s="86">
        <f ca="1">SUMIFS(OFFSET(BD_COMERCIAL!AY$5,0,0,$S$26,1),OFFSET(BD_COMERCIAL!$K$5,0,0,$S$26,1),"I5",OFFSET(BD_COMERCIAL!$FC$5,0,0,$S$26,1),"C",OFFSET(BD_COMERCIAL!$Q$5,0,0,$S$26,1),"Fixo",OFFSET(BD_COMERCIAL!$I$5,0,0,$S$26,1),"Trading")-SUMIFS(OFFSET(BD_COMERCIAL!AY$5,0,0,$S$26,1),OFFSET(BD_COMERCIAL!$K$5,0,0,$S$26,1),"I5",OFFSET(BD_COMERCIAL!$FC$5,0,0,$S$26,1),"V",OFFSET(BD_COMERCIAL!$Q$5,0,0,$S$26,1),"Fixo",OFFSET(BD_COMERCIAL!$I$5,0,0,$S$26,1),"Trading")</f>
        <v>-5</v>
      </c>
      <c r="AL15" s="21"/>
      <c r="AM15" s="85" t="s">
        <v>47</v>
      </c>
      <c r="AN15" s="86">
        <f ca="1">SUMIFS(OFFSET(BD_COMERCIAL!AN$5,0,0,$S$26,1),OFFSET(BD_COMERCIAL!$K$5,0,0,$S$26,1),"I5",OFFSET(BD_COMERCIAL!$FC$5,0,0,$S$26,1),"C",OFFSET(BD_COMERCIAL!$Q$5,0,0,$S$26,1),"PLD + Spread",OFFSET(BD_COMERCIAL!$I$5,0,0,$S$26,1),"Trading")-SUMIFS(OFFSET(BD_COMERCIAL!AN$5,0,0,$S$26,1),OFFSET(BD_COMERCIAL!$K$5,0,0,$S$26,1),"I5",OFFSET(BD_COMERCIAL!$FC$5,0,0,$S$26,1),"V",OFFSET(BD_COMERCIAL!$Q$5,0,0,$S$26,1),"PLD + Spread",OFFSET(BD_COMERCIAL!$I$5,0,0,$S$26,1),"Trading")</f>
        <v>0</v>
      </c>
      <c r="AO15" s="86">
        <f ca="1">SUMIFS(OFFSET(BD_COMERCIAL!AO$5,0,0,$S$26,1),OFFSET(BD_COMERCIAL!$K$5,0,0,$S$26,1),"I5",OFFSET(BD_COMERCIAL!$FC$5,0,0,$S$26,1),"C",OFFSET(BD_COMERCIAL!$Q$5,0,0,$S$26,1),"PLD + Spread",OFFSET(BD_COMERCIAL!$I$5,0,0,$S$26,1),"Trading")-SUMIFS(OFFSET(BD_COMERCIAL!AO$5,0,0,$S$26,1),OFFSET(BD_COMERCIAL!$K$5,0,0,$S$26,1),"I5",OFFSET(BD_COMERCIAL!$FC$5,0,0,$S$26,1),"V",OFFSET(BD_COMERCIAL!$Q$5,0,0,$S$26,1),"PLD + Spread",OFFSET(BD_COMERCIAL!$I$5,0,0,$S$26,1),"Trading")</f>
        <v>0</v>
      </c>
      <c r="AP15" s="86">
        <f ca="1">SUMIFS(OFFSET(BD_COMERCIAL!AP$5,0,0,$S$26,1),OFFSET(BD_COMERCIAL!$K$5,0,0,$S$26,1),"I5",OFFSET(BD_COMERCIAL!$FC$5,0,0,$S$26,1),"C",OFFSET(BD_COMERCIAL!$Q$5,0,0,$S$26,1),"PLD + Spread",OFFSET(BD_COMERCIAL!$I$5,0,0,$S$26,1),"Trading")-SUMIFS(OFFSET(BD_COMERCIAL!AP$5,0,0,$S$26,1),OFFSET(BD_COMERCIAL!$K$5,0,0,$S$26,1),"I5",OFFSET(BD_COMERCIAL!$FC$5,0,0,$S$26,1),"V",OFFSET(BD_COMERCIAL!$Q$5,0,0,$S$26,1),"PLD + Spread",OFFSET(BD_COMERCIAL!$I$5,0,0,$S$26,1),"Trading")</f>
        <v>0</v>
      </c>
      <c r="AQ15" s="86">
        <f ca="1">SUMIFS(OFFSET(BD_COMERCIAL!AQ$5,0,0,$S$26,1),OFFSET(BD_COMERCIAL!$K$5,0,0,$S$26,1),"I5",OFFSET(BD_COMERCIAL!$FC$5,0,0,$S$26,1),"C",OFFSET(BD_COMERCIAL!$Q$5,0,0,$S$26,1),"PLD + Spread",OFFSET(BD_COMERCIAL!$I$5,0,0,$S$26,1),"Trading")-SUMIFS(OFFSET(BD_COMERCIAL!AQ$5,0,0,$S$26,1),OFFSET(BD_COMERCIAL!$K$5,0,0,$S$26,1),"I5",OFFSET(BD_COMERCIAL!$FC$5,0,0,$S$26,1),"V",OFFSET(BD_COMERCIAL!$Q$5,0,0,$S$26,1),"PLD + Spread",OFFSET(BD_COMERCIAL!$I$5,0,0,$S$26,1),"Trading")</f>
        <v>0</v>
      </c>
      <c r="AR15" s="86">
        <f ca="1">SUMIFS(OFFSET(BD_COMERCIAL!AR$5,0,0,$S$26,1),OFFSET(BD_COMERCIAL!$K$5,0,0,$S$26,1),"I5",OFFSET(BD_COMERCIAL!$FC$5,0,0,$S$26,1),"C",OFFSET(BD_COMERCIAL!$Q$5,0,0,$S$26,1),"PLD + Spread",OFFSET(BD_COMERCIAL!$I$5,0,0,$S$26,1),"Trading")-SUMIFS(OFFSET(BD_COMERCIAL!AR$5,0,0,$S$26,1),OFFSET(BD_COMERCIAL!$K$5,0,0,$S$26,1),"I5",OFFSET(BD_COMERCIAL!$FC$5,0,0,$S$26,1),"V",OFFSET(BD_COMERCIAL!$Q$5,0,0,$S$26,1),"PLD + Spread",OFFSET(BD_COMERCIAL!$I$5,0,0,$S$26,1),"Trading")</f>
        <v>0</v>
      </c>
      <c r="AS15" s="86">
        <f ca="1">SUMIFS(OFFSET(BD_COMERCIAL!AS$5,0,0,$S$26,1),OFFSET(BD_COMERCIAL!$K$5,0,0,$S$26,1),"I5",OFFSET(BD_COMERCIAL!$FC$5,0,0,$S$26,1),"C",OFFSET(BD_COMERCIAL!$Q$5,0,0,$S$26,1),"PLD + Spread",OFFSET(BD_COMERCIAL!$I$5,0,0,$S$26,1),"Trading")-SUMIFS(OFFSET(BD_COMERCIAL!AS$5,0,0,$S$26,1),OFFSET(BD_COMERCIAL!$K$5,0,0,$S$26,1),"I5",OFFSET(BD_COMERCIAL!$FC$5,0,0,$S$26,1),"V",OFFSET(BD_COMERCIAL!$Q$5,0,0,$S$26,1),"PLD + Spread",OFFSET(BD_COMERCIAL!$I$5,0,0,$S$26,1),"Trading")</f>
        <v>0</v>
      </c>
      <c r="AT15" s="86">
        <f ca="1">SUMIFS(OFFSET(BD_COMERCIAL!AT$5,0,0,$S$26,1),OFFSET(BD_COMERCIAL!$K$5,0,0,$S$26,1),"I5",OFFSET(BD_COMERCIAL!$FC$5,0,0,$S$26,1),"C",OFFSET(BD_COMERCIAL!$Q$5,0,0,$S$26,1),"PLD + Spread",OFFSET(BD_COMERCIAL!$I$5,0,0,$S$26,1),"Trading")-SUMIFS(OFFSET(BD_COMERCIAL!AT$5,0,0,$S$26,1),OFFSET(BD_COMERCIAL!$K$5,0,0,$S$26,1),"I5",OFFSET(BD_COMERCIAL!$FC$5,0,0,$S$26,1),"V",OFFSET(BD_COMERCIAL!$Q$5,0,0,$S$26,1),"PLD + Spread",OFFSET(BD_COMERCIAL!$I$5,0,0,$S$26,1),"Trading")</f>
        <v>0</v>
      </c>
      <c r="AU15" s="86">
        <f ca="1">SUMIFS(OFFSET(BD_COMERCIAL!AU$5,0,0,$S$26,1),OFFSET(BD_COMERCIAL!$K$5,0,0,$S$26,1),"I5",OFFSET(BD_COMERCIAL!$FC$5,0,0,$S$26,1),"C",OFFSET(BD_COMERCIAL!$Q$5,0,0,$S$26,1),"PLD + Spread",OFFSET(BD_COMERCIAL!$I$5,0,0,$S$26,1),"Trading")-SUMIFS(OFFSET(BD_COMERCIAL!AU$5,0,0,$S$26,1),OFFSET(BD_COMERCIAL!$K$5,0,0,$S$26,1),"I5",OFFSET(BD_COMERCIAL!$FC$5,0,0,$S$26,1),"V",OFFSET(BD_COMERCIAL!$Q$5,0,0,$S$26,1),"PLD + Spread",OFFSET(BD_COMERCIAL!$I$5,0,0,$S$26,1),"Trading")</f>
        <v>0</v>
      </c>
      <c r="AV15" s="86">
        <f ca="1">SUMIFS(OFFSET(BD_COMERCIAL!AV$5,0,0,$S$26,1),OFFSET(BD_COMERCIAL!$K$5,0,0,$S$26,1),"I5",OFFSET(BD_COMERCIAL!$FC$5,0,0,$S$26,1),"C",OFFSET(BD_COMERCIAL!$Q$5,0,0,$S$26,1),"PLD + Spread",OFFSET(BD_COMERCIAL!$I$5,0,0,$S$26,1),"Trading")-SUMIFS(OFFSET(BD_COMERCIAL!AV$5,0,0,$S$26,1),OFFSET(BD_COMERCIAL!$K$5,0,0,$S$26,1),"I5",OFFSET(BD_COMERCIAL!$FC$5,0,0,$S$26,1),"V",OFFSET(BD_COMERCIAL!$Q$5,0,0,$S$26,1),"PLD + Spread",OFFSET(BD_COMERCIAL!$I$5,0,0,$S$26,1),"Trading")</f>
        <v>0</v>
      </c>
      <c r="AW15" s="86">
        <f ca="1">SUMIFS(OFFSET(BD_COMERCIAL!AW$5,0,0,$S$26,1),OFFSET(BD_COMERCIAL!$K$5,0,0,$S$26,1),"I5",OFFSET(BD_COMERCIAL!$FC$5,0,0,$S$26,1),"C",OFFSET(BD_COMERCIAL!$Q$5,0,0,$S$26,1),"PLD + Spread",OFFSET(BD_COMERCIAL!$I$5,0,0,$S$26,1),"Trading")-SUMIFS(OFFSET(BD_COMERCIAL!AW$5,0,0,$S$26,1),OFFSET(BD_COMERCIAL!$K$5,0,0,$S$26,1),"I5",OFFSET(BD_COMERCIAL!$FC$5,0,0,$S$26,1),"V",OFFSET(BD_COMERCIAL!$Q$5,0,0,$S$26,1),"PLD + Spread",OFFSET(BD_COMERCIAL!$I$5,0,0,$S$26,1),"Trading")</f>
        <v>0</v>
      </c>
      <c r="AX15" s="86">
        <f ca="1">SUMIFS(OFFSET(BD_COMERCIAL!AX$5,0,0,$S$26,1),OFFSET(BD_COMERCIAL!$K$5,0,0,$S$26,1),"I5",OFFSET(BD_COMERCIAL!$FC$5,0,0,$S$26,1),"C",OFFSET(BD_COMERCIAL!$Q$5,0,0,$S$26,1),"PLD + Spread",OFFSET(BD_COMERCIAL!$I$5,0,0,$S$26,1),"Trading")-SUMIFS(OFFSET(BD_COMERCIAL!AX$5,0,0,$S$26,1),OFFSET(BD_COMERCIAL!$K$5,0,0,$S$26,1),"I5",OFFSET(BD_COMERCIAL!$FC$5,0,0,$S$26,1),"V",OFFSET(BD_COMERCIAL!$Q$5,0,0,$S$26,1),"PLD + Spread",OFFSET(BD_COMERCIAL!$I$5,0,0,$S$26,1),"Trading")</f>
        <v>0</v>
      </c>
      <c r="AY15" s="86">
        <f ca="1">SUMIFS(OFFSET(BD_COMERCIAL!AY$5,0,0,$S$26,1),OFFSET(BD_COMERCIAL!$K$5,0,0,$S$26,1),"I5",OFFSET(BD_COMERCIAL!$FC$5,0,0,$S$26,1),"C",OFFSET(BD_COMERCIAL!$Q$5,0,0,$S$26,1),"PLD + Spread",OFFSET(BD_COMERCIAL!$I$5,0,0,$S$26,1),"Trading")-SUMIFS(OFFSET(BD_COMERCIAL!AY$5,0,0,$S$26,1),OFFSET(BD_COMERCIAL!$K$5,0,0,$S$26,1),"I5",OFFSET(BD_COMERCIAL!$FC$5,0,0,$S$26,1),"V",OFFSET(BD_COMERCIAL!$Q$5,0,0,$S$26,1),"PLD + Spread",OFFSET(BD_COMERCIAL!$I$5,0,0,$S$26,1),"Trading")</f>
        <v>0</v>
      </c>
    </row>
    <row r="16" spans="2:51" s="17" customFormat="1" ht="15" customHeight="1" thickBot="1" x14ac:dyDescent="0.4">
      <c r="B16" s="297"/>
      <c r="C16" s="40" t="s">
        <v>25</v>
      </c>
      <c r="D16" s="64">
        <v>74.19</v>
      </c>
      <c r="E16" s="39">
        <f t="shared" si="6"/>
        <v>74.19</v>
      </c>
      <c r="F16" s="39">
        <f t="shared" si="6"/>
        <v>74.19</v>
      </c>
      <c r="G16" s="39">
        <f t="shared" si="6"/>
        <v>74.19</v>
      </c>
      <c r="H16" s="39">
        <f t="shared" si="6"/>
        <v>74.19</v>
      </c>
      <c r="I16" s="39">
        <f t="shared" si="6"/>
        <v>74.19</v>
      </c>
      <c r="J16" s="39">
        <f t="shared" si="6"/>
        <v>74.19</v>
      </c>
      <c r="K16" s="39">
        <f t="shared" si="6"/>
        <v>74.19</v>
      </c>
      <c r="L16" s="39">
        <f t="shared" si="6"/>
        <v>74.19</v>
      </c>
      <c r="M16" s="39">
        <f t="shared" si="6"/>
        <v>74.19</v>
      </c>
      <c r="N16" s="39">
        <f t="shared" si="6"/>
        <v>74.19</v>
      </c>
      <c r="O16" s="38">
        <f t="shared" si="6"/>
        <v>74.19</v>
      </c>
      <c r="P16" s="37">
        <f>P11+30</f>
        <v>250</v>
      </c>
      <c r="Y16" s="85" t="s">
        <v>46</v>
      </c>
      <c r="Z16" s="86">
        <f ca="1">SUMIFS(OFFSET(BD_COMERCIAL!AN$5,0,0,$S$26,1),OFFSET(BD_COMERCIAL!$K$5,0,0,$S$26,1),"I1",OFFSET(BD_COMERCIAL!$FC$5,0,0,$S$26,1),"C",OFFSET(BD_COMERCIAL!$Q$5,0,0,$S$26,1),"Fixo",OFFSET(BD_COMERCIAL!$I$5,0,0,$S$26,1),"Trading")-SUMIFS(OFFSET(BD_COMERCIAL!AN$5,0,0,$S$26,1),OFFSET(BD_COMERCIAL!$K$5,0,0,$S$26,1),"I1",OFFSET(BD_COMERCIAL!$FC$5,0,0,$S$26,1),"V",OFFSET(BD_COMERCIAL!$Q$5,0,0,$S$26,1),"Fixo",OFFSET(BD_COMERCIAL!$I$5,0,0,$S$26,1),"Trading")</f>
        <v>0</v>
      </c>
      <c r="AA16" s="86">
        <f ca="1">SUMIFS(OFFSET(BD_COMERCIAL!AO$5,0,0,$S$26,1),OFFSET(BD_COMERCIAL!$K$5,0,0,$S$26,1),"I1",OFFSET(BD_COMERCIAL!$FC$5,0,0,$S$26,1),"C",OFFSET(BD_COMERCIAL!$Q$5,0,0,$S$26,1),"Fixo",OFFSET(BD_COMERCIAL!$I$5,0,0,$S$26,1),"Trading")-SUMIFS(OFFSET(BD_COMERCIAL!AO$5,0,0,$S$26,1),OFFSET(BD_COMERCIAL!$K$5,0,0,$S$26,1),"I1",OFFSET(BD_COMERCIAL!$FC$5,0,0,$S$26,1),"V",OFFSET(BD_COMERCIAL!$Q$5,0,0,$S$26,1),"Fixo",OFFSET(BD_COMERCIAL!$I$5,0,0,$S$26,1),"Trading")</f>
        <v>0</v>
      </c>
      <c r="AB16" s="86">
        <f ca="1">SUMIFS(OFFSET(BD_COMERCIAL!AP$5,0,0,$S$26,1),OFFSET(BD_COMERCIAL!$K$5,0,0,$S$26,1),"I1",OFFSET(BD_COMERCIAL!$FC$5,0,0,$S$26,1),"C",OFFSET(BD_COMERCIAL!$Q$5,0,0,$S$26,1),"Fixo",OFFSET(BD_COMERCIAL!$I$5,0,0,$S$26,1),"Trading")-SUMIFS(OFFSET(BD_COMERCIAL!AP$5,0,0,$S$26,1),OFFSET(BD_COMERCIAL!$K$5,0,0,$S$26,1),"I1",OFFSET(BD_COMERCIAL!$FC$5,0,0,$S$26,1),"V",OFFSET(BD_COMERCIAL!$Q$5,0,0,$S$26,1),"Fixo",OFFSET(BD_COMERCIAL!$I$5,0,0,$S$26,1),"Trading")</f>
        <v>0</v>
      </c>
      <c r="AC16" s="86">
        <f ca="1">SUMIFS(OFFSET(BD_COMERCIAL!AQ$5,0,0,$S$26,1),OFFSET(BD_COMERCIAL!$K$5,0,0,$S$26,1),"I1",OFFSET(BD_COMERCIAL!$FC$5,0,0,$S$26,1),"C",OFFSET(BD_COMERCIAL!$Q$5,0,0,$S$26,1),"Fixo",OFFSET(BD_COMERCIAL!$I$5,0,0,$S$26,1),"Trading")-SUMIFS(OFFSET(BD_COMERCIAL!AQ$5,0,0,$S$26,1),OFFSET(BD_COMERCIAL!$K$5,0,0,$S$26,1),"I1",OFFSET(BD_COMERCIAL!$FC$5,0,0,$S$26,1),"V",OFFSET(BD_COMERCIAL!$Q$5,0,0,$S$26,1),"Fixo",OFFSET(BD_COMERCIAL!$I$5,0,0,$S$26,1),"Trading")</f>
        <v>0</v>
      </c>
      <c r="AD16" s="86">
        <f ca="1">SUMIFS(OFFSET(BD_COMERCIAL!AR$5,0,0,$S$26,1),OFFSET(BD_COMERCIAL!$K$5,0,0,$S$26,1),"I1",OFFSET(BD_COMERCIAL!$FC$5,0,0,$S$26,1),"C",OFFSET(BD_COMERCIAL!$Q$5,0,0,$S$26,1),"Fixo",OFFSET(BD_COMERCIAL!$I$5,0,0,$S$26,1),"Trading")-SUMIFS(OFFSET(BD_COMERCIAL!AR$5,0,0,$S$26,1),OFFSET(BD_COMERCIAL!$K$5,0,0,$S$26,1),"I1",OFFSET(BD_COMERCIAL!$FC$5,0,0,$S$26,1),"V",OFFSET(BD_COMERCIAL!$Q$5,0,0,$S$26,1),"Fixo",OFFSET(BD_COMERCIAL!$I$5,0,0,$S$26,1),"Trading")</f>
        <v>0</v>
      </c>
      <c r="AE16" s="86">
        <f ca="1">SUMIFS(OFFSET(BD_COMERCIAL!AS$5,0,0,$S$26,1),OFFSET(BD_COMERCIAL!$K$5,0,0,$S$26,1),"I1",OFFSET(BD_COMERCIAL!$FC$5,0,0,$S$26,1),"C",OFFSET(BD_COMERCIAL!$Q$5,0,0,$S$26,1),"Fixo",OFFSET(BD_COMERCIAL!$I$5,0,0,$S$26,1),"Trading")-SUMIFS(OFFSET(BD_COMERCIAL!AS$5,0,0,$S$26,1),OFFSET(BD_COMERCIAL!$K$5,0,0,$S$26,1),"I1",OFFSET(BD_COMERCIAL!$FC$5,0,0,$S$26,1),"V",OFFSET(BD_COMERCIAL!$Q$5,0,0,$S$26,1),"Fixo",OFFSET(BD_COMERCIAL!$I$5,0,0,$S$26,1),"Trading")</f>
        <v>0</v>
      </c>
      <c r="AF16" s="86">
        <f ca="1">SUMIFS(OFFSET(BD_COMERCIAL!AT$5,0,0,$S$26,1),OFFSET(BD_COMERCIAL!$K$5,0,0,$S$26,1),"I1",OFFSET(BD_COMERCIAL!$FC$5,0,0,$S$26,1),"C",OFFSET(BD_COMERCIAL!$Q$5,0,0,$S$26,1),"Fixo",OFFSET(BD_COMERCIAL!$I$5,0,0,$S$26,1),"Trading")-SUMIFS(OFFSET(BD_COMERCIAL!AT$5,0,0,$S$26,1),OFFSET(BD_COMERCIAL!$K$5,0,0,$S$26,1),"I1",OFFSET(BD_COMERCIAL!$FC$5,0,0,$S$26,1),"V",OFFSET(BD_COMERCIAL!$Q$5,0,0,$S$26,1),"Fixo",OFFSET(BD_COMERCIAL!$I$5,0,0,$S$26,1),"Trading")</f>
        <v>0</v>
      </c>
      <c r="AG16" s="86">
        <f ca="1">SUMIFS(OFFSET(BD_COMERCIAL!AU$5,0,0,$S$26,1),OFFSET(BD_COMERCIAL!$K$5,0,0,$S$26,1),"I1",OFFSET(BD_COMERCIAL!$FC$5,0,0,$S$26,1),"C",OFFSET(BD_COMERCIAL!$Q$5,0,0,$S$26,1),"Fixo",OFFSET(BD_COMERCIAL!$I$5,0,0,$S$26,1),"Trading")-SUMIFS(OFFSET(BD_COMERCIAL!AU$5,0,0,$S$26,1),OFFSET(BD_COMERCIAL!$K$5,0,0,$S$26,1),"I1",OFFSET(BD_COMERCIAL!$FC$5,0,0,$S$26,1),"V",OFFSET(BD_COMERCIAL!$Q$5,0,0,$S$26,1),"Fixo",OFFSET(BD_COMERCIAL!$I$5,0,0,$S$26,1),"Trading")</f>
        <v>0</v>
      </c>
      <c r="AH16" s="86">
        <f ca="1">SUMIFS(OFFSET(BD_COMERCIAL!AV$5,0,0,$S$26,1),OFFSET(BD_COMERCIAL!$K$5,0,0,$S$26,1),"I1",OFFSET(BD_COMERCIAL!$FC$5,0,0,$S$26,1),"C",OFFSET(BD_COMERCIAL!$Q$5,0,0,$S$26,1),"Fixo",OFFSET(BD_COMERCIAL!$I$5,0,0,$S$26,1),"Trading")-SUMIFS(OFFSET(BD_COMERCIAL!AV$5,0,0,$S$26,1),OFFSET(BD_COMERCIAL!$K$5,0,0,$S$26,1),"I1",OFFSET(BD_COMERCIAL!$FC$5,0,0,$S$26,1),"V",OFFSET(BD_COMERCIAL!$Q$5,0,0,$S$26,1),"Fixo",OFFSET(BD_COMERCIAL!$I$5,0,0,$S$26,1),"Trading")</f>
        <v>0</v>
      </c>
      <c r="AI16" s="86">
        <f ca="1">SUMIFS(OFFSET(BD_COMERCIAL!AW$5,0,0,$S$26,1),OFFSET(BD_COMERCIAL!$K$5,0,0,$S$26,1),"I1",OFFSET(BD_COMERCIAL!$FC$5,0,0,$S$26,1),"C",OFFSET(BD_COMERCIAL!$Q$5,0,0,$S$26,1),"Fixo",OFFSET(BD_COMERCIAL!$I$5,0,0,$S$26,1),"Trading")-SUMIFS(OFFSET(BD_COMERCIAL!AW$5,0,0,$S$26,1),OFFSET(BD_COMERCIAL!$K$5,0,0,$S$26,1),"I1",OFFSET(BD_COMERCIAL!$FC$5,0,0,$S$26,1),"V",OFFSET(BD_COMERCIAL!$Q$5,0,0,$S$26,1),"Fixo",OFFSET(BD_COMERCIAL!$I$5,0,0,$S$26,1),"Trading")</f>
        <v>0</v>
      </c>
      <c r="AJ16" s="86">
        <f ca="1">SUMIFS(OFFSET(BD_COMERCIAL!AX$5,0,0,$S$26,1),OFFSET(BD_COMERCIAL!$K$5,0,0,$S$26,1),"I1",OFFSET(BD_COMERCIAL!$FC$5,0,0,$S$26,1),"C",OFFSET(BD_COMERCIAL!$Q$5,0,0,$S$26,1),"Fixo",OFFSET(BD_COMERCIAL!$I$5,0,0,$S$26,1),"Trading")-SUMIFS(OFFSET(BD_COMERCIAL!AX$5,0,0,$S$26,1),OFFSET(BD_COMERCIAL!$K$5,0,0,$S$26,1),"I1",OFFSET(BD_COMERCIAL!$FC$5,0,0,$S$26,1),"V",OFFSET(BD_COMERCIAL!$Q$5,0,0,$S$26,1),"Fixo",OFFSET(BD_COMERCIAL!$I$5,0,0,$S$26,1),"Trading")</f>
        <v>0</v>
      </c>
      <c r="AK16" s="86">
        <f ca="1">SUMIFS(OFFSET(BD_COMERCIAL!AY$5,0,0,$S$26,1),OFFSET(BD_COMERCIAL!$K$5,0,0,$S$26,1),"I1",OFFSET(BD_COMERCIAL!$FC$5,0,0,$S$26,1),"C",OFFSET(BD_COMERCIAL!$Q$5,0,0,$S$26,1),"Fixo",OFFSET(BD_COMERCIAL!$I$5,0,0,$S$26,1),"Trading")-SUMIFS(OFFSET(BD_COMERCIAL!AY$5,0,0,$S$26,1),OFFSET(BD_COMERCIAL!$K$5,0,0,$S$26,1),"I1",OFFSET(BD_COMERCIAL!$FC$5,0,0,$S$26,1),"V",OFFSET(BD_COMERCIAL!$Q$5,0,0,$S$26,1),"Fixo",OFFSET(BD_COMERCIAL!$I$5,0,0,$S$26,1),"Trading")</f>
        <v>0</v>
      </c>
      <c r="AM16" s="85" t="s">
        <v>46</v>
      </c>
      <c r="AN16" s="86">
        <f ca="1">SUMIFS(OFFSET(BD_COMERCIAL!AN$5,0,0,$S$26,1),OFFSET(BD_COMERCIAL!$K$5,0,0,$S$26,1),"I1",OFFSET(BD_COMERCIAL!$FC$5,0,0,$S$26,1),"C",OFFSET(BD_COMERCIAL!$Q$5,0,0,$S$26,1),"PLD + Spread",OFFSET(BD_COMERCIAL!$I$5,0,0,$S$26,1),"Trading")-SUMIFS(OFFSET(BD_COMERCIAL!AN$5,0,0,$S$26,1),OFFSET(BD_COMERCIAL!$K$5,0,0,$S$26,1),"I1",OFFSET(BD_COMERCIAL!$FC$5,0,0,$S$26,1),"V",OFFSET(BD_COMERCIAL!$Q$5,0,0,$S$26,1),"PLD + Spread",OFFSET(BD_COMERCIAL!$I$5,0,0,$S$26,1),"Trading")</f>
        <v>0</v>
      </c>
      <c r="AO16" s="86">
        <f ca="1">SUMIFS(OFFSET(BD_COMERCIAL!AO$5,0,0,$S$26,1),OFFSET(BD_COMERCIAL!$K$5,0,0,$S$26,1),"I1",OFFSET(BD_COMERCIAL!$FC$5,0,0,$S$26,1),"C",OFFSET(BD_COMERCIAL!$Q$5,0,0,$S$26,1),"PLD + Spread",OFFSET(BD_COMERCIAL!$I$5,0,0,$S$26,1),"Trading")-SUMIFS(OFFSET(BD_COMERCIAL!AO$5,0,0,$S$26,1),OFFSET(BD_COMERCIAL!$K$5,0,0,$S$26,1),"I1",OFFSET(BD_COMERCIAL!$FC$5,0,0,$S$26,1),"V",OFFSET(BD_COMERCIAL!$Q$5,0,0,$S$26,1),"PLD + Spread",OFFSET(BD_COMERCIAL!$I$5,0,0,$S$26,1),"Trading")</f>
        <v>0</v>
      </c>
      <c r="AP16" s="86">
        <f ca="1">SUMIFS(OFFSET(BD_COMERCIAL!AP$5,0,0,$S$26,1),OFFSET(BD_COMERCIAL!$K$5,0,0,$S$26,1),"I1",OFFSET(BD_COMERCIAL!$FC$5,0,0,$S$26,1),"C",OFFSET(BD_COMERCIAL!$Q$5,0,0,$S$26,1),"PLD + Spread",OFFSET(BD_COMERCIAL!$I$5,0,0,$S$26,1),"Trading")-SUMIFS(OFFSET(BD_COMERCIAL!AP$5,0,0,$S$26,1),OFFSET(BD_COMERCIAL!$K$5,0,0,$S$26,1),"I1",OFFSET(BD_COMERCIAL!$FC$5,0,0,$S$26,1),"V",OFFSET(BD_COMERCIAL!$Q$5,0,0,$S$26,1),"PLD + Spread",OFFSET(BD_COMERCIAL!$I$5,0,0,$S$26,1),"Trading")</f>
        <v>0</v>
      </c>
      <c r="AQ16" s="86">
        <f ca="1">SUMIFS(OFFSET(BD_COMERCIAL!AQ$5,0,0,$S$26,1),OFFSET(BD_COMERCIAL!$K$5,0,0,$S$26,1),"I1",OFFSET(BD_COMERCIAL!$FC$5,0,0,$S$26,1),"C",OFFSET(BD_COMERCIAL!$Q$5,0,0,$S$26,1),"PLD + Spread",OFFSET(BD_COMERCIAL!$I$5,0,0,$S$26,1),"Trading")-SUMIFS(OFFSET(BD_COMERCIAL!AQ$5,0,0,$S$26,1),OFFSET(BD_COMERCIAL!$K$5,0,0,$S$26,1),"I1",OFFSET(BD_COMERCIAL!$FC$5,0,0,$S$26,1),"V",OFFSET(BD_COMERCIAL!$Q$5,0,0,$S$26,1),"PLD + Spread",OFFSET(BD_COMERCIAL!$I$5,0,0,$S$26,1),"Trading")</f>
        <v>0</v>
      </c>
      <c r="AR16" s="86">
        <f ca="1">SUMIFS(OFFSET(BD_COMERCIAL!AR$5,0,0,$S$26,1),OFFSET(BD_COMERCIAL!$K$5,0,0,$S$26,1),"I1",OFFSET(BD_COMERCIAL!$FC$5,0,0,$S$26,1),"C",OFFSET(BD_COMERCIAL!$Q$5,0,0,$S$26,1),"PLD + Spread",OFFSET(BD_COMERCIAL!$I$5,0,0,$S$26,1),"Trading")-SUMIFS(OFFSET(BD_COMERCIAL!AR$5,0,0,$S$26,1),OFFSET(BD_COMERCIAL!$K$5,0,0,$S$26,1),"I1",OFFSET(BD_COMERCIAL!$FC$5,0,0,$S$26,1),"V",OFFSET(BD_COMERCIAL!$Q$5,0,0,$S$26,1),"PLD + Spread",OFFSET(BD_COMERCIAL!$I$5,0,0,$S$26,1),"Trading")</f>
        <v>0</v>
      </c>
      <c r="AS16" s="86">
        <f ca="1">SUMIFS(OFFSET(BD_COMERCIAL!AS$5,0,0,$S$26,1),OFFSET(BD_COMERCIAL!$K$5,0,0,$S$26,1),"I1",OFFSET(BD_COMERCIAL!$FC$5,0,0,$S$26,1),"C",OFFSET(BD_COMERCIAL!$Q$5,0,0,$S$26,1),"PLD + Spread",OFFSET(BD_COMERCIAL!$I$5,0,0,$S$26,1),"Trading")-SUMIFS(OFFSET(BD_COMERCIAL!AS$5,0,0,$S$26,1),OFFSET(BD_COMERCIAL!$K$5,0,0,$S$26,1),"I1",OFFSET(BD_COMERCIAL!$FC$5,0,0,$S$26,1),"V",OFFSET(BD_COMERCIAL!$Q$5,0,0,$S$26,1),"PLD + Spread",OFFSET(BD_COMERCIAL!$I$5,0,0,$S$26,1),"Trading")</f>
        <v>0</v>
      </c>
      <c r="AT16" s="86">
        <f ca="1">SUMIFS(OFFSET(BD_COMERCIAL!AT$5,0,0,$S$26,1),OFFSET(BD_COMERCIAL!$K$5,0,0,$S$26,1),"I1",OFFSET(BD_COMERCIAL!$FC$5,0,0,$S$26,1),"C",OFFSET(BD_COMERCIAL!$Q$5,0,0,$S$26,1),"PLD + Spread",OFFSET(BD_COMERCIAL!$I$5,0,0,$S$26,1),"Trading")-SUMIFS(OFFSET(BD_COMERCIAL!AT$5,0,0,$S$26,1),OFFSET(BD_COMERCIAL!$K$5,0,0,$S$26,1),"I1",OFFSET(BD_COMERCIAL!$FC$5,0,0,$S$26,1),"V",OFFSET(BD_COMERCIAL!$Q$5,0,0,$S$26,1),"PLD + Spread",OFFSET(BD_COMERCIAL!$I$5,0,0,$S$26,1),"Trading")</f>
        <v>0</v>
      </c>
      <c r="AU16" s="86">
        <f ca="1">SUMIFS(OFFSET(BD_COMERCIAL!AU$5,0,0,$S$26,1),OFFSET(BD_COMERCIAL!$K$5,0,0,$S$26,1),"I1",OFFSET(BD_COMERCIAL!$FC$5,0,0,$S$26,1),"C",OFFSET(BD_COMERCIAL!$Q$5,0,0,$S$26,1),"PLD + Spread",OFFSET(BD_COMERCIAL!$I$5,0,0,$S$26,1),"Trading")-SUMIFS(OFFSET(BD_COMERCIAL!AU$5,0,0,$S$26,1),OFFSET(BD_COMERCIAL!$K$5,0,0,$S$26,1),"I1",OFFSET(BD_COMERCIAL!$FC$5,0,0,$S$26,1),"V",OFFSET(BD_COMERCIAL!$Q$5,0,0,$S$26,1),"PLD + Spread",OFFSET(BD_COMERCIAL!$I$5,0,0,$S$26,1),"Trading")</f>
        <v>0</v>
      </c>
      <c r="AV16" s="86">
        <f ca="1">SUMIFS(OFFSET(BD_COMERCIAL!AV$5,0,0,$S$26,1),OFFSET(BD_COMERCIAL!$K$5,0,0,$S$26,1),"I1",OFFSET(BD_COMERCIAL!$FC$5,0,0,$S$26,1),"C",OFFSET(BD_COMERCIAL!$Q$5,0,0,$S$26,1),"PLD + Spread",OFFSET(BD_COMERCIAL!$I$5,0,0,$S$26,1),"Trading")-SUMIFS(OFFSET(BD_COMERCIAL!AV$5,0,0,$S$26,1),OFFSET(BD_COMERCIAL!$K$5,0,0,$S$26,1),"I1",OFFSET(BD_COMERCIAL!$FC$5,0,0,$S$26,1),"V",OFFSET(BD_COMERCIAL!$Q$5,0,0,$S$26,1),"PLD + Spread",OFFSET(BD_COMERCIAL!$I$5,0,0,$S$26,1),"Trading")</f>
        <v>0</v>
      </c>
      <c r="AW16" s="86">
        <f ca="1">SUMIFS(OFFSET(BD_COMERCIAL!AW$5,0,0,$S$26,1),OFFSET(BD_COMERCIAL!$K$5,0,0,$S$26,1),"I1",OFFSET(BD_COMERCIAL!$FC$5,0,0,$S$26,1),"C",OFFSET(BD_COMERCIAL!$Q$5,0,0,$S$26,1),"PLD + Spread",OFFSET(BD_COMERCIAL!$I$5,0,0,$S$26,1),"Trading")-SUMIFS(OFFSET(BD_COMERCIAL!AW$5,0,0,$S$26,1),OFFSET(BD_COMERCIAL!$K$5,0,0,$S$26,1),"I1",OFFSET(BD_COMERCIAL!$FC$5,0,0,$S$26,1),"V",OFFSET(BD_COMERCIAL!$Q$5,0,0,$S$26,1),"PLD + Spread",OFFSET(BD_COMERCIAL!$I$5,0,0,$S$26,1),"Trading")</f>
        <v>0</v>
      </c>
      <c r="AX16" s="86">
        <f ca="1">SUMIFS(OFFSET(BD_COMERCIAL!AX$5,0,0,$S$26,1),OFFSET(BD_COMERCIAL!$K$5,0,0,$S$26,1),"I1",OFFSET(BD_COMERCIAL!$FC$5,0,0,$S$26,1),"C",OFFSET(BD_COMERCIAL!$Q$5,0,0,$S$26,1),"PLD + Spread",OFFSET(BD_COMERCIAL!$I$5,0,0,$S$26,1),"Trading")-SUMIFS(OFFSET(BD_COMERCIAL!AX$5,0,0,$S$26,1),OFFSET(BD_COMERCIAL!$K$5,0,0,$S$26,1),"I1",OFFSET(BD_COMERCIAL!$FC$5,0,0,$S$26,1),"V",OFFSET(BD_COMERCIAL!$Q$5,0,0,$S$26,1),"PLD + Spread",OFFSET(BD_COMERCIAL!$I$5,0,0,$S$26,1),"Trading")</f>
        <v>0</v>
      </c>
      <c r="AY16" s="86">
        <f ca="1">SUMIFS(OFFSET(BD_COMERCIAL!AY$5,0,0,$S$26,1),OFFSET(BD_COMERCIAL!$K$5,0,0,$S$26,1),"I1",OFFSET(BD_COMERCIAL!$FC$5,0,0,$S$26,1),"C",OFFSET(BD_COMERCIAL!$Q$5,0,0,$S$26,1),"PLD + Spread",OFFSET(BD_COMERCIAL!$I$5,0,0,$S$26,1),"Trading")-SUMIFS(OFFSET(BD_COMERCIAL!AY$5,0,0,$S$26,1),OFFSET(BD_COMERCIAL!$K$5,0,0,$S$26,1),"I1",OFFSET(BD_COMERCIAL!$FC$5,0,0,$S$26,1),"V",OFFSET(BD_COMERCIAL!$Q$5,0,0,$S$26,1),"PLD + Spread",OFFSET(BD_COMERCIAL!$I$5,0,0,$S$26,1),"Trading")</f>
        <v>0</v>
      </c>
    </row>
    <row r="17" spans="2:51" ht="13.5" customHeight="1" thickBot="1" x14ac:dyDescent="0.4">
      <c r="B17" s="62"/>
      <c r="C17" s="62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0"/>
      <c r="W17" s="17"/>
      <c r="X17" s="17"/>
      <c r="Y17" s="17"/>
      <c r="Z17" s="42"/>
      <c r="AA17" s="42"/>
      <c r="AB17" s="42">
        <f ca="1">SUMPRODUCT(Z19:AB19,Z20:AB20)/SUM(Z19:AB19)</f>
        <v>118.53932584269661</v>
      </c>
      <c r="AC17" s="42"/>
      <c r="AD17" s="42"/>
      <c r="AE17" s="42">
        <f ca="1">SUMPRODUCT(AC19:AE19,AC20:AE20)/SUM(AC19:AE19)</f>
        <v>118.53932584269661</v>
      </c>
      <c r="AF17" s="42"/>
      <c r="AG17" s="42"/>
      <c r="AH17" s="42"/>
      <c r="AI17" s="42"/>
      <c r="AJ17" s="42"/>
      <c r="AK17" s="41"/>
      <c r="AL17" s="34"/>
      <c r="AM17" s="17"/>
      <c r="AN17" s="17"/>
      <c r="AO17" s="17"/>
      <c r="AP17" s="17"/>
      <c r="AQ17" s="17"/>
      <c r="AR17" s="17"/>
      <c r="AS17" s="17"/>
      <c r="AT17" s="17"/>
      <c r="AU17" s="17"/>
    </row>
    <row r="18" spans="2:51" s="17" customFormat="1" ht="14.25" customHeight="1" x14ac:dyDescent="0.35">
      <c r="B18" s="298" t="s">
        <v>17</v>
      </c>
      <c r="C18" s="58" t="s">
        <v>33</v>
      </c>
      <c r="D18" s="56"/>
      <c r="E18" s="56"/>
      <c r="F18" s="56"/>
      <c r="G18" s="56"/>
      <c r="H18" s="57"/>
      <c r="I18" s="56"/>
      <c r="J18" s="56"/>
      <c r="K18" s="56"/>
      <c r="L18" s="56"/>
      <c r="M18" s="56"/>
      <c r="N18" s="56"/>
      <c r="O18" s="55"/>
      <c r="P18" s="54">
        <f>SUMPRODUCT($D$1:$O$1,D18:O18)/8760</f>
        <v>0</v>
      </c>
      <c r="W18" s="21"/>
      <c r="X18" s="21"/>
      <c r="Y18" s="30" t="s">
        <v>77</v>
      </c>
      <c r="Z18" s="30" t="s">
        <v>45</v>
      </c>
      <c r="AA18" s="30" t="s">
        <v>44</v>
      </c>
      <c r="AB18" s="30" t="s">
        <v>43</v>
      </c>
      <c r="AC18" s="30" t="s">
        <v>42</v>
      </c>
      <c r="AD18" s="30" t="s">
        <v>41</v>
      </c>
      <c r="AE18" s="30" t="s">
        <v>40</v>
      </c>
      <c r="AF18" s="30" t="s">
        <v>39</v>
      </c>
      <c r="AG18" s="30" t="s">
        <v>38</v>
      </c>
      <c r="AH18" s="30" t="s">
        <v>37</v>
      </c>
      <c r="AI18" s="30" t="s">
        <v>36</v>
      </c>
      <c r="AJ18" s="30" t="s">
        <v>35</v>
      </c>
      <c r="AK18" s="30" t="s">
        <v>34</v>
      </c>
      <c r="AM18" s="30" t="s">
        <v>117</v>
      </c>
      <c r="AN18" s="30" t="s">
        <v>45</v>
      </c>
      <c r="AO18" s="30" t="s">
        <v>44</v>
      </c>
      <c r="AP18" s="30" t="s">
        <v>43</v>
      </c>
      <c r="AQ18" s="30" t="s">
        <v>42</v>
      </c>
      <c r="AR18" s="30" t="s">
        <v>41</v>
      </c>
      <c r="AS18" s="30" t="s">
        <v>40</v>
      </c>
      <c r="AT18" s="30" t="s">
        <v>39</v>
      </c>
      <c r="AU18" s="30" t="s">
        <v>38</v>
      </c>
      <c r="AV18" s="30" t="s">
        <v>37</v>
      </c>
      <c r="AW18" s="30" t="s">
        <v>36</v>
      </c>
      <c r="AX18" s="30" t="s">
        <v>35</v>
      </c>
      <c r="AY18" s="30" t="s">
        <v>34</v>
      </c>
    </row>
    <row r="19" spans="2:51" s="17" customFormat="1" ht="14.25" customHeight="1" x14ac:dyDescent="0.35">
      <c r="B19" s="299"/>
      <c r="C19" s="51" t="s">
        <v>32</v>
      </c>
      <c r="D19" s="44">
        <v>39</v>
      </c>
      <c r="E19" s="44">
        <v>39</v>
      </c>
      <c r="F19" s="44">
        <v>39</v>
      </c>
      <c r="G19" s="44">
        <v>39</v>
      </c>
      <c r="H19" s="44">
        <v>39</v>
      </c>
      <c r="I19" s="44">
        <v>39</v>
      </c>
      <c r="J19" s="44">
        <v>39</v>
      </c>
      <c r="K19" s="44">
        <v>39</v>
      </c>
      <c r="L19" s="44">
        <v>39</v>
      </c>
      <c r="M19" s="44">
        <v>39</v>
      </c>
      <c r="N19" s="44">
        <v>39</v>
      </c>
      <c r="O19" s="44">
        <v>39</v>
      </c>
      <c r="P19" s="50">
        <f>SUMPRODUCT($D$1:$O$1,D19:O19)/8760</f>
        <v>39</v>
      </c>
      <c r="Y19" s="85" t="s">
        <v>78</v>
      </c>
      <c r="Z19" s="86">
        <f ca="1">Z7</f>
        <v>-17.8</v>
      </c>
      <c r="AA19" s="86">
        <f t="shared" ref="AA19:AK19" ca="1" si="9">AA7</f>
        <v>-17.8</v>
      </c>
      <c r="AB19" s="86">
        <f t="shared" ca="1" si="9"/>
        <v>-17.8</v>
      </c>
      <c r="AC19" s="86">
        <f t="shared" ca="1" si="9"/>
        <v>-17.8</v>
      </c>
      <c r="AD19" s="86">
        <f ca="1">AD7</f>
        <v>-17.8</v>
      </c>
      <c r="AE19" s="86">
        <f t="shared" ca="1" si="9"/>
        <v>-17.8</v>
      </c>
      <c r="AF19" s="86">
        <f t="shared" ca="1" si="9"/>
        <v>-22</v>
      </c>
      <c r="AG19" s="86">
        <f t="shared" ca="1" si="9"/>
        <v>-22</v>
      </c>
      <c r="AH19" s="203">
        <f t="shared" ca="1" si="9"/>
        <v>-22</v>
      </c>
      <c r="AI19" s="203">
        <f t="shared" ca="1" si="9"/>
        <v>-22</v>
      </c>
      <c r="AJ19" s="203">
        <f t="shared" ca="1" si="9"/>
        <v>-22</v>
      </c>
      <c r="AK19" s="203">
        <f t="shared" ca="1" si="9"/>
        <v>-22</v>
      </c>
      <c r="AL19" s="24">
        <f ca="1">AVERAGE(Z19:AK19)</f>
        <v>-19.900000000000002</v>
      </c>
      <c r="AM19" s="85" t="s">
        <v>78</v>
      </c>
      <c r="AN19" s="86">
        <f t="shared" ref="AN19:AY19" ca="1" si="10">AN7</f>
        <v>0</v>
      </c>
      <c r="AO19" s="86">
        <f t="shared" ca="1" si="10"/>
        <v>0</v>
      </c>
      <c r="AP19" s="86">
        <f t="shared" ca="1" si="10"/>
        <v>0</v>
      </c>
      <c r="AQ19" s="86">
        <f t="shared" ca="1" si="10"/>
        <v>0</v>
      </c>
      <c r="AR19" s="86">
        <f t="shared" ca="1" si="10"/>
        <v>0</v>
      </c>
      <c r="AS19" s="86">
        <f t="shared" ca="1" si="10"/>
        <v>0</v>
      </c>
      <c r="AT19" s="86">
        <f t="shared" ca="1" si="10"/>
        <v>0</v>
      </c>
      <c r="AU19" s="86">
        <f t="shared" ca="1" si="10"/>
        <v>0</v>
      </c>
      <c r="AV19" s="86">
        <f t="shared" ca="1" si="10"/>
        <v>0</v>
      </c>
      <c r="AW19" s="86">
        <f t="shared" ca="1" si="10"/>
        <v>0</v>
      </c>
      <c r="AX19" s="86">
        <f t="shared" ca="1" si="10"/>
        <v>0</v>
      </c>
      <c r="AY19" s="86">
        <f t="shared" ca="1" si="10"/>
        <v>0</v>
      </c>
    </row>
    <row r="20" spans="2:51" s="17" customFormat="1" ht="16.5" customHeight="1" x14ac:dyDescent="0.35">
      <c r="B20" s="299"/>
      <c r="C20" s="46" t="s">
        <v>30</v>
      </c>
      <c r="D20" s="44">
        <f>P20</f>
        <v>52</v>
      </c>
      <c r="E20" s="44">
        <f t="shared" ref="E20:O20" si="11">D20</f>
        <v>52</v>
      </c>
      <c r="F20" s="44">
        <f t="shared" si="11"/>
        <v>52</v>
      </c>
      <c r="G20" s="44">
        <f t="shared" si="11"/>
        <v>52</v>
      </c>
      <c r="H20" s="45">
        <f t="shared" si="11"/>
        <v>52</v>
      </c>
      <c r="I20" s="44">
        <f t="shared" si="11"/>
        <v>52</v>
      </c>
      <c r="J20" s="44">
        <f t="shared" si="11"/>
        <v>52</v>
      </c>
      <c r="K20" s="44">
        <f t="shared" si="11"/>
        <v>52</v>
      </c>
      <c r="L20" s="44">
        <f t="shared" si="11"/>
        <v>52</v>
      </c>
      <c r="M20" s="44">
        <f t="shared" si="11"/>
        <v>52</v>
      </c>
      <c r="N20" s="44">
        <f t="shared" si="11"/>
        <v>52</v>
      </c>
      <c r="O20" s="44">
        <f t="shared" si="11"/>
        <v>52</v>
      </c>
      <c r="P20" s="43">
        <v>52</v>
      </c>
      <c r="Y20" s="85" t="s">
        <v>79</v>
      </c>
      <c r="Z20" s="86">
        <v>118.53932584269663</v>
      </c>
      <c r="AA20" s="86">
        <v>118.53932584269663</v>
      </c>
      <c r="AB20" s="86">
        <v>118.53932584269663</v>
      </c>
      <c r="AC20" s="86">
        <v>118.53932584269663</v>
      </c>
      <c r="AD20" s="86">
        <v>118.53932584269663</v>
      </c>
      <c r="AE20" s="86">
        <v>118.53932584269663</v>
      </c>
      <c r="AF20" s="86">
        <v>125.90909090909091</v>
      </c>
      <c r="AG20" s="86">
        <v>125.90909090909091</v>
      </c>
      <c r="AH20" s="86">
        <v>125.90909090909091</v>
      </c>
      <c r="AI20" s="86">
        <v>125.90909090909091</v>
      </c>
      <c r="AJ20" s="86">
        <v>125.90909090909091</v>
      </c>
      <c r="AK20" s="86">
        <v>125.90909090909091</v>
      </c>
      <c r="AL20" s="17">
        <f ca="1">SUMPRODUCT(Z28:AK28,Z20:AK20)/SUM(Z28:AK28)</f>
        <v>122.61306532663316</v>
      </c>
    </row>
    <row r="21" spans="2:51" s="17" customFormat="1" ht="15.75" customHeight="1" thickBot="1" x14ac:dyDescent="0.5">
      <c r="B21" s="300"/>
      <c r="C21" s="40" t="s">
        <v>29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8"/>
      <c r="P21" s="37">
        <f>SUMPRODUCT($D$1:$O$1,D21:O21)/8760</f>
        <v>0</v>
      </c>
      <c r="V21" s="36"/>
      <c r="X21" s="21"/>
      <c r="Z21" s="90">
        <v>744</v>
      </c>
      <c r="AA21" s="90">
        <v>672</v>
      </c>
      <c r="AB21" s="90">
        <v>744</v>
      </c>
      <c r="AC21" s="90">
        <v>720</v>
      </c>
      <c r="AD21" s="90">
        <v>744</v>
      </c>
      <c r="AE21" s="90">
        <v>720</v>
      </c>
      <c r="AF21" s="90">
        <v>744</v>
      </c>
      <c r="AG21" s="90">
        <v>744</v>
      </c>
      <c r="AH21" s="90">
        <v>720</v>
      </c>
      <c r="AI21" s="90">
        <v>744</v>
      </c>
      <c r="AJ21" s="90">
        <v>720</v>
      </c>
      <c r="AK21" s="90">
        <v>744</v>
      </c>
    </row>
    <row r="22" spans="2:51" x14ac:dyDescent="0.35"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W22" s="17"/>
      <c r="Y22" s="92" t="s">
        <v>80</v>
      </c>
      <c r="Z22" s="93">
        <v>85</v>
      </c>
      <c r="AA22" s="93">
        <v>85</v>
      </c>
      <c r="AB22" s="93">
        <v>85</v>
      </c>
      <c r="AC22" s="93">
        <v>85</v>
      </c>
      <c r="AD22" s="93">
        <v>85</v>
      </c>
      <c r="AE22" s="93">
        <v>85</v>
      </c>
      <c r="AF22" s="93">
        <v>85</v>
      </c>
      <c r="AG22" s="93">
        <v>85</v>
      </c>
      <c r="AH22" s="93">
        <v>85</v>
      </c>
      <c r="AI22" s="93">
        <v>85</v>
      </c>
      <c r="AJ22" s="93">
        <v>85</v>
      </c>
      <c r="AK22" s="93">
        <v>85</v>
      </c>
      <c r="AL22" s="24"/>
      <c r="AM22" s="17"/>
      <c r="AN22" s="17">
        <v>2022</v>
      </c>
      <c r="AO22" s="17"/>
      <c r="AP22" s="17"/>
      <c r="AQ22" s="17"/>
      <c r="AR22" s="17"/>
      <c r="AS22" s="17"/>
      <c r="AT22" s="17"/>
      <c r="AU22" s="17"/>
      <c r="AV22" s="17"/>
      <c r="AW22" s="17"/>
    </row>
    <row r="23" spans="2:51" s="17" customFormat="1" x14ac:dyDescent="0.35">
      <c r="W23" s="21"/>
      <c r="X23" s="21"/>
      <c r="Y23" s="92" t="s">
        <v>81</v>
      </c>
      <c r="Z23" s="91">
        <f t="shared" ref="Z23:AK23" ca="1" si="12">IF(Z28&lt;0,(-Z28*Z21*(Z20-Z22)/1000000),(Z28*Z21*(Z22-Z20))/1000000)</f>
        <v>0.44416800000000001</v>
      </c>
      <c r="AA23" s="91">
        <f t="shared" ca="1" si="12"/>
        <v>0.40118399999999999</v>
      </c>
      <c r="AB23" s="91">
        <f t="shared" ca="1" si="12"/>
        <v>0.44416800000000001</v>
      </c>
      <c r="AC23" s="91">
        <f t="shared" ca="1" si="12"/>
        <v>0.42984</v>
      </c>
      <c r="AD23" s="91">
        <f t="shared" ca="1" si="12"/>
        <v>0.44416800000000001</v>
      </c>
      <c r="AE23" s="91">
        <f t="shared" ca="1" si="12"/>
        <v>0.42984</v>
      </c>
      <c r="AF23" s="91">
        <f t="shared" ca="1" si="12"/>
        <v>0.66959999999999997</v>
      </c>
      <c r="AG23" s="91">
        <f t="shared" ca="1" si="12"/>
        <v>0.66959999999999997</v>
      </c>
      <c r="AH23" s="91">
        <f t="shared" ca="1" si="12"/>
        <v>0.64800000000000002</v>
      </c>
      <c r="AI23" s="91">
        <f t="shared" ca="1" si="12"/>
        <v>0.66959999999999997</v>
      </c>
      <c r="AJ23" s="91">
        <f t="shared" ca="1" si="12"/>
        <v>0.64800000000000002</v>
      </c>
      <c r="AK23" s="91">
        <f t="shared" ca="1" si="12"/>
        <v>0.66959999999999997</v>
      </c>
      <c r="AL23" s="163">
        <f ca="1">SUM(Z23:AK23)</f>
        <v>6.5677679999999992</v>
      </c>
      <c r="AM23" s="17" t="s">
        <v>118</v>
      </c>
      <c r="AN23" s="1">
        <v>7</v>
      </c>
      <c r="AP23" s="17">
        <v>9</v>
      </c>
      <c r="AQ23" s="17">
        <v>2.2000000000000002</v>
      </c>
      <c r="AR23" s="17">
        <f>AP23+AQ23</f>
        <v>11.2</v>
      </c>
    </row>
    <row r="24" spans="2:51" s="17" customFormat="1" ht="15.75" customHeight="1" thickBot="1" x14ac:dyDescent="0.4"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4"/>
      <c r="AM24" s="17" t="s">
        <v>119</v>
      </c>
      <c r="AN24" s="17">
        <v>151</v>
      </c>
      <c r="AP24" s="17">
        <v>158</v>
      </c>
      <c r="AQ24" s="17">
        <v>190</v>
      </c>
      <c r="AR24" s="150">
        <f>SUMPRODUCT(AP23:AQ23,AP24:AQ24/AR23)</f>
        <v>164.28571428571431</v>
      </c>
      <c r="AV24" s="21"/>
      <c r="AW24" s="21"/>
    </row>
    <row r="25" spans="2:51" s="17" customFormat="1" ht="15" thickBot="1" x14ac:dyDescent="0.4">
      <c r="S25" s="33" t="s">
        <v>28</v>
      </c>
      <c r="W25" s="32"/>
      <c r="Y25" s="92" t="s">
        <v>108</v>
      </c>
      <c r="Z25" s="122">
        <f>'Curva Forward'!P5</f>
        <v>80</v>
      </c>
      <c r="AA25" s="122">
        <f>'Curva Forward'!Q5</f>
        <v>80</v>
      </c>
      <c r="AB25" s="122">
        <f>'Curva Forward'!R5</f>
        <v>80</v>
      </c>
      <c r="AC25" s="122">
        <f>'Curva Forward'!S5</f>
        <v>80</v>
      </c>
      <c r="AD25" s="122">
        <f>'Curva Forward'!T5</f>
        <v>80</v>
      </c>
      <c r="AE25" s="122">
        <f>'Curva Forward'!U5</f>
        <v>80</v>
      </c>
      <c r="AF25" s="122">
        <f>'Curva Forward'!V5</f>
        <v>89</v>
      </c>
      <c r="AG25" s="122">
        <f>'Curva Forward'!W5</f>
        <v>89</v>
      </c>
      <c r="AH25" s="122">
        <f>'Curva Forward'!X5</f>
        <v>89</v>
      </c>
      <c r="AI25" s="122">
        <f>'Curva Forward'!Y5</f>
        <v>89</v>
      </c>
      <c r="AJ25" s="122">
        <f>'Curva Forward'!Z5</f>
        <v>89</v>
      </c>
      <c r="AK25" s="122">
        <f>'Curva Forward'!AA5</f>
        <v>89</v>
      </c>
      <c r="AL25" s="24"/>
      <c r="AM25" s="17" t="s">
        <v>120</v>
      </c>
      <c r="AN25" s="17">
        <v>160</v>
      </c>
      <c r="AO25" s="21"/>
      <c r="AP25" s="21"/>
      <c r="AQ25" s="21"/>
      <c r="AR25" s="1">
        <v>190</v>
      </c>
      <c r="AS25" s="21"/>
      <c r="AT25" s="21"/>
      <c r="AU25" s="21"/>
      <c r="AV25" s="21"/>
      <c r="AW25" s="21"/>
    </row>
    <row r="26" spans="2:51" s="17" customFormat="1" ht="15" thickBot="1" x14ac:dyDescent="0.4">
      <c r="S26" s="31">
        <f ca="1">COUNTA(OFFSET(BD_COMERCIAL!$C$5,0,0,5000,1))</f>
        <v>166</v>
      </c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L26" s="21"/>
      <c r="AM26" s="17" t="s">
        <v>121</v>
      </c>
      <c r="AN26" s="17">
        <f>AN23*8760*(AN24-AN25)/1000000</f>
        <v>-0.55188000000000004</v>
      </c>
      <c r="AO26" s="21"/>
      <c r="AP26" s="21"/>
      <c r="AQ26" s="21"/>
      <c r="AR26" s="17">
        <f>AR23*8760*(AR24-AR25)/1000000</f>
        <v>-2.522879999999998</v>
      </c>
      <c r="AS26" s="21"/>
      <c r="AT26" s="21"/>
      <c r="AU26" s="21"/>
      <c r="AV26" s="21"/>
      <c r="AW26" s="21"/>
    </row>
    <row r="27" spans="2:51" s="17" customFormat="1" ht="15" thickBot="1" x14ac:dyDescent="0.4">
      <c r="Y27" s="21"/>
      <c r="Z27" s="63" t="s">
        <v>45</v>
      </c>
      <c r="AA27" s="63" t="s">
        <v>44</v>
      </c>
      <c r="AB27" s="63" t="s">
        <v>43</v>
      </c>
      <c r="AC27" s="63" t="s">
        <v>42</v>
      </c>
      <c r="AD27" s="63" t="s">
        <v>41</v>
      </c>
      <c r="AE27" s="63" t="s">
        <v>40</v>
      </c>
      <c r="AF27" s="63" t="s">
        <v>39</v>
      </c>
      <c r="AG27" s="63" t="s">
        <v>38</v>
      </c>
      <c r="AH27" s="63" t="s">
        <v>37</v>
      </c>
      <c r="AI27" s="63" t="s">
        <v>36</v>
      </c>
      <c r="AJ27" s="63" t="s">
        <v>35</v>
      </c>
      <c r="AK27" s="63" t="s">
        <v>34</v>
      </c>
      <c r="AL27" s="63" t="s">
        <v>93</v>
      </c>
      <c r="AO27" s="21"/>
      <c r="AP27" s="21"/>
      <c r="AQ27" s="21"/>
      <c r="AR27" s="21"/>
      <c r="AS27" s="21"/>
      <c r="AT27" s="21"/>
      <c r="AU27" s="21"/>
      <c r="AV27" s="21"/>
      <c r="AW27" s="21"/>
    </row>
    <row r="28" spans="2:51" s="17" customFormat="1" ht="17.25" customHeight="1" thickBot="1" x14ac:dyDescent="0.4">
      <c r="Y28" s="53" t="s">
        <v>68</v>
      </c>
      <c r="Z28" s="86">
        <f ca="1">Z7+AN7</f>
        <v>-17.8</v>
      </c>
      <c r="AA28" s="86">
        <f ca="1">AA7+AO7</f>
        <v>-17.8</v>
      </c>
      <c r="AB28" s="86">
        <f ca="1">AB7+AP7</f>
        <v>-17.8</v>
      </c>
      <c r="AC28" s="86">
        <f t="shared" ref="AC28:AK28" ca="1" si="13">AC7+AQ7</f>
        <v>-17.8</v>
      </c>
      <c r="AD28" s="86">
        <f t="shared" ca="1" si="13"/>
        <v>-17.8</v>
      </c>
      <c r="AE28" s="86">
        <f t="shared" ca="1" si="13"/>
        <v>-17.8</v>
      </c>
      <c r="AF28" s="86">
        <f t="shared" ca="1" si="13"/>
        <v>-22</v>
      </c>
      <c r="AG28" s="86">
        <f t="shared" ca="1" si="13"/>
        <v>-22</v>
      </c>
      <c r="AH28" s="86">
        <f t="shared" ca="1" si="13"/>
        <v>-22</v>
      </c>
      <c r="AI28" s="86">
        <f t="shared" ca="1" si="13"/>
        <v>-22</v>
      </c>
      <c r="AJ28" s="86">
        <f t="shared" ca="1" si="13"/>
        <v>-22</v>
      </c>
      <c r="AK28" s="86">
        <f t="shared" ca="1" si="13"/>
        <v>-22</v>
      </c>
      <c r="AL28" s="120"/>
      <c r="AO28" s="21"/>
      <c r="AP28" s="21"/>
      <c r="AQ28" s="21"/>
      <c r="AR28" s="21"/>
      <c r="AS28" s="21"/>
      <c r="AT28" s="21"/>
      <c r="AU28" s="21"/>
      <c r="AV28" s="21"/>
      <c r="AW28" s="21"/>
    </row>
    <row r="29" spans="2:51" ht="15" thickBot="1" x14ac:dyDescent="0.4">
      <c r="T29" s="25"/>
      <c r="U29" s="25"/>
      <c r="V29" s="25"/>
      <c r="W29" s="25"/>
      <c r="X29" s="17"/>
      <c r="Y29" s="53" t="s">
        <v>94</v>
      </c>
      <c r="Z29" s="52">
        <f ca="1">(SUMPRODUCT('POSIÇÕES (2023)'!AN13:AY13,D1:O1)+SUMPRODUCT('POSIÇÕES (2023)'!Z13:AK13,D1:O1))/D1</f>
        <v>0</v>
      </c>
      <c r="AA29" s="52">
        <f ca="1">(Z29+Z13+AN13-'POSIÇÕES (2023)'!Z13-'POSIÇÕES (2023)'!AN13)*D1/E1</f>
        <v>-5.5357142857142856</v>
      </c>
      <c r="AB29" s="52">
        <f ca="1">(AA29+AA13+AO13-'POSIÇÕES (2023)'!AA13-'POSIÇÕES (2023)'!AO13)*E1/F1</f>
        <v>-9.5161290322580641</v>
      </c>
      <c r="AC29" s="52">
        <f ca="1">(AB29+AB13+AP13-'POSIÇÕES (2023)'!AB13-'POSIÇÕES (2023)'!AP13)*F1/G1</f>
        <v>-15</v>
      </c>
      <c r="AD29" s="52">
        <f ca="1">(AC29+AC13+AQ13-'POSIÇÕES (2023)'!AC13-'POSIÇÕES (2023)'!AQ13)*G1/H1</f>
        <v>-19.35483870967742</v>
      </c>
      <c r="AE29" s="52">
        <f ca="1">(AD29+AD13+AR13-'POSIÇÕES (2023)'!AD13-'POSIÇÕES (2023)'!AR13)*H1/I1</f>
        <v>-25.166666666666668</v>
      </c>
      <c r="AF29" s="52">
        <f ca="1">(AE29+AE13+AS13-'POSIÇÕES (2023)'!AE13-'POSIÇÕES (2023)'!AS13)*I1/J1</f>
        <v>-29.193548387096776</v>
      </c>
      <c r="AG29" s="52">
        <f ca="1">(AF29+AF13+AT13-'POSIÇÕES (2023)'!AF13-'POSIÇÕES (2023)'!AT13)*J1/K1</f>
        <v>-34.193548387096776</v>
      </c>
      <c r="AH29" s="52">
        <f ca="1">(AG29+AG13+AU13-'POSIÇÕES (2023)'!AG13-'POSIÇÕES (2023)'!AU13)*K1/L1</f>
        <v>-40.5</v>
      </c>
      <c r="AI29" s="52">
        <f ca="1">(AH29+AH13+AV13-'POSIÇÕES (2023)'!AH13-'POSIÇÕES (2023)'!AV13)*L1/M1</f>
        <v>-44.032258064516128</v>
      </c>
      <c r="AJ29" s="52">
        <f ca="1">(AI29+AI13+AW13-'POSIÇÕES (2023)'!AI13-'POSIÇÕES (2023)'!AW13)*M1/N1</f>
        <v>-50.666666666666664</v>
      </c>
      <c r="AK29" s="52">
        <f ca="1">(AJ29+AJ13+AX13-'POSIÇÕES (2023)'!AJ13-'POSIÇÕES (2023)'!AX13)*N1/O1</f>
        <v>-53.87096774193548</v>
      </c>
      <c r="AL29" s="120">
        <f ca="1">(SUMPRODUCT(AN13:AY13,D1:O1)+SUMPRODUCT(Z13:AK13,D1:O1))/744</f>
        <v>-58.87096774193548</v>
      </c>
      <c r="AM29" s="17"/>
      <c r="AN29" s="17"/>
    </row>
    <row r="30" spans="2:51" ht="18.75" customHeight="1" thickBot="1" x14ac:dyDescent="0.4">
      <c r="E30" s="29"/>
      <c r="F30" s="29"/>
      <c r="G30" s="29"/>
      <c r="H30" s="29"/>
      <c r="I30" s="29"/>
      <c r="J30" s="29"/>
      <c r="K30" s="29"/>
      <c r="L30" s="29"/>
      <c r="M30" s="29"/>
      <c r="N30" s="29"/>
      <c r="P30" s="28"/>
      <c r="T30" s="25"/>
      <c r="X30" s="17"/>
      <c r="Y30" s="49" t="s">
        <v>31</v>
      </c>
      <c r="Z30" s="48">
        <f ca="1">(Z15+Z12+AN12+AN15)*D1+'POSIÇÕES (2023)'!AK30</f>
        <v>5092.4480000000367</v>
      </c>
      <c r="AA30" s="47">
        <f ca="1">(AA15+AA12+AO12+AO15)*E1+Z30</f>
        <v>1732.4480000000367</v>
      </c>
      <c r="AB30" s="47">
        <f t="shared" ref="AB30:AK30" ca="1" si="14">(AB15+AB12+AP12+AP15)*F1+AA30</f>
        <v>-1987.5519999999633</v>
      </c>
      <c r="AC30" s="47">
        <f t="shared" ca="1" si="14"/>
        <v>-5587.5519999999633</v>
      </c>
      <c r="AD30" s="47">
        <f t="shared" ca="1" si="14"/>
        <v>-9307.5519999999633</v>
      </c>
      <c r="AE30" s="47">
        <f t="shared" ca="1" si="14"/>
        <v>-12907.551999999963</v>
      </c>
      <c r="AF30" s="47">
        <f t="shared" ca="1" si="14"/>
        <v>-16627.551999999963</v>
      </c>
      <c r="AG30" s="47">
        <f t="shared" ca="1" si="14"/>
        <v>-20347.551999999963</v>
      </c>
      <c r="AH30" s="47">
        <f t="shared" ca="1" si="14"/>
        <v>-23947.551999999963</v>
      </c>
      <c r="AI30" s="47">
        <f t="shared" ca="1" si="14"/>
        <v>-27667.551999999963</v>
      </c>
      <c r="AJ30" s="47">
        <f t="shared" ca="1" si="14"/>
        <v>-31267.551999999963</v>
      </c>
      <c r="AK30" s="47">
        <f t="shared" ca="1" si="14"/>
        <v>-34987.551999999967</v>
      </c>
      <c r="AL30" s="59"/>
      <c r="AM30" s="17"/>
    </row>
    <row r="31" spans="2:51" x14ac:dyDescent="0.35">
      <c r="B31" s="27"/>
      <c r="C31" s="2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T31" s="25"/>
      <c r="X31" s="17"/>
      <c r="AN31" s="17"/>
    </row>
    <row r="32" spans="2:51" x14ac:dyDescent="0.35"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T32" s="25"/>
      <c r="X32" s="17"/>
      <c r="AN32" s="17"/>
    </row>
    <row r="33" spans="4:40" x14ac:dyDescent="0.35"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T33" s="25"/>
      <c r="X33" s="17"/>
      <c r="AA33" s="34"/>
    </row>
    <row r="34" spans="4:40" x14ac:dyDescent="0.35"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X34" s="17"/>
      <c r="Z34" s="21">
        <v>-18.970000000000002</v>
      </c>
      <c r="AN34" s="17"/>
    </row>
    <row r="35" spans="4:40" x14ac:dyDescent="0.35"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X35" s="17"/>
      <c r="AN35" s="17"/>
    </row>
    <row r="36" spans="4:40" x14ac:dyDescent="0.35"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T36" s="21" t="s">
        <v>11</v>
      </c>
      <c r="X36" s="17"/>
      <c r="AN36" s="17"/>
    </row>
    <row r="37" spans="4:40" x14ac:dyDescent="0.35"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X37" s="17"/>
    </row>
    <row r="38" spans="4:40" x14ac:dyDescent="0.35"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4:40" x14ac:dyDescent="0.35"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X39" s="17"/>
    </row>
    <row r="40" spans="4:40" x14ac:dyDescent="0.35">
      <c r="X40" s="17"/>
    </row>
    <row r="42" spans="4:40" x14ac:dyDescent="0.35">
      <c r="W42" s="22"/>
    </row>
    <row r="49" spans="24:24" ht="15" hidden="1" customHeight="1" x14ac:dyDescent="0.35">
      <c r="X49" s="23"/>
    </row>
    <row r="50" spans="24:24" ht="15" hidden="1" customHeight="1" x14ac:dyDescent="0.35">
      <c r="X50" s="23"/>
    </row>
    <row r="51" spans="24:24" ht="15" hidden="1" customHeight="1" x14ac:dyDescent="0.35">
      <c r="X51" s="23"/>
    </row>
    <row r="52" spans="24:24" ht="15" hidden="1" customHeight="1" x14ac:dyDescent="0.35">
      <c r="X52" s="23"/>
    </row>
    <row r="53" spans="24:24" ht="15" hidden="1" customHeight="1" x14ac:dyDescent="0.35">
      <c r="X53" s="23"/>
    </row>
    <row r="54" spans="24:24" ht="15" hidden="1" customHeight="1" x14ac:dyDescent="0.35">
      <c r="X54" s="23"/>
    </row>
    <row r="55" spans="24:24" ht="15" hidden="1" customHeight="1" x14ac:dyDescent="0.35">
      <c r="X55" s="23"/>
    </row>
    <row r="56" spans="24:24" ht="15.75" hidden="1" customHeight="1" thickBot="1" x14ac:dyDescent="0.4">
      <c r="X56" s="23"/>
    </row>
    <row r="57" spans="24:24" ht="15" customHeight="1" x14ac:dyDescent="0.35">
      <c r="X57" s="17"/>
    </row>
    <row r="58" spans="24:24" ht="15.75" customHeight="1" x14ac:dyDescent="0.35">
      <c r="X58" s="17"/>
    </row>
    <row r="59" spans="24:24" x14ac:dyDescent="0.35">
      <c r="X59" s="17"/>
    </row>
    <row r="60" spans="24:24" ht="15" hidden="1" customHeight="1" x14ac:dyDescent="0.35">
      <c r="X60" s="17"/>
    </row>
    <row r="61" spans="24:24" ht="15" hidden="1" customHeight="1" x14ac:dyDescent="0.35">
      <c r="X61" s="17"/>
    </row>
    <row r="62" spans="24:24" ht="15" hidden="1" customHeight="1" x14ac:dyDescent="0.35">
      <c r="X62" s="17"/>
    </row>
    <row r="63" spans="24:24" ht="15" hidden="1" customHeight="1" x14ac:dyDescent="0.35">
      <c r="X63" s="17"/>
    </row>
    <row r="64" spans="24:24" ht="15" hidden="1" customHeight="1" x14ac:dyDescent="0.35">
      <c r="X64" s="17"/>
    </row>
    <row r="65" spans="24:24" ht="15" hidden="1" customHeight="1" x14ac:dyDescent="0.35">
      <c r="X65" s="17"/>
    </row>
    <row r="66" spans="24:24" ht="15" hidden="1" customHeight="1" x14ac:dyDescent="0.35">
      <c r="X66" s="17"/>
    </row>
    <row r="67" spans="24:24" ht="15" hidden="1" customHeight="1" x14ac:dyDescent="0.35">
      <c r="X67" s="17"/>
    </row>
    <row r="68" spans="24:24" ht="15" customHeight="1" x14ac:dyDescent="0.35">
      <c r="X68" s="17"/>
    </row>
    <row r="69" spans="24:24" ht="15.75" customHeight="1" x14ac:dyDescent="0.35">
      <c r="X69" s="17"/>
    </row>
    <row r="70" spans="24:24" ht="15.75" customHeight="1" x14ac:dyDescent="0.35">
      <c r="X70" s="17"/>
    </row>
    <row r="71" spans="24:24" ht="15" hidden="1" customHeight="1" x14ac:dyDescent="0.35">
      <c r="X71" s="17"/>
    </row>
    <row r="72" spans="24:24" ht="15" hidden="1" customHeight="1" x14ac:dyDescent="0.35">
      <c r="X72" s="17"/>
    </row>
    <row r="73" spans="24:24" ht="15" hidden="1" customHeight="1" x14ac:dyDescent="0.35">
      <c r="X73" s="17"/>
    </row>
    <row r="74" spans="24:24" ht="15" hidden="1" customHeight="1" x14ac:dyDescent="0.35">
      <c r="X74" s="17"/>
    </row>
    <row r="75" spans="24:24" ht="15" hidden="1" customHeight="1" x14ac:dyDescent="0.35">
      <c r="X75" s="17"/>
    </row>
    <row r="76" spans="24:24" ht="15" hidden="1" customHeight="1" x14ac:dyDescent="0.35">
      <c r="X76" s="17"/>
    </row>
    <row r="77" spans="24:24" ht="15" hidden="1" customHeight="1" x14ac:dyDescent="0.35">
      <c r="X77" s="17"/>
    </row>
    <row r="78" spans="24:24" ht="15" hidden="1" customHeight="1" x14ac:dyDescent="0.35">
      <c r="X78" s="17"/>
    </row>
    <row r="79" spans="24:24" x14ac:dyDescent="0.35">
      <c r="X79" s="17"/>
    </row>
    <row r="80" spans="24:24" ht="15" customHeight="1" x14ac:dyDescent="0.35">
      <c r="X80" s="17"/>
    </row>
    <row r="81" spans="24:24" x14ac:dyDescent="0.35">
      <c r="X81" s="17"/>
    </row>
    <row r="82" spans="24:24" ht="15" hidden="1" customHeight="1" x14ac:dyDescent="0.35">
      <c r="X82" s="17"/>
    </row>
    <row r="83" spans="24:24" ht="15" hidden="1" customHeight="1" x14ac:dyDescent="0.35">
      <c r="X83" s="17"/>
    </row>
    <row r="84" spans="24:24" ht="15" hidden="1" customHeight="1" x14ac:dyDescent="0.35">
      <c r="X84" s="17"/>
    </row>
    <row r="85" spans="24:24" ht="15" hidden="1" customHeight="1" x14ac:dyDescent="0.35">
      <c r="X85" s="17"/>
    </row>
    <row r="86" spans="24:24" ht="15" hidden="1" customHeight="1" x14ac:dyDescent="0.35">
      <c r="X86" s="17"/>
    </row>
    <row r="87" spans="24:24" ht="15" hidden="1" customHeight="1" x14ac:dyDescent="0.35">
      <c r="X87" s="17"/>
    </row>
    <row r="88" spans="24:24" ht="15" hidden="1" customHeight="1" x14ac:dyDescent="0.35">
      <c r="X88" s="17"/>
    </row>
    <row r="89" spans="24:24" ht="15" hidden="1" customHeight="1" x14ac:dyDescent="0.35">
      <c r="X89" s="17"/>
    </row>
    <row r="90" spans="24:24" x14ac:dyDescent="0.35">
      <c r="X90" s="17"/>
    </row>
    <row r="91" spans="24:24" ht="15" customHeight="1" x14ac:dyDescent="0.35">
      <c r="X91" s="17"/>
    </row>
    <row r="92" spans="24:24" x14ac:dyDescent="0.35">
      <c r="X92" s="17"/>
    </row>
    <row r="93" spans="24:24" x14ac:dyDescent="0.35">
      <c r="X93" s="17"/>
    </row>
    <row r="94" spans="24:24" x14ac:dyDescent="0.35">
      <c r="X94" s="17"/>
    </row>
    <row r="95" spans="24:24" x14ac:dyDescent="0.35">
      <c r="X95" s="17"/>
    </row>
    <row r="96" spans="24:24" x14ac:dyDescent="0.35">
      <c r="X96" s="17"/>
    </row>
    <row r="97" spans="24:24" x14ac:dyDescent="0.35">
      <c r="X97" s="17"/>
    </row>
    <row r="98" spans="24:24" x14ac:dyDescent="0.35">
      <c r="X98" s="17"/>
    </row>
    <row r="99" spans="24:24" x14ac:dyDescent="0.35">
      <c r="X99" s="17"/>
    </row>
    <row r="100" spans="24:24" x14ac:dyDescent="0.35">
      <c r="X100" s="17"/>
    </row>
    <row r="101" spans="24:24" x14ac:dyDescent="0.35">
      <c r="X101" s="17"/>
    </row>
    <row r="102" spans="24:24" x14ac:dyDescent="0.35">
      <c r="X102" s="17"/>
    </row>
    <row r="103" spans="24:24" x14ac:dyDescent="0.35">
      <c r="X103" s="17"/>
    </row>
    <row r="104" spans="24:24" x14ac:dyDescent="0.35">
      <c r="X104" s="17"/>
    </row>
    <row r="105" spans="24:24" ht="15" hidden="1" customHeight="1" x14ac:dyDescent="0.35">
      <c r="X105" s="17"/>
    </row>
    <row r="106" spans="24:24" ht="15" hidden="1" customHeight="1" x14ac:dyDescent="0.35">
      <c r="X106" s="17"/>
    </row>
    <row r="107" spans="24:24" ht="15" hidden="1" customHeight="1" x14ac:dyDescent="0.35">
      <c r="X107" s="17"/>
    </row>
    <row r="108" spans="24:24" ht="15" hidden="1" customHeight="1" x14ac:dyDescent="0.35">
      <c r="X108" s="17"/>
    </row>
    <row r="109" spans="24:24" ht="15" hidden="1" customHeight="1" x14ac:dyDescent="0.35">
      <c r="X109" s="17"/>
    </row>
    <row r="110" spans="24:24" ht="15" hidden="1" customHeight="1" x14ac:dyDescent="0.35">
      <c r="X110" s="17"/>
    </row>
    <row r="111" spans="24:24" ht="15" hidden="1" customHeight="1" x14ac:dyDescent="0.35">
      <c r="X111" s="17"/>
    </row>
    <row r="112" spans="24:24" ht="15" hidden="1" customHeight="1" x14ac:dyDescent="0.35">
      <c r="X112" s="17"/>
    </row>
    <row r="113" spans="24:24" x14ac:dyDescent="0.35">
      <c r="X113" s="17"/>
    </row>
    <row r="114" spans="24:24" ht="15" customHeight="1" x14ac:dyDescent="0.35">
      <c r="X114" s="17"/>
    </row>
    <row r="115" spans="24:24" x14ac:dyDescent="0.35">
      <c r="X115" s="17"/>
    </row>
    <row r="116" spans="24:24" ht="15" hidden="1" customHeight="1" x14ac:dyDescent="0.35">
      <c r="X116" s="17"/>
    </row>
    <row r="117" spans="24:24" ht="15" hidden="1" customHeight="1" x14ac:dyDescent="0.35">
      <c r="X117" s="17"/>
    </row>
    <row r="118" spans="24:24" ht="15" hidden="1" customHeight="1" x14ac:dyDescent="0.35">
      <c r="X118" s="17"/>
    </row>
    <row r="119" spans="24:24" ht="15" hidden="1" customHeight="1" x14ac:dyDescent="0.35">
      <c r="X119" s="17"/>
    </row>
    <row r="120" spans="24:24" ht="15" hidden="1" customHeight="1" x14ac:dyDescent="0.35">
      <c r="X120" s="17"/>
    </row>
    <row r="121" spans="24:24" ht="15" hidden="1" customHeight="1" x14ac:dyDescent="0.35">
      <c r="X121" s="17"/>
    </row>
    <row r="122" spans="24:24" ht="15" hidden="1" customHeight="1" x14ac:dyDescent="0.35">
      <c r="X122" s="17"/>
    </row>
    <row r="123" spans="24:24" ht="15" hidden="1" customHeight="1" x14ac:dyDescent="0.35">
      <c r="X123" s="17"/>
    </row>
    <row r="124" spans="24:24" x14ac:dyDescent="0.35">
      <c r="X124" s="17"/>
    </row>
    <row r="125" spans="24:24" ht="15" customHeight="1" x14ac:dyDescent="0.35">
      <c r="X125" s="17"/>
    </row>
    <row r="126" spans="24:24" x14ac:dyDescent="0.35">
      <c r="X126" s="17"/>
    </row>
    <row r="127" spans="24:24" ht="15" hidden="1" customHeight="1" x14ac:dyDescent="0.35">
      <c r="X127" s="17"/>
    </row>
    <row r="128" spans="24:24" ht="15" hidden="1" customHeight="1" x14ac:dyDescent="0.35">
      <c r="X128" s="17"/>
    </row>
    <row r="129" spans="24:24" ht="15" hidden="1" customHeight="1" x14ac:dyDescent="0.35">
      <c r="X129" s="17"/>
    </row>
    <row r="130" spans="24:24" ht="15" hidden="1" customHeight="1" x14ac:dyDescent="0.35">
      <c r="X130" s="17"/>
    </row>
    <row r="131" spans="24:24" ht="15" hidden="1" customHeight="1" x14ac:dyDescent="0.35">
      <c r="X131" s="17"/>
    </row>
    <row r="132" spans="24:24" ht="15" hidden="1" customHeight="1" x14ac:dyDescent="0.35">
      <c r="X132" s="17"/>
    </row>
    <row r="133" spans="24:24" ht="15" hidden="1" customHeight="1" x14ac:dyDescent="0.35">
      <c r="X133" s="17"/>
    </row>
    <row r="134" spans="24:24" ht="15" hidden="1" customHeight="1" x14ac:dyDescent="0.35">
      <c r="X134" s="17"/>
    </row>
    <row r="135" spans="24:24" x14ac:dyDescent="0.35">
      <c r="X135" s="17"/>
    </row>
    <row r="136" spans="24:24" ht="15" customHeight="1" x14ac:dyDescent="0.35">
      <c r="X136" s="17"/>
    </row>
    <row r="137" spans="24:24" x14ac:dyDescent="0.35">
      <c r="X137" s="17"/>
    </row>
    <row r="138" spans="24:24" ht="15" hidden="1" customHeight="1" x14ac:dyDescent="0.35">
      <c r="X138" s="17"/>
    </row>
    <row r="139" spans="24:24" ht="15" hidden="1" customHeight="1" x14ac:dyDescent="0.35">
      <c r="X139" s="17"/>
    </row>
    <row r="140" spans="24:24" ht="15" hidden="1" customHeight="1" x14ac:dyDescent="0.35">
      <c r="X140" s="17"/>
    </row>
    <row r="141" spans="24:24" ht="15" hidden="1" customHeight="1" x14ac:dyDescent="0.35">
      <c r="X141" s="17"/>
    </row>
    <row r="142" spans="24:24" ht="15" hidden="1" customHeight="1" x14ac:dyDescent="0.35">
      <c r="X142" s="17"/>
    </row>
    <row r="143" spans="24:24" ht="15" hidden="1" customHeight="1" x14ac:dyDescent="0.35">
      <c r="X143" s="17"/>
    </row>
    <row r="144" spans="24:24" ht="15" hidden="1" customHeight="1" x14ac:dyDescent="0.35">
      <c r="X144" s="17"/>
    </row>
    <row r="145" spans="24:24" ht="15" hidden="1" customHeight="1" x14ac:dyDescent="0.35">
      <c r="X145" s="17"/>
    </row>
    <row r="146" spans="24:24" x14ac:dyDescent="0.35">
      <c r="X146" s="17"/>
    </row>
    <row r="147" spans="24:24" ht="15" customHeight="1" x14ac:dyDescent="0.35">
      <c r="X147" s="17"/>
    </row>
  </sheetData>
  <mergeCells count="4">
    <mergeCell ref="B3:B6"/>
    <mergeCell ref="B8:B11"/>
    <mergeCell ref="B13:B16"/>
    <mergeCell ref="B18:B21"/>
  </mergeCells>
  <conditionalFormatting sqref="Z159">
    <cfRule type="containsText" dxfId="17" priority="1" operator="containsText" text="Long">
      <formula>NOT(ISERROR(SEARCH("Long",Z159)))</formula>
    </cfRule>
  </conditionalFormatting>
  <dataValidations disablePrompts="1" count="2">
    <dataValidation type="custom" allowBlank="1" showInputMessage="1" showErrorMessage="1" errorTitle="Novo Produto" error="O produto que voce digitou já consta na lista, favor verificar." promptTitle="Novo Produto" prompt="Favor digitar o nome de um novo produto." sqref="Y19:Y20 Y26 Y3:Y16 AM3:AM16" xr:uid="{00000000-0002-0000-0100-000000000000}">
      <formula1>COUNTIF(Produtos,Y3)&lt;2</formula1>
    </dataValidation>
    <dataValidation type="custom" allowBlank="1" showInputMessage="1" showErrorMessage="1" errorTitle="Novo Produto" error="O produto que voce digitou já consta na lista, favor verificar." promptTitle="Novo Produto" prompt="Favor digitar o nome de um novo produto." sqref="AM19" xr:uid="{00000000-0002-0000-0100-000001000000}">
      <formula1>COUNTIF(Produtos2,AM19)&lt;2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Precos2024">
                <anchor moveWithCells="1" sizeWithCells="1">
                  <from>
                    <xdr:col>22</xdr:col>
                    <xdr:colOff>774700</xdr:colOff>
                    <xdr:row>17</xdr:row>
                    <xdr:rowOff>133350</xdr:rowOff>
                  </from>
                  <to>
                    <xdr:col>23</xdr:col>
                    <xdr:colOff>298450</xdr:colOff>
                    <xdr:row>19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-0.499984740745262"/>
  </sheetPr>
  <dimension ref="A1:IB328"/>
  <sheetViews>
    <sheetView tabSelected="1" zoomScale="99" zoomScaleNormal="100" workbookViewId="0">
      <pane xSplit="2" ySplit="4" topLeftCell="FA161" activePane="bottomRight" state="frozen"/>
      <selection pane="topRight" activeCell="C1" sqref="C1"/>
      <selection pane="bottomLeft" activeCell="A5" sqref="A5"/>
      <selection pane="bottomRight" activeCell="FF168" sqref="FF168:FF170"/>
    </sheetView>
  </sheetViews>
  <sheetFormatPr defaultRowHeight="14.5" outlineLevelCol="1" x14ac:dyDescent="0.35"/>
  <cols>
    <col min="1" max="1" width="1.7265625" customWidth="1"/>
    <col min="2" max="2" width="17.1796875" bestFit="1" customWidth="1"/>
    <col min="3" max="3" width="13.81640625" bestFit="1" customWidth="1"/>
    <col min="4" max="4" width="11" bestFit="1" customWidth="1"/>
    <col min="5" max="5" width="63" bestFit="1" customWidth="1"/>
    <col min="6" max="6" width="19.26953125" hidden="1" customWidth="1" outlineLevel="1"/>
    <col min="7" max="7" width="63" bestFit="1" customWidth="1" collapsed="1"/>
    <col min="8" max="8" width="19.26953125" hidden="1" customWidth="1" outlineLevel="1"/>
    <col min="9" max="9" width="16.54296875" bestFit="1" customWidth="1" collapsed="1"/>
    <col min="10" max="10" width="53" bestFit="1" customWidth="1"/>
    <col min="11" max="11" width="7.26953125" bestFit="1" customWidth="1"/>
    <col min="12" max="12" width="14.453125" bestFit="1" customWidth="1"/>
    <col min="13" max="14" width="8" bestFit="1" customWidth="1"/>
    <col min="15" max="16" width="13" bestFit="1" customWidth="1"/>
    <col min="17" max="17" width="12.26953125" bestFit="1" customWidth="1"/>
    <col min="18" max="18" width="13" bestFit="1" customWidth="1"/>
    <col min="19" max="19" width="21.7265625" bestFit="1" customWidth="1"/>
    <col min="20" max="20" width="7.26953125" bestFit="1" customWidth="1"/>
    <col min="21" max="21" width="11.453125" bestFit="1" customWidth="1"/>
    <col min="22" max="22" width="9.1796875" bestFit="1" customWidth="1"/>
    <col min="23" max="23" width="10.81640625" bestFit="1" customWidth="1"/>
    <col min="24" max="24" width="18.1796875" bestFit="1" customWidth="1"/>
    <col min="25" max="25" width="25.7265625" customWidth="1"/>
    <col min="26" max="27" width="12.81640625" bestFit="1" customWidth="1"/>
    <col min="28" max="30" width="9.81640625" bestFit="1" customWidth="1"/>
    <col min="31" max="31" width="7.1796875" bestFit="1" customWidth="1"/>
    <col min="32" max="32" width="7.7265625" bestFit="1" customWidth="1"/>
    <col min="33" max="33" width="7" bestFit="1" customWidth="1"/>
    <col min="34" max="34" width="6.54296875" bestFit="1" customWidth="1"/>
    <col min="35" max="35" width="7.453125" bestFit="1" customWidth="1"/>
    <col min="36" max="36" width="7" bestFit="1" customWidth="1"/>
    <col min="37" max="37" width="7.1796875" bestFit="1" customWidth="1"/>
    <col min="38" max="38" width="7.453125" bestFit="1" customWidth="1"/>
    <col min="39" max="39" width="8.7265625" bestFit="1" customWidth="1"/>
    <col min="40" max="40" width="7" customWidth="1" outlineLevel="1"/>
    <col min="41" max="41" width="7.1796875" customWidth="1" outlineLevel="1"/>
    <col min="42" max="42" width="7.81640625" customWidth="1" outlineLevel="1"/>
    <col min="43" max="43" width="7.1796875" customWidth="1" outlineLevel="1"/>
    <col min="44" max="44" width="7.7265625" customWidth="1" outlineLevel="1"/>
    <col min="45" max="45" width="7" customWidth="1" outlineLevel="1"/>
    <col min="46" max="46" width="6.453125" customWidth="1" outlineLevel="1"/>
    <col min="47" max="47" width="7.453125" customWidth="1" outlineLevel="1"/>
    <col min="48" max="48" width="7" customWidth="1" outlineLevel="1"/>
    <col min="49" max="49" width="7.1796875" customWidth="1" outlineLevel="1"/>
    <col min="50" max="50" width="7.453125" customWidth="1" outlineLevel="1"/>
    <col min="51" max="51" width="7.26953125" customWidth="1" outlineLevel="1"/>
    <col min="52" max="52" width="7" customWidth="1" outlineLevel="1"/>
    <col min="53" max="53" width="7.1796875" customWidth="1" outlineLevel="1"/>
    <col min="54" max="54" width="7.81640625" customWidth="1" outlineLevel="1"/>
    <col min="55" max="55" width="7.1796875" customWidth="1" outlineLevel="1"/>
    <col min="56" max="56" width="7.7265625" customWidth="1" outlineLevel="1"/>
    <col min="57" max="57" width="7" customWidth="1" outlineLevel="1"/>
    <col min="58" max="58" width="6.453125" customWidth="1" outlineLevel="1"/>
    <col min="59" max="59" width="7.453125" customWidth="1" outlineLevel="1"/>
    <col min="60" max="60" width="7" customWidth="1" outlineLevel="1"/>
    <col min="61" max="61" width="7.1796875" customWidth="1" outlineLevel="1"/>
    <col min="62" max="62" width="7.453125" customWidth="1" outlineLevel="1"/>
    <col min="63" max="63" width="7.26953125" customWidth="1" outlineLevel="1"/>
    <col min="64" max="64" width="7" customWidth="1" outlineLevel="1"/>
    <col min="65" max="65" width="7.1796875" customWidth="1" outlineLevel="1"/>
    <col min="66" max="66" width="7.81640625" customWidth="1" outlineLevel="1"/>
    <col min="67" max="67" width="7.1796875" customWidth="1" outlineLevel="1"/>
    <col min="68" max="68" width="7.7265625" customWidth="1" outlineLevel="1"/>
    <col min="69" max="69" width="7" customWidth="1" outlineLevel="1"/>
    <col min="70" max="70" width="6.453125" customWidth="1" outlineLevel="1"/>
    <col min="71" max="71" width="7.453125" customWidth="1" outlineLevel="1"/>
    <col min="72" max="72" width="7" customWidth="1" outlineLevel="1"/>
    <col min="73" max="73" width="7.1796875" customWidth="1" outlineLevel="1"/>
    <col min="74" max="74" width="7.453125" customWidth="1" outlineLevel="1"/>
    <col min="75" max="75" width="7.26953125" customWidth="1" outlineLevel="1"/>
    <col min="76" max="76" width="7" customWidth="1" outlineLevel="1"/>
    <col min="77" max="77" width="7.1796875" customWidth="1" outlineLevel="1"/>
    <col min="78" max="78" width="7.81640625" customWidth="1" outlineLevel="1"/>
    <col min="79" max="79" width="7.1796875" customWidth="1" outlineLevel="1"/>
    <col min="80" max="80" width="7.7265625" customWidth="1" outlineLevel="1"/>
    <col min="81" max="81" width="7" customWidth="1" outlineLevel="1"/>
    <col min="82" max="82" width="6.453125" customWidth="1" outlineLevel="1"/>
    <col min="83" max="83" width="7.453125" customWidth="1" outlineLevel="1"/>
    <col min="84" max="84" width="7" customWidth="1" outlineLevel="1"/>
    <col min="85" max="85" width="7.1796875" customWidth="1" outlineLevel="1"/>
    <col min="86" max="86" width="7.453125" customWidth="1" outlineLevel="1"/>
    <col min="87" max="87" width="7.26953125" customWidth="1" outlineLevel="1"/>
    <col min="88" max="88" width="9.1796875" customWidth="1" outlineLevel="1"/>
    <col min="89" max="92" width="9.1796875" bestFit="1" customWidth="1"/>
    <col min="93" max="93" width="0.54296875" customWidth="1"/>
    <col min="94" max="95" width="7.1796875" bestFit="1" customWidth="1"/>
    <col min="96" max="96" width="7.81640625" bestFit="1" customWidth="1"/>
    <col min="97" max="97" width="7.1796875" bestFit="1" customWidth="1"/>
    <col min="98" max="98" width="7.7265625" bestFit="1" customWidth="1"/>
    <col min="99" max="99" width="7" bestFit="1" customWidth="1"/>
    <col min="100" max="105" width="7.7265625" bestFit="1" customWidth="1"/>
    <col min="106" max="106" width="6.54296875" customWidth="1" outlineLevel="1"/>
    <col min="107" max="107" width="7.1796875" customWidth="1" outlineLevel="1"/>
    <col min="108" max="108" width="7.81640625" customWidth="1" outlineLevel="1"/>
    <col min="109" max="109" width="7.1796875" customWidth="1" outlineLevel="1"/>
    <col min="110" max="110" width="7.7265625" customWidth="1" outlineLevel="1"/>
    <col min="111" max="111" width="7" customWidth="1" outlineLevel="1"/>
    <col min="112" max="112" width="6.453125" customWidth="1" outlineLevel="1"/>
    <col min="113" max="113" width="7.453125" customWidth="1" outlineLevel="1"/>
    <col min="114" max="114" width="7" customWidth="1" outlineLevel="1"/>
    <col min="115" max="115" width="7.1796875" customWidth="1" outlineLevel="1"/>
    <col min="116" max="116" width="7.453125" customWidth="1" outlineLevel="1"/>
    <col min="117" max="117" width="7.26953125" customWidth="1" outlineLevel="1"/>
    <col min="118" max="118" width="18" customWidth="1" outlineLevel="1"/>
    <col min="119" max="119" width="7.1796875" customWidth="1" outlineLevel="1"/>
    <col min="120" max="120" width="7.81640625" customWidth="1" outlineLevel="1"/>
    <col min="121" max="121" width="7.1796875" customWidth="1" outlineLevel="1"/>
    <col min="122" max="122" width="7.7265625" customWidth="1" outlineLevel="1"/>
    <col min="123" max="123" width="7" customWidth="1" outlineLevel="1"/>
    <col min="124" max="124" width="6.453125" customWidth="1" outlineLevel="1"/>
    <col min="125" max="125" width="7.453125" customWidth="1" outlineLevel="1"/>
    <col min="126" max="126" width="7" customWidth="1" outlineLevel="1"/>
    <col min="127" max="127" width="7.1796875" customWidth="1" outlineLevel="1"/>
    <col min="128" max="128" width="7.453125" customWidth="1" outlineLevel="1"/>
    <col min="129" max="129" width="7.26953125" customWidth="1" outlineLevel="1"/>
    <col min="130" max="130" width="7" customWidth="1" outlineLevel="1"/>
    <col min="131" max="131" width="7.1796875" customWidth="1" outlineLevel="1"/>
    <col min="132" max="132" width="7.81640625" customWidth="1" outlineLevel="1"/>
    <col min="133" max="133" width="7.1796875" customWidth="1" outlineLevel="1"/>
    <col min="134" max="134" width="7.7265625" customWidth="1" outlineLevel="1"/>
    <col min="135" max="135" width="7" customWidth="1" outlineLevel="1"/>
    <col min="136" max="136" width="6.453125" customWidth="1" outlineLevel="1"/>
    <col min="137" max="137" width="7.453125" customWidth="1" outlineLevel="1"/>
    <col min="138" max="138" width="7" customWidth="1" outlineLevel="1"/>
    <col min="139" max="139" width="7.1796875" customWidth="1" outlineLevel="1"/>
    <col min="140" max="140" width="7.453125" customWidth="1" outlineLevel="1"/>
    <col min="141" max="141" width="7.26953125" customWidth="1" outlineLevel="1"/>
    <col min="142" max="142" width="7" customWidth="1" outlineLevel="1"/>
    <col min="143" max="143" width="7.1796875" customWidth="1" outlineLevel="1"/>
    <col min="144" max="144" width="7.81640625" customWidth="1" outlineLevel="1"/>
    <col min="145" max="145" width="7.1796875" customWidth="1" outlineLevel="1"/>
    <col min="146" max="146" width="7.7265625" customWidth="1" outlineLevel="1"/>
    <col min="147" max="147" width="7" customWidth="1" outlineLevel="1"/>
    <col min="148" max="148" width="6.453125" customWidth="1" outlineLevel="1"/>
    <col min="149" max="149" width="7.453125" customWidth="1" outlineLevel="1"/>
    <col min="150" max="150" width="7" customWidth="1" outlineLevel="1"/>
    <col min="151" max="151" width="7.1796875" customWidth="1" outlineLevel="1"/>
    <col min="152" max="152" width="7.453125" customWidth="1" outlineLevel="1"/>
    <col min="153" max="153" width="7.26953125" customWidth="1" outlineLevel="1"/>
    <col min="154" max="154" width="8" customWidth="1" outlineLevel="1"/>
    <col min="155" max="158" width="8" bestFit="1" customWidth="1"/>
    <col min="159" max="159" width="14.453125" bestFit="1" customWidth="1"/>
    <col min="160" max="160" width="16.54296875" bestFit="1" customWidth="1"/>
    <col min="161" max="161" width="10.453125" customWidth="1"/>
    <col min="162" max="162" width="17.1796875" bestFit="1" customWidth="1"/>
    <col min="164" max="164" width="23.81640625" bestFit="1" customWidth="1"/>
    <col min="165" max="165" width="7.7265625" bestFit="1" customWidth="1"/>
    <col min="167" max="167" width="63" bestFit="1" customWidth="1"/>
    <col min="168" max="168" width="15.81640625" bestFit="1" customWidth="1"/>
    <col min="169" max="169" width="15.54296875" bestFit="1" customWidth="1"/>
    <col min="170" max="172" width="12" bestFit="1" customWidth="1"/>
    <col min="173" max="173" width="11.26953125" bestFit="1" customWidth="1"/>
    <col min="174" max="175" width="10.26953125" bestFit="1" customWidth="1"/>
    <col min="176" max="181" width="12" bestFit="1" customWidth="1"/>
    <col min="182" max="182" width="7" bestFit="1" customWidth="1"/>
    <col min="183" max="183" width="7.1796875" bestFit="1" customWidth="1"/>
    <col min="184" max="184" width="7.81640625" bestFit="1" customWidth="1"/>
    <col min="185" max="185" width="7.1796875" bestFit="1" customWidth="1"/>
    <col min="186" max="186" width="7.7265625" bestFit="1" customWidth="1"/>
    <col min="187" max="187" width="7" bestFit="1" customWidth="1"/>
    <col min="188" max="188" width="6.453125" bestFit="1" customWidth="1"/>
    <col min="189" max="189" width="7.453125" bestFit="1" customWidth="1"/>
    <col min="190" max="190" width="7" bestFit="1" customWidth="1"/>
    <col min="191" max="191" width="7.1796875" bestFit="1" customWidth="1"/>
    <col min="192" max="192" width="7.453125" bestFit="1" customWidth="1"/>
    <col min="193" max="194" width="12" bestFit="1" customWidth="1"/>
    <col min="195" max="196" width="8" bestFit="1" customWidth="1"/>
    <col min="197" max="197" width="13.1796875" bestFit="1" customWidth="1"/>
    <col min="198" max="198" width="13.7265625" bestFit="1" customWidth="1"/>
  </cols>
  <sheetData>
    <row r="1" spans="1:236" ht="21" x14ac:dyDescent="0.35">
      <c r="A1" s="21"/>
      <c r="B1" s="1"/>
      <c r="C1" s="82"/>
      <c r="D1" s="1"/>
      <c r="E1" s="1"/>
      <c r="F1" s="109"/>
      <c r="G1" s="2"/>
      <c r="H1" s="109"/>
      <c r="I1" s="1"/>
      <c r="J1" s="156"/>
      <c r="K1" s="1"/>
      <c r="L1" s="1"/>
      <c r="M1" s="1"/>
      <c r="N1" s="1"/>
      <c r="O1" s="147"/>
      <c r="P1" s="1"/>
      <c r="Q1" s="147"/>
      <c r="R1" s="1"/>
      <c r="S1" s="1"/>
      <c r="T1" s="1"/>
      <c r="U1" s="1"/>
      <c r="V1" s="200"/>
      <c r="W1" s="1"/>
      <c r="X1" s="21"/>
      <c r="Y1" s="156"/>
      <c r="Z1" s="21"/>
      <c r="AA1" s="21"/>
      <c r="AB1" s="304">
        <v>2023</v>
      </c>
      <c r="AC1" s="304"/>
      <c r="AD1" s="304"/>
      <c r="AE1" s="304"/>
      <c r="AF1" s="304"/>
      <c r="AG1" s="304"/>
      <c r="AH1" s="304"/>
      <c r="AI1" s="304"/>
      <c r="AJ1" s="304"/>
      <c r="AK1" s="304"/>
      <c r="AL1" s="304"/>
      <c r="AM1" s="304"/>
      <c r="AN1" s="304">
        <v>2024</v>
      </c>
      <c r="AO1" s="304"/>
      <c r="AP1" s="304"/>
      <c r="AQ1" s="304"/>
      <c r="AR1" s="304"/>
      <c r="AS1" s="304"/>
      <c r="AT1" s="304"/>
      <c r="AU1" s="304"/>
      <c r="AV1" s="304"/>
      <c r="AW1" s="304"/>
      <c r="AX1" s="304"/>
      <c r="AY1" s="304"/>
      <c r="AZ1" s="304">
        <v>2025</v>
      </c>
      <c r="BA1" s="304"/>
      <c r="BB1" s="304"/>
      <c r="BC1" s="304"/>
      <c r="BD1" s="304"/>
      <c r="BE1" s="304"/>
      <c r="BF1" s="304"/>
      <c r="BG1" s="304"/>
      <c r="BH1" s="304"/>
      <c r="BI1" s="304"/>
      <c r="BJ1" s="304"/>
      <c r="BK1" s="304"/>
      <c r="BL1" s="304">
        <v>2026</v>
      </c>
      <c r="BM1" s="304"/>
      <c r="BN1" s="304"/>
      <c r="BO1" s="304"/>
      <c r="BP1" s="304"/>
      <c r="BQ1" s="304"/>
      <c r="BR1" s="304"/>
      <c r="BS1" s="304"/>
      <c r="BT1" s="304"/>
      <c r="BU1" s="304"/>
      <c r="BV1" s="304"/>
      <c r="BW1" s="304"/>
      <c r="BX1" s="304">
        <v>2027</v>
      </c>
      <c r="BY1" s="304"/>
      <c r="BZ1" s="304"/>
      <c r="CA1" s="304"/>
      <c r="CB1" s="304"/>
      <c r="CC1" s="304"/>
      <c r="CD1" s="304"/>
      <c r="CE1" s="304"/>
      <c r="CF1" s="304"/>
      <c r="CG1" s="304"/>
      <c r="CH1" s="304"/>
      <c r="CI1" s="304"/>
      <c r="CJ1" s="151">
        <v>2023</v>
      </c>
      <c r="CK1" s="151">
        <v>2024</v>
      </c>
      <c r="CL1" s="151">
        <v>2025</v>
      </c>
      <c r="CM1" s="151">
        <v>2026</v>
      </c>
      <c r="CN1" s="151">
        <v>2027</v>
      </c>
      <c r="CO1" s="3"/>
      <c r="CP1" s="304">
        <v>2023</v>
      </c>
      <c r="CQ1" s="304"/>
      <c r="CR1" s="304"/>
      <c r="CS1" s="304"/>
      <c r="CT1" s="304"/>
      <c r="CU1" s="304"/>
      <c r="CV1" s="304"/>
      <c r="CW1" s="304"/>
      <c r="CX1" s="304"/>
      <c r="CY1" s="304"/>
      <c r="CZ1" s="304"/>
      <c r="DA1" s="304"/>
      <c r="DB1" s="304">
        <v>2024</v>
      </c>
      <c r="DC1" s="304"/>
      <c r="DD1" s="304"/>
      <c r="DE1" s="304"/>
      <c r="DF1" s="304"/>
      <c r="DG1" s="304"/>
      <c r="DH1" s="304"/>
      <c r="DI1" s="304"/>
      <c r="DJ1" s="304"/>
      <c r="DK1" s="304"/>
      <c r="DL1" s="304"/>
      <c r="DM1" s="304"/>
      <c r="DN1" s="304">
        <v>2025</v>
      </c>
      <c r="DO1" s="304"/>
      <c r="DP1" s="304"/>
      <c r="DQ1" s="304"/>
      <c r="DR1" s="304"/>
      <c r="DS1" s="304"/>
      <c r="DT1" s="304"/>
      <c r="DU1" s="304"/>
      <c r="DV1" s="304"/>
      <c r="DW1" s="304"/>
      <c r="DX1" s="304"/>
      <c r="DY1" s="304"/>
      <c r="DZ1" s="304">
        <v>2026</v>
      </c>
      <c r="EA1" s="304"/>
      <c r="EB1" s="304"/>
      <c r="EC1" s="304"/>
      <c r="ED1" s="304"/>
      <c r="EE1" s="304"/>
      <c r="EF1" s="304"/>
      <c r="EG1" s="304"/>
      <c r="EH1" s="304"/>
      <c r="EI1" s="304"/>
      <c r="EJ1" s="304"/>
      <c r="EK1" s="304"/>
      <c r="EL1" s="304">
        <v>2027</v>
      </c>
      <c r="EM1" s="304"/>
      <c r="EN1" s="304"/>
      <c r="EO1" s="304"/>
      <c r="EP1" s="304"/>
      <c r="EQ1" s="304"/>
      <c r="ER1" s="304"/>
      <c r="ES1" s="304"/>
      <c r="ET1" s="304"/>
      <c r="EU1" s="304"/>
      <c r="EV1" s="304"/>
      <c r="EW1" s="304"/>
      <c r="EX1" s="151">
        <v>2023</v>
      </c>
      <c r="EY1" s="151">
        <v>2024</v>
      </c>
      <c r="EZ1" s="151">
        <v>2025</v>
      </c>
      <c r="FA1" s="151">
        <v>2026</v>
      </c>
      <c r="FB1" s="151">
        <v>2027</v>
      </c>
      <c r="FC1" s="21"/>
      <c r="FD1" s="21"/>
      <c r="FE1" s="115"/>
      <c r="FF1" s="115"/>
      <c r="FH1" s="65"/>
      <c r="FL1" s="83"/>
      <c r="FN1" s="304">
        <v>2023</v>
      </c>
      <c r="FO1" s="304"/>
      <c r="FP1" s="304"/>
      <c r="FQ1" s="304"/>
      <c r="FR1" s="304"/>
      <c r="FS1" s="304"/>
      <c r="FT1" s="304"/>
      <c r="FU1" s="304"/>
      <c r="FV1" s="304"/>
      <c r="FW1" s="304"/>
      <c r="FX1" s="304"/>
      <c r="FY1" s="304"/>
      <c r="FZ1" s="304">
        <v>2024</v>
      </c>
      <c r="GA1" s="304"/>
      <c r="GB1" s="304"/>
      <c r="GC1" s="304"/>
      <c r="GD1" s="304"/>
      <c r="GE1" s="304"/>
      <c r="GF1" s="304"/>
      <c r="GG1" s="304"/>
      <c r="GH1" s="304"/>
      <c r="GI1" s="304"/>
      <c r="GJ1" s="304"/>
      <c r="GK1" s="304"/>
      <c r="GL1" s="151">
        <v>2025</v>
      </c>
      <c r="GM1" s="151">
        <v>2026</v>
      </c>
      <c r="GN1" s="151">
        <v>2027</v>
      </c>
    </row>
    <row r="2" spans="1:236" ht="15" thickBot="1" x14ac:dyDescent="0.4">
      <c r="A2" s="21"/>
      <c r="B2" s="1"/>
      <c r="C2" s="21"/>
      <c r="D2" s="1"/>
      <c r="E2" s="21"/>
      <c r="F2" s="21"/>
      <c r="G2" s="1"/>
      <c r="H2" s="21"/>
      <c r="I2" s="1"/>
      <c r="J2" s="156"/>
      <c r="K2" s="1"/>
      <c r="L2" s="21"/>
      <c r="M2" s="1"/>
      <c r="N2" s="21"/>
      <c r="O2" s="147"/>
      <c r="P2" s="21"/>
      <c r="Q2" s="147"/>
      <c r="R2" s="21"/>
      <c r="S2" s="1"/>
      <c r="T2" s="21"/>
      <c r="U2" s="1"/>
      <c r="V2" s="22"/>
      <c r="W2" s="1"/>
      <c r="X2" s="21"/>
      <c r="Y2" s="156"/>
      <c r="Z2" s="21"/>
      <c r="AA2" s="1"/>
      <c r="AB2" s="3">
        <v>744</v>
      </c>
      <c r="AC2" s="3">
        <f>28*24</f>
        <v>672</v>
      </c>
      <c r="AD2" s="3">
        <v>744</v>
      </c>
      <c r="AE2" s="3">
        <v>720</v>
      </c>
      <c r="AF2" s="3">
        <v>744</v>
      </c>
      <c r="AG2" s="3">
        <v>720</v>
      </c>
      <c r="AH2" s="3">
        <v>744</v>
      </c>
      <c r="AI2" s="3">
        <v>744</v>
      </c>
      <c r="AJ2" s="3">
        <v>720</v>
      </c>
      <c r="AK2" s="3">
        <v>744</v>
      </c>
      <c r="AL2" s="3">
        <v>720</v>
      </c>
      <c r="AM2" s="3">
        <v>744</v>
      </c>
      <c r="AN2" s="3">
        <v>744</v>
      </c>
      <c r="AO2" s="3">
        <f>29*24</f>
        <v>696</v>
      </c>
      <c r="AP2" s="3">
        <v>744</v>
      </c>
      <c r="AQ2" s="3">
        <v>720</v>
      </c>
      <c r="AR2" s="3">
        <v>744</v>
      </c>
      <c r="AS2" s="3">
        <v>720</v>
      </c>
      <c r="AT2" s="3">
        <v>744</v>
      </c>
      <c r="AU2" s="3">
        <v>744</v>
      </c>
      <c r="AV2" s="3">
        <v>720</v>
      </c>
      <c r="AW2" s="3">
        <v>744</v>
      </c>
      <c r="AX2" s="3">
        <v>720</v>
      </c>
      <c r="AY2" s="3">
        <v>744</v>
      </c>
      <c r="AZ2" s="3">
        <v>744</v>
      </c>
      <c r="BA2" s="3">
        <f>28*24</f>
        <v>672</v>
      </c>
      <c r="BB2" s="3">
        <v>744</v>
      </c>
      <c r="BC2" s="3">
        <v>720</v>
      </c>
      <c r="BD2" s="3">
        <v>744</v>
      </c>
      <c r="BE2" s="3">
        <v>720</v>
      </c>
      <c r="BF2" s="3">
        <v>744</v>
      </c>
      <c r="BG2" s="3">
        <v>744</v>
      </c>
      <c r="BH2" s="3">
        <v>720</v>
      </c>
      <c r="BI2" s="3">
        <v>744</v>
      </c>
      <c r="BJ2" s="3">
        <v>720</v>
      </c>
      <c r="BK2" s="3">
        <v>744</v>
      </c>
      <c r="BL2" s="3">
        <v>744</v>
      </c>
      <c r="BM2" s="3">
        <f>28*24</f>
        <v>672</v>
      </c>
      <c r="BN2" s="3">
        <v>744</v>
      </c>
      <c r="BO2" s="3">
        <v>720</v>
      </c>
      <c r="BP2" s="3">
        <v>744</v>
      </c>
      <c r="BQ2" s="3">
        <v>720</v>
      </c>
      <c r="BR2" s="3">
        <v>744</v>
      </c>
      <c r="BS2" s="3">
        <v>744</v>
      </c>
      <c r="BT2" s="3">
        <v>720</v>
      </c>
      <c r="BU2" s="3">
        <v>744</v>
      </c>
      <c r="BV2" s="3">
        <v>720</v>
      </c>
      <c r="BW2" s="3">
        <v>744</v>
      </c>
      <c r="BX2" s="3">
        <v>744</v>
      </c>
      <c r="BY2" s="3">
        <f>28*24</f>
        <v>672</v>
      </c>
      <c r="BZ2" s="3">
        <v>744</v>
      </c>
      <c r="CA2" s="3">
        <v>720</v>
      </c>
      <c r="CB2" s="3">
        <v>744</v>
      </c>
      <c r="CC2" s="3">
        <v>720</v>
      </c>
      <c r="CD2" s="3">
        <v>744</v>
      </c>
      <c r="CE2" s="3">
        <v>744</v>
      </c>
      <c r="CF2" s="3">
        <v>720</v>
      </c>
      <c r="CG2" s="3">
        <v>744</v>
      </c>
      <c r="CH2" s="3">
        <v>720</v>
      </c>
      <c r="CI2" s="3">
        <v>744</v>
      </c>
      <c r="CJ2" s="152">
        <v>8760</v>
      </c>
      <c r="CK2" s="152">
        <f>366*24</f>
        <v>8784</v>
      </c>
      <c r="CL2" s="152">
        <v>8760</v>
      </c>
      <c r="CM2" s="152">
        <v>8760</v>
      </c>
      <c r="CN2" s="152">
        <v>8760</v>
      </c>
      <c r="CO2" s="3"/>
      <c r="CP2" s="3">
        <v>744</v>
      </c>
      <c r="CQ2" s="3">
        <f>28*24</f>
        <v>672</v>
      </c>
      <c r="CR2" s="3">
        <v>744</v>
      </c>
      <c r="CS2" s="3">
        <v>720</v>
      </c>
      <c r="CT2" s="3">
        <v>744</v>
      </c>
      <c r="CU2" s="3">
        <v>720</v>
      </c>
      <c r="CV2" s="3">
        <v>744</v>
      </c>
      <c r="CW2" s="3">
        <v>744</v>
      </c>
      <c r="CX2" s="3">
        <v>720</v>
      </c>
      <c r="CY2" s="3">
        <v>744</v>
      </c>
      <c r="CZ2" s="3">
        <v>720</v>
      </c>
      <c r="DA2" s="3">
        <v>744</v>
      </c>
      <c r="DB2" s="3">
        <v>744</v>
      </c>
      <c r="DC2" s="3">
        <f>29*24</f>
        <v>696</v>
      </c>
      <c r="DD2" s="3">
        <v>744</v>
      </c>
      <c r="DE2" s="3">
        <v>720</v>
      </c>
      <c r="DF2" s="3">
        <v>744</v>
      </c>
      <c r="DG2" s="3">
        <v>720</v>
      </c>
      <c r="DH2" s="3">
        <v>744</v>
      </c>
      <c r="DI2" s="3">
        <v>744</v>
      </c>
      <c r="DJ2" s="3">
        <v>720</v>
      </c>
      <c r="DK2" s="3">
        <v>744</v>
      </c>
      <c r="DL2" s="3">
        <v>720</v>
      </c>
      <c r="DM2" s="3">
        <v>744</v>
      </c>
      <c r="DN2" s="3">
        <v>744</v>
      </c>
      <c r="DO2" s="3">
        <f>28*24</f>
        <v>672</v>
      </c>
      <c r="DP2" s="3">
        <v>744</v>
      </c>
      <c r="DQ2" s="3">
        <v>720</v>
      </c>
      <c r="DR2" s="3">
        <v>744</v>
      </c>
      <c r="DS2" s="3">
        <v>720</v>
      </c>
      <c r="DT2" s="3">
        <v>744</v>
      </c>
      <c r="DU2" s="3">
        <v>744</v>
      </c>
      <c r="DV2" s="3">
        <v>720</v>
      </c>
      <c r="DW2" s="3">
        <v>744</v>
      </c>
      <c r="DX2" s="3">
        <v>720</v>
      </c>
      <c r="DY2" s="3">
        <v>744</v>
      </c>
      <c r="DZ2" s="3">
        <v>744</v>
      </c>
      <c r="EA2" s="3">
        <f>28*24</f>
        <v>672</v>
      </c>
      <c r="EB2" s="3">
        <v>744</v>
      </c>
      <c r="EC2" s="3">
        <v>720</v>
      </c>
      <c r="ED2" s="3">
        <v>744</v>
      </c>
      <c r="EE2" s="3">
        <v>720</v>
      </c>
      <c r="EF2" s="3">
        <v>744</v>
      </c>
      <c r="EG2" s="3">
        <v>744</v>
      </c>
      <c r="EH2" s="3">
        <v>720</v>
      </c>
      <c r="EI2" s="3">
        <v>744</v>
      </c>
      <c r="EJ2" s="3">
        <v>720</v>
      </c>
      <c r="EK2" s="3">
        <v>744</v>
      </c>
      <c r="EL2" s="3">
        <v>744</v>
      </c>
      <c r="EM2" s="3">
        <f>28*24</f>
        <v>672</v>
      </c>
      <c r="EN2" s="3">
        <v>744</v>
      </c>
      <c r="EO2" s="3">
        <v>720</v>
      </c>
      <c r="EP2" s="3">
        <v>744</v>
      </c>
      <c r="EQ2" s="3">
        <v>720</v>
      </c>
      <c r="ER2" s="3">
        <v>744</v>
      </c>
      <c r="ES2" s="3">
        <v>744</v>
      </c>
      <c r="ET2" s="3">
        <v>720</v>
      </c>
      <c r="EU2" s="3">
        <v>744</v>
      </c>
      <c r="EV2" s="3">
        <v>720</v>
      </c>
      <c r="EW2" s="3">
        <v>744</v>
      </c>
      <c r="EX2" s="152">
        <v>8760</v>
      </c>
      <c r="EY2" s="152">
        <v>8784</v>
      </c>
      <c r="EZ2" s="152">
        <v>8760</v>
      </c>
      <c r="FA2" s="152">
        <v>8760</v>
      </c>
      <c r="FB2" s="152">
        <v>8760</v>
      </c>
      <c r="FD2" s="21"/>
      <c r="FE2" s="115"/>
      <c r="FF2" s="115"/>
      <c r="FH2" s="65"/>
      <c r="FN2" s="3">
        <v>744</v>
      </c>
      <c r="FO2" s="3">
        <f>28*24</f>
        <v>672</v>
      </c>
      <c r="FP2" s="3">
        <v>744</v>
      </c>
      <c r="FQ2" s="3">
        <v>720</v>
      </c>
      <c r="FR2" s="3">
        <v>744</v>
      </c>
      <c r="FS2" s="3">
        <v>720</v>
      </c>
      <c r="FT2" s="3">
        <v>744</v>
      </c>
      <c r="FU2" s="3">
        <v>744</v>
      </c>
      <c r="FV2" s="3">
        <v>720</v>
      </c>
      <c r="FW2" s="3">
        <v>744</v>
      </c>
      <c r="FX2" s="3">
        <v>720</v>
      </c>
      <c r="FY2" s="3">
        <v>744</v>
      </c>
      <c r="FZ2" s="3">
        <v>744</v>
      </c>
      <c r="GA2" s="3">
        <v>696</v>
      </c>
      <c r="GB2" s="3">
        <v>744</v>
      </c>
      <c r="GC2" s="3">
        <v>720</v>
      </c>
      <c r="GD2" s="3">
        <v>744</v>
      </c>
      <c r="GE2" s="3">
        <v>720</v>
      </c>
      <c r="GF2" s="3">
        <v>744</v>
      </c>
      <c r="GG2" s="3">
        <v>744</v>
      </c>
      <c r="GH2" s="3">
        <v>720</v>
      </c>
      <c r="GI2" s="3">
        <v>744</v>
      </c>
      <c r="GJ2" s="3">
        <v>720</v>
      </c>
      <c r="GK2" s="3">
        <v>720</v>
      </c>
      <c r="GL2" s="152">
        <v>8760</v>
      </c>
      <c r="GM2" s="152">
        <v>8760</v>
      </c>
      <c r="GN2" s="152">
        <v>8760</v>
      </c>
    </row>
    <row r="3" spans="1:236" ht="15" thickBot="1" x14ac:dyDescent="0.4">
      <c r="A3" s="21"/>
      <c r="B3" s="102"/>
      <c r="C3" s="103"/>
      <c r="D3" s="104"/>
      <c r="E3" s="4"/>
      <c r="F3" s="110"/>
      <c r="G3" s="4"/>
      <c r="H3" s="119"/>
      <c r="I3" s="4"/>
      <c r="J3" s="157"/>
      <c r="K3" s="4"/>
      <c r="L3" s="105"/>
      <c r="M3" s="305" t="s">
        <v>91</v>
      </c>
      <c r="N3" s="306"/>
      <c r="O3" s="4"/>
      <c r="P3" s="305" t="s">
        <v>90</v>
      </c>
      <c r="Q3" s="306"/>
      <c r="R3" s="4"/>
      <c r="S3" s="4"/>
      <c r="T3" s="305" t="s">
        <v>87</v>
      </c>
      <c r="U3" s="306"/>
      <c r="V3" s="305" t="s">
        <v>88</v>
      </c>
      <c r="W3" s="306"/>
      <c r="X3" s="4"/>
      <c r="Y3" s="157"/>
      <c r="Z3" s="305" t="s">
        <v>8</v>
      </c>
      <c r="AA3" s="306"/>
      <c r="AB3" s="301" t="s">
        <v>10</v>
      </c>
      <c r="AC3" s="302"/>
      <c r="AD3" s="302"/>
      <c r="AE3" s="302"/>
      <c r="AF3" s="302"/>
      <c r="AG3" s="302"/>
      <c r="AH3" s="302"/>
      <c r="AI3" s="302"/>
      <c r="AJ3" s="302"/>
      <c r="AK3" s="302"/>
      <c r="AL3" s="302"/>
      <c r="AM3" s="303"/>
      <c r="AN3" s="301" t="s">
        <v>10</v>
      </c>
      <c r="AO3" s="302"/>
      <c r="AP3" s="302"/>
      <c r="AQ3" s="302"/>
      <c r="AR3" s="302"/>
      <c r="AS3" s="302"/>
      <c r="AT3" s="302"/>
      <c r="AU3" s="302"/>
      <c r="AV3" s="302"/>
      <c r="AW3" s="302"/>
      <c r="AX3" s="302"/>
      <c r="AY3" s="303"/>
      <c r="AZ3" s="301" t="s">
        <v>10</v>
      </c>
      <c r="BA3" s="302"/>
      <c r="BB3" s="302"/>
      <c r="BC3" s="302"/>
      <c r="BD3" s="302"/>
      <c r="BE3" s="302"/>
      <c r="BF3" s="302"/>
      <c r="BG3" s="302"/>
      <c r="BH3" s="302"/>
      <c r="BI3" s="302"/>
      <c r="BJ3" s="302"/>
      <c r="BK3" s="303"/>
      <c r="BL3" s="301" t="s">
        <v>10</v>
      </c>
      <c r="BM3" s="302"/>
      <c r="BN3" s="302"/>
      <c r="BO3" s="302"/>
      <c r="BP3" s="302"/>
      <c r="BQ3" s="302"/>
      <c r="BR3" s="302"/>
      <c r="BS3" s="302"/>
      <c r="BT3" s="302"/>
      <c r="BU3" s="302"/>
      <c r="BV3" s="302"/>
      <c r="BW3" s="303"/>
      <c r="BX3" s="301" t="s">
        <v>10</v>
      </c>
      <c r="BY3" s="302"/>
      <c r="BZ3" s="302"/>
      <c r="CA3" s="302"/>
      <c r="CB3" s="302"/>
      <c r="CC3" s="302"/>
      <c r="CD3" s="302"/>
      <c r="CE3" s="302"/>
      <c r="CF3" s="302"/>
      <c r="CG3" s="302"/>
      <c r="CH3" s="302"/>
      <c r="CI3" s="303"/>
      <c r="CJ3" s="113" t="s">
        <v>84</v>
      </c>
      <c r="CK3" s="113" t="s">
        <v>84</v>
      </c>
      <c r="CL3" s="113" t="s">
        <v>84</v>
      </c>
      <c r="CM3" s="113" t="s">
        <v>84</v>
      </c>
      <c r="CN3" s="113" t="s">
        <v>84</v>
      </c>
      <c r="CO3" s="18"/>
      <c r="CP3" s="301" t="s">
        <v>122</v>
      </c>
      <c r="CQ3" s="302"/>
      <c r="CR3" s="302"/>
      <c r="CS3" s="302"/>
      <c r="CT3" s="302"/>
      <c r="CU3" s="302"/>
      <c r="CV3" s="302"/>
      <c r="CW3" s="302"/>
      <c r="CX3" s="302"/>
      <c r="CY3" s="302"/>
      <c r="CZ3" s="302"/>
      <c r="DA3" s="303"/>
      <c r="DB3" s="301" t="s">
        <v>122</v>
      </c>
      <c r="DC3" s="302"/>
      <c r="DD3" s="302"/>
      <c r="DE3" s="302"/>
      <c r="DF3" s="302"/>
      <c r="DG3" s="302"/>
      <c r="DH3" s="302"/>
      <c r="DI3" s="302"/>
      <c r="DJ3" s="302"/>
      <c r="DK3" s="302"/>
      <c r="DL3" s="302"/>
      <c r="DM3" s="303"/>
      <c r="DN3" s="113" t="s">
        <v>122</v>
      </c>
      <c r="DO3" s="209"/>
      <c r="DP3" s="209"/>
      <c r="DQ3" s="209"/>
      <c r="DR3" s="209"/>
      <c r="DS3" s="209"/>
      <c r="DT3" s="209"/>
      <c r="DU3" s="209"/>
      <c r="DV3" s="209"/>
      <c r="DW3" s="209"/>
      <c r="DX3" s="209"/>
      <c r="DY3" s="210"/>
      <c r="DZ3" s="302" t="s">
        <v>122</v>
      </c>
      <c r="EA3" s="302"/>
      <c r="EB3" s="302"/>
      <c r="EC3" s="302"/>
      <c r="ED3" s="302"/>
      <c r="EE3" s="302"/>
      <c r="EF3" s="302"/>
      <c r="EG3" s="302"/>
      <c r="EH3" s="302"/>
      <c r="EI3" s="302"/>
      <c r="EJ3" s="302"/>
      <c r="EK3" s="303"/>
      <c r="EL3" s="302" t="s">
        <v>122</v>
      </c>
      <c r="EM3" s="302"/>
      <c r="EN3" s="302"/>
      <c r="EO3" s="302"/>
      <c r="EP3" s="302"/>
      <c r="EQ3" s="302"/>
      <c r="ER3" s="302"/>
      <c r="ES3" s="302"/>
      <c r="ET3" s="302"/>
      <c r="EU3" s="302"/>
      <c r="EV3" s="302"/>
      <c r="EW3" s="303"/>
      <c r="EX3" s="153" t="s">
        <v>90</v>
      </c>
      <c r="EY3" s="153" t="s">
        <v>90</v>
      </c>
      <c r="EZ3" s="153" t="s">
        <v>90</v>
      </c>
      <c r="FA3" s="153" t="s">
        <v>90</v>
      </c>
      <c r="FB3" s="153" t="s">
        <v>90</v>
      </c>
      <c r="FC3" s="19"/>
      <c r="FD3" s="19"/>
      <c r="FE3" s="115"/>
      <c r="FF3" s="118"/>
      <c r="FH3" s="65"/>
      <c r="FK3" s="153" t="s">
        <v>265</v>
      </c>
      <c r="FL3" s="153" t="s">
        <v>251</v>
      </c>
      <c r="FM3" s="153" t="s">
        <v>268</v>
      </c>
      <c r="FN3" s="302" t="s">
        <v>261</v>
      </c>
      <c r="FO3" s="302"/>
      <c r="FP3" s="302"/>
      <c r="FQ3" s="302"/>
      <c r="FR3" s="302"/>
      <c r="FS3" s="302"/>
      <c r="FT3" s="302"/>
      <c r="FU3" s="302"/>
      <c r="FV3" s="302"/>
      <c r="FW3" s="302"/>
      <c r="FX3" s="302"/>
      <c r="FY3" s="303"/>
      <c r="FZ3" s="302" t="s">
        <v>261</v>
      </c>
      <c r="GA3" s="302"/>
      <c r="GB3" s="302"/>
      <c r="GC3" s="302"/>
      <c r="GD3" s="302"/>
      <c r="GE3" s="302"/>
      <c r="GF3" s="302"/>
      <c r="GG3" s="302"/>
      <c r="GH3" s="302"/>
      <c r="GI3" s="302"/>
      <c r="GJ3" s="302"/>
      <c r="GK3" s="303"/>
      <c r="GL3" s="153" t="s">
        <v>90</v>
      </c>
      <c r="GM3" s="153" t="s">
        <v>90</v>
      </c>
      <c r="GN3" s="153" t="s">
        <v>90</v>
      </c>
      <c r="GO3" s="83"/>
    </row>
    <row r="4" spans="1:236" ht="15" thickBot="1" x14ac:dyDescent="0.4">
      <c r="A4" s="21"/>
      <c r="B4" s="98" t="s">
        <v>89</v>
      </c>
      <c r="C4" s="99" t="s">
        <v>0</v>
      </c>
      <c r="D4" s="100" t="s">
        <v>1</v>
      </c>
      <c r="E4" s="97" t="s">
        <v>2</v>
      </c>
      <c r="F4" s="111" t="s">
        <v>12</v>
      </c>
      <c r="G4" s="97" t="s">
        <v>3</v>
      </c>
      <c r="H4" s="117" t="s">
        <v>13</v>
      </c>
      <c r="I4" s="97" t="s">
        <v>85</v>
      </c>
      <c r="J4" s="97" t="s">
        <v>92</v>
      </c>
      <c r="K4" s="97" t="s">
        <v>4</v>
      </c>
      <c r="L4" s="101" t="s">
        <v>5</v>
      </c>
      <c r="M4" s="94" t="s">
        <v>14</v>
      </c>
      <c r="N4" s="94" t="s">
        <v>15</v>
      </c>
      <c r="O4" s="94" t="s">
        <v>16</v>
      </c>
      <c r="P4" s="94" t="s">
        <v>17</v>
      </c>
      <c r="Q4" s="108" t="s">
        <v>18</v>
      </c>
      <c r="R4" s="94" t="s">
        <v>21</v>
      </c>
      <c r="S4" s="94" t="s">
        <v>9</v>
      </c>
      <c r="T4" s="94" t="s">
        <v>82</v>
      </c>
      <c r="U4" s="94" t="s">
        <v>83</v>
      </c>
      <c r="V4" s="201" t="s">
        <v>277</v>
      </c>
      <c r="W4" s="94" t="s">
        <v>86</v>
      </c>
      <c r="X4" s="97" t="s">
        <v>6</v>
      </c>
      <c r="Y4" s="97" t="s">
        <v>7</v>
      </c>
      <c r="Z4" s="96" t="s">
        <v>19</v>
      </c>
      <c r="AA4" s="96" t="s">
        <v>20</v>
      </c>
      <c r="AB4" s="5">
        <v>44927</v>
      </c>
      <c r="AC4" s="5">
        <v>44958</v>
      </c>
      <c r="AD4" s="5">
        <v>44986</v>
      </c>
      <c r="AE4" s="5">
        <v>45017</v>
      </c>
      <c r="AF4" s="5">
        <v>45047</v>
      </c>
      <c r="AG4" s="5">
        <v>45078</v>
      </c>
      <c r="AH4" s="5">
        <v>45108</v>
      </c>
      <c r="AI4" s="5">
        <v>45139</v>
      </c>
      <c r="AJ4" s="5">
        <v>45170</v>
      </c>
      <c r="AK4" s="5">
        <v>45200</v>
      </c>
      <c r="AL4" s="5">
        <v>45231</v>
      </c>
      <c r="AM4" s="5">
        <v>45261</v>
      </c>
      <c r="AN4" s="5">
        <v>45292</v>
      </c>
      <c r="AO4" s="5">
        <v>45323</v>
      </c>
      <c r="AP4" s="5">
        <v>45352</v>
      </c>
      <c r="AQ4" s="5">
        <v>45383</v>
      </c>
      <c r="AR4" s="5">
        <v>45413</v>
      </c>
      <c r="AS4" s="5">
        <v>45444</v>
      </c>
      <c r="AT4" s="5">
        <v>45474</v>
      </c>
      <c r="AU4" s="5">
        <v>45505</v>
      </c>
      <c r="AV4" s="5">
        <v>45536</v>
      </c>
      <c r="AW4" s="5">
        <v>45566</v>
      </c>
      <c r="AX4" s="5">
        <v>45597</v>
      </c>
      <c r="AY4" s="5">
        <v>45627</v>
      </c>
      <c r="AZ4" s="5">
        <v>45658</v>
      </c>
      <c r="BA4" s="5">
        <v>45689</v>
      </c>
      <c r="BB4" s="5">
        <v>45717</v>
      </c>
      <c r="BC4" s="5">
        <v>45748</v>
      </c>
      <c r="BD4" s="5">
        <v>45778</v>
      </c>
      <c r="BE4" s="5">
        <v>45809</v>
      </c>
      <c r="BF4" s="5">
        <v>45839</v>
      </c>
      <c r="BG4" s="5">
        <v>45870</v>
      </c>
      <c r="BH4" s="5">
        <v>45901</v>
      </c>
      <c r="BI4" s="5">
        <v>45931</v>
      </c>
      <c r="BJ4" s="5">
        <v>45962</v>
      </c>
      <c r="BK4" s="5">
        <v>45992</v>
      </c>
      <c r="BL4" s="5">
        <v>45658</v>
      </c>
      <c r="BM4" s="5">
        <v>45689</v>
      </c>
      <c r="BN4" s="5">
        <v>45717</v>
      </c>
      <c r="BO4" s="5">
        <v>45748</v>
      </c>
      <c r="BP4" s="5">
        <v>45778</v>
      </c>
      <c r="BQ4" s="5">
        <v>45809</v>
      </c>
      <c r="BR4" s="5">
        <v>45839</v>
      </c>
      <c r="BS4" s="5">
        <v>45870</v>
      </c>
      <c r="BT4" s="5">
        <v>45901</v>
      </c>
      <c r="BU4" s="5">
        <v>45931</v>
      </c>
      <c r="BV4" s="5">
        <v>45962</v>
      </c>
      <c r="BW4" s="5">
        <v>45992</v>
      </c>
      <c r="BX4" s="5">
        <v>45658</v>
      </c>
      <c r="BY4" s="5">
        <v>45689</v>
      </c>
      <c r="BZ4" s="5">
        <v>45717</v>
      </c>
      <c r="CA4" s="5">
        <v>45748</v>
      </c>
      <c r="CB4" s="5">
        <v>45778</v>
      </c>
      <c r="CC4" s="5">
        <v>45809</v>
      </c>
      <c r="CD4" s="5">
        <v>45839</v>
      </c>
      <c r="CE4" s="5">
        <v>45870</v>
      </c>
      <c r="CF4" s="5">
        <v>45901</v>
      </c>
      <c r="CG4" s="5">
        <v>45931</v>
      </c>
      <c r="CH4" s="5">
        <v>45962</v>
      </c>
      <c r="CI4" s="5">
        <v>45992</v>
      </c>
      <c r="CJ4" s="95">
        <v>2023</v>
      </c>
      <c r="CK4" s="95">
        <v>2024</v>
      </c>
      <c r="CL4" s="95">
        <v>2025</v>
      </c>
      <c r="CM4" s="95">
        <v>2026</v>
      </c>
      <c r="CN4" s="95">
        <v>2027</v>
      </c>
      <c r="CO4" s="18"/>
      <c r="CP4" s="5">
        <v>44927</v>
      </c>
      <c r="CQ4" s="5">
        <v>44958</v>
      </c>
      <c r="CR4" s="5">
        <v>44986</v>
      </c>
      <c r="CS4" s="5">
        <v>45017</v>
      </c>
      <c r="CT4" s="5">
        <v>45047</v>
      </c>
      <c r="CU4" s="5">
        <v>45078</v>
      </c>
      <c r="CV4" s="5">
        <v>45108</v>
      </c>
      <c r="CW4" s="5">
        <v>45139</v>
      </c>
      <c r="CX4" s="5">
        <v>45170</v>
      </c>
      <c r="CY4" s="5">
        <v>45200</v>
      </c>
      <c r="CZ4" s="5">
        <v>45231</v>
      </c>
      <c r="DA4" s="5">
        <v>45261</v>
      </c>
      <c r="DB4" s="5">
        <v>45292</v>
      </c>
      <c r="DC4" s="5">
        <v>45323</v>
      </c>
      <c r="DD4" s="5">
        <v>45352</v>
      </c>
      <c r="DE4" s="5">
        <v>45383</v>
      </c>
      <c r="DF4" s="5">
        <v>45413</v>
      </c>
      <c r="DG4" s="5">
        <v>45444</v>
      </c>
      <c r="DH4" s="5">
        <v>45474</v>
      </c>
      <c r="DI4" s="5">
        <v>45505</v>
      </c>
      <c r="DJ4" s="5">
        <v>45536</v>
      </c>
      <c r="DK4" s="5">
        <v>45566</v>
      </c>
      <c r="DL4" s="5">
        <v>45597</v>
      </c>
      <c r="DM4" s="5">
        <v>45627</v>
      </c>
      <c r="DN4" s="5">
        <v>45658</v>
      </c>
      <c r="DO4" s="5">
        <v>45689</v>
      </c>
      <c r="DP4" s="5">
        <v>45717</v>
      </c>
      <c r="DQ4" s="5">
        <v>45748</v>
      </c>
      <c r="DR4" s="5">
        <v>45778</v>
      </c>
      <c r="DS4" s="5">
        <v>45809</v>
      </c>
      <c r="DT4" s="5">
        <v>45839</v>
      </c>
      <c r="DU4" s="5">
        <v>45870</v>
      </c>
      <c r="DV4" s="5">
        <v>45901</v>
      </c>
      <c r="DW4" s="5">
        <v>45931</v>
      </c>
      <c r="DX4" s="5">
        <v>45962</v>
      </c>
      <c r="DY4" s="5">
        <v>45992</v>
      </c>
      <c r="DZ4" s="5">
        <v>46023</v>
      </c>
      <c r="EA4" s="5">
        <v>46054</v>
      </c>
      <c r="EB4" s="5">
        <v>46082</v>
      </c>
      <c r="EC4" s="5">
        <v>46113</v>
      </c>
      <c r="ED4" s="5">
        <v>46143</v>
      </c>
      <c r="EE4" s="5">
        <v>46174</v>
      </c>
      <c r="EF4" s="5">
        <v>46204</v>
      </c>
      <c r="EG4" s="5">
        <v>46235</v>
      </c>
      <c r="EH4" s="5">
        <v>46266</v>
      </c>
      <c r="EI4" s="5">
        <v>46296</v>
      </c>
      <c r="EJ4" s="5">
        <v>46327</v>
      </c>
      <c r="EK4" s="5">
        <v>46357</v>
      </c>
      <c r="EL4" s="5">
        <v>46388</v>
      </c>
      <c r="EM4" s="5">
        <v>46419</v>
      </c>
      <c r="EN4" s="5">
        <v>46447</v>
      </c>
      <c r="EO4" s="5">
        <v>46478</v>
      </c>
      <c r="EP4" s="5">
        <v>46508</v>
      </c>
      <c r="EQ4" s="5">
        <v>46539</v>
      </c>
      <c r="ER4" s="5">
        <v>46569</v>
      </c>
      <c r="ES4" s="5">
        <v>46600</v>
      </c>
      <c r="ET4" s="5">
        <v>46631</v>
      </c>
      <c r="EU4" s="5">
        <v>46661</v>
      </c>
      <c r="EV4" s="5">
        <v>46692</v>
      </c>
      <c r="EW4" s="5">
        <v>46722</v>
      </c>
      <c r="EX4" s="95">
        <v>2023</v>
      </c>
      <c r="EY4" s="95">
        <v>2024</v>
      </c>
      <c r="EZ4" s="95">
        <v>2025</v>
      </c>
      <c r="FA4" s="95">
        <v>2026</v>
      </c>
      <c r="FB4" s="95">
        <v>2027</v>
      </c>
      <c r="FC4" s="19" t="s">
        <v>23</v>
      </c>
      <c r="FD4" s="19" t="s">
        <v>24</v>
      </c>
      <c r="FE4" s="115"/>
      <c r="FF4" s="116" t="s">
        <v>63</v>
      </c>
      <c r="FH4" s="65" t="s">
        <v>333</v>
      </c>
      <c r="FI4" s="65" t="s">
        <v>247</v>
      </c>
      <c r="FK4" s="153" t="s">
        <v>305</v>
      </c>
      <c r="FL4" s="153"/>
      <c r="FM4" s="153" t="s">
        <v>252</v>
      </c>
      <c r="FN4" s="5">
        <v>44927</v>
      </c>
      <c r="FO4" s="5">
        <v>44958</v>
      </c>
      <c r="FP4" s="5">
        <v>44986</v>
      </c>
      <c r="FQ4" s="5">
        <v>45017</v>
      </c>
      <c r="FR4" s="5">
        <v>45047</v>
      </c>
      <c r="FS4" s="5">
        <v>45078</v>
      </c>
      <c r="FT4" s="5">
        <v>45108</v>
      </c>
      <c r="FU4" s="5">
        <v>45139</v>
      </c>
      <c r="FV4" s="5">
        <v>45170</v>
      </c>
      <c r="FW4" s="5">
        <v>45200</v>
      </c>
      <c r="FX4" s="5">
        <v>45231</v>
      </c>
      <c r="FY4" s="5">
        <v>45261</v>
      </c>
      <c r="FZ4" s="5">
        <v>45292</v>
      </c>
      <c r="GA4" s="5">
        <v>45323</v>
      </c>
      <c r="GB4" s="5">
        <v>45352</v>
      </c>
      <c r="GC4" s="5">
        <v>45383</v>
      </c>
      <c r="GD4" s="5">
        <v>45413</v>
      </c>
      <c r="GE4" s="5">
        <v>45444</v>
      </c>
      <c r="GF4" s="5">
        <v>45474</v>
      </c>
      <c r="GG4" s="5">
        <v>45505</v>
      </c>
      <c r="GH4" s="5">
        <v>45536</v>
      </c>
      <c r="GI4" s="5">
        <v>45566</v>
      </c>
      <c r="GJ4" s="5">
        <v>45597</v>
      </c>
      <c r="GK4" s="5">
        <v>45627</v>
      </c>
      <c r="GL4" s="95">
        <v>2025</v>
      </c>
      <c r="GM4" s="95">
        <v>2026</v>
      </c>
      <c r="GN4" s="95">
        <v>2026</v>
      </c>
      <c r="GO4" s="153" t="s">
        <v>286</v>
      </c>
      <c r="GP4" s="153" t="s">
        <v>287</v>
      </c>
      <c r="GR4" s="84"/>
      <c r="GT4" s="206"/>
      <c r="GU4" s="198"/>
      <c r="GX4" s="191"/>
      <c r="GY4" s="191"/>
      <c r="GZ4" s="190"/>
      <c r="HA4" s="190"/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M4" s="190"/>
      <c r="HN4" s="190"/>
      <c r="HO4" s="190"/>
      <c r="HP4" s="190"/>
      <c r="HQ4" s="190"/>
      <c r="HR4" s="190"/>
      <c r="HS4" s="190"/>
      <c r="HT4" s="190"/>
      <c r="HU4" s="190"/>
      <c r="HV4" s="190"/>
      <c r="HW4" s="190"/>
      <c r="HX4" s="190"/>
      <c r="HY4" s="190"/>
      <c r="HZ4" s="190"/>
      <c r="IA4" s="191"/>
      <c r="IB4" s="191"/>
    </row>
    <row r="5" spans="1:236" s="265" customFormat="1" ht="15" customHeight="1" x14ac:dyDescent="0.35">
      <c r="A5" s="251"/>
      <c r="B5" s="84">
        <v>11691</v>
      </c>
      <c r="C5" s="8">
        <v>43991</v>
      </c>
      <c r="D5" s="9" t="s">
        <v>130</v>
      </c>
      <c r="E5" s="9" t="s">
        <v>141</v>
      </c>
      <c r="F5" s="112">
        <v>60933603000178</v>
      </c>
      <c r="G5" s="10" t="s">
        <v>124</v>
      </c>
      <c r="H5" s="112" t="e">
        <v>#VALUE!</v>
      </c>
      <c r="I5" s="9" t="s">
        <v>125</v>
      </c>
      <c r="J5" s="158" t="s">
        <v>302</v>
      </c>
      <c r="K5" s="10" t="s">
        <v>126</v>
      </c>
      <c r="L5" s="84" t="s">
        <v>22</v>
      </c>
      <c r="M5" s="11">
        <v>44927</v>
      </c>
      <c r="N5" s="12">
        <v>45291</v>
      </c>
      <c r="O5" s="10">
        <v>18.75</v>
      </c>
      <c r="P5" s="84">
        <v>150</v>
      </c>
      <c r="Q5" s="84" t="s">
        <v>127</v>
      </c>
      <c r="R5" s="10" t="s">
        <v>128</v>
      </c>
      <c r="S5" s="164" t="s">
        <v>249</v>
      </c>
      <c r="T5" s="165" t="s">
        <v>129</v>
      </c>
      <c r="U5" s="166">
        <v>43983</v>
      </c>
      <c r="V5" s="202">
        <f ca="1">IF(U5="","",
IF(U5="NA","",
IFERROR(VLOOKUP(EOMONTH(M5,-2)+1,IPCA!$A:$B,2,0),
VLOOKUP(EOMONTH(TODAY(),-2)+1,IPCA!$A:$B,2,0))/
VLOOKUP(EOMONTH(U5,-2)+1,IPCA!$A:$B,2,0)*
P5))</f>
        <v>182.82708762813817</v>
      </c>
      <c r="W5" s="84"/>
      <c r="X5" s="13"/>
      <c r="Y5" s="158" t="s">
        <v>235</v>
      </c>
      <c r="Z5" s="106" t="s">
        <v>134</v>
      </c>
      <c r="AA5" s="107">
        <v>44517</v>
      </c>
      <c r="AB5">
        <v>18.75</v>
      </c>
      <c r="AC5">
        <v>18.75</v>
      </c>
      <c r="AD5">
        <v>18.75</v>
      </c>
      <c r="AE5">
        <v>18.75</v>
      </c>
      <c r="AF5">
        <v>18.75</v>
      </c>
      <c r="AG5">
        <v>18.75</v>
      </c>
      <c r="AH5">
        <v>18.75</v>
      </c>
      <c r="AI5">
        <v>18.75</v>
      </c>
      <c r="AJ5">
        <v>18.75</v>
      </c>
      <c r="AK5">
        <v>18.75</v>
      </c>
      <c r="AL5">
        <v>18.75</v>
      </c>
      <c r="AM5">
        <v>18.75</v>
      </c>
      <c r="AN5" s="15"/>
      <c r="AO5"/>
      <c r="AP5"/>
      <c r="AQ5"/>
      <c r="AR5"/>
      <c r="AS5"/>
      <c r="AT5"/>
      <c r="AU5"/>
      <c r="AV5"/>
      <c r="AW5"/>
      <c r="AX5"/>
      <c r="AY5" s="6"/>
      <c r="AZ5" s="15"/>
      <c r="BA5"/>
      <c r="BB5"/>
      <c r="BC5"/>
      <c r="BD5"/>
      <c r="BE5"/>
      <c r="BF5"/>
      <c r="BG5"/>
      <c r="BH5"/>
      <c r="BI5"/>
      <c r="BJ5"/>
      <c r="BK5" s="6"/>
      <c r="BL5" s="15"/>
      <c r="BM5"/>
      <c r="BN5"/>
      <c r="BO5"/>
      <c r="BP5"/>
      <c r="BQ5"/>
      <c r="BR5"/>
      <c r="BS5"/>
      <c r="BT5"/>
      <c r="BU5"/>
      <c r="BV5"/>
      <c r="BW5" s="6"/>
      <c r="BX5" s="15"/>
      <c r="BY5"/>
      <c r="BZ5"/>
      <c r="CA5"/>
      <c r="CB5"/>
      <c r="CC5"/>
      <c r="CD5"/>
      <c r="CE5"/>
      <c r="CF5"/>
      <c r="CG5"/>
      <c r="CH5"/>
      <c r="CI5" s="6"/>
      <c r="CJ5" s="16">
        <v>18.75</v>
      </c>
      <c r="CK5" s="16" t="s">
        <v>578</v>
      </c>
      <c r="CL5" s="16" t="s">
        <v>578</v>
      </c>
      <c r="CM5" s="16" t="s">
        <v>578</v>
      </c>
      <c r="CN5" s="16" t="s">
        <v>578</v>
      </c>
      <c r="CO5" s="18"/>
      <c r="CP5" s="15">
        <v>150</v>
      </c>
      <c r="CQ5">
        <v>150</v>
      </c>
      <c r="CR5">
        <v>150</v>
      </c>
      <c r="CS5">
        <v>150</v>
      </c>
      <c r="CT5">
        <v>150</v>
      </c>
      <c r="CU5">
        <v>150</v>
      </c>
      <c r="CV5">
        <v>150</v>
      </c>
      <c r="CW5">
        <v>150</v>
      </c>
      <c r="CX5">
        <v>150</v>
      </c>
      <c r="CY5">
        <v>150</v>
      </c>
      <c r="CZ5">
        <v>150</v>
      </c>
      <c r="DA5" s="6">
        <v>150</v>
      </c>
      <c r="DB5" s="15"/>
      <c r="DC5"/>
      <c r="DD5"/>
      <c r="DE5"/>
      <c r="DF5"/>
      <c r="DG5"/>
      <c r="DH5"/>
      <c r="DI5"/>
      <c r="DJ5"/>
      <c r="DK5"/>
      <c r="DL5"/>
      <c r="DM5" s="6"/>
      <c r="DN5" s="15"/>
      <c r="DO5"/>
      <c r="DP5"/>
      <c r="DQ5"/>
      <c r="DR5"/>
      <c r="DS5"/>
      <c r="DT5"/>
      <c r="DU5"/>
      <c r="DV5"/>
      <c r="DW5"/>
      <c r="DX5"/>
      <c r="DY5" s="6"/>
      <c r="DZ5" s="15"/>
      <c r="EA5"/>
      <c r="EB5"/>
      <c r="EC5"/>
      <c r="ED5"/>
      <c r="EE5"/>
      <c r="EF5"/>
      <c r="EG5"/>
      <c r="EH5"/>
      <c r="EI5"/>
      <c r="EJ5"/>
      <c r="EK5" s="6"/>
      <c r="EL5" s="15"/>
      <c r="EM5"/>
      <c r="EN5"/>
      <c r="EO5"/>
      <c r="EP5"/>
      <c r="EQ5"/>
      <c r="ER5"/>
      <c r="ES5"/>
      <c r="ET5"/>
      <c r="EU5"/>
      <c r="EV5"/>
      <c r="EW5" s="6"/>
      <c r="EX5" s="16">
        <v>150</v>
      </c>
      <c r="EY5" s="16" t="s">
        <v>578</v>
      </c>
      <c r="EZ5" s="16" t="s">
        <v>578</v>
      </c>
      <c r="FA5" s="154" t="s">
        <v>578</v>
      </c>
      <c r="FB5" s="154" t="s">
        <v>578</v>
      </c>
      <c r="FC5" t="s">
        <v>196</v>
      </c>
      <c r="FD5" s="20" t="s">
        <v>125</v>
      </c>
      <c r="FE5"/>
      <c r="FF5" t="s">
        <v>197</v>
      </c>
      <c r="FG5"/>
      <c r="FH5" s="206">
        <f ca="1">IF(V5="",0,V5-P5)</f>
        <v>32.827087628138173</v>
      </c>
      <c r="FI5" s="198">
        <f t="shared" ref="FI5" si="0">(N5-M5)/30</f>
        <v>12.133333333333333</v>
      </c>
      <c r="FJ5"/>
      <c r="FK5" t="str">
        <f t="shared" ref="FK5" si="1">IF($FC5="V",G5,E5)</f>
        <v>CESP - COMPANHIA ENERGÉTICA DE SÃO PAULO</v>
      </c>
      <c r="FL5" s="191">
        <f t="shared" ref="FL5" ca="1" si="2">SUMIF($FN$4:$GK$4,"&lt;"&amp;EOMONTH(TODAY(),-1),FN5:GK5)</f>
        <v>-1129950</v>
      </c>
      <c r="FM5" s="191">
        <f t="shared" ref="FM5" ca="1" si="3">SUM(FN5:GN5)-FL5</f>
        <v>-11732850</v>
      </c>
      <c r="FN5" s="190">
        <f>AB5*AB$2*IF($FC5="V",1,-1)*IF($Q5="Fixo",(CP5-INDEX('Curva Forward'!$C$5:$AN$13,MATCH(CONCATENATE(BD_COMERCIAL!$K5," ",BD_COMERCIAL!$L5),'Curva Forward'!$B$5:$B$13,0),MATCH(FN$4,'Curva Forward'!$C$4:$AN$4,0))),CP5)</f>
        <v>-1129950</v>
      </c>
      <c r="FO5" s="190">
        <f>AC5*AC$2*IF($FC5="V",1,-1)*IF($Q5="Fixo",(CQ5-INDEX('Curva Forward'!$C$5:$AN$13,MATCH(CONCATENATE(BD_COMERCIAL!$K5," ",BD_COMERCIAL!$L5),'Curva Forward'!$B$5:$B$13,0),MATCH(FO$4,'Curva Forward'!$C$4:$AN$4,0))),CQ5)</f>
        <v>-1020600</v>
      </c>
      <c r="FP5" s="190">
        <f>AD5*AD$2*IF($FC5="V",1,-1)*IF($Q5="Fixo",(CR5-INDEX('Curva Forward'!$C$5:$AN$13,MATCH(CONCATENATE(BD_COMERCIAL!$K5," ",BD_COMERCIAL!$L5),'Curva Forward'!$B$5:$B$13,0),MATCH(FP$4,'Curva Forward'!$C$4:$AN$4,0))),CR5)</f>
        <v>-1129950</v>
      </c>
      <c r="FQ5" s="190">
        <f>AE5*AE$2*IF($FC5="V",1,-1)*IF($Q5="Fixo",(CS5-INDEX('Curva Forward'!$C$5:$AN$13,MATCH(CONCATENATE(BD_COMERCIAL!$K5," ",BD_COMERCIAL!$L5),'Curva Forward'!$B$5:$B$13,0),MATCH(FQ$4,'Curva Forward'!$C$4:$AN$4,0))),CS5)</f>
        <v>-1093500</v>
      </c>
      <c r="FR5" s="190">
        <f>AF5*AF$2*IF($FC5="V",1,-1)*IF($Q5="Fixo",(CT5-INDEX('Curva Forward'!$C$5:$AN$13,MATCH(CONCATENATE(BD_COMERCIAL!$K5," ",BD_COMERCIAL!$L5),'Curva Forward'!$B$5:$B$13,0),MATCH(FR$4,'Curva Forward'!$C$4:$AN$4,0))),CT5)</f>
        <v>-1116000</v>
      </c>
      <c r="FS5" s="190">
        <f>AG5*AG$2*IF($FC5="V",1,-1)*IF($Q5="Fixo",(CU5-INDEX('Curva Forward'!$C$5:$AN$13,MATCH(CONCATENATE(BD_COMERCIAL!$K5," ",BD_COMERCIAL!$L5),'Curva Forward'!$B$5:$B$13,0),MATCH(FS$4,'Curva Forward'!$C$4:$AN$4,0))),CU5)</f>
        <v>-1080000</v>
      </c>
      <c r="FT5" s="190">
        <f>AH5*AH$2*IF($FC5="V",1,-1)*IF($Q5="Fixo",(CV5-INDEX('Curva Forward'!$C$5:$AN$13,MATCH(CONCATENATE(BD_COMERCIAL!$K5," ",BD_COMERCIAL!$L5),'Curva Forward'!$B$5:$B$13,0),MATCH(FT$4,'Curva Forward'!$C$4:$AN$4,0))),CV5)</f>
        <v>-1074150</v>
      </c>
      <c r="FU5" s="190">
        <f>AI5*AI$2*IF($FC5="V",1,-1)*IF($Q5="Fixo",(CW5-INDEX('Curva Forward'!$C$5:$AN$13,MATCH(CONCATENATE(BD_COMERCIAL!$K5," ",BD_COMERCIAL!$L5),'Curva Forward'!$B$5:$B$13,0),MATCH(FU$4,'Curva Forward'!$C$4:$AN$4,0))),CW5)</f>
        <v>-1074150</v>
      </c>
      <c r="FV5" s="190">
        <f>AJ5*AJ$2*IF($FC5="V",1,-1)*IF($Q5="Fixo",(CX5-INDEX('Curva Forward'!$C$5:$AN$13,MATCH(CONCATENATE(BD_COMERCIAL!$K5," ",BD_COMERCIAL!$L5),'Curva Forward'!$B$5:$B$13,0),MATCH(FV$4,'Curva Forward'!$C$4:$AN$4,0))),CX5)</f>
        <v>-1039500</v>
      </c>
      <c r="FW5" s="190">
        <f>AK5*AK$2*IF($FC5="V",1,-1)*IF($Q5="Fixo",(CY5-INDEX('Curva Forward'!$C$5:$AN$13,MATCH(CONCATENATE(BD_COMERCIAL!$K5," ",BD_COMERCIAL!$L5),'Curva Forward'!$B$5:$B$13,0),MATCH(FW$4,'Curva Forward'!$C$4:$AN$4,0))),CY5)</f>
        <v>-1046250</v>
      </c>
      <c r="FX5" s="190">
        <f>AL5*AL$2*IF($FC5="V",1,-1)*IF($Q5="Fixo",(CZ5-INDEX('Curva Forward'!$C$5:$AN$13,MATCH(CONCATENATE(BD_COMERCIAL!$K5," ",BD_COMERCIAL!$L5),'Curva Forward'!$B$5:$B$13,0),MATCH(FX$4,'Curva Forward'!$C$4:$AN$4,0))),CZ5)</f>
        <v>-1012500</v>
      </c>
      <c r="FY5" s="190">
        <f>AM5*AM$2*IF($FC5="V",1,-1)*IF($Q5="Fixo",(DA5-INDEX('Curva Forward'!$C$5:$AN$13,MATCH(CONCATENATE(BD_COMERCIAL!$K5," ",BD_COMERCIAL!$L5),'Curva Forward'!$B$5:$B$13,0),MATCH(FY$4,'Curva Forward'!$C$4:$AN$4,0))),DA5)</f>
        <v>-1046250</v>
      </c>
      <c r="FZ5" s="190">
        <f>AN5*AN$2*IF($FC5="V",1,-1)*IF($Q5="Fixo",(DB5-INDEX('Curva Forward'!$C$5:$AN$13,MATCH(CONCATENATE(BD_COMERCIAL!$K5," ",BD_COMERCIAL!$L5),'Curva Forward'!$B$5:$B$13,0),MATCH(FZ$4,'Curva Forward'!$C$4:$AN$4,0))),DB5)</f>
        <v>0</v>
      </c>
      <c r="GA5" s="190">
        <f>AO5*AO$2*IF($FC5="V",1,-1)*IF($Q5="Fixo",(DC5-INDEX('Curva Forward'!$C$5:$AN$13,MATCH(CONCATENATE(BD_COMERCIAL!$K5," ",BD_COMERCIAL!$L5),'Curva Forward'!$B$5:$B$13,0),MATCH(GA$4,'Curva Forward'!$C$4:$AN$4,0))),DC5)</f>
        <v>0</v>
      </c>
      <c r="GB5" s="190">
        <f>AP5*AP$2*IF($FC5="V",1,-1)*IF($Q5="Fixo",(DD5-INDEX('Curva Forward'!$C$5:$AN$13,MATCH(CONCATENATE(BD_COMERCIAL!$K5," ",BD_COMERCIAL!$L5),'Curva Forward'!$B$5:$B$13,0),MATCH(GB$4,'Curva Forward'!$C$4:$AN$4,0))),DD5)</f>
        <v>0</v>
      </c>
      <c r="GC5" s="190">
        <f>AQ5*AQ$2*IF($FC5="V",1,-1)*IF($Q5="Fixo",(DE5-INDEX('Curva Forward'!$C$5:$AN$13,MATCH(CONCATENATE(BD_COMERCIAL!$K5," ",BD_COMERCIAL!$L5),'Curva Forward'!$B$5:$B$13,0),MATCH(GC$4,'Curva Forward'!$C$4:$AN$4,0))),DE5)</f>
        <v>0</v>
      </c>
      <c r="GD5" s="190">
        <f>AR5*AR$2*IF($FC5="V",1,-1)*IF($Q5="Fixo",(DF5-INDEX('Curva Forward'!$C$5:$AN$13,MATCH(CONCATENATE(BD_COMERCIAL!$K5," ",BD_COMERCIAL!$L5),'Curva Forward'!$B$5:$B$13,0),MATCH(GD$4,'Curva Forward'!$C$4:$AN$4,0))),DF5)</f>
        <v>0</v>
      </c>
      <c r="GE5" s="190">
        <f>AS5*AS$2*IF($FC5="V",1,-1)*IF($Q5="Fixo",(DG5-INDEX('Curva Forward'!$C$5:$AN$13,MATCH(CONCATENATE(BD_COMERCIAL!$K5," ",BD_COMERCIAL!$L5),'Curva Forward'!$B$5:$B$13,0),MATCH(GE$4,'Curva Forward'!$C$4:$AN$4,0))),DG5)</f>
        <v>0</v>
      </c>
      <c r="GF5" s="190">
        <f>AT5*AT$2*IF($FC5="V",1,-1)*IF($Q5="Fixo",(DH5-INDEX('Curva Forward'!$C$5:$AN$13,MATCH(CONCATENATE(BD_COMERCIAL!$K5," ",BD_COMERCIAL!$L5),'Curva Forward'!$B$5:$B$13,0),MATCH(GF$4,'Curva Forward'!$C$4:$AN$4,0))),DH5)</f>
        <v>0</v>
      </c>
      <c r="GG5" s="190">
        <f>AU5*AU$2*IF($FC5="V",1,-1)*IF($Q5="Fixo",(DI5-INDEX('Curva Forward'!$C$5:$AN$13,MATCH(CONCATENATE(BD_COMERCIAL!$K5," ",BD_COMERCIAL!$L5),'Curva Forward'!$B$5:$B$13,0),MATCH(GG$4,'Curva Forward'!$C$4:$AN$4,0))),DI5)</f>
        <v>0</v>
      </c>
      <c r="GH5" s="190">
        <f>AV5*AV$2*IF($FC5="V",1,-1)*IF($Q5="Fixo",(DJ5-INDEX('Curva Forward'!$C$5:$AN$13,MATCH(CONCATENATE(BD_COMERCIAL!$K5," ",BD_COMERCIAL!$L5),'Curva Forward'!$B$5:$B$13,0),MATCH(GH$4,'Curva Forward'!$C$4:$AN$4,0))),DJ5)</f>
        <v>0</v>
      </c>
      <c r="GI5" s="190">
        <f>AW5*AW$2*IF($FC5="V",1,-1)*IF($Q5="Fixo",(DK5-INDEX('Curva Forward'!$C$5:$AN$13,MATCH(CONCATENATE(BD_COMERCIAL!$K5," ",BD_COMERCIAL!$L5),'Curva Forward'!$B$5:$B$13,0),MATCH(GI$4,'Curva Forward'!$C$4:$AN$4,0))),DK5)</f>
        <v>0</v>
      </c>
      <c r="GJ5" s="190">
        <f>AX5*AX$2*IF($FC5="V",1,-1)*IF($Q5="Fixo",(DL5-INDEX('Curva Forward'!$C$5:$AN$13,MATCH(CONCATENATE(BD_COMERCIAL!$K5," ",BD_COMERCIAL!$L5),'Curva Forward'!$B$5:$B$13,0),MATCH(GJ$4,'Curva Forward'!$C$4:$AN$4,0))),DL5)</f>
        <v>0</v>
      </c>
      <c r="GK5" s="190">
        <f>AY5*AY$2*IF($FC5="V",1,-1)*IF($Q5="Fixo",(DM5-INDEX('Curva Forward'!$C$5:$AN$13,MATCH(CONCATENATE(BD_COMERCIAL!$K5," ",BD_COMERCIAL!$L5),'Curva Forward'!$B$5:$B$13,0),MATCH(GK$4,'Curva Forward'!$C$4:$AN$4,0))),DM5)</f>
        <v>0</v>
      </c>
      <c r="GL5" s="190">
        <f>IF(EZ5="",0,CL5*CL$2*IF($FC5="V",1,-1)*IF($Q5="Fixo",(EZ5-INDEX('Curva Forward'!$C$5:$AN$13,MATCH(CONCATENATE(BD_COMERCIAL!$K5," ",BD_COMERCIAL!$L5),'Curva Forward'!$B$5:$B$13,0),MATCH(GL$4,'Curva Forward'!$C$4:$AN$4,0))),EZ5))</f>
        <v>0</v>
      </c>
      <c r="GM5" s="190">
        <f>IF(FA5="",0,CM5*CM$2*IF($FC5="V",1,-1)*IF($Q5="Fixo",(FA5-INDEX('Curva Forward'!$C$5:$AN$13,MATCH(CONCATENATE(BD_COMERCIAL!$K5," ",BD_COMERCIAL!$L5),'Curva Forward'!$B$5:$B$13,0),MATCH(GM$4,'Curva Forward'!$C$4:$AN$4,0))),FA5))</f>
        <v>0</v>
      </c>
      <c r="GN5" s="190">
        <f>IF(FB5="",0,CN5*CN$2*IF($FC5="V",1,-1)*IF($Q5="Fixo",(FB5-INDEX('Curva Forward'!$C$5:$AN$13,MATCH(CONCATENATE(BD_COMERCIAL!$K5," ",BD_COMERCIAL!$L5),'Curva Forward'!$B$5:$B$13,0),MATCH(GN$4,'Curva Forward'!$C$4:$AN$4,0))),FB5))</f>
        <v>0</v>
      </c>
      <c r="GO5" s="191">
        <f t="shared" ref="GO5" ca="1" si="4">IF(FM5&gt;0,FM5,0)</f>
        <v>0</v>
      </c>
      <c r="GP5" s="191">
        <f t="shared" ref="GP5" ca="1" si="5">IF(FM5&lt;0,FM5,0)</f>
        <v>-11732850</v>
      </c>
      <c r="GQ5"/>
      <c r="GR5" s="84"/>
      <c r="GS5"/>
      <c r="GT5" s="206"/>
      <c r="GU5" s="198"/>
      <c r="GV5"/>
      <c r="GW5"/>
      <c r="GX5" s="191"/>
      <c r="GY5" s="191"/>
      <c r="GZ5" s="190"/>
      <c r="HA5" s="190"/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M5" s="190"/>
      <c r="HN5" s="190"/>
      <c r="HO5" s="190"/>
      <c r="HP5" s="190"/>
      <c r="HQ5" s="190"/>
      <c r="HR5" s="190"/>
      <c r="HS5" s="190"/>
      <c r="HT5" s="190"/>
      <c r="HU5" s="190"/>
      <c r="HV5" s="190"/>
      <c r="HW5" s="190"/>
      <c r="HX5" s="190"/>
      <c r="HY5" s="190"/>
      <c r="HZ5" s="190"/>
      <c r="IA5" s="191"/>
      <c r="IB5" s="191"/>
    </row>
    <row r="6" spans="1:236" s="265" customFormat="1" x14ac:dyDescent="0.35">
      <c r="A6" s="251"/>
      <c r="B6" s="277" t="s">
        <v>579</v>
      </c>
      <c r="C6" s="278">
        <v>44299</v>
      </c>
      <c r="D6" s="279" t="s">
        <v>130</v>
      </c>
      <c r="E6" s="279" t="s">
        <v>174</v>
      </c>
      <c r="F6" s="112">
        <v>13145928000106</v>
      </c>
      <c r="G6" s="280" t="s">
        <v>124</v>
      </c>
      <c r="H6" s="112">
        <v>3780401000108</v>
      </c>
      <c r="I6" s="279" t="s">
        <v>137</v>
      </c>
      <c r="J6" s="281" t="s">
        <v>580</v>
      </c>
      <c r="K6" s="280" t="s">
        <v>126</v>
      </c>
      <c r="L6" s="282" t="s">
        <v>22</v>
      </c>
      <c r="M6" s="283">
        <v>44562</v>
      </c>
      <c r="N6" s="284">
        <v>44926</v>
      </c>
      <c r="O6" s="280">
        <v>0</v>
      </c>
      <c r="P6" s="282">
        <v>0</v>
      </c>
      <c r="Q6" s="282" t="s">
        <v>127</v>
      </c>
      <c r="R6" s="280" t="s">
        <v>128</v>
      </c>
      <c r="S6" s="285" t="s">
        <v>133</v>
      </c>
      <c r="T6" s="283" t="s">
        <v>129</v>
      </c>
      <c r="U6" s="284">
        <v>44299</v>
      </c>
      <c r="V6" s="202">
        <f ca="1">IF(U6="","",
IF(U6="NA","",
IFERROR(VLOOKUP(EOMONTH(M6,-2)+1,IPCA!$A:$B,2,0),
VLOOKUP(EOMONTH(TODAY(),-2)+1,IPCA!$A:$B,2,0))/
VLOOKUP(EOMONTH(U6,-2)+1,IPCA!$A:$B,2,0)*
P6))</f>
        <v>0</v>
      </c>
      <c r="W6" s="282"/>
      <c r="X6" s="286" t="s">
        <v>132</v>
      </c>
      <c r="Y6" s="281" t="s">
        <v>581</v>
      </c>
      <c r="Z6" s="287" t="s">
        <v>134</v>
      </c>
      <c r="AA6" s="288">
        <v>44361</v>
      </c>
      <c r="AB6" s="15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 s="6">
        <v>0</v>
      </c>
      <c r="AN6" s="15"/>
      <c r="AO6"/>
      <c r="AP6"/>
      <c r="AQ6"/>
      <c r="AR6"/>
      <c r="AS6"/>
      <c r="AT6"/>
      <c r="AU6"/>
      <c r="AV6"/>
      <c r="AW6"/>
      <c r="AX6"/>
      <c r="AY6" s="6"/>
      <c r="AZ6" s="15"/>
      <c r="BA6"/>
      <c r="BB6"/>
      <c r="BC6"/>
      <c r="BD6"/>
      <c r="BE6"/>
      <c r="BF6"/>
      <c r="BG6"/>
      <c r="BH6"/>
      <c r="BI6"/>
      <c r="BJ6"/>
      <c r="BK6" s="6"/>
      <c r="BL6" s="15"/>
      <c r="BM6"/>
      <c r="BN6"/>
      <c r="BO6"/>
      <c r="BP6"/>
      <c r="BQ6"/>
      <c r="BR6"/>
      <c r="BS6"/>
      <c r="BT6"/>
      <c r="BU6"/>
      <c r="BV6"/>
      <c r="BW6" s="6"/>
      <c r="BX6" s="15"/>
      <c r="BY6"/>
      <c r="BZ6"/>
      <c r="CA6"/>
      <c r="CB6"/>
      <c r="CC6"/>
      <c r="CD6"/>
      <c r="CE6"/>
      <c r="CF6"/>
      <c r="CG6"/>
      <c r="CH6"/>
      <c r="CI6" s="6"/>
      <c r="CJ6" s="16" t="s">
        <v>578</v>
      </c>
      <c r="CK6" s="290" t="s">
        <v>578</v>
      </c>
      <c r="CL6" s="290" t="s">
        <v>578</v>
      </c>
      <c r="CM6" s="290" t="s">
        <v>578</v>
      </c>
      <c r="CN6" s="290" t="s">
        <v>578</v>
      </c>
      <c r="CO6" s="291"/>
      <c r="CP6" s="15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 s="6">
        <v>0</v>
      </c>
      <c r="DB6" s="15"/>
      <c r="DC6"/>
      <c r="DD6"/>
      <c r="DE6"/>
      <c r="DF6"/>
      <c r="DG6"/>
      <c r="DH6"/>
      <c r="DI6"/>
      <c r="DJ6"/>
      <c r="DK6"/>
      <c r="DL6"/>
      <c r="DM6" s="6"/>
      <c r="DN6" s="15"/>
      <c r="DO6"/>
      <c r="DP6"/>
      <c r="DQ6"/>
      <c r="DR6"/>
      <c r="DS6"/>
      <c r="DT6"/>
      <c r="DU6"/>
      <c r="DV6"/>
      <c r="DW6"/>
      <c r="DX6"/>
      <c r="DY6" s="6"/>
      <c r="DZ6" s="15"/>
      <c r="EA6"/>
      <c r="EB6"/>
      <c r="EC6"/>
      <c r="ED6"/>
      <c r="EE6"/>
      <c r="EF6"/>
      <c r="EG6"/>
      <c r="EH6"/>
      <c r="EI6"/>
      <c r="EJ6"/>
      <c r="EK6" s="6"/>
      <c r="EL6" s="15"/>
      <c r="EM6"/>
      <c r="EN6"/>
      <c r="EO6"/>
      <c r="EP6"/>
      <c r="EQ6"/>
      <c r="ER6"/>
      <c r="ES6"/>
      <c r="ET6"/>
      <c r="EU6"/>
      <c r="EV6"/>
      <c r="EW6" s="6"/>
      <c r="EX6" s="16" t="s">
        <v>578</v>
      </c>
      <c r="EY6" s="290" t="s">
        <v>578</v>
      </c>
      <c r="EZ6" s="290" t="s">
        <v>578</v>
      </c>
      <c r="FA6" s="292" t="s">
        <v>578</v>
      </c>
      <c r="FB6" s="292" t="s">
        <v>578</v>
      </c>
      <c r="FC6" s="289" t="s">
        <v>196</v>
      </c>
      <c r="FD6" s="293" t="s">
        <v>137</v>
      </c>
      <c r="FE6" s="289"/>
      <c r="FF6" s="282" t="s">
        <v>197</v>
      </c>
      <c r="FG6" s="289"/>
      <c r="FH6" s="206">
        <f t="shared" ref="FH6:FH69" ca="1" si="6">IF(V6="",0,V6-P6)</f>
        <v>0</v>
      </c>
      <c r="FI6" s="198">
        <f t="shared" ref="FI6:FI69" si="7">(N6-M6)/30</f>
        <v>12.133333333333333</v>
      </c>
      <c r="FJ6"/>
      <c r="FK6" t="str">
        <f t="shared" ref="FK6:FK69" si="8">IF($FC6="V",G6,E6)</f>
        <v>Brasil Comercializadora de Energias Ltda</v>
      </c>
      <c r="FL6" s="191">
        <f t="shared" ref="FL6:FL69" ca="1" si="9">SUMIF($FN$4:$GK$4,"&lt;"&amp;EOMONTH(TODAY(),-1),FN6:GK6)</f>
        <v>0</v>
      </c>
      <c r="FM6" s="191">
        <f t="shared" ref="FM6:FM69" ca="1" si="10">SUM(FN6:GN6)-FL6</f>
        <v>0</v>
      </c>
      <c r="FN6" s="190">
        <f>AB6*AB$2*IF($FC6="V",1,-1)*IF($Q6="Fixo",(CP6-INDEX('Curva Forward'!$C$5:$AN$13,MATCH(CONCATENATE(BD_COMERCIAL!$K6," ",BD_COMERCIAL!$L6),'Curva Forward'!$B$5:$B$13,0),MATCH(FN$4,'Curva Forward'!$C$4:$AN$4,0))),CP6)</f>
        <v>0</v>
      </c>
      <c r="FO6" s="190">
        <f>AC6*AC$2*IF($FC6="V",1,-1)*IF($Q6="Fixo",(CQ6-INDEX('Curva Forward'!$C$5:$AN$13,MATCH(CONCATENATE(BD_COMERCIAL!$K6," ",BD_COMERCIAL!$L6),'Curva Forward'!$B$5:$B$13,0),MATCH(FO$4,'Curva Forward'!$C$4:$AN$4,0))),CQ6)</f>
        <v>0</v>
      </c>
      <c r="FP6" s="190">
        <f>AD6*AD$2*IF($FC6="V",1,-1)*IF($Q6="Fixo",(CR6-INDEX('Curva Forward'!$C$5:$AN$13,MATCH(CONCATENATE(BD_COMERCIAL!$K6," ",BD_COMERCIAL!$L6),'Curva Forward'!$B$5:$B$13,0),MATCH(FP$4,'Curva Forward'!$C$4:$AN$4,0))),CR6)</f>
        <v>0</v>
      </c>
      <c r="FQ6" s="190">
        <f>AE6*AE$2*IF($FC6="V",1,-1)*IF($Q6="Fixo",(CS6-INDEX('Curva Forward'!$C$5:$AN$13,MATCH(CONCATENATE(BD_COMERCIAL!$K6," ",BD_COMERCIAL!$L6),'Curva Forward'!$B$5:$B$13,0),MATCH(FQ$4,'Curva Forward'!$C$4:$AN$4,0))),CS6)</f>
        <v>0</v>
      </c>
      <c r="FR6" s="190">
        <f>AF6*AF$2*IF($FC6="V",1,-1)*IF($Q6="Fixo",(CT6-INDEX('Curva Forward'!$C$5:$AN$13,MATCH(CONCATENATE(BD_COMERCIAL!$K6," ",BD_COMERCIAL!$L6),'Curva Forward'!$B$5:$B$13,0),MATCH(FR$4,'Curva Forward'!$C$4:$AN$4,0))),CT6)</f>
        <v>0</v>
      </c>
      <c r="FS6" s="190">
        <f>AG6*AG$2*IF($FC6="V",1,-1)*IF($Q6="Fixo",(CU6-INDEX('Curva Forward'!$C$5:$AN$13,MATCH(CONCATENATE(BD_COMERCIAL!$K6," ",BD_COMERCIAL!$L6),'Curva Forward'!$B$5:$B$13,0),MATCH(FS$4,'Curva Forward'!$C$4:$AN$4,0))),CU6)</f>
        <v>0</v>
      </c>
      <c r="FT6" s="190">
        <f>AH6*AH$2*IF($FC6="V",1,-1)*IF($Q6="Fixo",(CV6-INDEX('Curva Forward'!$C$5:$AN$13,MATCH(CONCATENATE(BD_COMERCIAL!$K6," ",BD_COMERCIAL!$L6),'Curva Forward'!$B$5:$B$13,0),MATCH(FT$4,'Curva Forward'!$C$4:$AN$4,0))),CV6)</f>
        <v>0</v>
      </c>
      <c r="FU6" s="190">
        <f>AI6*AI$2*IF($FC6="V",1,-1)*IF($Q6="Fixo",(CW6-INDEX('Curva Forward'!$C$5:$AN$13,MATCH(CONCATENATE(BD_COMERCIAL!$K6," ",BD_COMERCIAL!$L6),'Curva Forward'!$B$5:$B$13,0),MATCH(FU$4,'Curva Forward'!$C$4:$AN$4,0))),CW6)</f>
        <v>0</v>
      </c>
      <c r="FV6" s="190">
        <f>AJ6*AJ$2*IF($FC6="V",1,-1)*IF($Q6="Fixo",(CX6-INDEX('Curva Forward'!$C$5:$AN$13,MATCH(CONCATENATE(BD_COMERCIAL!$K6," ",BD_COMERCIAL!$L6),'Curva Forward'!$B$5:$B$13,0),MATCH(FV$4,'Curva Forward'!$C$4:$AN$4,0))),CX6)</f>
        <v>0</v>
      </c>
      <c r="FW6" s="190">
        <f>AK6*AK$2*IF($FC6="V",1,-1)*IF($Q6="Fixo",(CY6-INDEX('Curva Forward'!$C$5:$AN$13,MATCH(CONCATENATE(BD_COMERCIAL!$K6," ",BD_COMERCIAL!$L6),'Curva Forward'!$B$5:$B$13,0),MATCH(FW$4,'Curva Forward'!$C$4:$AN$4,0))),CY6)</f>
        <v>0</v>
      </c>
      <c r="FX6" s="190">
        <f>AL6*AL$2*IF($FC6="V",1,-1)*IF($Q6="Fixo",(CZ6-INDEX('Curva Forward'!$C$5:$AN$13,MATCH(CONCATENATE(BD_COMERCIAL!$K6," ",BD_COMERCIAL!$L6),'Curva Forward'!$B$5:$B$13,0),MATCH(FX$4,'Curva Forward'!$C$4:$AN$4,0))),CZ6)</f>
        <v>0</v>
      </c>
      <c r="FY6" s="190">
        <f>AM6*AM$2*IF($FC6="V",1,-1)*IF($Q6="Fixo",(DA6-INDEX('Curva Forward'!$C$5:$AN$13,MATCH(CONCATENATE(BD_COMERCIAL!$K6," ",BD_COMERCIAL!$L6),'Curva Forward'!$B$5:$B$13,0),MATCH(FY$4,'Curva Forward'!$C$4:$AN$4,0))),DA6)</f>
        <v>0</v>
      </c>
      <c r="FZ6" s="190">
        <f>AN6*AN$2*IF($FC6="V",1,-1)*IF($Q6="Fixo",(DB6-INDEX('Curva Forward'!$C$5:$AN$13,MATCH(CONCATENATE(BD_COMERCIAL!$K6," ",BD_COMERCIAL!$L6),'Curva Forward'!$B$5:$B$13,0),MATCH(FZ$4,'Curva Forward'!$C$4:$AN$4,0))),DB6)</f>
        <v>0</v>
      </c>
      <c r="GA6" s="190">
        <f>AO6*AO$2*IF($FC6="V",1,-1)*IF($Q6="Fixo",(DC6-INDEX('Curva Forward'!$C$5:$AN$13,MATCH(CONCATENATE(BD_COMERCIAL!$K6," ",BD_COMERCIAL!$L6),'Curva Forward'!$B$5:$B$13,0),MATCH(GA$4,'Curva Forward'!$C$4:$AN$4,0))),DC6)</f>
        <v>0</v>
      </c>
      <c r="GB6" s="190">
        <f>AP6*AP$2*IF($FC6="V",1,-1)*IF($Q6="Fixo",(DD6-INDEX('Curva Forward'!$C$5:$AN$13,MATCH(CONCATENATE(BD_COMERCIAL!$K6," ",BD_COMERCIAL!$L6),'Curva Forward'!$B$5:$B$13,0),MATCH(GB$4,'Curva Forward'!$C$4:$AN$4,0))),DD6)</f>
        <v>0</v>
      </c>
      <c r="GC6" s="190">
        <f>AQ6*AQ$2*IF($FC6="V",1,-1)*IF($Q6="Fixo",(DE6-INDEX('Curva Forward'!$C$5:$AN$13,MATCH(CONCATENATE(BD_COMERCIAL!$K6," ",BD_COMERCIAL!$L6),'Curva Forward'!$B$5:$B$13,0),MATCH(GC$4,'Curva Forward'!$C$4:$AN$4,0))),DE6)</f>
        <v>0</v>
      </c>
      <c r="GD6" s="190">
        <f>AR6*AR$2*IF($FC6="V",1,-1)*IF($Q6="Fixo",(DF6-INDEX('Curva Forward'!$C$5:$AN$13,MATCH(CONCATENATE(BD_COMERCIAL!$K6," ",BD_COMERCIAL!$L6),'Curva Forward'!$B$5:$B$13,0),MATCH(GD$4,'Curva Forward'!$C$4:$AN$4,0))),DF6)</f>
        <v>0</v>
      </c>
      <c r="GE6" s="190">
        <f>AS6*AS$2*IF($FC6="V",1,-1)*IF($Q6="Fixo",(DG6-INDEX('Curva Forward'!$C$5:$AN$13,MATCH(CONCATENATE(BD_COMERCIAL!$K6," ",BD_COMERCIAL!$L6),'Curva Forward'!$B$5:$B$13,0),MATCH(GE$4,'Curva Forward'!$C$4:$AN$4,0))),DG6)</f>
        <v>0</v>
      </c>
      <c r="GF6" s="190">
        <f>AT6*AT$2*IF($FC6="V",1,-1)*IF($Q6="Fixo",(DH6-INDEX('Curva Forward'!$C$5:$AN$13,MATCH(CONCATENATE(BD_COMERCIAL!$K6," ",BD_COMERCIAL!$L6),'Curva Forward'!$B$5:$B$13,0),MATCH(GF$4,'Curva Forward'!$C$4:$AN$4,0))),DH6)</f>
        <v>0</v>
      </c>
      <c r="GG6" s="190">
        <f>AU6*AU$2*IF($FC6="V",1,-1)*IF($Q6="Fixo",(DI6-INDEX('Curva Forward'!$C$5:$AN$13,MATCH(CONCATENATE(BD_COMERCIAL!$K6," ",BD_COMERCIAL!$L6),'Curva Forward'!$B$5:$B$13,0),MATCH(GG$4,'Curva Forward'!$C$4:$AN$4,0))),DI6)</f>
        <v>0</v>
      </c>
      <c r="GH6" s="190">
        <f>AV6*AV$2*IF($FC6="V",1,-1)*IF($Q6="Fixo",(DJ6-INDEX('Curva Forward'!$C$5:$AN$13,MATCH(CONCATENATE(BD_COMERCIAL!$K6," ",BD_COMERCIAL!$L6),'Curva Forward'!$B$5:$B$13,0),MATCH(GH$4,'Curva Forward'!$C$4:$AN$4,0))),DJ6)</f>
        <v>0</v>
      </c>
      <c r="GI6" s="190">
        <f>AW6*AW$2*IF($FC6="V",1,-1)*IF($Q6="Fixo",(DK6-INDEX('Curva Forward'!$C$5:$AN$13,MATCH(CONCATENATE(BD_COMERCIAL!$K6," ",BD_COMERCIAL!$L6),'Curva Forward'!$B$5:$B$13,0),MATCH(GI$4,'Curva Forward'!$C$4:$AN$4,0))),DK6)</f>
        <v>0</v>
      </c>
      <c r="GJ6" s="190">
        <f>AX6*AX$2*IF($FC6="V",1,-1)*IF($Q6="Fixo",(DL6-INDEX('Curva Forward'!$C$5:$AN$13,MATCH(CONCATENATE(BD_COMERCIAL!$K6," ",BD_COMERCIAL!$L6),'Curva Forward'!$B$5:$B$13,0),MATCH(GJ$4,'Curva Forward'!$C$4:$AN$4,0))),DL6)</f>
        <v>0</v>
      </c>
      <c r="GK6" s="190">
        <f>AY6*AY$2*IF($FC6="V",1,-1)*IF($Q6="Fixo",(DM6-INDEX('Curva Forward'!$C$5:$AN$13,MATCH(CONCATENATE(BD_COMERCIAL!$K6," ",BD_COMERCIAL!$L6),'Curva Forward'!$B$5:$B$13,0),MATCH(GK$4,'Curva Forward'!$C$4:$AN$4,0))),DM6)</f>
        <v>0</v>
      </c>
      <c r="GL6" s="190">
        <f>IF(EZ6="",0,CL6*CL$2*IF($FC6="V",1,-1)*IF($Q6="Fixo",(EZ6-INDEX('Curva Forward'!$C$5:$AN$13,MATCH(CONCATENATE(BD_COMERCIAL!$K6," ",BD_COMERCIAL!$L6),'Curva Forward'!$B$5:$B$13,0),MATCH(GL$4,'Curva Forward'!$C$4:$AN$4,0))),EZ6))</f>
        <v>0</v>
      </c>
      <c r="GM6" s="190">
        <f>IF(FA6="",0,CM6*CM$2*IF($FC6="V",1,-1)*IF($Q6="Fixo",(FA6-INDEX('Curva Forward'!$C$5:$AN$13,MATCH(CONCATENATE(BD_COMERCIAL!$K6," ",BD_COMERCIAL!$L6),'Curva Forward'!$B$5:$B$13,0),MATCH(GM$4,'Curva Forward'!$C$4:$AN$4,0))),FA6))</f>
        <v>0</v>
      </c>
      <c r="GN6" s="190">
        <f>IF(FB6="",0,CN6*CN$2*IF($FC6="V",1,-1)*IF($Q6="Fixo",(FB6-INDEX('Curva Forward'!$C$5:$AN$13,MATCH(CONCATENATE(BD_COMERCIAL!$K6," ",BD_COMERCIAL!$L6),'Curva Forward'!$B$5:$B$13,0),MATCH(GN$4,'Curva Forward'!$C$4:$AN$4,0))),FB6))</f>
        <v>0</v>
      </c>
      <c r="GO6" s="191">
        <f t="shared" ref="GO6:GO69" ca="1" si="11">IF(FM6&gt;0,FM6,0)</f>
        <v>0</v>
      </c>
      <c r="GP6" s="191">
        <f t="shared" ref="GP6:GP69" ca="1" si="12">IF(FM6&lt;0,FM6,0)</f>
        <v>0</v>
      </c>
      <c r="GQ6"/>
      <c r="GR6" s="84"/>
      <c r="GS6"/>
      <c r="GT6" s="206"/>
      <c r="GU6" s="198"/>
      <c r="GV6"/>
      <c r="GW6"/>
      <c r="GX6" s="191"/>
      <c r="GY6" s="191"/>
      <c r="GZ6" s="190"/>
      <c r="HA6" s="190"/>
      <c r="HB6" s="190"/>
      <c r="HC6" s="190"/>
      <c r="HD6" s="190"/>
      <c r="HE6" s="190"/>
      <c r="HF6" s="190"/>
      <c r="HG6" s="190"/>
      <c r="HH6" s="190"/>
      <c r="HI6" s="190"/>
      <c r="HJ6" s="190"/>
      <c r="HK6" s="190"/>
      <c r="HL6" s="190"/>
      <c r="HM6" s="190"/>
      <c r="HN6" s="190"/>
      <c r="HO6" s="190"/>
      <c r="HP6" s="190"/>
      <c r="HQ6" s="190"/>
      <c r="HR6" s="190"/>
      <c r="HS6" s="190"/>
      <c r="HT6" s="190"/>
      <c r="HU6" s="190"/>
      <c r="HV6" s="190"/>
      <c r="HW6" s="190"/>
      <c r="HX6" s="190"/>
      <c r="HY6" s="190"/>
      <c r="HZ6" s="190"/>
      <c r="IA6" s="191"/>
      <c r="IB6" s="191"/>
    </row>
    <row r="7" spans="1:236" s="265" customFormat="1" x14ac:dyDescent="0.35">
      <c r="A7" s="251"/>
      <c r="B7" s="7" t="s">
        <v>280</v>
      </c>
      <c r="C7" s="8">
        <v>44406</v>
      </c>
      <c r="D7" s="9" t="s">
        <v>130</v>
      </c>
      <c r="E7" s="9" t="s">
        <v>307</v>
      </c>
      <c r="F7" s="112">
        <v>4149295000113</v>
      </c>
      <c r="G7" s="10" t="s">
        <v>124</v>
      </c>
      <c r="H7" s="112">
        <v>3780401000108</v>
      </c>
      <c r="I7" s="9" t="s">
        <v>125</v>
      </c>
      <c r="J7" s="158" t="s">
        <v>281</v>
      </c>
      <c r="K7" s="10" t="s">
        <v>126</v>
      </c>
      <c r="L7" s="84" t="s">
        <v>22</v>
      </c>
      <c r="M7" s="11">
        <v>44927</v>
      </c>
      <c r="N7" s="12">
        <v>45291</v>
      </c>
      <c r="O7" s="10">
        <v>1</v>
      </c>
      <c r="P7" s="84">
        <v>239</v>
      </c>
      <c r="Q7" s="84" t="s">
        <v>127</v>
      </c>
      <c r="R7" s="10" t="s">
        <v>128</v>
      </c>
      <c r="S7" s="14" t="s">
        <v>249</v>
      </c>
      <c r="T7" s="165" t="s">
        <v>129</v>
      </c>
      <c r="U7" s="166">
        <v>44409</v>
      </c>
      <c r="V7" s="202">
        <f ca="1">IF(U7="","",
IF(U7="NA","",
IFERROR(VLOOKUP(EOMONTH(M7,-2)+1,IPCA!$A:$B,2,0),
VLOOKUP(EOMONTH(TODAY(),-2)+1,IPCA!$A:$B,2,0))/
VLOOKUP(EOMONTH(U7,-2)+1,IPCA!$A:$B,2,0)*
P7))</f>
        <v>265.61531885528302</v>
      </c>
      <c r="W7" s="84"/>
      <c r="X7" s="13" t="s">
        <v>132</v>
      </c>
      <c r="Y7" s="167" t="s">
        <v>298</v>
      </c>
      <c r="Z7" s="106" t="s">
        <v>134</v>
      </c>
      <c r="AA7" s="107">
        <v>44634</v>
      </c>
      <c r="AB7" s="15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 s="6">
        <v>1</v>
      </c>
      <c r="AN7" s="15"/>
      <c r="AO7"/>
      <c r="AP7"/>
      <c r="AQ7"/>
      <c r="AR7"/>
      <c r="AS7"/>
      <c r="AT7"/>
      <c r="AU7"/>
      <c r="AV7"/>
      <c r="AW7"/>
      <c r="AX7"/>
      <c r="AY7" s="6"/>
      <c r="AZ7" s="15"/>
      <c r="BA7"/>
      <c r="BB7"/>
      <c r="BC7"/>
      <c r="BD7"/>
      <c r="BE7"/>
      <c r="BF7"/>
      <c r="BG7"/>
      <c r="BH7"/>
      <c r="BI7"/>
      <c r="BJ7"/>
      <c r="BK7" s="6"/>
      <c r="BL7" s="15"/>
      <c r="BM7"/>
      <c r="BN7"/>
      <c r="BO7"/>
      <c r="BP7"/>
      <c r="BQ7"/>
      <c r="BR7"/>
      <c r="BS7"/>
      <c r="BT7"/>
      <c r="BU7"/>
      <c r="BV7"/>
      <c r="BW7" s="6"/>
      <c r="BX7" s="15"/>
      <c r="BY7"/>
      <c r="BZ7"/>
      <c r="CA7"/>
      <c r="CB7"/>
      <c r="CC7"/>
      <c r="CD7"/>
      <c r="CE7"/>
      <c r="CF7"/>
      <c r="CG7"/>
      <c r="CH7"/>
      <c r="CI7" s="6"/>
      <c r="CJ7" s="16">
        <v>1</v>
      </c>
      <c r="CK7" s="16" t="s">
        <v>578</v>
      </c>
      <c r="CL7" s="16" t="s">
        <v>578</v>
      </c>
      <c r="CM7" s="16" t="s">
        <v>578</v>
      </c>
      <c r="CN7" s="16" t="s">
        <v>578</v>
      </c>
      <c r="CO7" s="18"/>
      <c r="CP7" s="15">
        <v>239</v>
      </c>
      <c r="CQ7">
        <v>239</v>
      </c>
      <c r="CR7">
        <v>239</v>
      </c>
      <c r="CS7">
        <v>239</v>
      </c>
      <c r="CT7">
        <v>239</v>
      </c>
      <c r="CU7">
        <v>239</v>
      </c>
      <c r="CV7">
        <v>239</v>
      </c>
      <c r="CW7">
        <v>239</v>
      </c>
      <c r="CX7">
        <v>239</v>
      </c>
      <c r="CY7">
        <v>239</v>
      </c>
      <c r="CZ7">
        <v>239</v>
      </c>
      <c r="DA7" s="6">
        <v>239</v>
      </c>
      <c r="DB7" s="15"/>
      <c r="DC7"/>
      <c r="DD7"/>
      <c r="DE7"/>
      <c r="DF7"/>
      <c r="DG7"/>
      <c r="DH7"/>
      <c r="DI7"/>
      <c r="DJ7"/>
      <c r="DK7"/>
      <c r="DL7"/>
      <c r="DM7" s="6"/>
      <c r="DN7" s="15"/>
      <c r="DO7"/>
      <c r="DP7"/>
      <c r="DQ7"/>
      <c r="DR7"/>
      <c r="DS7"/>
      <c r="DT7"/>
      <c r="DU7"/>
      <c r="DV7"/>
      <c r="DW7"/>
      <c r="DX7"/>
      <c r="DY7" s="6"/>
      <c r="DZ7" s="15"/>
      <c r="EA7"/>
      <c r="EB7"/>
      <c r="EC7"/>
      <c r="ED7"/>
      <c r="EE7"/>
      <c r="EF7"/>
      <c r="EG7"/>
      <c r="EH7"/>
      <c r="EI7"/>
      <c r="EJ7"/>
      <c r="EK7" s="6"/>
      <c r="EL7" s="15"/>
      <c r="EM7"/>
      <c r="EN7"/>
      <c r="EO7"/>
      <c r="EP7"/>
      <c r="EQ7"/>
      <c r="ER7"/>
      <c r="ES7"/>
      <c r="ET7"/>
      <c r="EU7"/>
      <c r="EV7"/>
      <c r="EW7" s="6"/>
      <c r="EX7" s="16">
        <v>239</v>
      </c>
      <c r="EY7" s="16" t="s">
        <v>578</v>
      </c>
      <c r="EZ7" s="16" t="s">
        <v>578</v>
      </c>
      <c r="FA7" s="154" t="s">
        <v>578</v>
      </c>
      <c r="FB7" s="154" t="s">
        <v>578</v>
      </c>
      <c r="FC7" t="s">
        <v>196</v>
      </c>
      <c r="FD7" s="20" t="s">
        <v>125</v>
      </c>
      <c r="FE7"/>
      <c r="FF7" s="199" t="s">
        <v>197</v>
      </c>
      <c r="FG7"/>
      <c r="FH7" s="206">
        <f t="shared" ca="1" si="6"/>
        <v>26.615318855283022</v>
      </c>
      <c r="FI7" s="198">
        <f t="shared" si="7"/>
        <v>12.133333333333333</v>
      </c>
      <c r="FJ7"/>
      <c r="FK7" t="str">
        <f t="shared" si="8"/>
        <v>EDP Trading Comercialização e Serviços De Energia S.A</v>
      </c>
      <c r="FL7" s="191">
        <f t="shared" ca="1" si="9"/>
        <v>-126480</v>
      </c>
      <c r="FM7" s="191">
        <f t="shared" ca="1" si="10"/>
        <v>-1339176</v>
      </c>
      <c r="FN7" s="190">
        <f>AB7*AB$2*IF($FC7="V",1,-1)*IF($Q7="Fixo",(CP7-INDEX('Curva Forward'!$C$5:$AN$13,MATCH(CONCATENATE(BD_COMERCIAL!$K7," ",BD_COMERCIAL!$L7),'Curva Forward'!$B$5:$B$13,0),MATCH(FN$4,'Curva Forward'!$C$4:$AN$4,0))),CP7)</f>
        <v>-126480</v>
      </c>
      <c r="FO7" s="190">
        <f>AC7*AC$2*IF($FC7="V",1,-1)*IF($Q7="Fixo",(CQ7-INDEX('Curva Forward'!$C$5:$AN$13,MATCH(CONCATENATE(BD_COMERCIAL!$K7," ",BD_COMERCIAL!$L7),'Curva Forward'!$B$5:$B$13,0),MATCH(FO$4,'Curva Forward'!$C$4:$AN$4,0))),CQ7)</f>
        <v>-114240</v>
      </c>
      <c r="FP7" s="190">
        <f>AD7*AD$2*IF($FC7="V",1,-1)*IF($Q7="Fixo",(CR7-INDEX('Curva Forward'!$C$5:$AN$13,MATCH(CONCATENATE(BD_COMERCIAL!$K7," ",BD_COMERCIAL!$L7),'Curva Forward'!$B$5:$B$13,0),MATCH(FP$4,'Curva Forward'!$C$4:$AN$4,0))),CR7)</f>
        <v>-126480</v>
      </c>
      <c r="FQ7" s="190">
        <f>AE7*AE$2*IF($FC7="V",1,-1)*IF($Q7="Fixo",(CS7-INDEX('Curva Forward'!$C$5:$AN$13,MATCH(CONCATENATE(BD_COMERCIAL!$K7," ",BD_COMERCIAL!$L7),'Curva Forward'!$B$5:$B$13,0),MATCH(FQ$4,'Curva Forward'!$C$4:$AN$4,0))),CS7)</f>
        <v>-122400</v>
      </c>
      <c r="FR7" s="190">
        <f>AF7*AF$2*IF($FC7="V",1,-1)*IF($Q7="Fixo",(CT7-INDEX('Curva Forward'!$C$5:$AN$13,MATCH(CONCATENATE(BD_COMERCIAL!$K7," ",BD_COMERCIAL!$L7),'Curva Forward'!$B$5:$B$13,0),MATCH(FR$4,'Curva Forward'!$C$4:$AN$4,0))),CT7)</f>
        <v>-125736</v>
      </c>
      <c r="FS7" s="190">
        <f>AG7*AG$2*IF($FC7="V",1,-1)*IF($Q7="Fixo",(CU7-INDEX('Curva Forward'!$C$5:$AN$13,MATCH(CONCATENATE(BD_COMERCIAL!$K7," ",BD_COMERCIAL!$L7),'Curva Forward'!$B$5:$B$13,0),MATCH(FS$4,'Curva Forward'!$C$4:$AN$4,0))),CU7)</f>
        <v>-121680</v>
      </c>
      <c r="FT7" s="190">
        <f>AH7*AH$2*IF($FC7="V",1,-1)*IF($Q7="Fixo",(CV7-INDEX('Curva Forward'!$C$5:$AN$13,MATCH(CONCATENATE(BD_COMERCIAL!$K7," ",BD_COMERCIAL!$L7),'Curva Forward'!$B$5:$B$13,0),MATCH(FT$4,'Curva Forward'!$C$4:$AN$4,0))),CV7)</f>
        <v>-123504</v>
      </c>
      <c r="FU7" s="190">
        <f>AI7*AI$2*IF($FC7="V",1,-1)*IF($Q7="Fixo",(CW7-INDEX('Curva Forward'!$C$5:$AN$13,MATCH(CONCATENATE(BD_COMERCIAL!$K7," ",BD_COMERCIAL!$L7),'Curva Forward'!$B$5:$B$13,0),MATCH(FU$4,'Curva Forward'!$C$4:$AN$4,0))),CW7)</f>
        <v>-123504</v>
      </c>
      <c r="FV7" s="190">
        <f>AJ7*AJ$2*IF($FC7="V",1,-1)*IF($Q7="Fixo",(CX7-INDEX('Curva Forward'!$C$5:$AN$13,MATCH(CONCATENATE(BD_COMERCIAL!$K7," ",BD_COMERCIAL!$L7),'Curva Forward'!$B$5:$B$13,0),MATCH(FV$4,'Curva Forward'!$C$4:$AN$4,0))),CX7)</f>
        <v>-119520</v>
      </c>
      <c r="FW7" s="190">
        <f>AK7*AK$2*IF($FC7="V",1,-1)*IF($Q7="Fixo",(CY7-INDEX('Curva Forward'!$C$5:$AN$13,MATCH(CONCATENATE(BD_COMERCIAL!$K7," ",BD_COMERCIAL!$L7),'Curva Forward'!$B$5:$B$13,0),MATCH(FW$4,'Curva Forward'!$C$4:$AN$4,0))),CY7)</f>
        <v>-122016</v>
      </c>
      <c r="FX7" s="190">
        <f>AL7*AL$2*IF($FC7="V",1,-1)*IF($Q7="Fixo",(CZ7-INDEX('Curva Forward'!$C$5:$AN$13,MATCH(CONCATENATE(BD_COMERCIAL!$K7," ",BD_COMERCIAL!$L7),'Curva Forward'!$B$5:$B$13,0),MATCH(FX$4,'Curva Forward'!$C$4:$AN$4,0))),CZ7)</f>
        <v>-118080</v>
      </c>
      <c r="FY7" s="190">
        <f>AM7*AM$2*IF($FC7="V",1,-1)*IF($Q7="Fixo",(DA7-INDEX('Curva Forward'!$C$5:$AN$13,MATCH(CONCATENATE(BD_COMERCIAL!$K7," ",BD_COMERCIAL!$L7),'Curva Forward'!$B$5:$B$13,0),MATCH(FY$4,'Curva Forward'!$C$4:$AN$4,0))),DA7)</f>
        <v>-122016</v>
      </c>
      <c r="FZ7" s="190">
        <f>AN7*AN$2*IF($FC7="V",1,-1)*IF($Q7="Fixo",(DB7-INDEX('Curva Forward'!$C$5:$AN$13,MATCH(CONCATENATE(BD_COMERCIAL!$K7," ",BD_COMERCIAL!$L7),'Curva Forward'!$B$5:$B$13,0),MATCH(FZ$4,'Curva Forward'!$C$4:$AN$4,0))),DB7)</f>
        <v>0</v>
      </c>
      <c r="GA7" s="190">
        <f>AO7*AO$2*IF($FC7="V",1,-1)*IF($Q7="Fixo",(DC7-INDEX('Curva Forward'!$C$5:$AN$13,MATCH(CONCATENATE(BD_COMERCIAL!$K7," ",BD_COMERCIAL!$L7),'Curva Forward'!$B$5:$B$13,0),MATCH(GA$4,'Curva Forward'!$C$4:$AN$4,0))),DC7)</f>
        <v>0</v>
      </c>
      <c r="GB7" s="190">
        <f>AP7*AP$2*IF($FC7="V",1,-1)*IF($Q7="Fixo",(DD7-INDEX('Curva Forward'!$C$5:$AN$13,MATCH(CONCATENATE(BD_COMERCIAL!$K7," ",BD_COMERCIAL!$L7),'Curva Forward'!$B$5:$B$13,0),MATCH(GB$4,'Curva Forward'!$C$4:$AN$4,0))),DD7)</f>
        <v>0</v>
      </c>
      <c r="GC7" s="190">
        <f>AQ7*AQ$2*IF($FC7="V",1,-1)*IF($Q7="Fixo",(DE7-INDEX('Curva Forward'!$C$5:$AN$13,MATCH(CONCATENATE(BD_COMERCIAL!$K7," ",BD_COMERCIAL!$L7),'Curva Forward'!$B$5:$B$13,0),MATCH(GC$4,'Curva Forward'!$C$4:$AN$4,0))),DE7)</f>
        <v>0</v>
      </c>
      <c r="GD7" s="190">
        <f>AR7*AR$2*IF($FC7="V",1,-1)*IF($Q7="Fixo",(DF7-INDEX('Curva Forward'!$C$5:$AN$13,MATCH(CONCATENATE(BD_COMERCIAL!$K7," ",BD_COMERCIAL!$L7),'Curva Forward'!$B$5:$B$13,0),MATCH(GD$4,'Curva Forward'!$C$4:$AN$4,0))),DF7)</f>
        <v>0</v>
      </c>
      <c r="GE7" s="190">
        <f>AS7*AS$2*IF($FC7="V",1,-1)*IF($Q7="Fixo",(DG7-INDEX('Curva Forward'!$C$5:$AN$13,MATCH(CONCATENATE(BD_COMERCIAL!$K7," ",BD_COMERCIAL!$L7),'Curva Forward'!$B$5:$B$13,0),MATCH(GE$4,'Curva Forward'!$C$4:$AN$4,0))),DG7)</f>
        <v>0</v>
      </c>
      <c r="GF7" s="190">
        <f>AT7*AT$2*IF($FC7="V",1,-1)*IF($Q7="Fixo",(DH7-INDEX('Curva Forward'!$C$5:$AN$13,MATCH(CONCATENATE(BD_COMERCIAL!$K7," ",BD_COMERCIAL!$L7),'Curva Forward'!$B$5:$B$13,0),MATCH(GF$4,'Curva Forward'!$C$4:$AN$4,0))),DH7)</f>
        <v>0</v>
      </c>
      <c r="GG7" s="190">
        <f>AU7*AU$2*IF($FC7="V",1,-1)*IF($Q7="Fixo",(DI7-INDEX('Curva Forward'!$C$5:$AN$13,MATCH(CONCATENATE(BD_COMERCIAL!$K7," ",BD_COMERCIAL!$L7),'Curva Forward'!$B$5:$B$13,0),MATCH(GG$4,'Curva Forward'!$C$4:$AN$4,0))),DI7)</f>
        <v>0</v>
      </c>
      <c r="GH7" s="190">
        <f>AV7*AV$2*IF($FC7="V",1,-1)*IF($Q7="Fixo",(DJ7-INDEX('Curva Forward'!$C$5:$AN$13,MATCH(CONCATENATE(BD_COMERCIAL!$K7," ",BD_COMERCIAL!$L7),'Curva Forward'!$B$5:$B$13,0),MATCH(GH$4,'Curva Forward'!$C$4:$AN$4,0))),DJ7)</f>
        <v>0</v>
      </c>
      <c r="GI7" s="190">
        <f>AW7*AW$2*IF($FC7="V",1,-1)*IF($Q7="Fixo",(DK7-INDEX('Curva Forward'!$C$5:$AN$13,MATCH(CONCATENATE(BD_COMERCIAL!$K7," ",BD_COMERCIAL!$L7),'Curva Forward'!$B$5:$B$13,0),MATCH(GI$4,'Curva Forward'!$C$4:$AN$4,0))),DK7)</f>
        <v>0</v>
      </c>
      <c r="GJ7" s="190">
        <f>AX7*AX$2*IF($FC7="V",1,-1)*IF($Q7="Fixo",(DL7-INDEX('Curva Forward'!$C$5:$AN$13,MATCH(CONCATENATE(BD_COMERCIAL!$K7," ",BD_COMERCIAL!$L7),'Curva Forward'!$B$5:$B$13,0),MATCH(GJ$4,'Curva Forward'!$C$4:$AN$4,0))),DL7)</f>
        <v>0</v>
      </c>
      <c r="GK7" s="190">
        <f>AY7*AY$2*IF($FC7="V",1,-1)*IF($Q7="Fixo",(DM7-INDEX('Curva Forward'!$C$5:$AN$13,MATCH(CONCATENATE(BD_COMERCIAL!$K7," ",BD_COMERCIAL!$L7),'Curva Forward'!$B$5:$B$13,0),MATCH(GK$4,'Curva Forward'!$C$4:$AN$4,0))),DM7)</f>
        <v>0</v>
      </c>
      <c r="GL7" s="190">
        <f>IF(EZ7="",0,CL7*CL$2*IF($FC7="V",1,-1)*IF($Q7="Fixo",(EZ7-INDEX('Curva Forward'!$C$5:$AN$13,MATCH(CONCATENATE(BD_COMERCIAL!$K7," ",BD_COMERCIAL!$L7),'Curva Forward'!$B$5:$B$13,0),MATCH(GL$4,'Curva Forward'!$C$4:$AN$4,0))),EZ7))</f>
        <v>0</v>
      </c>
      <c r="GM7" s="190">
        <f>IF(FA7="",0,CM7*CM$2*IF($FC7="V",1,-1)*IF($Q7="Fixo",(FA7-INDEX('Curva Forward'!$C$5:$AN$13,MATCH(CONCATENATE(BD_COMERCIAL!$K7," ",BD_COMERCIAL!$L7),'Curva Forward'!$B$5:$B$13,0),MATCH(GM$4,'Curva Forward'!$C$4:$AN$4,0))),FA7))</f>
        <v>0</v>
      </c>
      <c r="GN7" s="190">
        <f>IF(FB7="",0,CN7*CN$2*IF($FC7="V",1,-1)*IF($Q7="Fixo",(FB7-INDEX('Curva Forward'!$C$5:$AN$13,MATCH(CONCATENATE(BD_COMERCIAL!$K7," ",BD_COMERCIAL!$L7),'Curva Forward'!$B$5:$B$13,0),MATCH(GN$4,'Curva Forward'!$C$4:$AN$4,0))),FB7))</f>
        <v>0</v>
      </c>
      <c r="GO7" s="191">
        <f t="shared" ca="1" si="11"/>
        <v>0</v>
      </c>
      <c r="GP7" s="191">
        <f t="shared" ca="1" si="12"/>
        <v>-1339176</v>
      </c>
      <c r="GQ7"/>
      <c r="GR7" s="84"/>
      <c r="GS7"/>
      <c r="GT7" s="206"/>
      <c r="GU7" s="198"/>
      <c r="GV7"/>
      <c r="GW7"/>
      <c r="GX7" s="191"/>
      <c r="GY7" s="191"/>
      <c r="GZ7" s="190"/>
      <c r="HA7" s="190"/>
      <c r="HB7" s="190"/>
      <c r="HC7" s="190"/>
      <c r="HD7" s="190"/>
      <c r="HE7" s="190"/>
      <c r="HF7" s="190"/>
      <c r="HG7" s="190"/>
      <c r="HH7" s="190"/>
      <c r="HI7" s="190"/>
      <c r="HJ7" s="190"/>
      <c r="HK7" s="190"/>
      <c r="HL7" s="190"/>
      <c r="HM7" s="190"/>
      <c r="HN7" s="190"/>
      <c r="HO7" s="190"/>
      <c r="HP7" s="190"/>
      <c r="HQ7" s="190"/>
      <c r="HR7" s="190"/>
      <c r="HS7" s="190"/>
      <c r="HT7" s="190"/>
      <c r="HU7" s="190"/>
      <c r="HV7" s="190"/>
      <c r="HW7" s="190"/>
      <c r="HX7" s="190"/>
      <c r="HY7" s="190"/>
      <c r="HZ7" s="190"/>
      <c r="IA7" s="191"/>
      <c r="IB7" s="191"/>
    </row>
    <row r="8" spans="1:236" s="265" customFormat="1" x14ac:dyDescent="0.35">
      <c r="A8" s="251"/>
      <c r="B8" s="7" t="s">
        <v>283</v>
      </c>
      <c r="C8" s="8">
        <v>44441</v>
      </c>
      <c r="D8" s="9" t="s">
        <v>130</v>
      </c>
      <c r="E8" s="9" t="s">
        <v>218</v>
      </c>
      <c r="F8" s="112">
        <v>11315117000180</v>
      </c>
      <c r="G8" s="10" t="s">
        <v>124</v>
      </c>
      <c r="H8" s="112">
        <v>3780401000108</v>
      </c>
      <c r="I8" s="9" t="s">
        <v>125</v>
      </c>
      <c r="J8" s="158" t="s">
        <v>284</v>
      </c>
      <c r="K8" s="10" t="s">
        <v>126</v>
      </c>
      <c r="L8" s="84" t="s">
        <v>22</v>
      </c>
      <c r="M8" s="11">
        <v>44927</v>
      </c>
      <c r="N8" s="12">
        <v>45291</v>
      </c>
      <c r="O8" s="10">
        <v>0.3</v>
      </c>
      <c r="P8" s="84">
        <v>248</v>
      </c>
      <c r="Q8" s="84" t="s">
        <v>127</v>
      </c>
      <c r="R8" s="10" t="s">
        <v>128</v>
      </c>
      <c r="S8" s="14" t="s">
        <v>249</v>
      </c>
      <c r="T8" s="165" t="s">
        <v>129</v>
      </c>
      <c r="U8" s="166">
        <v>44441</v>
      </c>
      <c r="V8" s="202">
        <f ca="1">IF(U8="","",
IF(U8="NA","",
IFERROR(VLOOKUP(EOMONTH(M8,-2)+1,IPCA!$A:$B,2,0),
VLOOKUP(EOMONTH(TODAY(),-2)+1,IPCA!$A:$B,2,0))/
VLOOKUP(EOMONTH(U8,-2)+1,IPCA!$A:$B,2,0)*
P8))</f>
        <v>273.24041150092324</v>
      </c>
      <c r="W8" s="84"/>
      <c r="X8" s="13" t="s">
        <v>132</v>
      </c>
      <c r="Y8" s="167" t="s">
        <v>297</v>
      </c>
      <c r="Z8" s="106" t="s">
        <v>134</v>
      </c>
      <c r="AA8" s="107">
        <v>44543</v>
      </c>
      <c r="AB8" s="15">
        <v>0.3</v>
      </c>
      <c r="AC8">
        <v>0.3</v>
      </c>
      <c r="AD8">
        <v>0.3</v>
      </c>
      <c r="AE8">
        <v>0.3</v>
      </c>
      <c r="AF8">
        <v>0.3</v>
      </c>
      <c r="AG8">
        <v>0.3</v>
      </c>
      <c r="AH8">
        <v>0.3</v>
      </c>
      <c r="AI8">
        <v>0.3</v>
      </c>
      <c r="AJ8">
        <v>0.3</v>
      </c>
      <c r="AK8">
        <v>0.3</v>
      </c>
      <c r="AL8">
        <v>0.3</v>
      </c>
      <c r="AM8" s="6">
        <v>0.3</v>
      </c>
      <c r="AN8" s="15"/>
      <c r="AO8"/>
      <c r="AP8"/>
      <c r="AQ8"/>
      <c r="AR8"/>
      <c r="AS8"/>
      <c r="AT8"/>
      <c r="AU8"/>
      <c r="AV8"/>
      <c r="AW8"/>
      <c r="AX8"/>
      <c r="AY8" s="6"/>
      <c r="AZ8" s="15"/>
      <c r="BA8"/>
      <c r="BB8"/>
      <c r="BC8"/>
      <c r="BD8"/>
      <c r="BE8"/>
      <c r="BF8"/>
      <c r="BG8"/>
      <c r="BH8"/>
      <c r="BI8"/>
      <c r="BJ8"/>
      <c r="BK8" s="6"/>
      <c r="BL8" s="15"/>
      <c r="BM8"/>
      <c r="BN8"/>
      <c r="BO8"/>
      <c r="BP8"/>
      <c r="BQ8"/>
      <c r="BR8"/>
      <c r="BS8"/>
      <c r="BT8"/>
      <c r="BU8"/>
      <c r="BV8"/>
      <c r="BW8" s="6"/>
      <c r="BX8" s="15"/>
      <c r="BY8"/>
      <c r="BZ8"/>
      <c r="CA8"/>
      <c r="CB8"/>
      <c r="CC8"/>
      <c r="CD8"/>
      <c r="CE8"/>
      <c r="CF8"/>
      <c r="CG8"/>
      <c r="CH8"/>
      <c r="CI8" s="6"/>
      <c r="CJ8" s="16">
        <v>0.3</v>
      </c>
      <c r="CK8" s="16" t="s">
        <v>578</v>
      </c>
      <c r="CL8" s="16" t="s">
        <v>578</v>
      </c>
      <c r="CM8" s="16" t="s">
        <v>578</v>
      </c>
      <c r="CN8" s="16" t="s">
        <v>578</v>
      </c>
      <c r="CO8" s="18"/>
      <c r="CP8" s="15">
        <v>248</v>
      </c>
      <c r="CQ8">
        <v>248</v>
      </c>
      <c r="CR8">
        <v>248</v>
      </c>
      <c r="CS8">
        <v>248</v>
      </c>
      <c r="CT8">
        <v>248</v>
      </c>
      <c r="CU8">
        <v>248</v>
      </c>
      <c r="CV8">
        <v>248</v>
      </c>
      <c r="CW8">
        <v>248</v>
      </c>
      <c r="CX8">
        <v>248</v>
      </c>
      <c r="CY8">
        <v>248</v>
      </c>
      <c r="CZ8">
        <v>248</v>
      </c>
      <c r="DA8" s="6">
        <v>248</v>
      </c>
      <c r="DB8" s="15"/>
      <c r="DC8"/>
      <c r="DD8"/>
      <c r="DE8"/>
      <c r="DF8"/>
      <c r="DG8"/>
      <c r="DH8"/>
      <c r="DI8"/>
      <c r="DJ8"/>
      <c r="DK8"/>
      <c r="DL8"/>
      <c r="DM8" s="6"/>
      <c r="DN8" s="15"/>
      <c r="DO8"/>
      <c r="DP8"/>
      <c r="DQ8"/>
      <c r="DR8"/>
      <c r="DS8"/>
      <c r="DT8"/>
      <c r="DU8"/>
      <c r="DV8"/>
      <c r="DW8"/>
      <c r="DX8"/>
      <c r="DY8" s="6"/>
      <c r="DZ8" s="15"/>
      <c r="EA8"/>
      <c r="EB8"/>
      <c r="EC8"/>
      <c r="ED8"/>
      <c r="EE8"/>
      <c r="EF8"/>
      <c r="EG8"/>
      <c r="EH8"/>
      <c r="EI8"/>
      <c r="EJ8"/>
      <c r="EK8" s="6"/>
      <c r="EL8" s="15"/>
      <c r="EM8"/>
      <c r="EN8"/>
      <c r="EO8"/>
      <c r="EP8"/>
      <c r="EQ8"/>
      <c r="ER8"/>
      <c r="ES8"/>
      <c r="ET8"/>
      <c r="EU8"/>
      <c r="EV8"/>
      <c r="EW8" s="6"/>
      <c r="EX8" s="16">
        <v>248</v>
      </c>
      <c r="EY8" s="16" t="s">
        <v>578</v>
      </c>
      <c r="EZ8" s="16" t="s">
        <v>578</v>
      </c>
      <c r="FA8" s="154" t="s">
        <v>578</v>
      </c>
      <c r="FB8" s="154" t="s">
        <v>578</v>
      </c>
      <c r="FC8" t="s">
        <v>196</v>
      </c>
      <c r="FD8" s="20" t="s">
        <v>125</v>
      </c>
      <c r="FE8"/>
      <c r="FF8" s="199" t="s">
        <v>197</v>
      </c>
      <c r="FG8"/>
      <c r="FH8" s="206">
        <f t="shared" ca="1" si="6"/>
        <v>25.240411500923244</v>
      </c>
      <c r="FI8" s="198">
        <f t="shared" si="7"/>
        <v>12.133333333333333</v>
      </c>
      <c r="FJ8"/>
      <c r="FK8" t="str">
        <f t="shared" si="8"/>
        <v>Lightcom Comercializadora de Energia S/A</v>
      </c>
      <c r="FL8" s="191">
        <f t="shared" ca="1" si="9"/>
        <v>-39952.799999999996</v>
      </c>
      <c r="FM8" s="191">
        <f t="shared" ca="1" si="10"/>
        <v>-423395.99999999994</v>
      </c>
      <c r="FN8" s="190">
        <f>AB8*AB$2*IF($FC8="V",1,-1)*IF($Q8="Fixo",(CP8-INDEX('Curva Forward'!$C$5:$AN$13,MATCH(CONCATENATE(BD_COMERCIAL!$K8," ",BD_COMERCIAL!$L8),'Curva Forward'!$B$5:$B$13,0),MATCH(FN$4,'Curva Forward'!$C$4:$AN$4,0))),CP8)</f>
        <v>-39952.799999999996</v>
      </c>
      <c r="FO8" s="190">
        <f>AC8*AC$2*IF($FC8="V",1,-1)*IF($Q8="Fixo",(CQ8-INDEX('Curva Forward'!$C$5:$AN$13,MATCH(CONCATENATE(BD_COMERCIAL!$K8," ",BD_COMERCIAL!$L8),'Curva Forward'!$B$5:$B$13,0),MATCH(FO$4,'Curva Forward'!$C$4:$AN$4,0))),CQ8)</f>
        <v>-36086.400000000001</v>
      </c>
      <c r="FP8" s="190">
        <f>AD8*AD$2*IF($FC8="V",1,-1)*IF($Q8="Fixo",(CR8-INDEX('Curva Forward'!$C$5:$AN$13,MATCH(CONCATENATE(BD_COMERCIAL!$K8," ",BD_COMERCIAL!$L8),'Curva Forward'!$B$5:$B$13,0),MATCH(FP$4,'Curva Forward'!$C$4:$AN$4,0))),CR8)</f>
        <v>-39952.799999999996</v>
      </c>
      <c r="FQ8" s="190">
        <f>AE8*AE$2*IF($FC8="V",1,-1)*IF($Q8="Fixo",(CS8-INDEX('Curva Forward'!$C$5:$AN$13,MATCH(CONCATENATE(BD_COMERCIAL!$K8," ",BD_COMERCIAL!$L8),'Curva Forward'!$B$5:$B$13,0),MATCH(FQ$4,'Curva Forward'!$C$4:$AN$4,0))),CS8)</f>
        <v>-38664</v>
      </c>
      <c r="FR8" s="190">
        <f>AF8*AF$2*IF($FC8="V",1,-1)*IF($Q8="Fixo",(CT8-INDEX('Curva Forward'!$C$5:$AN$13,MATCH(CONCATENATE(BD_COMERCIAL!$K8," ",BD_COMERCIAL!$L8),'Curva Forward'!$B$5:$B$13,0),MATCH(FR$4,'Curva Forward'!$C$4:$AN$4,0))),CT8)</f>
        <v>-39729.599999999999</v>
      </c>
      <c r="FS8" s="190">
        <f>AG8*AG$2*IF($FC8="V",1,-1)*IF($Q8="Fixo",(CU8-INDEX('Curva Forward'!$C$5:$AN$13,MATCH(CONCATENATE(BD_COMERCIAL!$K8," ",BD_COMERCIAL!$L8),'Curva Forward'!$B$5:$B$13,0),MATCH(FS$4,'Curva Forward'!$C$4:$AN$4,0))),CU8)</f>
        <v>-38448</v>
      </c>
      <c r="FT8" s="190">
        <f>AH8*AH$2*IF($FC8="V",1,-1)*IF($Q8="Fixo",(CV8-INDEX('Curva Forward'!$C$5:$AN$13,MATCH(CONCATENATE(BD_COMERCIAL!$K8," ",BD_COMERCIAL!$L8),'Curva Forward'!$B$5:$B$13,0),MATCH(FT$4,'Curva Forward'!$C$4:$AN$4,0))),CV8)</f>
        <v>-39060</v>
      </c>
      <c r="FU8" s="190">
        <f>AI8*AI$2*IF($FC8="V",1,-1)*IF($Q8="Fixo",(CW8-INDEX('Curva Forward'!$C$5:$AN$13,MATCH(CONCATENATE(BD_COMERCIAL!$K8," ",BD_COMERCIAL!$L8),'Curva Forward'!$B$5:$B$13,0),MATCH(FU$4,'Curva Forward'!$C$4:$AN$4,0))),CW8)</f>
        <v>-39060</v>
      </c>
      <c r="FV8" s="190">
        <f>AJ8*AJ$2*IF($FC8="V",1,-1)*IF($Q8="Fixo",(CX8-INDEX('Curva Forward'!$C$5:$AN$13,MATCH(CONCATENATE(BD_COMERCIAL!$K8," ",BD_COMERCIAL!$L8),'Curva Forward'!$B$5:$B$13,0),MATCH(FV$4,'Curva Forward'!$C$4:$AN$4,0))),CX8)</f>
        <v>-37800</v>
      </c>
      <c r="FW8" s="190">
        <f>AK8*AK$2*IF($FC8="V",1,-1)*IF($Q8="Fixo",(CY8-INDEX('Curva Forward'!$C$5:$AN$13,MATCH(CONCATENATE(BD_COMERCIAL!$K8," ",BD_COMERCIAL!$L8),'Curva Forward'!$B$5:$B$13,0),MATCH(FW$4,'Curva Forward'!$C$4:$AN$4,0))),CY8)</f>
        <v>-38613.599999999999</v>
      </c>
      <c r="FX8" s="190">
        <f>AL8*AL$2*IF($FC8="V",1,-1)*IF($Q8="Fixo",(CZ8-INDEX('Curva Forward'!$C$5:$AN$13,MATCH(CONCATENATE(BD_COMERCIAL!$K8," ",BD_COMERCIAL!$L8),'Curva Forward'!$B$5:$B$13,0),MATCH(FX$4,'Curva Forward'!$C$4:$AN$4,0))),CZ8)</f>
        <v>-37368</v>
      </c>
      <c r="FY8" s="190">
        <f>AM8*AM$2*IF($FC8="V",1,-1)*IF($Q8="Fixo",(DA8-INDEX('Curva Forward'!$C$5:$AN$13,MATCH(CONCATENATE(BD_COMERCIAL!$K8," ",BD_COMERCIAL!$L8),'Curva Forward'!$B$5:$B$13,0),MATCH(FY$4,'Curva Forward'!$C$4:$AN$4,0))),DA8)</f>
        <v>-38613.599999999999</v>
      </c>
      <c r="FZ8" s="190">
        <f>AN8*AN$2*IF($FC8="V",1,-1)*IF($Q8="Fixo",(DB8-INDEX('Curva Forward'!$C$5:$AN$13,MATCH(CONCATENATE(BD_COMERCIAL!$K8," ",BD_COMERCIAL!$L8),'Curva Forward'!$B$5:$B$13,0),MATCH(FZ$4,'Curva Forward'!$C$4:$AN$4,0))),DB8)</f>
        <v>0</v>
      </c>
      <c r="GA8" s="190">
        <f>AO8*AO$2*IF($FC8="V",1,-1)*IF($Q8="Fixo",(DC8-INDEX('Curva Forward'!$C$5:$AN$13,MATCH(CONCATENATE(BD_COMERCIAL!$K8," ",BD_COMERCIAL!$L8),'Curva Forward'!$B$5:$B$13,0),MATCH(GA$4,'Curva Forward'!$C$4:$AN$4,0))),DC8)</f>
        <v>0</v>
      </c>
      <c r="GB8" s="190">
        <f>AP8*AP$2*IF($FC8="V",1,-1)*IF($Q8="Fixo",(DD8-INDEX('Curva Forward'!$C$5:$AN$13,MATCH(CONCATENATE(BD_COMERCIAL!$K8," ",BD_COMERCIAL!$L8),'Curva Forward'!$B$5:$B$13,0),MATCH(GB$4,'Curva Forward'!$C$4:$AN$4,0))),DD8)</f>
        <v>0</v>
      </c>
      <c r="GC8" s="190">
        <f>AQ8*AQ$2*IF($FC8="V",1,-1)*IF($Q8="Fixo",(DE8-INDEX('Curva Forward'!$C$5:$AN$13,MATCH(CONCATENATE(BD_COMERCIAL!$K8," ",BD_COMERCIAL!$L8),'Curva Forward'!$B$5:$B$13,0),MATCH(GC$4,'Curva Forward'!$C$4:$AN$4,0))),DE8)</f>
        <v>0</v>
      </c>
      <c r="GD8" s="190">
        <f>AR8*AR$2*IF($FC8="V",1,-1)*IF($Q8="Fixo",(DF8-INDEX('Curva Forward'!$C$5:$AN$13,MATCH(CONCATENATE(BD_COMERCIAL!$K8," ",BD_COMERCIAL!$L8),'Curva Forward'!$B$5:$B$13,0),MATCH(GD$4,'Curva Forward'!$C$4:$AN$4,0))),DF8)</f>
        <v>0</v>
      </c>
      <c r="GE8" s="190">
        <f>AS8*AS$2*IF($FC8="V",1,-1)*IF($Q8="Fixo",(DG8-INDEX('Curva Forward'!$C$5:$AN$13,MATCH(CONCATENATE(BD_COMERCIAL!$K8," ",BD_COMERCIAL!$L8),'Curva Forward'!$B$5:$B$13,0),MATCH(GE$4,'Curva Forward'!$C$4:$AN$4,0))),DG8)</f>
        <v>0</v>
      </c>
      <c r="GF8" s="190">
        <f>AT8*AT$2*IF($FC8="V",1,-1)*IF($Q8="Fixo",(DH8-INDEX('Curva Forward'!$C$5:$AN$13,MATCH(CONCATENATE(BD_COMERCIAL!$K8," ",BD_COMERCIAL!$L8),'Curva Forward'!$B$5:$B$13,0),MATCH(GF$4,'Curva Forward'!$C$4:$AN$4,0))),DH8)</f>
        <v>0</v>
      </c>
      <c r="GG8" s="190">
        <f>AU8*AU$2*IF($FC8="V",1,-1)*IF($Q8="Fixo",(DI8-INDEX('Curva Forward'!$C$5:$AN$13,MATCH(CONCATENATE(BD_COMERCIAL!$K8," ",BD_COMERCIAL!$L8),'Curva Forward'!$B$5:$B$13,0),MATCH(GG$4,'Curva Forward'!$C$4:$AN$4,0))),DI8)</f>
        <v>0</v>
      </c>
      <c r="GH8" s="190">
        <f>AV8*AV$2*IF($FC8="V",1,-1)*IF($Q8="Fixo",(DJ8-INDEX('Curva Forward'!$C$5:$AN$13,MATCH(CONCATENATE(BD_COMERCIAL!$K8," ",BD_COMERCIAL!$L8),'Curva Forward'!$B$5:$B$13,0),MATCH(GH$4,'Curva Forward'!$C$4:$AN$4,0))),DJ8)</f>
        <v>0</v>
      </c>
      <c r="GI8" s="190">
        <f>AW8*AW$2*IF($FC8="V",1,-1)*IF($Q8="Fixo",(DK8-INDEX('Curva Forward'!$C$5:$AN$13,MATCH(CONCATENATE(BD_COMERCIAL!$K8," ",BD_COMERCIAL!$L8),'Curva Forward'!$B$5:$B$13,0),MATCH(GI$4,'Curva Forward'!$C$4:$AN$4,0))),DK8)</f>
        <v>0</v>
      </c>
      <c r="GJ8" s="190">
        <f>AX8*AX$2*IF($FC8="V",1,-1)*IF($Q8="Fixo",(DL8-INDEX('Curva Forward'!$C$5:$AN$13,MATCH(CONCATENATE(BD_COMERCIAL!$K8," ",BD_COMERCIAL!$L8),'Curva Forward'!$B$5:$B$13,0),MATCH(GJ$4,'Curva Forward'!$C$4:$AN$4,0))),DL8)</f>
        <v>0</v>
      </c>
      <c r="GK8" s="190">
        <f>AY8*AY$2*IF($FC8="V",1,-1)*IF($Q8="Fixo",(DM8-INDEX('Curva Forward'!$C$5:$AN$13,MATCH(CONCATENATE(BD_COMERCIAL!$K8," ",BD_COMERCIAL!$L8),'Curva Forward'!$B$5:$B$13,0),MATCH(GK$4,'Curva Forward'!$C$4:$AN$4,0))),DM8)</f>
        <v>0</v>
      </c>
      <c r="GL8" s="190">
        <f>IF(EZ8="",0,CL8*CL$2*IF($FC8="V",1,-1)*IF($Q8="Fixo",(EZ8-INDEX('Curva Forward'!$C$5:$AN$13,MATCH(CONCATENATE(BD_COMERCIAL!$K8," ",BD_COMERCIAL!$L8),'Curva Forward'!$B$5:$B$13,0),MATCH(GL$4,'Curva Forward'!$C$4:$AN$4,0))),EZ8))</f>
        <v>0</v>
      </c>
      <c r="GM8" s="190">
        <f>IF(FA8="",0,CM8*CM$2*IF($FC8="V",1,-1)*IF($Q8="Fixo",(FA8-INDEX('Curva Forward'!$C$5:$AN$13,MATCH(CONCATENATE(BD_COMERCIAL!$K8," ",BD_COMERCIAL!$L8),'Curva Forward'!$B$5:$B$13,0),MATCH(GM$4,'Curva Forward'!$C$4:$AN$4,0))),FA8))</f>
        <v>0</v>
      </c>
      <c r="GN8" s="190">
        <f>IF(FB8="",0,CN8*CN$2*IF($FC8="V",1,-1)*IF($Q8="Fixo",(FB8-INDEX('Curva Forward'!$C$5:$AN$13,MATCH(CONCATENATE(BD_COMERCIAL!$K8," ",BD_COMERCIAL!$L8),'Curva Forward'!$B$5:$B$13,0),MATCH(GN$4,'Curva Forward'!$C$4:$AN$4,0))),FB8))</f>
        <v>0</v>
      </c>
      <c r="GO8" s="191">
        <f t="shared" ca="1" si="11"/>
        <v>0</v>
      </c>
      <c r="GP8" s="191">
        <f t="shared" ca="1" si="12"/>
        <v>-423395.99999999994</v>
      </c>
      <c r="GQ8"/>
      <c r="GR8" s="84"/>
      <c r="GS8"/>
      <c r="GT8" s="206"/>
      <c r="GU8" s="198"/>
      <c r="GV8"/>
      <c r="GW8"/>
      <c r="GX8" s="191"/>
      <c r="GY8" s="191"/>
      <c r="GZ8" s="190"/>
      <c r="HA8" s="190"/>
      <c r="HB8" s="190"/>
      <c r="HC8" s="190"/>
      <c r="HD8" s="190"/>
      <c r="HE8" s="190"/>
      <c r="HF8" s="190"/>
      <c r="HG8" s="190"/>
      <c r="HH8" s="190"/>
      <c r="HI8" s="190"/>
      <c r="HJ8" s="190"/>
      <c r="HK8" s="190"/>
      <c r="HL8" s="190"/>
      <c r="HM8" s="190"/>
      <c r="HN8" s="190"/>
      <c r="HO8" s="190"/>
      <c r="HP8" s="190"/>
      <c r="HQ8" s="190"/>
      <c r="HR8" s="190"/>
      <c r="HS8" s="190"/>
      <c r="HT8" s="190"/>
      <c r="HU8" s="190"/>
      <c r="HV8" s="190"/>
      <c r="HW8" s="190"/>
      <c r="HX8" s="190"/>
      <c r="HY8" s="190"/>
      <c r="HZ8" s="190"/>
      <c r="IA8" s="191"/>
      <c r="IB8" s="191"/>
    </row>
    <row r="9" spans="1:236" s="265" customFormat="1" x14ac:dyDescent="0.35">
      <c r="A9" s="251"/>
      <c r="B9" s="7">
        <v>23081</v>
      </c>
      <c r="C9" s="8">
        <v>44512</v>
      </c>
      <c r="D9" s="9" t="s">
        <v>130</v>
      </c>
      <c r="E9" s="9" t="s">
        <v>299</v>
      </c>
      <c r="F9" s="112" t="s">
        <v>300</v>
      </c>
      <c r="G9" s="10" t="s">
        <v>124</v>
      </c>
      <c r="H9" s="112"/>
      <c r="I9" s="9" t="s">
        <v>125</v>
      </c>
      <c r="J9" s="158" t="s">
        <v>301</v>
      </c>
      <c r="K9" s="10" t="s">
        <v>126</v>
      </c>
      <c r="L9" s="84" t="s">
        <v>22</v>
      </c>
      <c r="M9" s="11">
        <v>44927</v>
      </c>
      <c r="N9" s="12">
        <v>45291</v>
      </c>
      <c r="O9" s="10">
        <v>2</v>
      </c>
      <c r="P9" s="84">
        <v>204</v>
      </c>
      <c r="Q9" s="84" t="s">
        <v>127</v>
      </c>
      <c r="R9" s="10" t="s">
        <v>128</v>
      </c>
      <c r="S9" s="14" t="s">
        <v>133</v>
      </c>
      <c r="T9" s="11" t="s">
        <v>129</v>
      </c>
      <c r="U9" s="12">
        <v>44501</v>
      </c>
      <c r="V9" s="202">
        <f ca="1">IF(U9="","",
IF(U9="NA","",
IFERROR(VLOOKUP(EOMONTH(M9,-2)+1,IPCA!$A:$B,2,0),
VLOOKUP(EOMONTH(TODAY(),-2)+1,IPCA!$A:$B,2,0))/
VLOOKUP(EOMONTH(U9,-2)+1,IPCA!$A:$B,2,0)*
P9))</f>
        <v>219.44208117956106</v>
      </c>
      <c r="W9" s="84"/>
      <c r="X9" s="13"/>
      <c r="Y9" s="158" t="s">
        <v>407</v>
      </c>
      <c r="Z9" s="106" t="s">
        <v>134</v>
      </c>
      <c r="AA9" s="107">
        <v>44603</v>
      </c>
      <c r="AB9" s="15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 s="6">
        <v>2</v>
      </c>
      <c r="AN9" s="15"/>
      <c r="AO9"/>
      <c r="AP9"/>
      <c r="AQ9"/>
      <c r="AR9"/>
      <c r="AS9"/>
      <c r="AT9"/>
      <c r="AU9"/>
      <c r="AV9"/>
      <c r="AW9"/>
      <c r="AX9"/>
      <c r="AY9" s="6"/>
      <c r="AZ9" s="15"/>
      <c r="BA9"/>
      <c r="BB9"/>
      <c r="BC9"/>
      <c r="BD9"/>
      <c r="BE9"/>
      <c r="BF9"/>
      <c r="BG9"/>
      <c r="BH9"/>
      <c r="BI9"/>
      <c r="BJ9"/>
      <c r="BK9" s="6"/>
      <c r="BL9" s="15"/>
      <c r="BM9"/>
      <c r="BN9"/>
      <c r="BO9"/>
      <c r="BP9"/>
      <c r="BQ9"/>
      <c r="BR9"/>
      <c r="BS9"/>
      <c r="BT9"/>
      <c r="BU9"/>
      <c r="BV9"/>
      <c r="BW9" s="6"/>
      <c r="BX9" s="15"/>
      <c r="BY9"/>
      <c r="BZ9"/>
      <c r="CA9"/>
      <c r="CB9"/>
      <c r="CC9"/>
      <c r="CD9"/>
      <c r="CE9"/>
      <c r="CF9"/>
      <c r="CG9"/>
      <c r="CH9"/>
      <c r="CI9" s="6"/>
      <c r="CJ9" s="16">
        <v>2</v>
      </c>
      <c r="CK9" s="16" t="s">
        <v>578</v>
      </c>
      <c r="CL9" s="16" t="s">
        <v>578</v>
      </c>
      <c r="CM9" s="16" t="s">
        <v>578</v>
      </c>
      <c r="CN9" s="16" t="s">
        <v>578</v>
      </c>
      <c r="CO9" s="18"/>
      <c r="CP9" s="15">
        <v>204</v>
      </c>
      <c r="CQ9">
        <v>204</v>
      </c>
      <c r="CR9">
        <v>204</v>
      </c>
      <c r="CS9">
        <v>204</v>
      </c>
      <c r="CT9">
        <v>204</v>
      </c>
      <c r="CU9">
        <v>204</v>
      </c>
      <c r="CV9">
        <v>204</v>
      </c>
      <c r="CW9">
        <v>204</v>
      </c>
      <c r="CX9">
        <v>204</v>
      </c>
      <c r="CY9">
        <v>204</v>
      </c>
      <c r="CZ9">
        <v>204</v>
      </c>
      <c r="DA9" s="6">
        <v>204</v>
      </c>
      <c r="DB9" s="15"/>
      <c r="DC9"/>
      <c r="DD9"/>
      <c r="DE9"/>
      <c r="DF9"/>
      <c r="DG9"/>
      <c r="DH9"/>
      <c r="DI9"/>
      <c r="DJ9"/>
      <c r="DK9"/>
      <c r="DL9"/>
      <c r="DM9" s="6"/>
      <c r="DN9" s="15"/>
      <c r="DO9"/>
      <c r="DP9"/>
      <c r="DQ9"/>
      <c r="DR9"/>
      <c r="DS9"/>
      <c r="DT9"/>
      <c r="DU9"/>
      <c r="DV9"/>
      <c r="DW9"/>
      <c r="DX9"/>
      <c r="DY9" s="6"/>
      <c r="DZ9" s="15"/>
      <c r="EA9"/>
      <c r="EB9"/>
      <c r="EC9"/>
      <c r="ED9"/>
      <c r="EE9"/>
      <c r="EF9"/>
      <c r="EG9"/>
      <c r="EH9"/>
      <c r="EI9"/>
      <c r="EJ9"/>
      <c r="EK9" s="6"/>
      <c r="EL9" s="15"/>
      <c r="EM9"/>
      <c r="EN9"/>
      <c r="EO9"/>
      <c r="EP9"/>
      <c r="EQ9"/>
      <c r="ER9"/>
      <c r="ES9"/>
      <c r="ET9"/>
      <c r="EU9"/>
      <c r="EV9"/>
      <c r="EW9" s="6"/>
      <c r="EX9" s="16">
        <v>204</v>
      </c>
      <c r="EY9" s="16" t="s">
        <v>578</v>
      </c>
      <c r="EZ9" s="16" t="s">
        <v>578</v>
      </c>
      <c r="FA9" s="154" t="s">
        <v>578</v>
      </c>
      <c r="FB9" s="154" t="s">
        <v>578</v>
      </c>
      <c r="FC9" t="s">
        <v>196</v>
      </c>
      <c r="FD9" s="20" t="s">
        <v>125</v>
      </c>
      <c r="FE9"/>
      <c r="FF9" s="199" t="s">
        <v>197</v>
      </c>
      <c r="FG9"/>
      <c r="FH9" s="206">
        <f t="shared" ca="1" si="6"/>
        <v>15.442081179561058</v>
      </c>
      <c r="FI9" s="198">
        <f t="shared" si="7"/>
        <v>12.133333333333333</v>
      </c>
      <c r="FJ9"/>
      <c r="FK9" t="str">
        <f t="shared" si="8"/>
        <v>CTG Brasil Negócios de Energia S.A</v>
      </c>
      <c r="FL9" s="191">
        <f t="shared" ca="1" si="9"/>
        <v>-200880</v>
      </c>
      <c r="FM9" s="191">
        <f t="shared" ca="1" si="10"/>
        <v>-2117232</v>
      </c>
      <c r="FN9" s="190">
        <f>AB9*AB$2*IF($FC9="V",1,-1)*IF($Q9="Fixo",(CP9-INDEX('Curva Forward'!$C$5:$AN$13,MATCH(CONCATENATE(BD_COMERCIAL!$K9," ",BD_COMERCIAL!$L9),'Curva Forward'!$B$5:$B$13,0),MATCH(FN$4,'Curva Forward'!$C$4:$AN$4,0))),CP9)</f>
        <v>-200880</v>
      </c>
      <c r="FO9" s="190">
        <f>AC9*AC$2*IF($FC9="V",1,-1)*IF($Q9="Fixo",(CQ9-INDEX('Curva Forward'!$C$5:$AN$13,MATCH(CONCATENATE(BD_COMERCIAL!$K9," ",BD_COMERCIAL!$L9),'Curva Forward'!$B$5:$B$13,0),MATCH(FO$4,'Curva Forward'!$C$4:$AN$4,0))),CQ9)</f>
        <v>-181440</v>
      </c>
      <c r="FP9" s="190">
        <f>AD9*AD$2*IF($FC9="V",1,-1)*IF($Q9="Fixo",(CR9-INDEX('Curva Forward'!$C$5:$AN$13,MATCH(CONCATENATE(BD_COMERCIAL!$K9," ",BD_COMERCIAL!$L9),'Curva Forward'!$B$5:$B$13,0),MATCH(FP$4,'Curva Forward'!$C$4:$AN$4,0))),CR9)</f>
        <v>-200880</v>
      </c>
      <c r="FQ9" s="190">
        <f>AE9*AE$2*IF($FC9="V",1,-1)*IF($Q9="Fixo",(CS9-INDEX('Curva Forward'!$C$5:$AN$13,MATCH(CONCATENATE(BD_COMERCIAL!$K9," ",BD_COMERCIAL!$L9),'Curva Forward'!$B$5:$B$13,0),MATCH(FQ$4,'Curva Forward'!$C$4:$AN$4,0))),CS9)</f>
        <v>-194400</v>
      </c>
      <c r="FR9" s="190">
        <f>AF9*AF$2*IF($FC9="V",1,-1)*IF($Q9="Fixo",(CT9-INDEX('Curva Forward'!$C$5:$AN$13,MATCH(CONCATENATE(BD_COMERCIAL!$K9," ",BD_COMERCIAL!$L9),'Curva Forward'!$B$5:$B$13,0),MATCH(FR$4,'Curva Forward'!$C$4:$AN$4,0))),CT9)</f>
        <v>-199392</v>
      </c>
      <c r="FS9" s="190">
        <f>AG9*AG$2*IF($FC9="V",1,-1)*IF($Q9="Fixo",(CU9-INDEX('Curva Forward'!$C$5:$AN$13,MATCH(CONCATENATE(BD_COMERCIAL!$K9," ",BD_COMERCIAL!$L9),'Curva Forward'!$B$5:$B$13,0),MATCH(FS$4,'Curva Forward'!$C$4:$AN$4,0))),CU9)</f>
        <v>-192960</v>
      </c>
      <c r="FT9" s="190">
        <f>AH9*AH$2*IF($FC9="V",1,-1)*IF($Q9="Fixo",(CV9-INDEX('Curva Forward'!$C$5:$AN$13,MATCH(CONCATENATE(BD_COMERCIAL!$K9," ",BD_COMERCIAL!$L9),'Curva Forward'!$B$5:$B$13,0),MATCH(FT$4,'Curva Forward'!$C$4:$AN$4,0))),CV9)</f>
        <v>-194928</v>
      </c>
      <c r="FU9" s="190">
        <f>AI9*AI$2*IF($FC9="V",1,-1)*IF($Q9="Fixo",(CW9-INDEX('Curva Forward'!$C$5:$AN$13,MATCH(CONCATENATE(BD_COMERCIAL!$K9," ",BD_COMERCIAL!$L9),'Curva Forward'!$B$5:$B$13,0),MATCH(FU$4,'Curva Forward'!$C$4:$AN$4,0))),CW9)</f>
        <v>-194928</v>
      </c>
      <c r="FV9" s="190">
        <f>AJ9*AJ$2*IF($FC9="V",1,-1)*IF($Q9="Fixo",(CX9-INDEX('Curva Forward'!$C$5:$AN$13,MATCH(CONCATENATE(BD_COMERCIAL!$K9," ",BD_COMERCIAL!$L9),'Curva Forward'!$B$5:$B$13,0),MATCH(FV$4,'Curva Forward'!$C$4:$AN$4,0))),CX9)</f>
        <v>-188640</v>
      </c>
      <c r="FW9" s="190">
        <f>AK9*AK$2*IF($FC9="V",1,-1)*IF($Q9="Fixo",(CY9-INDEX('Curva Forward'!$C$5:$AN$13,MATCH(CONCATENATE(BD_COMERCIAL!$K9," ",BD_COMERCIAL!$L9),'Curva Forward'!$B$5:$B$13,0),MATCH(FW$4,'Curva Forward'!$C$4:$AN$4,0))),CY9)</f>
        <v>-191952</v>
      </c>
      <c r="FX9" s="190">
        <f>AL9*AL$2*IF($FC9="V",1,-1)*IF($Q9="Fixo",(CZ9-INDEX('Curva Forward'!$C$5:$AN$13,MATCH(CONCATENATE(BD_COMERCIAL!$K9," ",BD_COMERCIAL!$L9),'Curva Forward'!$B$5:$B$13,0),MATCH(FX$4,'Curva Forward'!$C$4:$AN$4,0))),CZ9)</f>
        <v>-185760</v>
      </c>
      <c r="FY9" s="190">
        <f>AM9*AM$2*IF($FC9="V",1,-1)*IF($Q9="Fixo",(DA9-INDEX('Curva Forward'!$C$5:$AN$13,MATCH(CONCATENATE(BD_COMERCIAL!$K9," ",BD_COMERCIAL!$L9),'Curva Forward'!$B$5:$B$13,0),MATCH(FY$4,'Curva Forward'!$C$4:$AN$4,0))),DA9)</f>
        <v>-191952</v>
      </c>
      <c r="FZ9" s="190">
        <f>AN9*AN$2*IF($FC9="V",1,-1)*IF($Q9="Fixo",(DB9-INDEX('Curva Forward'!$C$5:$AN$13,MATCH(CONCATENATE(BD_COMERCIAL!$K9," ",BD_COMERCIAL!$L9),'Curva Forward'!$B$5:$B$13,0),MATCH(FZ$4,'Curva Forward'!$C$4:$AN$4,0))),DB9)</f>
        <v>0</v>
      </c>
      <c r="GA9" s="190">
        <f>AO9*AO$2*IF($FC9="V",1,-1)*IF($Q9="Fixo",(DC9-INDEX('Curva Forward'!$C$5:$AN$13,MATCH(CONCATENATE(BD_COMERCIAL!$K9," ",BD_COMERCIAL!$L9),'Curva Forward'!$B$5:$B$13,0),MATCH(GA$4,'Curva Forward'!$C$4:$AN$4,0))),DC9)</f>
        <v>0</v>
      </c>
      <c r="GB9" s="190">
        <f>AP9*AP$2*IF($FC9="V",1,-1)*IF($Q9="Fixo",(DD9-INDEX('Curva Forward'!$C$5:$AN$13,MATCH(CONCATENATE(BD_COMERCIAL!$K9," ",BD_COMERCIAL!$L9),'Curva Forward'!$B$5:$B$13,0),MATCH(GB$4,'Curva Forward'!$C$4:$AN$4,0))),DD9)</f>
        <v>0</v>
      </c>
      <c r="GC9" s="190">
        <f>AQ9*AQ$2*IF($FC9="V",1,-1)*IF($Q9="Fixo",(DE9-INDEX('Curva Forward'!$C$5:$AN$13,MATCH(CONCATENATE(BD_COMERCIAL!$K9," ",BD_COMERCIAL!$L9),'Curva Forward'!$B$5:$B$13,0),MATCH(GC$4,'Curva Forward'!$C$4:$AN$4,0))),DE9)</f>
        <v>0</v>
      </c>
      <c r="GD9" s="190">
        <f>AR9*AR$2*IF($FC9="V",1,-1)*IF($Q9="Fixo",(DF9-INDEX('Curva Forward'!$C$5:$AN$13,MATCH(CONCATENATE(BD_COMERCIAL!$K9," ",BD_COMERCIAL!$L9),'Curva Forward'!$B$5:$B$13,0),MATCH(GD$4,'Curva Forward'!$C$4:$AN$4,0))),DF9)</f>
        <v>0</v>
      </c>
      <c r="GE9" s="190">
        <f>AS9*AS$2*IF($FC9="V",1,-1)*IF($Q9="Fixo",(DG9-INDEX('Curva Forward'!$C$5:$AN$13,MATCH(CONCATENATE(BD_COMERCIAL!$K9," ",BD_COMERCIAL!$L9),'Curva Forward'!$B$5:$B$13,0),MATCH(GE$4,'Curva Forward'!$C$4:$AN$4,0))),DG9)</f>
        <v>0</v>
      </c>
      <c r="GF9" s="190">
        <f>AT9*AT$2*IF($FC9="V",1,-1)*IF($Q9="Fixo",(DH9-INDEX('Curva Forward'!$C$5:$AN$13,MATCH(CONCATENATE(BD_COMERCIAL!$K9," ",BD_COMERCIAL!$L9),'Curva Forward'!$B$5:$B$13,0),MATCH(GF$4,'Curva Forward'!$C$4:$AN$4,0))),DH9)</f>
        <v>0</v>
      </c>
      <c r="GG9" s="190">
        <f>AU9*AU$2*IF($FC9="V",1,-1)*IF($Q9="Fixo",(DI9-INDEX('Curva Forward'!$C$5:$AN$13,MATCH(CONCATENATE(BD_COMERCIAL!$K9," ",BD_COMERCIAL!$L9),'Curva Forward'!$B$5:$B$13,0),MATCH(GG$4,'Curva Forward'!$C$4:$AN$4,0))),DI9)</f>
        <v>0</v>
      </c>
      <c r="GH9" s="190">
        <f>AV9*AV$2*IF($FC9="V",1,-1)*IF($Q9="Fixo",(DJ9-INDEX('Curva Forward'!$C$5:$AN$13,MATCH(CONCATENATE(BD_COMERCIAL!$K9," ",BD_COMERCIAL!$L9),'Curva Forward'!$B$5:$B$13,0),MATCH(GH$4,'Curva Forward'!$C$4:$AN$4,0))),DJ9)</f>
        <v>0</v>
      </c>
      <c r="GI9" s="190">
        <f>AW9*AW$2*IF($FC9="V",1,-1)*IF($Q9="Fixo",(DK9-INDEX('Curva Forward'!$C$5:$AN$13,MATCH(CONCATENATE(BD_COMERCIAL!$K9," ",BD_COMERCIAL!$L9),'Curva Forward'!$B$5:$B$13,0),MATCH(GI$4,'Curva Forward'!$C$4:$AN$4,0))),DK9)</f>
        <v>0</v>
      </c>
      <c r="GJ9" s="190">
        <f>AX9*AX$2*IF($FC9="V",1,-1)*IF($Q9="Fixo",(DL9-INDEX('Curva Forward'!$C$5:$AN$13,MATCH(CONCATENATE(BD_COMERCIAL!$K9," ",BD_COMERCIAL!$L9),'Curva Forward'!$B$5:$B$13,0),MATCH(GJ$4,'Curva Forward'!$C$4:$AN$4,0))),DL9)</f>
        <v>0</v>
      </c>
      <c r="GK9" s="190">
        <f>AY9*AY$2*IF($FC9="V",1,-1)*IF($Q9="Fixo",(DM9-INDEX('Curva Forward'!$C$5:$AN$13,MATCH(CONCATENATE(BD_COMERCIAL!$K9," ",BD_COMERCIAL!$L9),'Curva Forward'!$B$5:$B$13,0),MATCH(GK$4,'Curva Forward'!$C$4:$AN$4,0))),DM9)</f>
        <v>0</v>
      </c>
      <c r="GL9" s="190">
        <f>IF(EZ9="",0,CL9*CL$2*IF($FC9="V",1,-1)*IF($Q9="Fixo",(EZ9-INDEX('Curva Forward'!$C$5:$AN$13,MATCH(CONCATENATE(BD_COMERCIAL!$K9," ",BD_COMERCIAL!$L9),'Curva Forward'!$B$5:$B$13,0),MATCH(GL$4,'Curva Forward'!$C$4:$AN$4,0))),EZ9))</f>
        <v>0</v>
      </c>
      <c r="GM9" s="190">
        <f>IF(FA9="",0,CM9*CM$2*IF($FC9="V",1,-1)*IF($Q9="Fixo",(FA9-INDEX('Curva Forward'!$C$5:$AN$13,MATCH(CONCATENATE(BD_COMERCIAL!$K9," ",BD_COMERCIAL!$L9),'Curva Forward'!$B$5:$B$13,0),MATCH(GM$4,'Curva Forward'!$C$4:$AN$4,0))),FA9))</f>
        <v>0</v>
      </c>
      <c r="GN9" s="190">
        <f>IF(FB9="",0,CN9*CN$2*IF($FC9="V",1,-1)*IF($Q9="Fixo",(FB9-INDEX('Curva Forward'!$C$5:$AN$13,MATCH(CONCATENATE(BD_COMERCIAL!$K9," ",BD_COMERCIAL!$L9),'Curva Forward'!$B$5:$B$13,0),MATCH(GN$4,'Curva Forward'!$C$4:$AN$4,0))),FB9))</f>
        <v>0</v>
      </c>
      <c r="GO9" s="191">
        <f t="shared" ca="1" si="11"/>
        <v>0</v>
      </c>
      <c r="GP9" s="191">
        <f t="shared" ca="1" si="12"/>
        <v>-2117232</v>
      </c>
      <c r="GQ9"/>
      <c r="GR9" s="84"/>
      <c r="GS9"/>
      <c r="GT9" s="206"/>
      <c r="GU9" s="198"/>
      <c r="GV9"/>
      <c r="GW9"/>
      <c r="GX9" s="191"/>
      <c r="GY9" s="191"/>
      <c r="GZ9" s="190"/>
      <c r="HA9" s="190"/>
      <c r="HB9" s="190"/>
      <c r="HC9" s="190"/>
      <c r="HD9" s="190"/>
      <c r="HE9" s="190"/>
      <c r="HF9" s="190"/>
      <c r="HG9" s="190"/>
      <c r="HH9" s="190"/>
      <c r="HI9" s="190"/>
      <c r="HJ9" s="190"/>
      <c r="HK9" s="190"/>
      <c r="HL9" s="190"/>
      <c r="HM9" s="190"/>
      <c r="HN9" s="190"/>
      <c r="HO9" s="190"/>
      <c r="HP9" s="190"/>
      <c r="HQ9" s="190"/>
      <c r="HR9" s="190"/>
      <c r="HS9" s="190"/>
      <c r="HT9" s="190"/>
      <c r="HU9" s="190"/>
      <c r="HV9" s="190"/>
      <c r="HW9" s="190"/>
      <c r="HX9" s="190"/>
      <c r="HY9" s="190"/>
      <c r="HZ9" s="190"/>
      <c r="IA9" s="191"/>
      <c r="IB9" s="191"/>
    </row>
    <row r="10" spans="1:236" s="265" customFormat="1" x14ac:dyDescent="0.35">
      <c r="A10" s="251"/>
      <c r="B10" s="7" t="s">
        <v>309</v>
      </c>
      <c r="C10" s="8">
        <v>44551</v>
      </c>
      <c r="D10" s="9" t="s">
        <v>130</v>
      </c>
      <c r="E10" s="9" t="s">
        <v>153</v>
      </c>
      <c r="F10" s="112">
        <v>18384740000134</v>
      </c>
      <c r="G10" s="10" t="s">
        <v>124</v>
      </c>
      <c r="H10" s="112">
        <v>3780401000108</v>
      </c>
      <c r="I10" s="9" t="s">
        <v>125</v>
      </c>
      <c r="J10" s="158" t="s">
        <v>310</v>
      </c>
      <c r="K10" s="10" t="s">
        <v>126</v>
      </c>
      <c r="L10" s="84" t="s">
        <v>25</v>
      </c>
      <c r="M10" s="11">
        <v>44927</v>
      </c>
      <c r="N10" s="12">
        <v>45291</v>
      </c>
      <c r="O10" s="10">
        <v>1</v>
      </c>
      <c r="P10" s="84">
        <v>190</v>
      </c>
      <c r="Q10" s="84" t="s">
        <v>127</v>
      </c>
      <c r="R10" s="10" t="s">
        <v>128</v>
      </c>
      <c r="S10" s="159" t="s">
        <v>133</v>
      </c>
      <c r="T10" s="11" t="s">
        <v>129</v>
      </c>
      <c r="U10" s="12">
        <v>44551</v>
      </c>
      <c r="V10" s="202">
        <f ca="1">IF(U10="","",
IF(U10="NA","",
IFERROR(VLOOKUP(EOMONTH(M10,-2)+1,IPCA!$A:$B,2,0),
VLOOKUP(EOMONTH(TODAY(),-2)+1,IPCA!$A:$B,2,0))/
VLOOKUP(EOMONTH(U10,-2)+1,IPCA!$A:$B,2,0)*
P10))</f>
        <v>202.45883183638401</v>
      </c>
      <c r="W10" s="84"/>
      <c r="X10" s="13" t="s">
        <v>132</v>
      </c>
      <c r="Y10" s="158" t="s">
        <v>318</v>
      </c>
      <c r="Z10" s="106" t="s">
        <v>134</v>
      </c>
      <c r="AA10" s="107">
        <v>44642</v>
      </c>
      <c r="AB10" s="15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 s="6">
        <v>1</v>
      </c>
      <c r="AN10" s="15"/>
      <c r="AO10"/>
      <c r="AP10"/>
      <c r="AQ10"/>
      <c r="AR10"/>
      <c r="AS10"/>
      <c r="AT10"/>
      <c r="AU10"/>
      <c r="AV10"/>
      <c r="AW10"/>
      <c r="AX10"/>
      <c r="AY10" s="6"/>
      <c r="AZ10" s="15"/>
      <c r="BA10"/>
      <c r="BB10"/>
      <c r="BC10"/>
      <c r="BD10"/>
      <c r="BE10"/>
      <c r="BF10"/>
      <c r="BG10"/>
      <c r="BH10"/>
      <c r="BI10"/>
      <c r="BJ10"/>
      <c r="BK10" s="6"/>
      <c r="BL10" s="15"/>
      <c r="BM10"/>
      <c r="BN10"/>
      <c r="BO10"/>
      <c r="BP10"/>
      <c r="BQ10"/>
      <c r="BR10"/>
      <c r="BS10"/>
      <c r="BT10"/>
      <c r="BU10"/>
      <c r="BV10"/>
      <c r="BW10" s="6"/>
      <c r="BX10" s="15"/>
      <c r="BY10"/>
      <c r="BZ10"/>
      <c r="CA10"/>
      <c r="CB10"/>
      <c r="CC10"/>
      <c r="CD10"/>
      <c r="CE10"/>
      <c r="CF10"/>
      <c r="CG10"/>
      <c r="CH10"/>
      <c r="CI10" s="6"/>
      <c r="CJ10" s="16">
        <v>1</v>
      </c>
      <c r="CK10" s="16" t="s">
        <v>578</v>
      </c>
      <c r="CL10" s="16" t="s">
        <v>578</v>
      </c>
      <c r="CM10" s="16" t="s">
        <v>578</v>
      </c>
      <c r="CN10" s="16" t="s">
        <v>578</v>
      </c>
      <c r="CO10" s="18"/>
      <c r="CP10" s="15">
        <v>190</v>
      </c>
      <c r="CQ10">
        <v>190</v>
      </c>
      <c r="CR10">
        <v>190</v>
      </c>
      <c r="CS10">
        <v>190</v>
      </c>
      <c r="CT10">
        <v>190</v>
      </c>
      <c r="CU10">
        <v>190</v>
      </c>
      <c r="CV10">
        <v>190</v>
      </c>
      <c r="CW10">
        <v>190</v>
      </c>
      <c r="CX10">
        <v>190</v>
      </c>
      <c r="CY10">
        <v>190</v>
      </c>
      <c r="CZ10">
        <v>190</v>
      </c>
      <c r="DA10" s="6">
        <v>190</v>
      </c>
      <c r="DB10" s="15"/>
      <c r="DC10"/>
      <c r="DD10"/>
      <c r="DE10"/>
      <c r="DF10"/>
      <c r="DG10"/>
      <c r="DH10"/>
      <c r="DI10"/>
      <c r="DJ10"/>
      <c r="DK10"/>
      <c r="DL10"/>
      <c r="DM10" s="6"/>
      <c r="DN10" s="15"/>
      <c r="DO10"/>
      <c r="DP10"/>
      <c r="DQ10"/>
      <c r="DR10"/>
      <c r="DS10"/>
      <c r="DT10"/>
      <c r="DU10"/>
      <c r="DV10"/>
      <c r="DW10"/>
      <c r="DX10"/>
      <c r="DY10" s="6"/>
      <c r="DZ10" s="15"/>
      <c r="EA10"/>
      <c r="EB10"/>
      <c r="EC10"/>
      <c r="ED10"/>
      <c r="EE10"/>
      <c r="EF10"/>
      <c r="EG10"/>
      <c r="EH10"/>
      <c r="EI10"/>
      <c r="EJ10"/>
      <c r="EK10" s="6"/>
      <c r="EL10" s="15"/>
      <c r="EM10"/>
      <c r="EN10"/>
      <c r="EO10"/>
      <c r="EP10"/>
      <c r="EQ10"/>
      <c r="ER10"/>
      <c r="ES10"/>
      <c r="ET10"/>
      <c r="EU10"/>
      <c r="EV10"/>
      <c r="EW10" s="6"/>
      <c r="EX10" s="16">
        <v>190</v>
      </c>
      <c r="EY10" s="16" t="s">
        <v>578</v>
      </c>
      <c r="EZ10" s="16" t="s">
        <v>578</v>
      </c>
      <c r="FA10" s="154" t="s">
        <v>578</v>
      </c>
      <c r="FB10" s="154" t="s">
        <v>578</v>
      </c>
      <c r="FC10" t="s">
        <v>196</v>
      </c>
      <c r="FD10" s="20" t="s">
        <v>125</v>
      </c>
      <c r="FE10"/>
      <c r="FF10" s="199" t="s">
        <v>197</v>
      </c>
      <c r="FG10"/>
      <c r="FH10" s="206">
        <f t="shared" ca="1" si="6"/>
        <v>12.458831836384007</v>
      </c>
      <c r="FI10" s="198">
        <f t="shared" si="7"/>
        <v>12.133333333333333</v>
      </c>
      <c r="FJ10"/>
      <c r="FK10" t="str">
        <f t="shared" si="8"/>
        <v>BC Comercializadora de Energia Ltda</v>
      </c>
      <c r="FL10" s="191">
        <f t="shared" ca="1" si="9"/>
        <v>-90024</v>
      </c>
      <c r="FM10" s="191">
        <f t="shared" ca="1" si="10"/>
        <v>-946392</v>
      </c>
      <c r="FN10" s="190">
        <f>AB10*AB$2*IF($FC10="V",1,-1)*IF($Q10="Fixo",(CP10-INDEX('Curva Forward'!$C$5:$AN$13,MATCH(CONCATENATE(BD_COMERCIAL!$K10," ",BD_COMERCIAL!$L10),'Curva Forward'!$B$5:$B$13,0),MATCH(FN$4,'Curva Forward'!$C$4:$AN$4,0))),CP10)</f>
        <v>-90024</v>
      </c>
      <c r="FO10" s="190">
        <f>AC10*AC$2*IF($FC10="V",1,-1)*IF($Q10="Fixo",(CQ10-INDEX('Curva Forward'!$C$5:$AN$13,MATCH(CONCATENATE(BD_COMERCIAL!$K10," ",BD_COMERCIAL!$L10),'Curva Forward'!$B$5:$B$13,0),MATCH(FO$4,'Curva Forward'!$C$4:$AN$4,0))),CQ10)</f>
        <v>-81312</v>
      </c>
      <c r="FP10" s="190">
        <f>AD10*AD$2*IF($FC10="V",1,-1)*IF($Q10="Fixo",(CR10-INDEX('Curva Forward'!$C$5:$AN$13,MATCH(CONCATENATE(BD_COMERCIAL!$K10," ",BD_COMERCIAL!$L10),'Curva Forward'!$B$5:$B$13,0),MATCH(FP$4,'Curva Forward'!$C$4:$AN$4,0))),CR10)</f>
        <v>-90024</v>
      </c>
      <c r="FQ10" s="190">
        <f>AE10*AE$2*IF($FC10="V",1,-1)*IF($Q10="Fixo",(CS10-INDEX('Curva Forward'!$C$5:$AN$13,MATCH(CONCATENATE(BD_COMERCIAL!$K10," ",BD_COMERCIAL!$L10),'Curva Forward'!$B$5:$B$13,0),MATCH(FQ$4,'Curva Forward'!$C$4:$AN$4,0))),CS10)</f>
        <v>-87120</v>
      </c>
      <c r="FR10" s="190">
        <f>AF10*AF$2*IF($FC10="V",1,-1)*IF($Q10="Fixo",(CT10-INDEX('Curva Forward'!$C$5:$AN$13,MATCH(CONCATENATE(BD_COMERCIAL!$K10," ",BD_COMERCIAL!$L10),'Curva Forward'!$B$5:$B$13,0),MATCH(FR$4,'Curva Forward'!$C$4:$AN$4,0))),CT10)</f>
        <v>-89280</v>
      </c>
      <c r="FS10" s="190">
        <f>AG10*AG$2*IF($FC10="V",1,-1)*IF($Q10="Fixo",(CU10-INDEX('Curva Forward'!$C$5:$AN$13,MATCH(CONCATENATE(BD_COMERCIAL!$K10," ",BD_COMERCIAL!$L10),'Curva Forward'!$B$5:$B$13,0),MATCH(FS$4,'Curva Forward'!$C$4:$AN$4,0))),CU10)</f>
        <v>-86400</v>
      </c>
      <c r="FT10" s="190">
        <f>AH10*AH$2*IF($FC10="V",1,-1)*IF($Q10="Fixo",(CV10-INDEX('Curva Forward'!$C$5:$AN$13,MATCH(CONCATENATE(BD_COMERCIAL!$K10," ",BD_COMERCIAL!$L10),'Curva Forward'!$B$5:$B$13,0),MATCH(FT$4,'Curva Forward'!$C$4:$AN$4,0))),CV10)</f>
        <v>-87048</v>
      </c>
      <c r="FU10" s="190">
        <f>AI10*AI$2*IF($FC10="V",1,-1)*IF($Q10="Fixo",(CW10-INDEX('Curva Forward'!$C$5:$AN$13,MATCH(CONCATENATE(BD_COMERCIAL!$K10," ",BD_COMERCIAL!$L10),'Curva Forward'!$B$5:$B$13,0),MATCH(FU$4,'Curva Forward'!$C$4:$AN$4,0))),CW10)</f>
        <v>-87048</v>
      </c>
      <c r="FV10" s="190">
        <f>AJ10*AJ$2*IF($FC10="V",1,-1)*IF($Q10="Fixo",(CX10-INDEX('Curva Forward'!$C$5:$AN$13,MATCH(CONCATENATE(BD_COMERCIAL!$K10," ",BD_COMERCIAL!$L10),'Curva Forward'!$B$5:$B$13,0),MATCH(FV$4,'Curva Forward'!$C$4:$AN$4,0))),CX10)</f>
        <v>-84240</v>
      </c>
      <c r="FW10" s="190">
        <f>AK10*AK$2*IF($FC10="V",1,-1)*IF($Q10="Fixo",(CY10-INDEX('Curva Forward'!$C$5:$AN$13,MATCH(CONCATENATE(BD_COMERCIAL!$K10," ",BD_COMERCIAL!$L10),'Curva Forward'!$B$5:$B$13,0),MATCH(FW$4,'Curva Forward'!$C$4:$AN$4,0))),CY10)</f>
        <v>-85560</v>
      </c>
      <c r="FX10" s="190">
        <f>AL10*AL$2*IF($FC10="V",1,-1)*IF($Q10="Fixo",(CZ10-INDEX('Curva Forward'!$C$5:$AN$13,MATCH(CONCATENATE(BD_COMERCIAL!$K10," ",BD_COMERCIAL!$L10),'Curva Forward'!$B$5:$B$13,0),MATCH(FX$4,'Curva Forward'!$C$4:$AN$4,0))),CZ10)</f>
        <v>-82800</v>
      </c>
      <c r="FY10" s="190">
        <f>AM10*AM$2*IF($FC10="V",1,-1)*IF($Q10="Fixo",(DA10-INDEX('Curva Forward'!$C$5:$AN$13,MATCH(CONCATENATE(BD_COMERCIAL!$K10," ",BD_COMERCIAL!$L10),'Curva Forward'!$B$5:$B$13,0),MATCH(FY$4,'Curva Forward'!$C$4:$AN$4,0))),DA10)</f>
        <v>-85560</v>
      </c>
      <c r="FZ10" s="190">
        <f>AN10*AN$2*IF($FC10="V",1,-1)*IF($Q10="Fixo",(DB10-INDEX('Curva Forward'!$C$5:$AN$13,MATCH(CONCATENATE(BD_COMERCIAL!$K10," ",BD_COMERCIAL!$L10),'Curva Forward'!$B$5:$B$13,0),MATCH(FZ$4,'Curva Forward'!$C$4:$AN$4,0))),DB10)</f>
        <v>0</v>
      </c>
      <c r="GA10" s="190">
        <f>AO10*AO$2*IF($FC10="V",1,-1)*IF($Q10="Fixo",(DC10-INDEX('Curva Forward'!$C$5:$AN$13,MATCH(CONCATENATE(BD_COMERCIAL!$K10," ",BD_COMERCIAL!$L10),'Curva Forward'!$B$5:$B$13,0),MATCH(GA$4,'Curva Forward'!$C$4:$AN$4,0))),DC10)</f>
        <v>0</v>
      </c>
      <c r="GB10" s="190">
        <f>AP10*AP$2*IF($FC10="V",1,-1)*IF($Q10="Fixo",(DD10-INDEX('Curva Forward'!$C$5:$AN$13,MATCH(CONCATENATE(BD_COMERCIAL!$K10," ",BD_COMERCIAL!$L10),'Curva Forward'!$B$5:$B$13,0),MATCH(GB$4,'Curva Forward'!$C$4:$AN$4,0))),DD10)</f>
        <v>0</v>
      </c>
      <c r="GC10" s="190">
        <f>AQ10*AQ$2*IF($FC10="V",1,-1)*IF($Q10="Fixo",(DE10-INDEX('Curva Forward'!$C$5:$AN$13,MATCH(CONCATENATE(BD_COMERCIAL!$K10," ",BD_COMERCIAL!$L10),'Curva Forward'!$B$5:$B$13,0),MATCH(GC$4,'Curva Forward'!$C$4:$AN$4,0))),DE10)</f>
        <v>0</v>
      </c>
      <c r="GD10" s="190">
        <f>AR10*AR$2*IF($FC10="V",1,-1)*IF($Q10="Fixo",(DF10-INDEX('Curva Forward'!$C$5:$AN$13,MATCH(CONCATENATE(BD_COMERCIAL!$K10," ",BD_COMERCIAL!$L10),'Curva Forward'!$B$5:$B$13,0),MATCH(GD$4,'Curva Forward'!$C$4:$AN$4,0))),DF10)</f>
        <v>0</v>
      </c>
      <c r="GE10" s="190">
        <f>AS10*AS$2*IF($FC10="V",1,-1)*IF($Q10="Fixo",(DG10-INDEX('Curva Forward'!$C$5:$AN$13,MATCH(CONCATENATE(BD_COMERCIAL!$K10," ",BD_COMERCIAL!$L10),'Curva Forward'!$B$5:$B$13,0),MATCH(GE$4,'Curva Forward'!$C$4:$AN$4,0))),DG10)</f>
        <v>0</v>
      </c>
      <c r="GF10" s="190">
        <f>AT10*AT$2*IF($FC10="V",1,-1)*IF($Q10="Fixo",(DH10-INDEX('Curva Forward'!$C$5:$AN$13,MATCH(CONCATENATE(BD_COMERCIAL!$K10," ",BD_COMERCIAL!$L10),'Curva Forward'!$B$5:$B$13,0),MATCH(GF$4,'Curva Forward'!$C$4:$AN$4,0))),DH10)</f>
        <v>0</v>
      </c>
      <c r="GG10" s="190">
        <f>AU10*AU$2*IF($FC10="V",1,-1)*IF($Q10="Fixo",(DI10-INDEX('Curva Forward'!$C$5:$AN$13,MATCH(CONCATENATE(BD_COMERCIAL!$K10," ",BD_COMERCIAL!$L10),'Curva Forward'!$B$5:$B$13,0),MATCH(GG$4,'Curva Forward'!$C$4:$AN$4,0))),DI10)</f>
        <v>0</v>
      </c>
      <c r="GH10" s="190">
        <f>AV10*AV$2*IF($FC10="V",1,-1)*IF($Q10="Fixo",(DJ10-INDEX('Curva Forward'!$C$5:$AN$13,MATCH(CONCATENATE(BD_COMERCIAL!$K10," ",BD_COMERCIAL!$L10),'Curva Forward'!$B$5:$B$13,0),MATCH(GH$4,'Curva Forward'!$C$4:$AN$4,0))),DJ10)</f>
        <v>0</v>
      </c>
      <c r="GI10" s="190">
        <f>AW10*AW$2*IF($FC10="V",1,-1)*IF($Q10="Fixo",(DK10-INDEX('Curva Forward'!$C$5:$AN$13,MATCH(CONCATENATE(BD_COMERCIAL!$K10," ",BD_COMERCIAL!$L10),'Curva Forward'!$B$5:$B$13,0),MATCH(GI$4,'Curva Forward'!$C$4:$AN$4,0))),DK10)</f>
        <v>0</v>
      </c>
      <c r="GJ10" s="190">
        <f>AX10*AX$2*IF($FC10="V",1,-1)*IF($Q10="Fixo",(DL10-INDEX('Curva Forward'!$C$5:$AN$13,MATCH(CONCATENATE(BD_COMERCIAL!$K10," ",BD_COMERCIAL!$L10),'Curva Forward'!$B$5:$B$13,0),MATCH(GJ$4,'Curva Forward'!$C$4:$AN$4,0))),DL10)</f>
        <v>0</v>
      </c>
      <c r="GK10" s="190">
        <f>AY10*AY$2*IF($FC10="V",1,-1)*IF($Q10="Fixo",(DM10-INDEX('Curva Forward'!$C$5:$AN$13,MATCH(CONCATENATE(BD_COMERCIAL!$K10," ",BD_COMERCIAL!$L10),'Curva Forward'!$B$5:$B$13,0),MATCH(GK$4,'Curva Forward'!$C$4:$AN$4,0))),DM10)</f>
        <v>0</v>
      </c>
      <c r="GL10" s="190">
        <f>IF(EZ10="",0,CL10*CL$2*IF($FC10="V",1,-1)*IF($Q10="Fixo",(EZ10-INDEX('Curva Forward'!$C$5:$AN$13,MATCH(CONCATENATE(BD_COMERCIAL!$K10," ",BD_COMERCIAL!$L10),'Curva Forward'!$B$5:$B$13,0),MATCH(GL$4,'Curva Forward'!$C$4:$AN$4,0))),EZ10))</f>
        <v>0</v>
      </c>
      <c r="GM10" s="190">
        <f>IF(FA10="",0,CM10*CM$2*IF($FC10="V",1,-1)*IF($Q10="Fixo",(FA10-INDEX('Curva Forward'!$C$5:$AN$13,MATCH(CONCATENATE(BD_COMERCIAL!$K10," ",BD_COMERCIAL!$L10),'Curva Forward'!$B$5:$B$13,0),MATCH(GM$4,'Curva Forward'!$C$4:$AN$4,0))),FA10))</f>
        <v>0</v>
      </c>
      <c r="GN10" s="190">
        <f>IF(FB10="",0,CN10*CN$2*IF($FC10="V",1,-1)*IF($Q10="Fixo",(FB10-INDEX('Curva Forward'!$C$5:$AN$13,MATCH(CONCATENATE(BD_COMERCIAL!$K10," ",BD_COMERCIAL!$L10),'Curva Forward'!$B$5:$B$13,0),MATCH(GN$4,'Curva Forward'!$C$4:$AN$4,0))),FB10))</f>
        <v>0</v>
      </c>
      <c r="GO10" s="191">
        <f t="shared" ca="1" si="11"/>
        <v>0</v>
      </c>
      <c r="GP10" s="191">
        <f t="shared" ca="1" si="12"/>
        <v>-946392</v>
      </c>
      <c r="GQ10"/>
      <c r="GR10" s="84"/>
      <c r="GS10"/>
      <c r="GT10" s="206"/>
      <c r="GU10" s="198"/>
      <c r="GV10"/>
      <c r="GW10"/>
      <c r="GX10" s="191"/>
      <c r="GY10" s="191"/>
      <c r="GZ10" s="190"/>
      <c r="HA10" s="190"/>
      <c r="HB10" s="190"/>
      <c r="HC10" s="190"/>
      <c r="HD10" s="190"/>
      <c r="HE10" s="190"/>
      <c r="HF10" s="190"/>
      <c r="HG10" s="190"/>
      <c r="HH10" s="190"/>
      <c r="HI10" s="190"/>
      <c r="HJ10" s="190"/>
      <c r="HK10" s="190"/>
      <c r="HL10" s="190"/>
      <c r="HM10" s="190"/>
      <c r="HN10" s="190"/>
      <c r="HO10" s="190"/>
      <c r="HP10" s="190"/>
      <c r="HQ10" s="190"/>
      <c r="HR10" s="190"/>
      <c r="HS10" s="190"/>
      <c r="HT10" s="190"/>
      <c r="HU10" s="190"/>
      <c r="HV10" s="190"/>
      <c r="HW10" s="190"/>
      <c r="HX10" s="190"/>
      <c r="HY10" s="190"/>
      <c r="HZ10" s="190"/>
      <c r="IA10" s="191"/>
      <c r="IB10" s="191"/>
    </row>
    <row r="11" spans="1:236" s="265" customFormat="1" x14ac:dyDescent="0.35">
      <c r="A11" s="251"/>
      <c r="B11" s="7" t="s">
        <v>312</v>
      </c>
      <c r="C11" s="8">
        <v>44553</v>
      </c>
      <c r="D11" s="9" t="s">
        <v>130</v>
      </c>
      <c r="E11" s="9" t="s">
        <v>153</v>
      </c>
      <c r="F11" s="112">
        <v>18384740000134</v>
      </c>
      <c r="G11" s="10" t="s">
        <v>124</v>
      </c>
      <c r="H11" s="112">
        <v>3780401000108</v>
      </c>
      <c r="I11" s="9" t="s">
        <v>125</v>
      </c>
      <c r="J11" s="158" t="s">
        <v>310</v>
      </c>
      <c r="K11" s="10" t="s">
        <v>126</v>
      </c>
      <c r="L11" s="84" t="s">
        <v>26</v>
      </c>
      <c r="M11" s="11">
        <v>44927</v>
      </c>
      <c r="N11" s="12">
        <v>45291</v>
      </c>
      <c r="O11" s="10">
        <v>0.7</v>
      </c>
      <c r="P11" s="84">
        <v>202</v>
      </c>
      <c r="Q11" s="84" t="s">
        <v>127</v>
      </c>
      <c r="R11" s="10" t="s">
        <v>128</v>
      </c>
      <c r="S11" s="159" t="s">
        <v>133</v>
      </c>
      <c r="T11" s="11" t="s">
        <v>129</v>
      </c>
      <c r="U11" s="12">
        <v>44553</v>
      </c>
      <c r="V11" s="202">
        <f ca="1">IF(U11="","",
IF(U11="NA","",
IFERROR(VLOOKUP(EOMONTH(M11,-2)+1,IPCA!$A:$B,2,0),
VLOOKUP(EOMONTH(TODAY(),-2)+1,IPCA!$A:$B,2,0))/
VLOOKUP(EOMONTH(U11,-2)+1,IPCA!$A:$B,2,0)*
P11))</f>
        <v>215.24570542605039</v>
      </c>
      <c r="W11" s="84"/>
      <c r="X11" s="13" t="s">
        <v>132</v>
      </c>
      <c r="Y11" s="158" t="s">
        <v>401</v>
      </c>
      <c r="Z11" s="106"/>
      <c r="AA11" s="107"/>
      <c r="AB11" s="15">
        <v>0.7</v>
      </c>
      <c r="AC11">
        <v>0.7</v>
      </c>
      <c r="AD11">
        <v>0.7</v>
      </c>
      <c r="AE11">
        <v>0.7</v>
      </c>
      <c r="AF11">
        <v>0.7</v>
      </c>
      <c r="AG11">
        <v>0.7</v>
      </c>
      <c r="AH11">
        <v>0.7</v>
      </c>
      <c r="AI11">
        <v>0.7</v>
      </c>
      <c r="AJ11">
        <v>0.7</v>
      </c>
      <c r="AK11">
        <v>0.7</v>
      </c>
      <c r="AL11">
        <v>0.7</v>
      </c>
      <c r="AM11" s="6">
        <v>0.7</v>
      </c>
      <c r="AN11" s="15"/>
      <c r="AO11"/>
      <c r="AP11"/>
      <c r="AQ11"/>
      <c r="AR11"/>
      <c r="AS11"/>
      <c r="AT11"/>
      <c r="AU11"/>
      <c r="AV11"/>
      <c r="AW11"/>
      <c r="AX11"/>
      <c r="AY11" s="6"/>
      <c r="AZ11" s="15"/>
      <c r="BA11"/>
      <c r="BB11"/>
      <c r="BC11"/>
      <c r="BD11"/>
      <c r="BE11"/>
      <c r="BF11"/>
      <c r="BG11"/>
      <c r="BH11"/>
      <c r="BI11"/>
      <c r="BJ11"/>
      <c r="BK11" s="6"/>
      <c r="BL11" s="15"/>
      <c r="BM11"/>
      <c r="BN11"/>
      <c r="BO11"/>
      <c r="BP11"/>
      <c r="BQ11"/>
      <c r="BR11"/>
      <c r="BS11"/>
      <c r="BT11"/>
      <c r="BU11"/>
      <c r="BV11"/>
      <c r="BW11" s="6"/>
      <c r="BX11" s="15"/>
      <c r="BY11"/>
      <c r="BZ11"/>
      <c r="CA11"/>
      <c r="CB11"/>
      <c r="CC11"/>
      <c r="CD11"/>
      <c r="CE11"/>
      <c r="CF11"/>
      <c r="CG11"/>
      <c r="CH11"/>
      <c r="CI11" s="6"/>
      <c r="CJ11" s="16">
        <v>0.70000000000000007</v>
      </c>
      <c r="CK11" s="16" t="s">
        <v>578</v>
      </c>
      <c r="CL11" s="16" t="s">
        <v>578</v>
      </c>
      <c r="CM11" s="16" t="s">
        <v>578</v>
      </c>
      <c r="CN11" s="16" t="s">
        <v>578</v>
      </c>
      <c r="CO11" s="18"/>
      <c r="CP11" s="15">
        <v>202</v>
      </c>
      <c r="CQ11">
        <v>202</v>
      </c>
      <c r="CR11">
        <v>202</v>
      </c>
      <c r="CS11">
        <v>202</v>
      </c>
      <c r="CT11">
        <v>202</v>
      </c>
      <c r="CU11">
        <v>202</v>
      </c>
      <c r="CV11">
        <v>202</v>
      </c>
      <c r="CW11">
        <v>202</v>
      </c>
      <c r="CX11">
        <v>202</v>
      </c>
      <c r="CY11">
        <v>202</v>
      </c>
      <c r="CZ11">
        <v>202</v>
      </c>
      <c r="DA11" s="6">
        <v>202</v>
      </c>
      <c r="DB11" s="15"/>
      <c r="DC11"/>
      <c r="DD11"/>
      <c r="DE11"/>
      <c r="DF11"/>
      <c r="DG11"/>
      <c r="DH11"/>
      <c r="DI11"/>
      <c r="DJ11"/>
      <c r="DK11"/>
      <c r="DL11"/>
      <c r="DM11" s="6"/>
      <c r="DN11" s="15"/>
      <c r="DO11"/>
      <c r="DP11"/>
      <c r="DQ11"/>
      <c r="DR11"/>
      <c r="DS11"/>
      <c r="DT11"/>
      <c r="DU11"/>
      <c r="DV11"/>
      <c r="DW11"/>
      <c r="DX11"/>
      <c r="DY11" s="6"/>
      <c r="DZ11" s="15"/>
      <c r="EA11"/>
      <c r="EB11"/>
      <c r="EC11"/>
      <c r="ED11"/>
      <c r="EE11"/>
      <c r="EF11"/>
      <c r="EG11"/>
      <c r="EH11"/>
      <c r="EI11"/>
      <c r="EJ11"/>
      <c r="EK11" s="6"/>
      <c r="EL11" s="15"/>
      <c r="EM11"/>
      <c r="EN11"/>
      <c r="EO11"/>
      <c r="EP11"/>
      <c r="EQ11"/>
      <c r="ER11"/>
      <c r="ES11"/>
      <c r="ET11"/>
      <c r="EU11"/>
      <c r="EV11"/>
      <c r="EW11" s="6"/>
      <c r="EX11" s="16">
        <v>202</v>
      </c>
      <c r="EY11" s="16" t="s">
        <v>578</v>
      </c>
      <c r="EZ11" s="16" t="s">
        <v>578</v>
      </c>
      <c r="FA11" s="154" t="s">
        <v>578</v>
      </c>
      <c r="FB11" s="154" t="s">
        <v>578</v>
      </c>
      <c r="FC11" t="s">
        <v>196</v>
      </c>
      <c r="FD11" s="20" t="s">
        <v>125</v>
      </c>
      <c r="FE11"/>
      <c r="FF11" s="199" t="s">
        <v>197</v>
      </c>
      <c r="FG11"/>
      <c r="FH11" s="206">
        <f t="shared" ca="1" si="6"/>
        <v>13.245705426050392</v>
      </c>
      <c r="FI11" s="198">
        <f t="shared" si="7"/>
        <v>12.133333333333333</v>
      </c>
      <c r="FJ11"/>
      <c r="FK11" t="str">
        <f t="shared" si="8"/>
        <v>BC Comercializadora de Energia Ltda</v>
      </c>
      <c r="FL11" s="191">
        <f t="shared" ca="1" si="9"/>
        <v>-69266.399999999994</v>
      </c>
      <c r="FM11" s="191">
        <f t="shared" ca="1" si="10"/>
        <v>-737519.99999999988</v>
      </c>
      <c r="FN11" s="190">
        <f>AB11*AB$2*IF($FC11="V",1,-1)*IF($Q11="Fixo",(CP11-INDEX('Curva Forward'!$C$5:$AN$13,MATCH(CONCATENATE(BD_COMERCIAL!$K11," ",BD_COMERCIAL!$L11),'Curva Forward'!$B$5:$B$13,0),MATCH(FN$4,'Curva Forward'!$C$4:$AN$4,0))),CP11)</f>
        <v>-69266.399999999994</v>
      </c>
      <c r="FO11" s="190">
        <f>AC11*AC$2*IF($FC11="V",1,-1)*IF($Q11="Fixo",(CQ11-INDEX('Curva Forward'!$C$5:$AN$13,MATCH(CONCATENATE(BD_COMERCIAL!$K11," ",BD_COMERCIAL!$L11),'Curva Forward'!$B$5:$B$13,0),MATCH(FO$4,'Curva Forward'!$C$4:$AN$4,0))),CQ11)</f>
        <v>-62563.199999999997</v>
      </c>
      <c r="FP11" s="190">
        <f>AD11*AD$2*IF($FC11="V",1,-1)*IF($Q11="Fixo",(CR11-INDEX('Curva Forward'!$C$5:$AN$13,MATCH(CONCATENATE(BD_COMERCIAL!$K11," ",BD_COMERCIAL!$L11),'Curva Forward'!$B$5:$B$13,0),MATCH(FP$4,'Curva Forward'!$C$4:$AN$4,0))),CR11)</f>
        <v>-69266.399999999994</v>
      </c>
      <c r="FQ11" s="190">
        <f>AE11*AE$2*IF($FC11="V",1,-1)*IF($Q11="Fixo",(CS11-INDEX('Curva Forward'!$C$5:$AN$13,MATCH(CONCATENATE(BD_COMERCIAL!$K11," ",BD_COMERCIAL!$L11),'Curva Forward'!$B$5:$B$13,0),MATCH(FQ$4,'Curva Forward'!$C$4:$AN$4,0))),CS11)</f>
        <v>-67031.999999999985</v>
      </c>
      <c r="FR11" s="190">
        <f>AF11*AF$2*IF($FC11="V",1,-1)*IF($Q11="Fixo",(CT11-INDEX('Curva Forward'!$C$5:$AN$13,MATCH(CONCATENATE(BD_COMERCIAL!$K11," ",BD_COMERCIAL!$L11),'Curva Forward'!$B$5:$B$13,0),MATCH(FR$4,'Curva Forward'!$C$4:$AN$4,0))),CT11)</f>
        <v>-68745.599999999991</v>
      </c>
      <c r="FS11" s="190">
        <f>AG11*AG$2*IF($FC11="V",1,-1)*IF($Q11="Fixo",(CU11-INDEX('Curva Forward'!$C$5:$AN$13,MATCH(CONCATENATE(BD_COMERCIAL!$K11," ",BD_COMERCIAL!$L11),'Curva Forward'!$B$5:$B$13,0),MATCH(FS$4,'Curva Forward'!$C$4:$AN$4,0))),CU11)</f>
        <v>-66527.999999999985</v>
      </c>
      <c r="FT11" s="190">
        <f>AH11*AH$2*IF($FC11="V",1,-1)*IF($Q11="Fixo",(CV11-INDEX('Curva Forward'!$C$5:$AN$13,MATCH(CONCATENATE(BD_COMERCIAL!$K11," ",BD_COMERCIAL!$L11),'Curva Forward'!$B$5:$B$13,0),MATCH(FT$4,'Curva Forward'!$C$4:$AN$4,0))),CV11)</f>
        <v>-68745.599999999991</v>
      </c>
      <c r="FU11" s="190">
        <f>AI11*AI$2*IF($FC11="V",1,-1)*IF($Q11="Fixo",(CW11-INDEX('Curva Forward'!$C$5:$AN$13,MATCH(CONCATENATE(BD_COMERCIAL!$K11," ",BD_COMERCIAL!$L11),'Curva Forward'!$B$5:$B$13,0),MATCH(FU$4,'Curva Forward'!$C$4:$AN$4,0))),CW11)</f>
        <v>-68745.599999999991</v>
      </c>
      <c r="FV11" s="190">
        <f>AJ11*AJ$2*IF($FC11="V",1,-1)*IF($Q11="Fixo",(CX11-INDEX('Curva Forward'!$C$5:$AN$13,MATCH(CONCATENATE(BD_COMERCIAL!$K11," ",BD_COMERCIAL!$L11),'Curva Forward'!$B$5:$B$13,0),MATCH(FV$4,'Curva Forward'!$C$4:$AN$4,0))),CX11)</f>
        <v>-66527.999999999985</v>
      </c>
      <c r="FW11" s="190">
        <f>AK11*AK$2*IF($FC11="V",1,-1)*IF($Q11="Fixo",(CY11-INDEX('Curva Forward'!$C$5:$AN$13,MATCH(CONCATENATE(BD_COMERCIAL!$K11," ",BD_COMERCIAL!$L11),'Curva Forward'!$B$5:$B$13,0),MATCH(FW$4,'Curva Forward'!$C$4:$AN$4,0))),CY11)</f>
        <v>-67704</v>
      </c>
      <c r="FX11" s="190">
        <f>AL11*AL$2*IF($FC11="V",1,-1)*IF($Q11="Fixo",(CZ11-INDEX('Curva Forward'!$C$5:$AN$13,MATCH(CONCATENATE(BD_COMERCIAL!$K11," ",BD_COMERCIAL!$L11),'Curva Forward'!$B$5:$B$13,0),MATCH(FX$4,'Curva Forward'!$C$4:$AN$4,0))),CZ11)</f>
        <v>-65519.999999999993</v>
      </c>
      <c r="FY11" s="190">
        <f>AM11*AM$2*IF($FC11="V",1,-1)*IF($Q11="Fixo",(DA11-INDEX('Curva Forward'!$C$5:$AN$13,MATCH(CONCATENATE(BD_COMERCIAL!$K11," ",BD_COMERCIAL!$L11),'Curva Forward'!$B$5:$B$13,0),MATCH(FY$4,'Curva Forward'!$C$4:$AN$4,0))),DA11)</f>
        <v>-66141.599999999991</v>
      </c>
      <c r="FZ11" s="190">
        <f>AN11*AN$2*IF($FC11="V",1,-1)*IF($Q11="Fixo",(DB11-INDEX('Curva Forward'!$C$5:$AN$13,MATCH(CONCATENATE(BD_COMERCIAL!$K11," ",BD_COMERCIAL!$L11),'Curva Forward'!$B$5:$B$13,0),MATCH(FZ$4,'Curva Forward'!$C$4:$AN$4,0))),DB11)</f>
        <v>0</v>
      </c>
      <c r="GA11" s="190">
        <f>AO11*AO$2*IF($FC11="V",1,-1)*IF($Q11="Fixo",(DC11-INDEX('Curva Forward'!$C$5:$AN$13,MATCH(CONCATENATE(BD_COMERCIAL!$K11," ",BD_COMERCIAL!$L11),'Curva Forward'!$B$5:$B$13,0),MATCH(GA$4,'Curva Forward'!$C$4:$AN$4,0))),DC11)</f>
        <v>0</v>
      </c>
      <c r="GB11" s="190">
        <f>AP11*AP$2*IF($FC11="V",1,-1)*IF($Q11="Fixo",(DD11-INDEX('Curva Forward'!$C$5:$AN$13,MATCH(CONCATENATE(BD_COMERCIAL!$K11," ",BD_COMERCIAL!$L11),'Curva Forward'!$B$5:$B$13,0),MATCH(GB$4,'Curva Forward'!$C$4:$AN$4,0))),DD11)</f>
        <v>0</v>
      </c>
      <c r="GC11" s="190">
        <f>AQ11*AQ$2*IF($FC11="V",1,-1)*IF($Q11="Fixo",(DE11-INDEX('Curva Forward'!$C$5:$AN$13,MATCH(CONCATENATE(BD_COMERCIAL!$K11," ",BD_COMERCIAL!$L11),'Curva Forward'!$B$5:$B$13,0),MATCH(GC$4,'Curva Forward'!$C$4:$AN$4,0))),DE11)</f>
        <v>0</v>
      </c>
      <c r="GD11" s="190">
        <f>AR11*AR$2*IF($FC11="V",1,-1)*IF($Q11="Fixo",(DF11-INDEX('Curva Forward'!$C$5:$AN$13,MATCH(CONCATENATE(BD_COMERCIAL!$K11," ",BD_COMERCIAL!$L11),'Curva Forward'!$B$5:$B$13,0),MATCH(GD$4,'Curva Forward'!$C$4:$AN$4,0))),DF11)</f>
        <v>0</v>
      </c>
      <c r="GE11" s="190">
        <f>AS11*AS$2*IF($FC11="V",1,-1)*IF($Q11="Fixo",(DG11-INDEX('Curva Forward'!$C$5:$AN$13,MATCH(CONCATENATE(BD_COMERCIAL!$K11," ",BD_COMERCIAL!$L11),'Curva Forward'!$B$5:$B$13,0),MATCH(GE$4,'Curva Forward'!$C$4:$AN$4,0))),DG11)</f>
        <v>0</v>
      </c>
      <c r="GF11" s="190">
        <f>AT11*AT$2*IF($FC11="V",1,-1)*IF($Q11="Fixo",(DH11-INDEX('Curva Forward'!$C$5:$AN$13,MATCH(CONCATENATE(BD_COMERCIAL!$K11," ",BD_COMERCIAL!$L11),'Curva Forward'!$B$5:$B$13,0),MATCH(GF$4,'Curva Forward'!$C$4:$AN$4,0))),DH11)</f>
        <v>0</v>
      </c>
      <c r="GG11" s="190">
        <f>AU11*AU$2*IF($FC11="V",1,-1)*IF($Q11="Fixo",(DI11-INDEX('Curva Forward'!$C$5:$AN$13,MATCH(CONCATENATE(BD_COMERCIAL!$K11," ",BD_COMERCIAL!$L11),'Curva Forward'!$B$5:$B$13,0),MATCH(GG$4,'Curva Forward'!$C$4:$AN$4,0))),DI11)</f>
        <v>0</v>
      </c>
      <c r="GH11" s="190">
        <f>AV11*AV$2*IF($FC11="V",1,-1)*IF($Q11="Fixo",(DJ11-INDEX('Curva Forward'!$C$5:$AN$13,MATCH(CONCATENATE(BD_COMERCIAL!$K11," ",BD_COMERCIAL!$L11),'Curva Forward'!$B$5:$B$13,0),MATCH(GH$4,'Curva Forward'!$C$4:$AN$4,0))),DJ11)</f>
        <v>0</v>
      </c>
      <c r="GI11" s="190">
        <f>AW11*AW$2*IF($FC11="V",1,-1)*IF($Q11="Fixo",(DK11-INDEX('Curva Forward'!$C$5:$AN$13,MATCH(CONCATENATE(BD_COMERCIAL!$K11," ",BD_COMERCIAL!$L11),'Curva Forward'!$B$5:$B$13,0),MATCH(GI$4,'Curva Forward'!$C$4:$AN$4,0))),DK11)</f>
        <v>0</v>
      </c>
      <c r="GJ11" s="190">
        <f>AX11*AX$2*IF($FC11="V",1,-1)*IF($Q11="Fixo",(DL11-INDEX('Curva Forward'!$C$5:$AN$13,MATCH(CONCATENATE(BD_COMERCIAL!$K11," ",BD_COMERCIAL!$L11),'Curva Forward'!$B$5:$B$13,0),MATCH(GJ$4,'Curva Forward'!$C$4:$AN$4,0))),DL11)</f>
        <v>0</v>
      </c>
      <c r="GK11" s="190">
        <f>AY11*AY$2*IF($FC11="V",1,-1)*IF($Q11="Fixo",(DM11-INDEX('Curva Forward'!$C$5:$AN$13,MATCH(CONCATENATE(BD_COMERCIAL!$K11," ",BD_COMERCIAL!$L11),'Curva Forward'!$B$5:$B$13,0),MATCH(GK$4,'Curva Forward'!$C$4:$AN$4,0))),DM11)</f>
        <v>0</v>
      </c>
      <c r="GL11" s="190">
        <f>IF(EZ11="",0,CL11*CL$2*IF($FC11="V",1,-1)*IF($Q11="Fixo",(EZ11-INDEX('Curva Forward'!$C$5:$AN$13,MATCH(CONCATENATE(BD_COMERCIAL!$K11," ",BD_COMERCIAL!$L11),'Curva Forward'!$B$5:$B$13,0),MATCH(GL$4,'Curva Forward'!$C$4:$AN$4,0))),EZ11))</f>
        <v>0</v>
      </c>
      <c r="GM11" s="190">
        <f>IF(FA11="",0,CM11*CM$2*IF($FC11="V",1,-1)*IF($Q11="Fixo",(FA11-INDEX('Curva Forward'!$C$5:$AN$13,MATCH(CONCATENATE(BD_COMERCIAL!$K11," ",BD_COMERCIAL!$L11),'Curva Forward'!$B$5:$B$13,0),MATCH(GM$4,'Curva Forward'!$C$4:$AN$4,0))),FA11))</f>
        <v>0</v>
      </c>
      <c r="GN11" s="190">
        <f>IF(FB11="",0,CN11*CN$2*IF($FC11="V",1,-1)*IF($Q11="Fixo",(FB11-INDEX('Curva Forward'!$C$5:$AN$13,MATCH(CONCATENATE(BD_COMERCIAL!$K11," ",BD_COMERCIAL!$L11),'Curva Forward'!$B$5:$B$13,0),MATCH(GN$4,'Curva Forward'!$C$4:$AN$4,0))),FB11))</f>
        <v>0</v>
      </c>
      <c r="GO11" s="191">
        <f t="shared" ca="1" si="11"/>
        <v>0</v>
      </c>
      <c r="GP11" s="191">
        <f t="shared" ca="1" si="12"/>
        <v>-737519.99999999988</v>
      </c>
      <c r="GQ11"/>
      <c r="GR11" s="84"/>
      <c r="GS11"/>
      <c r="GT11" s="206"/>
      <c r="GU11" s="198"/>
      <c r="GV11"/>
      <c r="GW11"/>
      <c r="GX11" s="191"/>
      <c r="GY11" s="191"/>
      <c r="GZ11" s="190"/>
      <c r="HA11" s="190"/>
      <c r="HB11" s="190"/>
      <c r="HC11" s="190"/>
      <c r="HD11" s="190"/>
      <c r="HE11" s="190"/>
      <c r="HF11" s="190"/>
      <c r="HG11" s="190"/>
      <c r="HH11" s="190"/>
      <c r="HI11" s="190"/>
      <c r="HJ11" s="190"/>
      <c r="HK11" s="190"/>
      <c r="HL11" s="190"/>
      <c r="HM11" s="190"/>
      <c r="HN11" s="190"/>
      <c r="HO11" s="190"/>
      <c r="HP11" s="190"/>
      <c r="HQ11" s="190"/>
      <c r="HR11" s="190"/>
      <c r="HS11" s="190"/>
      <c r="HT11" s="190"/>
      <c r="HU11" s="190"/>
      <c r="HV11" s="190"/>
      <c r="HW11" s="190"/>
      <c r="HX11" s="190"/>
      <c r="HY11" s="190"/>
      <c r="HZ11" s="190"/>
      <c r="IA11" s="191"/>
      <c r="IB11" s="191"/>
    </row>
    <row r="12" spans="1:236" s="265" customFormat="1" x14ac:dyDescent="0.35">
      <c r="A12" s="251"/>
      <c r="B12" s="7" t="s">
        <v>314</v>
      </c>
      <c r="C12" s="8">
        <v>44558</v>
      </c>
      <c r="D12" s="9" t="s">
        <v>123</v>
      </c>
      <c r="E12" s="9" t="s">
        <v>124</v>
      </c>
      <c r="F12" s="112">
        <v>3780401000108</v>
      </c>
      <c r="G12" s="10" t="s">
        <v>190</v>
      </c>
      <c r="H12" s="112">
        <v>11085823000183</v>
      </c>
      <c r="I12" s="9" t="s">
        <v>137</v>
      </c>
      <c r="J12" s="158"/>
      <c r="K12" s="10" t="s">
        <v>126</v>
      </c>
      <c r="L12" s="84" t="s">
        <v>22</v>
      </c>
      <c r="M12" s="11">
        <v>44927</v>
      </c>
      <c r="N12" s="12">
        <v>45291</v>
      </c>
      <c r="O12" s="10">
        <v>1.2</v>
      </c>
      <c r="P12" s="84">
        <v>212</v>
      </c>
      <c r="Q12" s="84" t="s">
        <v>127</v>
      </c>
      <c r="R12" s="10" t="s">
        <v>128</v>
      </c>
      <c r="S12" s="159" t="s">
        <v>133</v>
      </c>
      <c r="T12" s="11" t="s">
        <v>129</v>
      </c>
      <c r="U12" s="12">
        <v>44558</v>
      </c>
      <c r="V12" s="202">
        <f ca="1">IF(U12="","",
IF(U12="NA","",
IFERROR(VLOOKUP(EOMONTH(M12,-2)+1,IPCA!$A:$B,2,0),
VLOOKUP(EOMONTH(TODAY(),-2)+1,IPCA!$A:$B,2,0))/
VLOOKUP(EOMONTH(U12,-2)+1,IPCA!$A:$B,2,0)*
P12))</f>
        <v>225.90143341743902</v>
      </c>
      <c r="W12" s="84"/>
      <c r="X12" s="13" t="s">
        <v>132</v>
      </c>
      <c r="Y12" s="158"/>
      <c r="Z12" s="106"/>
      <c r="AA12" s="107"/>
      <c r="AB12" s="15">
        <v>1.2</v>
      </c>
      <c r="AC12">
        <v>1.2</v>
      </c>
      <c r="AD12">
        <v>1.2</v>
      </c>
      <c r="AE12">
        <v>1.2</v>
      </c>
      <c r="AF12">
        <v>1.2</v>
      </c>
      <c r="AG12">
        <v>1.2</v>
      </c>
      <c r="AH12">
        <v>1.2</v>
      </c>
      <c r="AI12">
        <v>1.2</v>
      </c>
      <c r="AJ12">
        <v>1.2</v>
      </c>
      <c r="AK12">
        <v>1.2</v>
      </c>
      <c r="AL12">
        <v>1.2</v>
      </c>
      <c r="AM12" s="6">
        <v>1.2</v>
      </c>
      <c r="AN12" s="15"/>
      <c r="AO12"/>
      <c r="AP12"/>
      <c r="AQ12"/>
      <c r="AR12"/>
      <c r="AS12"/>
      <c r="AT12"/>
      <c r="AU12"/>
      <c r="AV12"/>
      <c r="AW12"/>
      <c r="AX12"/>
      <c r="AY12" s="6"/>
      <c r="AZ12" s="15"/>
      <c r="BA12"/>
      <c r="BB12"/>
      <c r="BC12"/>
      <c r="BD12"/>
      <c r="BE12"/>
      <c r="BF12"/>
      <c r="BG12"/>
      <c r="BH12"/>
      <c r="BI12"/>
      <c r="BJ12"/>
      <c r="BK12" s="6"/>
      <c r="BL12" s="15"/>
      <c r="BM12"/>
      <c r="BN12"/>
      <c r="BO12"/>
      <c r="BP12"/>
      <c r="BQ12"/>
      <c r="BR12"/>
      <c r="BS12"/>
      <c r="BT12"/>
      <c r="BU12"/>
      <c r="BV12"/>
      <c r="BW12" s="6"/>
      <c r="BX12" s="15"/>
      <c r="BY12"/>
      <c r="BZ12"/>
      <c r="CA12"/>
      <c r="CB12"/>
      <c r="CC12"/>
      <c r="CD12"/>
      <c r="CE12"/>
      <c r="CF12"/>
      <c r="CG12"/>
      <c r="CH12"/>
      <c r="CI12" s="6"/>
      <c r="CJ12" s="16">
        <v>1.2</v>
      </c>
      <c r="CK12" s="16" t="s">
        <v>578</v>
      </c>
      <c r="CL12" s="16" t="s">
        <v>578</v>
      </c>
      <c r="CM12" s="16" t="s">
        <v>578</v>
      </c>
      <c r="CN12" s="16" t="s">
        <v>578</v>
      </c>
      <c r="CO12" s="18"/>
      <c r="CP12" s="15">
        <v>212</v>
      </c>
      <c r="CQ12">
        <v>212</v>
      </c>
      <c r="CR12">
        <v>212</v>
      </c>
      <c r="CS12">
        <v>212</v>
      </c>
      <c r="CT12">
        <v>212</v>
      </c>
      <c r="CU12">
        <v>212</v>
      </c>
      <c r="CV12">
        <v>212</v>
      </c>
      <c r="CW12">
        <v>212</v>
      </c>
      <c r="CX12">
        <v>212</v>
      </c>
      <c r="CY12">
        <v>212</v>
      </c>
      <c r="CZ12">
        <v>212</v>
      </c>
      <c r="DA12" s="6">
        <v>212</v>
      </c>
      <c r="DB12" s="15"/>
      <c r="DC12"/>
      <c r="DD12"/>
      <c r="DE12"/>
      <c r="DF12"/>
      <c r="DG12"/>
      <c r="DH12"/>
      <c r="DI12"/>
      <c r="DJ12"/>
      <c r="DK12"/>
      <c r="DL12"/>
      <c r="DM12" s="6"/>
      <c r="DN12" s="15"/>
      <c r="DO12"/>
      <c r="DP12"/>
      <c r="DQ12"/>
      <c r="DR12"/>
      <c r="DS12"/>
      <c r="DT12"/>
      <c r="DU12"/>
      <c r="DV12"/>
      <c r="DW12"/>
      <c r="DX12"/>
      <c r="DY12" s="6"/>
      <c r="DZ12" s="15"/>
      <c r="EA12"/>
      <c r="EB12"/>
      <c r="EC12"/>
      <c r="ED12"/>
      <c r="EE12"/>
      <c r="EF12"/>
      <c r="EG12"/>
      <c r="EH12"/>
      <c r="EI12"/>
      <c r="EJ12"/>
      <c r="EK12" s="6"/>
      <c r="EL12" s="15"/>
      <c r="EM12"/>
      <c r="EN12"/>
      <c r="EO12"/>
      <c r="EP12"/>
      <c r="EQ12"/>
      <c r="ER12"/>
      <c r="ES12"/>
      <c r="ET12"/>
      <c r="EU12"/>
      <c r="EV12"/>
      <c r="EW12" s="6"/>
      <c r="EX12" s="16">
        <v>212</v>
      </c>
      <c r="EY12" s="16" t="s">
        <v>578</v>
      </c>
      <c r="EZ12" s="16" t="s">
        <v>578</v>
      </c>
      <c r="FA12" s="154" t="s">
        <v>578</v>
      </c>
      <c r="FB12" s="154" t="s">
        <v>578</v>
      </c>
      <c r="FC12" t="s">
        <v>195</v>
      </c>
      <c r="FD12" s="20" t="s">
        <v>137</v>
      </c>
      <c r="FE12"/>
      <c r="FF12" s="204" t="s">
        <v>197</v>
      </c>
      <c r="FG12"/>
      <c r="FH12" s="206">
        <f t="shared" ca="1" si="6"/>
        <v>13.901433417439023</v>
      </c>
      <c r="FI12" s="198">
        <f t="shared" si="7"/>
        <v>12.133333333333333</v>
      </c>
      <c r="FJ12"/>
      <c r="FK12" t="str">
        <f t="shared" si="8"/>
        <v>America Energia S/A</v>
      </c>
      <c r="FL12" s="191">
        <f t="shared" ca="1" si="9"/>
        <v>127670.39999999999</v>
      </c>
      <c r="FM12" s="191">
        <f t="shared" ca="1" si="10"/>
        <v>1347292.8000000003</v>
      </c>
      <c r="FN12" s="190">
        <f>AB12*AB$2*IF($FC12="V",1,-1)*IF($Q12="Fixo",(CP12-INDEX('Curva Forward'!$C$5:$AN$13,MATCH(CONCATENATE(BD_COMERCIAL!$K12," ",BD_COMERCIAL!$L12),'Curva Forward'!$B$5:$B$13,0),MATCH(FN$4,'Curva Forward'!$C$4:$AN$4,0))),CP12)</f>
        <v>127670.39999999999</v>
      </c>
      <c r="FO12" s="190">
        <f>AC12*AC$2*IF($FC12="V",1,-1)*IF($Q12="Fixo",(CQ12-INDEX('Curva Forward'!$C$5:$AN$13,MATCH(CONCATENATE(BD_COMERCIAL!$K12," ",BD_COMERCIAL!$L12),'Curva Forward'!$B$5:$B$13,0),MATCH(FO$4,'Curva Forward'!$C$4:$AN$4,0))),CQ12)</f>
        <v>115315.2</v>
      </c>
      <c r="FP12" s="190">
        <f>AD12*AD$2*IF($FC12="V",1,-1)*IF($Q12="Fixo",(CR12-INDEX('Curva Forward'!$C$5:$AN$13,MATCH(CONCATENATE(BD_COMERCIAL!$K12," ",BD_COMERCIAL!$L12),'Curva Forward'!$B$5:$B$13,0),MATCH(FP$4,'Curva Forward'!$C$4:$AN$4,0))),CR12)</f>
        <v>127670.39999999999</v>
      </c>
      <c r="FQ12" s="190">
        <f>AE12*AE$2*IF($FC12="V",1,-1)*IF($Q12="Fixo",(CS12-INDEX('Curva Forward'!$C$5:$AN$13,MATCH(CONCATENATE(BD_COMERCIAL!$K12," ",BD_COMERCIAL!$L12),'Curva Forward'!$B$5:$B$13,0),MATCH(FQ$4,'Curva Forward'!$C$4:$AN$4,0))),CS12)</f>
        <v>123552</v>
      </c>
      <c r="FR12" s="190">
        <f>AF12*AF$2*IF($FC12="V",1,-1)*IF($Q12="Fixo",(CT12-INDEX('Curva Forward'!$C$5:$AN$13,MATCH(CONCATENATE(BD_COMERCIAL!$K12," ",BD_COMERCIAL!$L12),'Curva Forward'!$B$5:$B$13,0),MATCH(FR$4,'Curva Forward'!$C$4:$AN$4,0))),CT12)</f>
        <v>126777.59999999999</v>
      </c>
      <c r="FS12" s="190">
        <f>AG12*AG$2*IF($FC12="V",1,-1)*IF($Q12="Fixo",(CU12-INDEX('Curva Forward'!$C$5:$AN$13,MATCH(CONCATENATE(BD_COMERCIAL!$K12," ",BD_COMERCIAL!$L12),'Curva Forward'!$B$5:$B$13,0),MATCH(FS$4,'Curva Forward'!$C$4:$AN$4,0))),CU12)</f>
        <v>122688</v>
      </c>
      <c r="FT12" s="190">
        <f>AH12*AH$2*IF($FC12="V",1,-1)*IF($Q12="Fixo",(CV12-INDEX('Curva Forward'!$C$5:$AN$13,MATCH(CONCATENATE(BD_COMERCIAL!$K12," ",BD_COMERCIAL!$L12),'Curva Forward'!$B$5:$B$13,0),MATCH(FT$4,'Curva Forward'!$C$4:$AN$4,0))),CV12)</f>
        <v>124099.2</v>
      </c>
      <c r="FU12" s="190">
        <f>AI12*AI$2*IF($FC12="V",1,-1)*IF($Q12="Fixo",(CW12-INDEX('Curva Forward'!$C$5:$AN$13,MATCH(CONCATENATE(BD_COMERCIAL!$K12," ",BD_COMERCIAL!$L12),'Curva Forward'!$B$5:$B$13,0),MATCH(FU$4,'Curva Forward'!$C$4:$AN$4,0))),CW12)</f>
        <v>124099.2</v>
      </c>
      <c r="FV12" s="190">
        <f>AJ12*AJ$2*IF($FC12="V",1,-1)*IF($Q12="Fixo",(CX12-INDEX('Curva Forward'!$C$5:$AN$13,MATCH(CONCATENATE(BD_COMERCIAL!$K12," ",BD_COMERCIAL!$L12),'Curva Forward'!$B$5:$B$13,0),MATCH(FV$4,'Curva Forward'!$C$4:$AN$4,0))),CX12)</f>
        <v>120096</v>
      </c>
      <c r="FW12" s="190">
        <f>AK12*AK$2*IF($FC12="V",1,-1)*IF($Q12="Fixo",(CY12-INDEX('Curva Forward'!$C$5:$AN$13,MATCH(CONCATENATE(BD_COMERCIAL!$K12," ",BD_COMERCIAL!$L12),'Curva Forward'!$B$5:$B$13,0),MATCH(FW$4,'Curva Forward'!$C$4:$AN$4,0))),CY12)</f>
        <v>122313.59999999999</v>
      </c>
      <c r="FX12" s="190">
        <f>AL12*AL$2*IF($FC12="V",1,-1)*IF($Q12="Fixo",(CZ12-INDEX('Curva Forward'!$C$5:$AN$13,MATCH(CONCATENATE(BD_COMERCIAL!$K12," ",BD_COMERCIAL!$L12),'Curva Forward'!$B$5:$B$13,0),MATCH(FX$4,'Curva Forward'!$C$4:$AN$4,0))),CZ12)</f>
        <v>118368</v>
      </c>
      <c r="FY12" s="190">
        <f>AM12*AM$2*IF($FC12="V",1,-1)*IF($Q12="Fixo",(DA12-INDEX('Curva Forward'!$C$5:$AN$13,MATCH(CONCATENATE(BD_COMERCIAL!$K12," ",BD_COMERCIAL!$L12),'Curva Forward'!$B$5:$B$13,0),MATCH(FY$4,'Curva Forward'!$C$4:$AN$4,0))),DA12)</f>
        <v>122313.59999999999</v>
      </c>
      <c r="FZ12" s="190">
        <f>AN12*AN$2*IF($FC12="V",1,-1)*IF($Q12="Fixo",(DB12-INDEX('Curva Forward'!$C$5:$AN$13,MATCH(CONCATENATE(BD_COMERCIAL!$K12," ",BD_COMERCIAL!$L12),'Curva Forward'!$B$5:$B$13,0),MATCH(FZ$4,'Curva Forward'!$C$4:$AN$4,0))),DB12)</f>
        <v>0</v>
      </c>
      <c r="GA12" s="190">
        <f>AO12*AO$2*IF($FC12="V",1,-1)*IF($Q12="Fixo",(DC12-INDEX('Curva Forward'!$C$5:$AN$13,MATCH(CONCATENATE(BD_COMERCIAL!$K12," ",BD_COMERCIAL!$L12),'Curva Forward'!$B$5:$B$13,0),MATCH(GA$4,'Curva Forward'!$C$4:$AN$4,0))),DC12)</f>
        <v>0</v>
      </c>
      <c r="GB12" s="190">
        <f>AP12*AP$2*IF($FC12="V",1,-1)*IF($Q12="Fixo",(DD12-INDEX('Curva Forward'!$C$5:$AN$13,MATCH(CONCATENATE(BD_COMERCIAL!$K12," ",BD_COMERCIAL!$L12),'Curva Forward'!$B$5:$B$13,0),MATCH(GB$4,'Curva Forward'!$C$4:$AN$4,0))),DD12)</f>
        <v>0</v>
      </c>
      <c r="GC12" s="190">
        <f>AQ12*AQ$2*IF($FC12="V",1,-1)*IF($Q12="Fixo",(DE12-INDEX('Curva Forward'!$C$5:$AN$13,MATCH(CONCATENATE(BD_COMERCIAL!$K12," ",BD_COMERCIAL!$L12),'Curva Forward'!$B$5:$B$13,0),MATCH(GC$4,'Curva Forward'!$C$4:$AN$4,0))),DE12)</f>
        <v>0</v>
      </c>
      <c r="GD12" s="190">
        <f>AR12*AR$2*IF($FC12="V",1,-1)*IF($Q12="Fixo",(DF12-INDEX('Curva Forward'!$C$5:$AN$13,MATCH(CONCATENATE(BD_COMERCIAL!$K12," ",BD_COMERCIAL!$L12),'Curva Forward'!$B$5:$B$13,0),MATCH(GD$4,'Curva Forward'!$C$4:$AN$4,0))),DF12)</f>
        <v>0</v>
      </c>
      <c r="GE12" s="190">
        <f>AS12*AS$2*IF($FC12="V",1,-1)*IF($Q12="Fixo",(DG12-INDEX('Curva Forward'!$C$5:$AN$13,MATCH(CONCATENATE(BD_COMERCIAL!$K12," ",BD_COMERCIAL!$L12),'Curva Forward'!$B$5:$B$13,0),MATCH(GE$4,'Curva Forward'!$C$4:$AN$4,0))),DG12)</f>
        <v>0</v>
      </c>
      <c r="GF12" s="190">
        <f>AT12*AT$2*IF($FC12="V",1,-1)*IF($Q12="Fixo",(DH12-INDEX('Curva Forward'!$C$5:$AN$13,MATCH(CONCATENATE(BD_COMERCIAL!$K12," ",BD_COMERCIAL!$L12),'Curva Forward'!$B$5:$B$13,0),MATCH(GF$4,'Curva Forward'!$C$4:$AN$4,0))),DH12)</f>
        <v>0</v>
      </c>
      <c r="GG12" s="190">
        <f>AU12*AU$2*IF($FC12="V",1,-1)*IF($Q12="Fixo",(DI12-INDEX('Curva Forward'!$C$5:$AN$13,MATCH(CONCATENATE(BD_COMERCIAL!$K12," ",BD_COMERCIAL!$L12),'Curva Forward'!$B$5:$B$13,0),MATCH(GG$4,'Curva Forward'!$C$4:$AN$4,0))),DI12)</f>
        <v>0</v>
      </c>
      <c r="GH12" s="190">
        <f>AV12*AV$2*IF($FC12="V",1,-1)*IF($Q12="Fixo",(DJ12-INDEX('Curva Forward'!$C$5:$AN$13,MATCH(CONCATENATE(BD_COMERCIAL!$K12," ",BD_COMERCIAL!$L12),'Curva Forward'!$B$5:$B$13,0),MATCH(GH$4,'Curva Forward'!$C$4:$AN$4,0))),DJ12)</f>
        <v>0</v>
      </c>
      <c r="GI12" s="190">
        <f>AW12*AW$2*IF($FC12="V",1,-1)*IF($Q12="Fixo",(DK12-INDEX('Curva Forward'!$C$5:$AN$13,MATCH(CONCATENATE(BD_COMERCIAL!$K12," ",BD_COMERCIAL!$L12),'Curva Forward'!$B$5:$B$13,0),MATCH(GI$4,'Curva Forward'!$C$4:$AN$4,0))),DK12)</f>
        <v>0</v>
      </c>
      <c r="GJ12" s="190">
        <f>AX12*AX$2*IF($FC12="V",1,-1)*IF($Q12="Fixo",(DL12-INDEX('Curva Forward'!$C$5:$AN$13,MATCH(CONCATENATE(BD_COMERCIAL!$K12," ",BD_COMERCIAL!$L12),'Curva Forward'!$B$5:$B$13,0),MATCH(GJ$4,'Curva Forward'!$C$4:$AN$4,0))),DL12)</f>
        <v>0</v>
      </c>
      <c r="GK12" s="190">
        <f>AY12*AY$2*IF($FC12="V",1,-1)*IF($Q12="Fixo",(DM12-INDEX('Curva Forward'!$C$5:$AN$13,MATCH(CONCATENATE(BD_COMERCIAL!$K12," ",BD_COMERCIAL!$L12),'Curva Forward'!$B$5:$B$13,0),MATCH(GK$4,'Curva Forward'!$C$4:$AN$4,0))),DM12)</f>
        <v>0</v>
      </c>
      <c r="GL12" s="190">
        <f>IF(EZ12="",0,CL12*CL$2*IF($FC12="V",1,-1)*IF($Q12="Fixo",(EZ12-INDEX('Curva Forward'!$C$5:$AN$13,MATCH(CONCATENATE(BD_COMERCIAL!$K12," ",BD_COMERCIAL!$L12),'Curva Forward'!$B$5:$B$13,0),MATCH(GL$4,'Curva Forward'!$C$4:$AN$4,0))),EZ12))</f>
        <v>0</v>
      </c>
      <c r="GM12" s="190">
        <f>IF(FA12="",0,CM12*CM$2*IF($FC12="V",1,-1)*IF($Q12="Fixo",(FA12-INDEX('Curva Forward'!$C$5:$AN$13,MATCH(CONCATENATE(BD_COMERCIAL!$K12," ",BD_COMERCIAL!$L12),'Curva Forward'!$B$5:$B$13,0),MATCH(GM$4,'Curva Forward'!$C$4:$AN$4,0))),FA12))</f>
        <v>0</v>
      </c>
      <c r="GN12" s="190">
        <f>IF(FB12="",0,CN12*CN$2*IF($FC12="V",1,-1)*IF($Q12="Fixo",(FB12-INDEX('Curva Forward'!$C$5:$AN$13,MATCH(CONCATENATE(BD_COMERCIAL!$K12," ",BD_COMERCIAL!$L12),'Curva Forward'!$B$5:$B$13,0),MATCH(GN$4,'Curva Forward'!$C$4:$AN$4,0))),FB12))</f>
        <v>0</v>
      </c>
      <c r="GO12" s="191">
        <f t="shared" ca="1" si="11"/>
        <v>1347292.8000000003</v>
      </c>
      <c r="GP12" s="191">
        <f t="shared" ca="1" si="12"/>
        <v>0</v>
      </c>
      <c r="GQ12"/>
      <c r="GR12" s="84"/>
      <c r="GS12"/>
      <c r="GT12" s="206"/>
      <c r="GU12" s="198"/>
      <c r="GV12"/>
      <c r="GW12"/>
      <c r="GX12" s="191"/>
      <c r="GY12" s="191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1"/>
      <c r="IB12" s="191"/>
    </row>
    <row r="13" spans="1:236" s="265" customFormat="1" x14ac:dyDescent="0.35">
      <c r="A13" s="251"/>
      <c r="B13" s="7" t="s">
        <v>315</v>
      </c>
      <c r="C13" s="8">
        <v>44558</v>
      </c>
      <c r="D13" s="9" t="s">
        <v>130</v>
      </c>
      <c r="E13" s="9" t="s">
        <v>153</v>
      </c>
      <c r="F13" s="112">
        <v>18384740000134</v>
      </c>
      <c r="G13" s="10" t="s">
        <v>124</v>
      </c>
      <c r="H13" s="112">
        <v>3780401000108</v>
      </c>
      <c r="I13" s="9" t="s">
        <v>137</v>
      </c>
      <c r="J13" s="158"/>
      <c r="K13" s="10" t="s">
        <v>126</v>
      </c>
      <c r="L13" s="84" t="s">
        <v>22</v>
      </c>
      <c r="M13" s="11">
        <v>44927</v>
      </c>
      <c r="N13" s="12">
        <v>45291</v>
      </c>
      <c r="O13" s="10">
        <v>3</v>
      </c>
      <c r="P13" s="84">
        <v>210</v>
      </c>
      <c r="Q13" s="84" t="s">
        <v>127</v>
      </c>
      <c r="R13" s="10" t="s">
        <v>128</v>
      </c>
      <c r="S13" s="159" t="s">
        <v>133</v>
      </c>
      <c r="T13" s="11" t="s">
        <v>129</v>
      </c>
      <c r="U13" s="12">
        <v>44558</v>
      </c>
      <c r="V13" s="202">
        <f ca="1">IF(U13="","",
IF(U13="NA","",
IFERROR(VLOOKUP(EOMONTH(M13,-2)+1,IPCA!$A:$B,2,0),
VLOOKUP(EOMONTH(TODAY(),-2)+1,IPCA!$A:$B,2,0))/
VLOOKUP(EOMONTH(U13,-2)+1,IPCA!$A:$B,2,0)*
P13))</f>
        <v>223.7702878191613</v>
      </c>
      <c r="W13" s="84"/>
      <c r="X13" s="13" t="s">
        <v>132</v>
      </c>
      <c r="Y13" s="158" t="s">
        <v>401</v>
      </c>
      <c r="Z13" s="106"/>
      <c r="AA13" s="107"/>
      <c r="AB13" s="15">
        <v>3</v>
      </c>
      <c r="AC13">
        <v>3</v>
      </c>
      <c r="AD13">
        <v>3</v>
      </c>
      <c r="AE13">
        <v>3</v>
      </c>
      <c r="AF13">
        <v>3</v>
      </c>
      <c r="AG13">
        <v>3</v>
      </c>
      <c r="AH13">
        <v>3</v>
      </c>
      <c r="AI13">
        <v>3</v>
      </c>
      <c r="AJ13">
        <v>3</v>
      </c>
      <c r="AK13">
        <v>3</v>
      </c>
      <c r="AL13">
        <v>3</v>
      </c>
      <c r="AM13" s="6">
        <v>3</v>
      </c>
      <c r="AN13" s="15"/>
      <c r="AO13"/>
      <c r="AP13"/>
      <c r="AQ13"/>
      <c r="AR13"/>
      <c r="AS13"/>
      <c r="AT13"/>
      <c r="AU13"/>
      <c r="AV13"/>
      <c r="AW13"/>
      <c r="AX13"/>
      <c r="AY13" s="6"/>
      <c r="AZ13" s="15"/>
      <c r="BA13"/>
      <c r="BB13"/>
      <c r="BC13"/>
      <c r="BD13"/>
      <c r="BE13"/>
      <c r="BF13"/>
      <c r="BG13"/>
      <c r="BH13"/>
      <c r="BI13"/>
      <c r="BJ13"/>
      <c r="BK13" s="6"/>
      <c r="BL13" s="15"/>
      <c r="BM13"/>
      <c r="BN13"/>
      <c r="BO13"/>
      <c r="BP13"/>
      <c r="BQ13"/>
      <c r="BR13"/>
      <c r="BS13"/>
      <c r="BT13"/>
      <c r="BU13"/>
      <c r="BV13"/>
      <c r="BW13" s="6"/>
      <c r="BX13" s="15"/>
      <c r="BY13"/>
      <c r="BZ13"/>
      <c r="CA13"/>
      <c r="CB13"/>
      <c r="CC13"/>
      <c r="CD13"/>
      <c r="CE13"/>
      <c r="CF13"/>
      <c r="CG13"/>
      <c r="CH13"/>
      <c r="CI13" s="6"/>
      <c r="CJ13" s="16">
        <v>3</v>
      </c>
      <c r="CK13" s="16" t="s">
        <v>578</v>
      </c>
      <c r="CL13" s="16" t="s">
        <v>578</v>
      </c>
      <c r="CM13" s="16" t="s">
        <v>578</v>
      </c>
      <c r="CN13" s="16" t="s">
        <v>578</v>
      </c>
      <c r="CO13" s="18"/>
      <c r="CP13" s="15">
        <v>210</v>
      </c>
      <c r="CQ13">
        <v>210</v>
      </c>
      <c r="CR13">
        <v>210</v>
      </c>
      <c r="CS13">
        <v>210</v>
      </c>
      <c r="CT13">
        <v>210</v>
      </c>
      <c r="CU13">
        <v>210</v>
      </c>
      <c r="CV13">
        <v>210</v>
      </c>
      <c r="CW13">
        <v>210</v>
      </c>
      <c r="CX13">
        <v>210</v>
      </c>
      <c r="CY13">
        <v>210</v>
      </c>
      <c r="CZ13">
        <v>210</v>
      </c>
      <c r="DA13" s="6">
        <v>210</v>
      </c>
      <c r="DB13" s="15"/>
      <c r="DC13"/>
      <c r="DD13"/>
      <c r="DE13"/>
      <c r="DF13"/>
      <c r="DG13"/>
      <c r="DH13"/>
      <c r="DI13"/>
      <c r="DJ13"/>
      <c r="DK13"/>
      <c r="DL13"/>
      <c r="DM13" s="6"/>
      <c r="DN13" s="15"/>
      <c r="DO13"/>
      <c r="DP13"/>
      <c r="DQ13"/>
      <c r="DR13"/>
      <c r="DS13"/>
      <c r="DT13"/>
      <c r="DU13"/>
      <c r="DV13"/>
      <c r="DW13"/>
      <c r="DX13"/>
      <c r="DY13" s="6"/>
      <c r="DZ13" s="15"/>
      <c r="EA13"/>
      <c r="EB13"/>
      <c r="EC13"/>
      <c r="ED13"/>
      <c r="EE13"/>
      <c r="EF13"/>
      <c r="EG13"/>
      <c r="EH13"/>
      <c r="EI13"/>
      <c r="EJ13"/>
      <c r="EK13" s="6"/>
      <c r="EL13" s="15"/>
      <c r="EM13"/>
      <c r="EN13"/>
      <c r="EO13"/>
      <c r="EP13"/>
      <c r="EQ13"/>
      <c r="ER13"/>
      <c r="ES13"/>
      <c r="ET13"/>
      <c r="EU13"/>
      <c r="EV13"/>
      <c r="EW13" s="6"/>
      <c r="EX13" s="16">
        <v>210</v>
      </c>
      <c r="EY13" s="16" t="s">
        <v>578</v>
      </c>
      <c r="EZ13" s="16" t="s">
        <v>578</v>
      </c>
      <c r="FA13" s="154" t="s">
        <v>578</v>
      </c>
      <c r="FB13" s="154" t="s">
        <v>578</v>
      </c>
      <c r="FC13" t="s">
        <v>196</v>
      </c>
      <c r="FD13" s="20" t="s">
        <v>137</v>
      </c>
      <c r="FE13"/>
      <c r="FF13" s="204" t="s">
        <v>197</v>
      </c>
      <c r="FG13"/>
      <c r="FH13" s="206">
        <f t="shared" ca="1" si="6"/>
        <v>13.770287819161297</v>
      </c>
      <c r="FI13" s="198">
        <f t="shared" si="7"/>
        <v>12.133333333333333</v>
      </c>
      <c r="FJ13"/>
      <c r="FK13" t="str">
        <f t="shared" si="8"/>
        <v>BC Comercializadora de Energia Ltda</v>
      </c>
      <c r="FL13" s="191">
        <f t="shared" ca="1" si="9"/>
        <v>-314712</v>
      </c>
      <c r="FM13" s="191">
        <f t="shared" ca="1" si="10"/>
        <v>-3320136</v>
      </c>
      <c r="FN13" s="190">
        <f>AB13*AB$2*IF($FC13="V",1,-1)*IF($Q13="Fixo",(CP13-INDEX('Curva Forward'!$C$5:$AN$13,MATCH(CONCATENATE(BD_COMERCIAL!$K13," ",BD_COMERCIAL!$L13),'Curva Forward'!$B$5:$B$13,0),MATCH(FN$4,'Curva Forward'!$C$4:$AN$4,0))),CP13)</f>
        <v>-314712</v>
      </c>
      <c r="FO13" s="190">
        <f>AC13*AC$2*IF($FC13="V",1,-1)*IF($Q13="Fixo",(CQ13-INDEX('Curva Forward'!$C$5:$AN$13,MATCH(CONCATENATE(BD_COMERCIAL!$K13," ",BD_COMERCIAL!$L13),'Curva Forward'!$B$5:$B$13,0),MATCH(FO$4,'Curva Forward'!$C$4:$AN$4,0))),CQ13)</f>
        <v>-284256</v>
      </c>
      <c r="FP13" s="190">
        <f>AD13*AD$2*IF($FC13="V",1,-1)*IF($Q13="Fixo",(CR13-INDEX('Curva Forward'!$C$5:$AN$13,MATCH(CONCATENATE(BD_COMERCIAL!$K13," ",BD_COMERCIAL!$L13),'Curva Forward'!$B$5:$B$13,0),MATCH(FP$4,'Curva Forward'!$C$4:$AN$4,0))),CR13)</f>
        <v>-314712</v>
      </c>
      <c r="FQ13" s="190">
        <f>AE13*AE$2*IF($FC13="V",1,-1)*IF($Q13="Fixo",(CS13-INDEX('Curva Forward'!$C$5:$AN$13,MATCH(CONCATENATE(BD_COMERCIAL!$K13," ",BD_COMERCIAL!$L13),'Curva Forward'!$B$5:$B$13,0),MATCH(FQ$4,'Curva Forward'!$C$4:$AN$4,0))),CS13)</f>
        <v>-304560</v>
      </c>
      <c r="FR13" s="190">
        <f>AF13*AF$2*IF($FC13="V",1,-1)*IF($Q13="Fixo",(CT13-INDEX('Curva Forward'!$C$5:$AN$13,MATCH(CONCATENATE(BD_COMERCIAL!$K13," ",BD_COMERCIAL!$L13),'Curva Forward'!$B$5:$B$13,0),MATCH(FR$4,'Curva Forward'!$C$4:$AN$4,0))),CT13)</f>
        <v>-312480</v>
      </c>
      <c r="FS13" s="190">
        <f>AG13*AG$2*IF($FC13="V",1,-1)*IF($Q13="Fixo",(CU13-INDEX('Curva Forward'!$C$5:$AN$13,MATCH(CONCATENATE(BD_COMERCIAL!$K13," ",BD_COMERCIAL!$L13),'Curva Forward'!$B$5:$B$13,0),MATCH(FS$4,'Curva Forward'!$C$4:$AN$4,0))),CU13)</f>
        <v>-302400</v>
      </c>
      <c r="FT13" s="190">
        <f>AH13*AH$2*IF($FC13="V",1,-1)*IF($Q13="Fixo",(CV13-INDEX('Curva Forward'!$C$5:$AN$13,MATCH(CONCATENATE(BD_COMERCIAL!$K13," ",BD_COMERCIAL!$L13),'Curva Forward'!$B$5:$B$13,0),MATCH(FT$4,'Curva Forward'!$C$4:$AN$4,0))),CV13)</f>
        <v>-305784</v>
      </c>
      <c r="FU13" s="190">
        <f>AI13*AI$2*IF($FC13="V",1,-1)*IF($Q13="Fixo",(CW13-INDEX('Curva Forward'!$C$5:$AN$13,MATCH(CONCATENATE(BD_COMERCIAL!$K13," ",BD_COMERCIAL!$L13),'Curva Forward'!$B$5:$B$13,0),MATCH(FU$4,'Curva Forward'!$C$4:$AN$4,0))),CW13)</f>
        <v>-305784</v>
      </c>
      <c r="FV13" s="190">
        <f>AJ13*AJ$2*IF($FC13="V",1,-1)*IF($Q13="Fixo",(CX13-INDEX('Curva Forward'!$C$5:$AN$13,MATCH(CONCATENATE(BD_COMERCIAL!$K13," ",BD_COMERCIAL!$L13),'Curva Forward'!$B$5:$B$13,0),MATCH(FV$4,'Curva Forward'!$C$4:$AN$4,0))),CX13)</f>
        <v>-295920</v>
      </c>
      <c r="FW13" s="190">
        <f>AK13*AK$2*IF($FC13="V",1,-1)*IF($Q13="Fixo",(CY13-INDEX('Curva Forward'!$C$5:$AN$13,MATCH(CONCATENATE(BD_COMERCIAL!$K13," ",BD_COMERCIAL!$L13),'Curva Forward'!$B$5:$B$13,0),MATCH(FW$4,'Curva Forward'!$C$4:$AN$4,0))),CY13)</f>
        <v>-301320</v>
      </c>
      <c r="FX13" s="190">
        <f>AL13*AL$2*IF($FC13="V",1,-1)*IF($Q13="Fixo",(CZ13-INDEX('Curva Forward'!$C$5:$AN$13,MATCH(CONCATENATE(BD_COMERCIAL!$K13," ",BD_COMERCIAL!$L13),'Curva Forward'!$B$5:$B$13,0),MATCH(FX$4,'Curva Forward'!$C$4:$AN$4,0))),CZ13)</f>
        <v>-291600</v>
      </c>
      <c r="FY13" s="190">
        <f>AM13*AM$2*IF($FC13="V",1,-1)*IF($Q13="Fixo",(DA13-INDEX('Curva Forward'!$C$5:$AN$13,MATCH(CONCATENATE(BD_COMERCIAL!$K13," ",BD_COMERCIAL!$L13),'Curva Forward'!$B$5:$B$13,0),MATCH(FY$4,'Curva Forward'!$C$4:$AN$4,0))),DA13)</f>
        <v>-301320</v>
      </c>
      <c r="FZ13" s="190">
        <f>AN13*AN$2*IF($FC13="V",1,-1)*IF($Q13="Fixo",(DB13-INDEX('Curva Forward'!$C$5:$AN$13,MATCH(CONCATENATE(BD_COMERCIAL!$K13," ",BD_COMERCIAL!$L13),'Curva Forward'!$B$5:$B$13,0),MATCH(FZ$4,'Curva Forward'!$C$4:$AN$4,0))),DB13)</f>
        <v>0</v>
      </c>
      <c r="GA13" s="190">
        <f>AO13*AO$2*IF($FC13="V",1,-1)*IF($Q13="Fixo",(DC13-INDEX('Curva Forward'!$C$5:$AN$13,MATCH(CONCATENATE(BD_COMERCIAL!$K13," ",BD_COMERCIAL!$L13),'Curva Forward'!$B$5:$B$13,0),MATCH(GA$4,'Curva Forward'!$C$4:$AN$4,0))),DC13)</f>
        <v>0</v>
      </c>
      <c r="GB13" s="190">
        <f>AP13*AP$2*IF($FC13="V",1,-1)*IF($Q13="Fixo",(DD13-INDEX('Curva Forward'!$C$5:$AN$13,MATCH(CONCATENATE(BD_COMERCIAL!$K13," ",BD_COMERCIAL!$L13),'Curva Forward'!$B$5:$B$13,0),MATCH(GB$4,'Curva Forward'!$C$4:$AN$4,0))),DD13)</f>
        <v>0</v>
      </c>
      <c r="GC13" s="190">
        <f>AQ13*AQ$2*IF($FC13="V",1,-1)*IF($Q13="Fixo",(DE13-INDEX('Curva Forward'!$C$5:$AN$13,MATCH(CONCATENATE(BD_COMERCIAL!$K13," ",BD_COMERCIAL!$L13),'Curva Forward'!$B$5:$B$13,0),MATCH(GC$4,'Curva Forward'!$C$4:$AN$4,0))),DE13)</f>
        <v>0</v>
      </c>
      <c r="GD13" s="190">
        <f>AR13*AR$2*IF($FC13="V",1,-1)*IF($Q13="Fixo",(DF13-INDEX('Curva Forward'!$C$5:$AN$13,MATCH(CONCATENATE(BD_COMERCIAL!$K13," ",BD_COMERCIAL!$L13),'Curva Forward'!$B$5:$B$13,0),MATCH(GD$4,'Curva Forward'!$C$4:$AN$4,0))),DF13)</f>
        <v>0</v>
      </c>
      <c r="GE13" s="190">
        <f>AS13*AS$2*IF($FC13="V",1,-1)*IF($Q13="Fixo",(DG13-INDEX('Curva Forward'!$C$5:$AN$13,MATCH(CONCATENATE(BD_COMERCIAL!$K13," ",BD_COMERCIAL!$L13),'Curva Forward'!$B$5:$B$13,0),MATCH(GE$4,'Curva Forward'!$C$4:$AN$4,0))),DG13)</f>
        <v>0</v>
      </c>
      <c r="GF13" s="190">
        <f>AT13*AT$2*IF($FC13="V",1,-1)*IF($Q13="Fixo",(DH13-INDEX('Curva Forward'!$C$5:$AN$13,MATCH(CONCATENATE(BD_COMERCIAL!$K13," ",BD_COMERCIAL!$L13),'Curva Forward'!$B$5:$B$13,0),MATCH(GF$4,'Curva Forward'!$C$4:$AN$4,0))),DH13)</f>
        <v>0</v>
      </c>
      <c r="GG13" s="190">
        <f>AU13*AU$2*IF($FC13="V",1,-1)*IF($Q13="Fixo",(DI13-INDEX('Curva Forward'!$C$5:$AN$13,MATCH(CONCATENATE(BD_COMERCIAL!$K13," ",BD_COMERCIAL!$L13),'Curva Forward'!$B$5:$B$13,0),MATCH(GG$4,'Curva Forward'!$C$4:$AN$4,0))),DI13)</f>
        <v>0</v>
      </c>
      <c r="GH13" s="190">
        <f>AV13*AV$2*IF($FC13="V",1,-1)*IF($Q13="Fixo",(DJ13-INDEX('Curva Forward'!$C$5:$AN$13,MATCH(CONCATENATE(BD_COMERCIAL!$K13," ",BD_COMERCIAL!$L13),'Curva Forward'!$B$5:$B$13,0),MATCH(GH$4,'Curva Forward'!$C$4:$AN$4,0))),DJ13)</f>
        <v>0</v>
      </c>
      <c r="GI13" s="190">
        <f>AW13*AW$2*IF($FC13="V",1,-1)*IF($Q13="Fixo",(DK13-INDEX('Curva Forward'!$C$5:$AN$13,MATCH(CONCATENATE(BD_COMERCIAL!$K13," ",BD_COMERCIAL!$L13),'Curva Forward'!$B$5:$B$13,0),MATCH(GI$4,'Curva Forward'!$C$4:$AN$4,0))),DK13)</f>
        <v>0</v>
      </c>
      <c r="GJ13" s="190">
        <f>AX13*AX$2*IF($FC13="V",1,-1)*IF($Q13="Fixo",(DL13-INDEX('Curva Forward'!$C$5:$AN$13,MATCH(CONCATENATE(BD_COMERCIAL!$K13," ",BD_COMERCIAL!$L13),'Curva Forward'!$B$5:$B$13,0),MATCH(GJ$4,'Curva Forward'!$C$4:$AN$4,0))),DL13)</f>
        <v>0</v>
      </c>
      <c r="GK13" s="190">
        <f>AY13*AY$2*IF($FC13="V",1,-1)*IF($Q13="Fixo",(DM13-INDEX('Curva Forward'!$C$5:$AN$13,MATCH(CONCATENATE(BD_COMERCIAL!$K13," ",BD_COMERCIAL!$L13),'Curva Forward'!$B$5:$B$13,0),MATCH(GK$4,'Curva Forward'!$C$4:$AN$4,0))),DM13)</f>
        <v>0</v>
      </c>
      <c r="GL13" s="190">
        <f>IF(EZ13="",0,CL13*CL$2*IF($FC13="V",1,-1)*IF($Q13="Fixo",(EZ13-INDEX('Curva Forward'!$C$5:$AN$13,MATCH(CONCATENATE(BD_COMERCIAL!$K13," ",BD_COMERCIAL!$L13),'Curva Forward'!$B$5:$B$13,0),MATCH(GL$4,'Curva Forward'!$C$4:$AN$4,0))),EZ13))</f>
        <v>0</v>
      </c>
      <c r="GM13" s="190">
        <f>IF(FA13="",0,CM13*CM$2*IF($FC13="V",1,-1)*IF($Q13="Fixo",(FA13-INDEX('Curva Forward'!$C$5:$AN$13,MATCH(CONCATENATE(BD_COMERCIAL!$K13," ",BD_COMERCIAL!$L13),'Curva Forward'!$B$5:$B$13,0),MATCH(GM$4,'Curva Forward'!$C$4:$AN$4,0))),FA13))</f>
        <v>0</v>
      </c>
      <c r="GN13" s="190">
        <f>IF(FB13="",0,CN13*CN$2*IF($FC13="V",1,-1)*IF($Q13="Fixo",(FB13-INDEX('Curva Forward'!$C$5:$AN$13,MATCH(CONCATENATE(BD_COMERCIAL!$K13," ",BD_COMERCIAL!$L13),'Curva Forward'!$B$5:$B$13,0),MATCH(GN$4,'Curva Forward'!$C$4:$AN$4,0))),FB13))</f>
        <v>0</v>
      </c>
      <c r="GO13" s="191">
        <f t="shared" ca="1" si="11"/>
        <v>0</v>
      </c>
      <c r="GP13" s="191">
        <f t="shared" ca="1" si="12"/>
        <v>-3320136</v>
      </c>
      <c r="GQ13"/>
      <c r="GR13" s="84"/>
      <c r="GS13"/>
      <c r="GT13" s="206"/>
      <c r="GU13" s="198"/>
      <c r="GV13"/>
      <c r="GW13"/>
      <c r="GX13" s="191"/>
      <c r="GY13" s="191"/>
      <c r="GZ13" s="190"/>
      <c r="HA13" s="190"/>
      <c r="HB13" s="190"/>
      <c r="HC13" s="190"/>
      <c r="HD13" s="190"/>
      <c r="HE13" s="190"/>
      <c r="HF13" s="190"/>
      <c r="HG13" s="190"/>
      <c r="HH13" s="190"/>
      <c r="HI13" s="190"/>
      <c r="HJ13" s="190"/>
      <c r="HK13" s="190"/>
      <c r="HL13" s="190"/>
      <c r="HM13" s="190"/>
      <c r="HN13" s="190"/>
      <c r="HO13" s="190"/>
      <c r="HP13" s="190"/>
      <c r="HQ13" s="190"/>
      <c r="HR13" s="190"/>
      <c r="HS13" s="190"/>
      <c r="HT13" s="190"/>
      <c r="HU13" s="190"/>
      <c r="HV13" s="190"/>
      <c r="HW13" s="190"/>
      <c r="HX13" s="190"/>
      <c r="HY13" s="190"/>
      <c r="HZ13" s="190"/>
      <c r="IA13" s="191"/>
      <c r="IB13" s="191"/>
    </row>
    <row r="14" spans="1:236" s="276" customFormat="1" x14ac:dyDescent="0.35">
      <c r="A14" s="251"/>
      <c r="B14" s="7" t="s">
        <v>316</v>
      </c>
      <c r="C14" s="8">
        <v>44558</v>
      </c>
      <c r="D14" s="9" t="s">
        <v>123</v>
      </c>
      <c r="E14" s="9" t="s">
        <v>124</v>
      </c>
      <c r="F14" s="112">
        <v>3780401000108</v>
      </c>
      <c r="G14" s="10" t="s">
        <v>145</v>
      </c>
      <c r="H14" s="112" t="e">
        <v>#VALUE!</v>
      </c>
      <c r="I14" s="9" t="s">
        <v>137</v>
      </c>
      <c r="J14" s="158" t="s">
        <v>317</v>
      </c>
      <c r="K14" s="10" t="s">
        <v>126</v>
      </c>
      <c r="L14" s="84" t="s">
        <v>22</v>
      </c>
      <c r="M14" s="11">
        <v>44927</v>
      </c>
      <c r="N14" s="12">
        <v>45291</v>
      </c>
      <c r="O14" s="10">
        <v>1.8</v>
      </c>
      <c r="P14" s="84">
        <v>210</v>
      </c>
      <c r="Q14" s="84" t="s">
        <v>127</v>
      </c>
      <c r="R14" s="10" t="s">
        <v>128</v>
      </c>
      <c r="S14" s="14" t="s">
        <v>133</v>
      </c>
      <c r="T14" s="11" t="s">
        <v>129</v>
      </c>
      <c r="U14" s="12">
        <v>44558</v>
      </c>
      <c r="V14" s="202">
        <f ca="1">IF(U14="","",
IF(U14="NA","",
IFERROR(VLOOKUP(EOMONTH(M14,-2)+1,IPCA!$A:$B,2,0),
VLOOKUP(EOMONTH(TODAY(),-2)+1,IPCA!$A:$B,2,0))/
VLOOKUP(EOMONTH(U14,-2)+1,IPCA!$A:$B,2,0)*
P14))</f>
        <v>223.7702878191613</v>
      </c>
      <c r="W14" s="84"/>
      <c r="X14" s="13"/>
      <c r="Y14" s="158"/>
      <c r="Z14" s="106" t="s">
        <v>146</v>
      </c>
      <c r="AA14" s="107" t="s">
        <v>146</v>
      </c>
      <c r="AB14" s="15">
        <v>1.8</v>
      </c>
      <c r="AC14">
        <v>1.8</v>
      </c>
      <c r="AD14">
        <v>1.8</v>
      </c>
      <c r="AE14">
        <v>1.8</v>
      </c>
      <c r="AF14">
        <v>1.8</v>
      </c>
      <c r="AG14">
        <v>1.8</v>
      </c>
      <c r="AH14">
        <v>1.8</v>
      </c>
      <c r="AI14">
        <v>1.8</v>
      </c>
      <c r="AJ14">
        <v>1.8</v>
      </c>
      <c r="AK14">
        <v>1.8</v>
      </c>
      <c r="AL14">
        <v>1.8</v>
      </c>
      <c r="AM14" s="6">
        <v>1.8</v>
      </c>
      <c r="AN14" s="15"/>
      <c r="AO14"/>
      <c r="AP14"/>
      <c r="AQ14"/>
      <c r="AR14"/>
      <c r="AS14"/>
      <c r="AT14"/>
      <c r="AU14"/>
      <c r="AV14"/>
      <c r="AW14"/>
      <c r="AX14"/>
      <c r="AY14" s="6"/>
      <c r="AZ14" s="15"/>
      <c r="BA14"/>
      <c r="BB14"/>
      <c r="BC14"/>
      <c r="BD14"/>
      <c r="BE14"/>
      <c r="BF14"/>
      <c r="BG14"/>
      <c r="BH14"/>
      <c r="BI14"/>
      <c r="BJ14"/>
      <c r="BK14" s="6"/>
      <c r="BL14" s="15"/>
      <c r="BM14"/>
      <c r="BN14"/>
      <c r="BO14"/>
      <c r="BP14"/>
      <c r="BQ14"/>
      <c r="BR14"/>
      <c r="BS14"/>
      <c r="BT14"/>
      <c r="BU14"/>
      <c r="BV14"/>
      <c r="BW14" s="6"/>
      <c r="BX14" s="15"/>
      <c r="BY14"/>
      <c r="BZ14"/>
      <c r="CA14"/>
      <c r="CB14"/>
      <c r="CC14"/>
      <c r="CD14"/>
      <c r="CE14"/>
      <c r="CF14"/>
      <c r="CG14"/>
      <c r="CH14"/>
      <c r="CI14" s="6"/>
      <c r="CJ14" s="16">
        <v>1.8000000000000003</v>
      </c>
      <c r="CK14" s="16" t="s">
        <v>578</v>
      </c>
      <c r="CL14" s="16" t="s">
        <v>578</v>
      </c>
      <c r="CM14" s="16" t="s">
        <v>578</v>
      </c>
      <c r="CN14" s="16" t="s">
        <v>578</v>
      </c>
      <c r="CO14" s="18"/>
      <c r="CP14" s="15">
        <v>210</v>
      </c>
      <c r="CQ14">
        <v>210</v>
      </c>
      <c r="CR14">
        <v>210</v>
      </c>
      <c r="CS14">
        <v>210</v>
      </c>
      <c r="CT14">
        <v>210</v>
      </c>
      <c r="CU14">
        <v>210</v>
      </c>
      <c r="CV14">
        <v>210</v>
      </c>
      <c r="CW14">
        <v>210</v>
      </c>
      <c r="CX14">
        <v>210</v>
      </c>
      <c r="CY14">
        <v>210</v>
      </c>
      <c r="CZ14">
        <v>210</v>
      </c>
      <c r="DA14" s="6">
        <v>210</v>
      </c>
      <c r="DB14" s="15"/>
      <c r="DC14"/>
      <c r="DD14"/>
      <c r="DE14"/>
      <c r="DF14"/>
      <c r="DG14"/>
      <c r="DH14"/>
      <c r="DI14"/>
      <c r="DJ14"/>
      <c r="DK14"/>
      <c r="DL14"/>
      <c r="DM14" s="6"/>
      <c r="DN14" s="15"/>
      <c r="DO14"/>
      <c r="DP14"/>
      <c r="DQ14"/>
      <c r="DR14"/>
      <c r="DS14"/>
      <c r="DT14"/>
      <c r="DU14"/>
      <c r="DV14"/>
      <c r="DW14"/>
      <c r="DX14"/>
      <c r="DY14" s="6"/>
      <c r="DZ14" s="15"/>
      <c r="EA14"/>
      <c r="EB14"/>
      <c r="EC14"/>
      <c r="ED14"/>
      <c r="EE14"/>
      <c r="EF14"/>
      <c r="EG14"/>
      <c r="EH14"/>
      <c r="EI14"/>
      <c r="EJ14"/>
      <c r="EK14" s="6"/>
      <c r="EL14" s="15"/>
      <c r="EM14"/>
      <c r="EN14"/>
      <c r="EO14"/>
      <c r="EP14"/>
      <c r="EQ14"/>
      <c r="ER14"/>
      <c r="ES14"/>
      <c r="ET14"/>
      <c r="EU14"/>
      <c r="EV14"/>
      <c r="EW14" s="6"/>
      <c r="EX14" s="16">
        <v>210</v>
      </c>
      <c r="EY14" s="16" t="s">
        <v>578</v>
      </c>
      <c r="EZ14" s="16" t="s">
        <v>578</v>
      </c>
      <c r="FA14" s="154" t="s">
        <v>578</v>
      </c>
      <c r="FB14" s="154" t="s">
        <v>578</v>
      </c>
      <c r="FC14" t="s">
        <v>195</v>
      </c>
      <c r="FD14" s="20" t="s">
        <v>145</v>
      </c>
      <c r="FE14"/>
      <c r="FF14" s="204" t="s">
        <v>197</v>
      </c>
      <c r="FG14"/>
      <c r="FH14" s="206">
        <f t="shared" ca="1" si="6"/>
        <v>13.770287819161297</v>
      </c>
      <c r="FI14" s="198">
        <f t="shared" si="7"/>
        <v>12.133333333333333</v>
      </c>
      <c r="FJ14"/>
      <c r="FK14" t="str">
        <f t="shared" si="8"/>
        <v>Portfólio</v>
      </c>
      <c r="FL14" s="191">
        <f t="shared" ca="1" si="9"/>
        <v>188827.2</v>
      </c>
      <c r="FM14" s="191">
        <f t="shared" ca="1" si="10"/>
        <v>1992081.5999999999</v>
      </c>
      <c r="FN14" s="190">
        <f>AB14*AB$2*IF($FC14="V",1,-1)*IF($Q14="Fixo",(CP14-INDEX('Curva Forward'!$C$5:$AN$13,MATCH(CONCATENATE(BD_COMERCIAL!$K14," ",BD_COMERCIAL!$L14),'Curva Forward'!$B$5:$B$13,0),MATCH(FN$4,'Curva Forward'!$C$4:$AN$4,0))),CP14)</f>
        <v>188827.2</v>
      </c>
      <c r="FO14" s="190">
        <f>AC14*AC$2*IF($FC14="V",1,-1)*IF($Q14="Fixo",(CQ14-INDEX('Curva Forward'!$C$5:$AN$13,MATCH(CONCATENATE(BD_COMERCIAL!$K14," ",BD_COMERCIAL!$L14),'Curva Forward'!$B$5:$B$13,0),MATCH(FO$4,'Curva Forward'!$C$4:$AN$4,0))),CQ14)</f>
        <v>170553.60000000001</v>
      </c>
      <c r="FP14" s="190">
        <f>AD14*AD$2*IF($FC14="V",1,-1)*IF($Q14="Fixo",(CR14-INDEX('Curva Forward'!$C$5:$AN$13,MATCH(CONCATENATE(BD_COMERCIAL!$K14," ",BD_COMERCIAL!$L14),'Curva Forward'!$B$5:$B$13,0),MATCH(FP$4,'Curva Forward'!$C$4:$AN$4,0))),CR14)</f>
        <v>188827.2</v>
      </c>
      <c r="FQ14" s="190">
        <f>AE14*AE$2*IF($FC14="V",1,-1)*IF($Q14="Fixo",(CS14-INDEX('Curva Forward'!$C$5:$AN$13,MATCH(CONCATENATE(BD_COMERCIAL!$K14," ",BD_COMERCIAL!$L14),'Curva Forward'!$B$5:$B$13,0),MATCH(FQ$4,'Curva Forward'!$C$4:$AN$4,0))),CS14)</f>
        <v>182736</v>
      </c>
      <c r="FR14" s="190">
        <f>AF14*AF$2*IF($FC14="V",1,-1)*IF($Q14="Fixo",(CT14-INDEX('Curva Forward'!$C$5:$AN$13,MATCH(CONCATENATE(BD_COMERCIAL!$K14," ",BD_COMERCIAL!$L14),'Curva Forward'!$B$5:$B$13,0),MATCH(FR$4,'Curva Forward'!$C$4:$AN$4,0))),CT14)</f>
        <v>187488</v>
      </c>
      <c r="FS14" s="190">
        <f>AG14*AG$2*IF($FC14="V",1,-1)*IF($Q14="Fixo",(CU14-INDEX('Curva Forward'!$C$5:$AN$13,MATCH(CONCATENATE(BD_COMERCIAL!$K14," ",BD_COMERCIAL!$L14),'Curva Forward'!$B$5:$B$13,0),MATCH(FS$4,'Curva Forward'!$C$4:$AN$4,0))),CU14)</f>
        <v>181440</v>
      </c>
      <c r="FT14" s="190">
        <f>AH14*AH$2*IF($FC14="V",1,-1)*IF($Q14="Fixo",(CV14-INDEX('Curva Forward'!$C$5:$AN$13,MATCH(CONCATENATE(BD_COMERCIAL!$K14," ",BD_COMERCIAL!$L14),'Curva Forward'!$B$5:$B$13,0),MATCH(FT$4,'Curva Forward'!$C$4:$AN$4,0))),CV14)</f>
        <v>183470.4</v>
      </c>
      <c r="FU14" s="190">
        <f>AI14*AI$2*IF($FC14="V",1,-1)*IF($Q14="Fixo",(CW14-INDEX('Curva Forward'!$C$5:$AN$13,MATCH(CONCATENATE(BD_COMERCIAL!$K14," ",BD_COMERCIAL!$L14),'Curva Forward'!$B$5:$B$13,0),MATCH(FU$4,'Curva Forward'!$C$4:$AN$4,0))),CW14)</f>
        <v>183470.4</v>
      </c>
      <c r="FV14" s="190">
        <f>AJ14*AJ$2*IF($FC14="V",1,-1)*IF($Q14="Fixo",(CX14-INDEX('Curva Forward'!$C$5:$AN$13,MATCH(CONCATENATE(BD_COMERCIAL!$K14," ",BD_COMERCIAL!$L14),'Curva Forward'!$B$5:$B$13,0),MATCH(FV$4,'Curva Forward'!$C$4:$AN$4,0))),CX14)</f>
        <v>177552</v>
      </c>
      <c r="FW14" s="190">
        <f>AK14*AK$2*IF($FC14="V",1,-1)*IF($Q14="Fixo",(CY14-INDEX('Curva Forward'!$C$5:$AN$13,MATCH(CONCATENATE(BD_COMERCIAL!$K14," ",BD_COMERCIAL!$L14),'Curva Forward'!$B$5:$B$13,0),MATCH(FW$4,'Curva Forward'!$C$4:$AN$4,0))),CY14)</f>
        <v>180792</v>
      </c>
      <c r="FX14" s="190">
        <f>AL14*AL$2*IF($FC14="V",1,-1)*IF($Q14="Fixo",(CZ14-INDEX('Curva Forward'!$C$5:$AN$13,MATCH(CONCATENATE(BD_COMERCIAL!$K14," ",BD_COMERCIAL!$L14),'Curva Forward'!$B$5:$B$13,0),MATCH(FX$4,'Curva Forward'!$C$4:$AN$4,0))),CZ14)</f>
        <v>174960</v>
      </c>
      <c r="FY14" s="190">
        <f>AM14*AM$2*IF($FC14="V",1,-1)*IF($Q14="Fixo",(DA14-INDEX('Curva Forward'!$C$5:$AN$13,MATCH(CONCATENATE(BD_COMERCIAL!$K14," ",BD_COMERCIAL!$L14),'Curva Forward'!$B$5:$B$13,0),MATCH(FY$4,'Curva Forward'!$C$4:$AN$4,0))),DA14)</f>
        <v>180792</v>
      </c>
      <c r="FZ14" s="190">
        <f>AN14*AN$2*IF($FC14="V",1,-1)*IF($Q14="Fixo",(DB14-INDEX('Curva Forward'!$C$5:$AN$13,MATCH(CONCATENATE(BD_COMERCIAL!$K14," ",BD_COMERCIAL!$L14),'Curva Forward'!$B$5:$B$13,0),MATCH(FZ$4,'Curva Forward'!$C$4:$AN$4,0))),DB14)</f>
        <v>0</v>
      </c>
      <c r="GA14" s="190">
        <f>AO14*AO$2*IF($FC14="V",1,-1)*IF($Q14="Fixo",(DC14-INDEX('Curva Forward'!$C$5:$AN$13,MATCH(CONCATENATE(BD_COMERCIAL!$K14," ",BD_COMERCIAL!$L14),'Curva Forward'!$B$5:$B$13,0),MATCH(GA$4,'Curva Forward'!$C$4:$AN$4,0))),DC14)</f>
        <v>0</v>
      </c>
      <c r="GB14" s="190">
        <f>AP14*AP$2*IF($FC14="V",1,-1)*IF($Q14="Fixo",(DD14-INDEX('Curva Forward'!$C$5:$AN$13,MATCH(CONCATENATE(BD_COMERCIAL!$K14," ",BD_COMERCIAL!$L14),'Curva Forward'!$B$5:$B$13,0),MATCH(GB$4,'Curva Forward'!$C$4:$AN$4,0))),DD14)</f>
        <v>0</v>
      </c>
      <c r="GC14" s="190">
        <f>AQ14*AQ$2*IF($FC14="V",1,-1)*IF($Q14="Fixo",(DE14-INDEX('Curva Forward'!$C$5:$AN$13,MATCH(CONCATENATE(BD_COMERCIAL!$K14," ",BD_COMERCIAL!$L14),'Curva Forward'!$B$5:$B$13,0),MATCH(GC$4,'Curva Forward'!$C$4:$AN$4,0))),DE14)</f>
        <v>0</v>
      </c>
      <c r="GD14" s="190">
        <f>AR14*AR$2*IF($FC14="V",1,-1)*IF($Q14="Fixo",(DF14-INDEX('Curva Forward'!$C$5:$AN$13,MATCH(CONCATENATE(BD_COMERCIAL!$K14," ",BD_COMERCIAL!$L14),'Curva Forward'!$B$5:$B$13,0),MATCH(GD$4,'Curva Forward'!$C$4:$AN$4,0))),DF14)</f>
        <v>0</v>
      </c>
      <c r="GE14" s="190">
        <f>AS14*AS$2*IF($FC14="V",1,-1)*IF($Q14="Fixo",(DG14-INDEX('Curva Forward'!$C$5:$AN$13,MATCH(CONCATENATE(BD_COMERCIAL!$K14," ",BD_COMERCIAL!$L14),'Curva Forward'!$B$5:$B$13,0),MATCH(GE$4,'Curva Forward'!$C$4:$AN$4,0))),DG14)</f>
        <v>0</v>
      </c>
      <c r="GF14" s="190">
        <f>AT14*AT$2*IF($FC14="V",1,-1)*IF($Q14="Fixo",(DH14-INDEX('Curva Forward'!$C$5:$AN$13,MATCH(CONCATENATE(BD_COMERCIAL!$K14," ",BD_COMERCIAL!$L14),'Curva Forward'!$B$5:$B$13,0),MATCH(GF$4,'Curva Forward'!$C$4:$AN$4,0))),DH14)</f>
        <v>0</v>
      </c>
      <c r="GG14" s="190">
        <f>AU14*AU$2*IF($FC14="V",1,-1)*IF($Q14="Fixo",(DI14-INDEX('Curva Forward'!$C$5:$AN$13,MATCH(CONCATENATE(BD_COMERCIAL!$K14," ",BD_COMERCIAL!$L14),'Curva Forward'!$B$5:$B$13,0),MATCH(GG$4,'Curva Forward'!$C$4:$AN$4,0))),DI14)</f>
        <v>0</v>
      </c>
      <c r="GH14" s="190">
        <f>AV14*AV$2*IF($FC14="V",1,-1)*IF($Q14="Fixo",(DJ14-INDEX('Curva Forward'!$C$5:$AN$13,MATCH(CONCATENATE(BD_COMERCIAL!$K14," ",BD_COMERCIAL!$L14),'Curva Forward'!$B$5:$B$13,0),MATCH(GH$4,'Curva Forward'!$C$4:$AN$4,0))),DJ14)</f>
        <v>0</v>
      </c>
      <c r="GI14" s="190">
        <f>AW14*AW$2*IF($FC14="V",1,-1)*IF($Q14="Fixo",(DK14-INDEX('Curva Forward'!$C$5:$AN$13,MATCH(CONCATENATE(BD_COMERCIAL!$K14," ",BD_COMERCIAL!$L14),'Curva Forward'!$B$5:$B$13,0),MATCH(GI$4,'Curva Forward'!$C$4:$AN$4,0))),DK14)</f>
        <v>0</v>
      </c>
      <c r="GJ14" s="190">
        <f>AX14*AX$2*IF($FC14="V",1,-1)*IF($Q14="Fixo",(DL14-INDEX('Curva Forward'!$C$5:$AN$13,MATCH(CONCATENATE(BD_COMERCIAL!$K14," ",BD_COMERCIAL!$L14),'Curva Forward'!$B$5:$B$13,0),MATCH(GJ$4,'Curva Forward'!$C$4:$AN$4,0))),DL14)</f>
        <v>0</v>
      </c>
      <c r="GK14" s="190">
        <f>AY14*AY$2*IF($FC14="V",1,-1)*IF($Q14="Fixo",(DM14-INDEX('Curva Forward'!$C$5:$AN$13,MATCH(CONCATENATE(BD_COMERCIAL!$K14," ",BD_COMERCIAL!$L14),'Curva Forward'!$B$5:$B$13,0),MATCH(GK$4,'Curva Forward'!$C$4:$AN$4,0))),DM14)</f>
        <v>0</v>
      </c>
      <c r="GL14" s="190">
        <f>IF(EZ14="",0,CL14*CL$2*IF($FC14="V",1,-1)*IF($Q14="Fixo",(EZ14-INDEX('Curva Forward'!$C$5:$AN$13,MATCH(CONCATENATE(BD_COMERCIAL!$K14," ",BD_COMERCIAL!$L14),'Curva Forward'!$B$5:$B$13,0),MATCH(GL$4,'Curva Forward'!$C$4:$AN$4,0))),EZ14))</f>
        <v>0</v>
      </c>
      <c r="GM14" s="190">
        <f>IF(FA14="",0,CM14*CM$2*IF($FC14="V",1,-1)*IF($Q14="Fixo",(FA14-INDEX('Curva Forward'!$C$5:$AN$13,MATCH(CONCATENATE(BD_COMERCIAL!$K14," ",BD_COMERCIAL!$L14),'Curva Forward'!$B$5:$B$13,0),MATCH(GM$4,'Curva Forward'!$C$4:$AN$4,0))),FA14))</f>
        <v>0</v>
      </c>
      <c r="GN14" s="190">
        <f>IF(FB14="",0,CN14*CN$2*IF($FC14="V",1,-1)*IF($Q14="Fixo",(FB14-INDEX('Curva Forward'!$C$5:$AN$13,MATCH(CONCATENATE(BD_COMERCIAL!$K14," ",BD_COMERCIAL!$L14),'Curva Forward'!$B$5:$B$13,0),MATCH(GN$4,'Curva Forward'!$C$4:$AN$4,0))),FB14))</f>
        <v>0</v>
      </c>
      <c r="GO14" s="191">
        <f t="shared" ca="1" si="11"/>
        <v>1992081.5999999999</v>
      </c>
      <c r="GP14" s="191">
        <f t="shared" ca="1" si="12"/>
        <v>0</v>
      </c>
      <c r="GQ14"/>
      <c r="GR14" s="84"/>
      <c r="GS14"/>
      <c r="GT14" s="206"/>
      <c r="GU14" s="198"/>
      <c r="GV14"/>
      <c r="GW14"/>
      <c r="GX14" s="191"/>
      <c r="GY14" s="191"/>
      <c r="GZ14" s="190"/>
      <c r="HA14" s="190"/>
      <c r="HB14" s="190"/>
      <c r="HC14" s="190"/>
      <c r="HD14" s="190"/>
      <c r="HE14" s="190"/>
      <c r="HF14" s="190"/>
      <c r="HG14" s="190"/>
      <c r="HH14" s="190"/>
      <c r="HI14" s="190"/>
      <c r="HJ14" s="190"/>
      <c r="HK14" s="190"/>
      <c r="HL14" s="190"/>
      <c r="HM14" s="190"/>
      <c r="HN14" s="190"/>
      <c r="HO14" s="190"/>
      <c r="HP14" s="190"/>
      <c r="HQ14" s="190"/>
      <c r="HR14" s="190"/>
      <c r="HS14" s="190"/>
      <c r="HT14" s="190"/>
      <c r="HU14" s="190"/>
      <c r="HV14" s="190"/>
      <c r="HW14" s="190"/>
      <c r="HX14" s="190"/>
      <c r="HY14" s="190"/>
      <c r="HZ14" s="190"/>
      <c r="IA14" s="191"/>
      <c r="IB14" s="191"/>
    </row>
    <row r="15" spans="1:236" s="276" customFormat="1" x14ac:dyDescent="0.35">
      <c r="A15" s="251"/>
      <c r="B15" s="7" t="s">
        <v>324</v>
      </c>
      <c r="C15" s="8">
        <v>44638</v>
      </c>
      <c r="D15" s="9" t="s">
        <v>130</v>
      </c>
      <c r="E15" s="9" t="s">
        <v>229</v>
      </c>
      <c r="F15" s="112">
        <v>28397998000129</v>
      </c>
      <c r="G15" s="10" t="s">
        <v>124</v>
      </c>
      <c r="H15" s="112">
        <v>3780401000108</v>
      </c>
      <c r="I15" s="9" t="s">
        <v>137</v>
      </c>
      <c r="J15" s="158"/>
      <c r="K15" s="10" t="s">
        <v>126</v>
      </c>
      <c r="L15" s="84" t="s">
        <v>22</v>
      </c>
      <c r="M15" s="11">
        <v>44927</v>
      </c>
      <c r="N15" s="12">
        <v>45016</v>
      </c>
      <c r="O15" s="10">
        <v>4</v>
      </c>
      <c r="P15" s="84">
        <v>215</v>
      </c>
      <c r="Q15" s="84" t="s">
        <v>127</v>
      </c>
      <c r="R15" s="10" t="s">
        <v>128</v>
      </c>
      <c r="S15" s="14" t="s">
        <v>133</v>
      </c>
      <c r="T15" s="11" t="s">
        <v>129</v>
      </c>
      <c r="U15" s="12">
        <v>44638</v>
      </c>
      <c r="V15" s="202">
        <f ca="1">IF(U15="","",
IF(U15="NA","",
IFERROR(VLOOKUP(EOMONTH(M15,-2)+1,IPCA!$A:$B,2,0),
VLOOKUP(EOMONTH(TODAY(),-2)+1,IPCA!$A:$B,2,0))/
VLOOKUP(EOMONTH(U15,-2)+1,IPCA!$A:$B,2,0)*
P15))</f>
        <v>223.95423990063136</v>
      </c>
      <c r="W15" s="84"/>
      <c r="X15" s="13" t="s">
        <v>132</v>
      </c>
      <c r="Y15" s="158"/>
      <c r="Z15" s="106"/>
      <c r="AA15" s="107"/>
      <c r="AB15" s="15">
        <v>4</v>
      </c>
      <c r="AC15">
        <v>4</v>
      </c>
      <c r="AD15">
        <v>4</v>
      </c>
      <c r="AE15"/>
      <c r="AF15"/>
      <c r="AG15"/>
      <c r="AH15"/>
      <c r="AI15"/>
      <c r="AJ15"/>
      <c r="AK15"/>
      <c r="AL15"/>
      <c r="AM15" s="6"/>
      <c r="AN15" s="15"/>
      <c r="AO15"/>
      <c r="AP15"/>
      <c r="AQ15"/>
      <c r="AR15"/>
      <c r="AS15"/>
      <c r="AT15"/>
      <c r="AU15"/>
      <c r="AV15"/>
      <c r="AW15"/>
      <c r="AX15"/>
      <c r="AY15" s="6"/>
      <c r="AZ15" s="15"/>
      <c r="BA15"/>
      <c r="BB15"/>
      <c r="BC15"/>
      <c r="BD15"/>
      <c r="BE15"/>
      <c r="BF15"/>
      <c r="BG15"/>
      <c r="BH15"/>
      <c r="BI15"/>
      <c r="BJ15"/>
      <c r="BK15" s="6"/>
      <c r="BL15" s="15"/>
      <c r="BM15"/>
      <c r="BN15"/>
      <c r="BO15"/>
      <c r="BP15"/>
      <c r="BQ15"/>
      <c r="BR15"/>
      <c r="BS15"/>
      <c r="BT15"/>
      <c r="BU15"/>
      <c r="BV15"/>
      <c r="BW15" s="6"/>
      <c r="BX15" s="15"/>
      <c r="BY15"/>
      <c r="BZ15"/>
      <c r="CA15"/>
      <c r="CB15"/>
      <c r="CC15"/>
      <c r="CD15"/>
      <c r="CE15"/>
      <c r="CF15"/>
      <c r="CG15"/>
      <c r="CH15"/>
      <c r="CI15" s="6"/>
      <c r="CJ15" s="16">
        <v>0.98630136986301364</v>
      </c>
      <c r="CK15" s="16" t="s">
        <v>578</v>
      </c>
      <c r="CL15" s="16" t="s">
        <v>578</v>
      </c>
      <c r="CM15" s="16" t="s">
        <v>578</v>
      </c>
      <c r="CN15" s="16" t="s">
        <v>578</v>
      </c>
      <c r="CO15" s="18"/>
      <c r="CP15" s="15">
        <v>215</v>
      </c>
      <c r="CQ15">
        <v>215</v>
      </c>
      <c r="CR15">
        <v>215</v>
      </c>
      <c r="CS15"/>
      <c r="CT15"/>
      <c r="CU15"/>
      <c r="CV15"/>
      <c r="CW15"/>
      <c r="CX15"/>
      <c r="CY15"/>
      <c r="CZ15"/>
      <c r="DA15" s="6"/>
      <c r="DB15" s="15"/>
      <c r="DC15"/>
      <c r="DD15"/>
      <c r="DE15"/>
      <c r="DF15"/>
      <c r="DG15"/>
      <c r="DH15"/>
      <c r="DI15"/>
      <c r="DJ15"/>
      <c r="DK15"/>
      <c r="DL15"/>
      <c r="DM15" s="6"/>
      <c r="DN15" s="15"/>
      <c r="DO15"/>
      <c r="DP15"/>
      <c r="DQ15"/>
      <c r="DR15"/>
      <c r="DS15"/>
      <c r="DT15"/>
      <c r="DU15"/>
      <c r="DV15"/>
      <c r="DW15"/>
      <c r="DX15"/>
      <c r="DY15" s="6"/>
      <c r="DZ15" s="15"/>
      <c r="EA15"/>
      <c r="EB15"/>
      <c r="EC15"/>
      <c r="ED15"/>
      <c r="EE15"/>
      <c r="EF15"/>
      <c r="EG15"/>
      <c r="EH15"/>
      <c r="EI15"/>
      <c r="EJ15"/>
      <c r="EK15" s="6"/>
      <c r="EL15" s="15"/>
      <c r="EM15"/>
      <c r="EN15"/>
      <c r="EO15"/>
      <c r="EP15"/>
      <c r="EQ15"/>
      <c r="ER15"/>
      <c r="ES15"/>
      <c r="ET15"/>
      <c r="EU15"/>
      <c r="EV15"/>
      <c r="EW15" s="6"/>
      <c r="EX15" s="16">
        <v>53.013698630136986</v>
      </c>
      <c r="EY15" s="16" t="s">
        <v>578</v>
      </c>
      <c r="EZ15" s="16" t="s">
        <v>578</v>
      </c>
      <c r="FA15" s="154" t="s">
        <v>578</v>
      </c>
      <c r="FB15" s="154" t="s">
        <v>578</v>
      </c>
      <c r="FC15" t="s">
        <v>196</v>
      </c>
      <c r="FD15" s="20" t="s">
        <v>137</v>
      </c>
      <c r="FE15" s="115"/>
      <c r="FF15" s="199" t="s">
        <v>197</v>
      </c>
      <c r="FG15" s="115"/>
      <c r="FH15" s="206">
        <f t="shared" ca="1" si="6"/>
        <v>8.9542399006313644</v>
      </c>
      <c r="FI15" s="198">
        <f t="shared" si="7"/>
        <v>2.9666666666666668</v>
      </c>
      <c r="FJ15"/>
      <c r="FK15" t="str">
        <f t="shared" si="8"/>
        <v>Lux Energy Comercializadora de Energia LTDA.</v>
      </c>
      <c r="FL15" s="191">
        <f t="shared" ca="1" si="9"/>
        <v>-434496</v>
      </c>
      <c r="FM15" s="191">
        <f t="shared" ca="1" si="10"/>
        <v>-826944</v>
      </c>
      <c r="FN15" s="190">
        <f>AB15*AB$2*IF($FC15="V",1,-1)*IF($Q15="Fixo",(CP15-INDEX('Curva Forward'!$C$5:$AN$13,MATCH(CONCATENATE(BD_COMERCIAL!$K15," ",BD_COMERCIAL!$L15),'Curva Forward'!$B$5:$B$13,0),MATCH(FN$4,'Curva Forward'!$C$4:$AN$4,0))),CP15)</f>
        <v>-434496</v>
      </c>
      <c r="FO15" s="190">
        <f>AC15*AC$2*IF($FC15="V",1,-1)*IF($Q15="Fixo",(CQ15-INDEX('Curva Forward'!$C$5:$AN$13,MATCH(CONCATENATE(BD_COMERCIAL!$K15," ",BD_COMERCIAL!$L15),'Curva Forward'!$B$5:$B$13,0),MATCH(FO$4,'Curva Forward'!$C$4:$AN$4,0))),CQ15)</f>
        <v>-392448</v>
      </c>
      <c r="FP15" s="190">
        <f>AD15*AD$2*IF($FC15="V",1,-1)*IF($Q15="Fixo",(CR15-INDEX('Curva Forward'!$C$5:$AN$13,MATCH(CONCATENATE(BD_COMERCIAL!$K15," ",BD_COMERCIAL!$L15),'Curva Forward'!$B$5:$B$13,0),MATCH(FP$4,'Curva Forward'!$C$4:$AN$4,0))),CR15)</f>
        <v>-434496</v>
      </c>
      <c r="FQ15" s="190">
        <f>AE15*AE$2*IF($FC15="V",1,-1)*IF($Q15="Fixo",(CS15-INDEX('Curva Forward'!$C$5:$AN$13,MATCH(CONCATENATE(BD_COMERCIAL!$K15," ",BD_COMERCIAL!$L15),'Curva Forward'!$B$5:$B$13,0),MATCH(FQ$4,'Curva Forward'!$C$4:$AN$4,0))),CS15)</f>
        <v>0</v>
      </c>
      <c r="FR15" s="190">
        <f>AF15*AF$2*IF($FC15="V",1,-1)*IF($Q15="Fixo",(CT15-INDEX('Curva Forward'!$C$5:$AN$13,MATCH(CONCATENATE(BD_COMERCIAL!$K15," ",BD_COMERCIAL!$L15),'Curva Forward'!$B$5:$B$13,0),MATCH(FR$4,'Curva Forward'!$C$4:$AN$4,0))),CT15)</f>
        <v>0</v>
      </c>
      <c r="FS15" s="190">
        <f>AG15*AG$2*IF($FC15="V",1,-1)*IF($Q15="Fixo",(CU15-INDEX('Curva Forward'!$C$5:$AN$13,MATCH(CONCATENATE(BD_COMERCIAL!$K15," ",BD_COMERCIAL!$L15),'Curva Forward'!$B$5:$B$13,0),MATCH(FS$4,'Curva Forward'!$C$4:$AN$4,0))),CU15)</f>
        <v>0</v>
      </c>
      <c r="FT15" s="190">
        <f>AH15*AH$2*IF($FC15="V",1,-1)*IF($Q15="Fixo",(CV15-INDEX('Curva Forward'!$C$5:$AN$13,MATCH(CONCATENATE(BD_COMERCIAL!$K15," ",BD_COMERCIAL!$L15),'Curva Forward'!$B$5:$B$13,0),MATCH(FT$4,'Curva Forward'!$C$4:$AN$4,0))),CV15)</f>
        <v>0</v>
      </c>
      <c r="FU15" s="190">
        <f>AI15*AI$2*IF($FC15="V",1,-1)*IF($Q15="Fixo",(CW15-INDEX('Curva Forward'!$C$5:$AN$13,MATCH(CONCATENATE(BD_COMERCIAL!$K15," ",BD_COMERCIAL!$L15),'Curva Forward'!$B$5:$B$13,0),MATCH(FU$4,'Curva Forward'!$C$4:$AN$4,0))),CW15)</f>
        <v>0</v>
      </c>
      <c r="FV15" s="190">
        <f>AJ15*AJ$2*IF($FC15="V",1,-1)*IF($Q15="Fixo",(CX15-INDEX('Curva Forward'!$C$5:$AN$13,MATCH(CONCATENATE(BD_COMERCIAL!$K15," ",BD_COMERCIAL!$L15),'Curva Forward'!$B$5:$B$13,0),MATCH(FV$4,'Curva Forward'!$C$4:$AN$4,0))),CX15)</f>
        <v>0</v>
      </c>
      <c r="FW15" s="190">
        <f>AK15*AK$2*IF($FC15="V",1,-1)*IF($Q15="Fixo",(CY15-INDEX('Curva Forward'!$C$5:$AN$13,MATCH(CONCATENATE(BD_COMERCIAL!$K15," ",BD_COMERCIAL!$L15),'Curva Forward'!$B$5:$B$13,0),MATCH(FW$4,'Curva Forward'!$C$4:$AN$4,0))),CY15)</f>
        <v>0</v>
      </c>
      <c r="FX15" s="190">
        <f>AL15*AL$2*IF($FC15="V",1,-1)*IF($Q15="Fixo",(CZ15-INDEX('Curva Forward'!$C$5:$AN$13,MATCH(CONCATENATE(BD_COMERCIAL!$K15," ",BD_COMERCIAL!$L15),'Curva Forward'!$B$5:$B$13,0),MATCH(FX$4,'Curva Forward'!$C$4:$AN$4,0))),CZ15)</f>
        <v>0</v>
      </c>
      <c r="FY15" s="190">
        <f>AM15*AM$2*IF($FC15="V",1,-1)*IF($Q15="Fixo",(DA15-INDEX('Curva Forward'!$C$5:$AN$13,MATCH(CONCATENATE(BD_COMERCIAL!$K15," ",BD_COMERCIAL!$L15),'Curva Forward'!$B$5:$B$13,0),MATCH(FY$4,'Curva Forward'!$C$4:$AN$4,0))),DA15)</f>
        <v>0</v>
      </c>
      <c r="FZ15" s="190">
        <f>AN15*AN$2*IF($FC15="V",1,-1)*IF($Q15="Fixo",(DB15-INDEX('Curva Forward'!$C$5:$AN$13,MATCH(CONCATENATE(BD_COMERCIAL!$K15," ",BD_COMERCIAL!$L15),'Curva Forward'!$B$5:$B$13,0),MATCH(FZ$4,'Curva Forward'!$C$4:$AN$4,0))),DB15)</f>
        <v>0</v>
      </c>
      <c r="GA15" s="190">
        <f>AO15*AO$2*IF($FC15="V",1,-1)*IF($Q15="Fixo",(DC15-INDEX('Curva Forward'!$C$5:$AN$13,MATCH(CONCATENATE(BD_COMERCIAL!$K15," ",BD_COMERCIAL!$L15),'Curva Forward'!$B$5:$B$13,0),MATCH(GA$4,'Curva Forward'!$C$4:$AN$4,0))),DC15)</f>
        <v>0</v>
      </c>
      <c r="GB15" s="190">
        <f>AP15*AP$2*IF($FC15="V",1,-1)*IF($Q15="Fixo",(DD15-INDEX('Curva Forward'!$C$5:$AN$13,MATCH(CONCATENATE(BD_COMERCIAL!$K15," ",BD_COMERCIAL!$L15),'Curva Forward'!$B$5:$B$13,0),MATCH(GB$4,'Curva Forward'!$C$4:$AN$4,0))),DD15)</f>
        <v>0</v>
      </c>
      <c r="GC15" s="190">
        <f>AQ15*AQ$2*IF($FC15="V",1,-1)*IF($Q15="Fixo",(DE15-INDEX('Curva Forward'!$C$5:$AN$13,MATCH(CONCATENATE(BD_COMERCIAL!$K15," ",BD_COMERCIAL!$L15),'Curva Forward'!$B$5:$B$13,0),MATCH(GC$4,'Curva Forward'!$C$4:$AN$4,0))),DE15)</f>
        <v>0</v>
      </c>
      <c r="GD15" s="190">
        <f>AR15*AR$2*IF($FC15="V",1,-1)*IF($Q15="Fixo",(DF15-INDEX('Curva Forward'!$C$5:$AN$13,MATCH(CONCATENATE(BD_COMERCIAL!$K15," ",BD_COMERCIAL!$L15),'Curva Forward'!$B$5:$B$13,0),MATCH(GD$4,'Curva Forward'!$C$4:$AN$4,0))),DF15)</f>
        <v>0</v>
      </c>
      <c r="GE15" s="190">
        <f>AS15*AS$2*IF($FC15="V",1,-1)*IF($Q15="Fixo",(DG15-INDEX('Curva Forward'!$C$5:$AN$13,MATCH(CONCATENATE(BD_COMERCIAL!$K15," ",BD_COMERCIAL!$L15),'Curva Forward'!$B$5:$B$13,0),MATCH(GE$4,'Curva Forward'!$C$4:$AN$4,0))),DG15)</f>
        <v>0</v>
      </c>
      <c r="GF15" s="190">
        <f>AT15*AT$2*IF($FC15="V",1,-1)*IF($Q15="Fixo",(DH15-INDEX('Curva Forward'!$C$5:$AN$13,MATCH(CONCATENATE(BD_COMERCIAL!$K15," ",BD_COMERCIAL!$L15),'Curva Forward'!$B$5:$B$13,0),MATCH(GF$4,'Curva Forward'!$C$4:$AN$4,0))),DH15)</f>
        <v>0</v>
      </c>
      <c r="GG15" s="190">
        <f>AU15*AU$2*IF($FC15="V",1,-1)*IF($Q15="Fixo",(DI15-INDEX('Curva Forward'!$C$5:$AN$13,MATCH(CONCATENATE(BD_COMERCIAL!$K15," ",BD_COMERCIAL!$L15),'Curva Forward'!$B$5:$B$13,0),MATCH(GG$4,'Curva Forward'!$C$4:$AN$4,0))),DI15)</f>
        <v>0</v>
      </c>
      <c r="GH15" s="190">
        <f>AV15*AV$2*IF($FC15="V",1,-1)*IF($Q15="Fixo",(DJ15-INDEX('Curva Forward'!$C$5:$AN$13,MATCH(CONCATENATE(BD_COMERCIAL!$K15," ",BD_COMERCIAL!$L15),'Curva Forward'!$B$5:$B$13,0),MATCH(GH$4,'Curva Forward'!$C$4:$AN$4,0))),DJ15)</f>
        <v>0</v>
      </c>
      <c r="GI15" s="190">
        <f>AW15*AW$2*IF($FC15="V",1,-1)*IF($Q15="Fixo",(DK15-INDEX('Curva Forward'!$C$5:$AN$13,MATCH(CONCATENATE(BD_COMERCIAL!$K15," ",BD_COMERCIAL!$L15),'Curva Forward'!$B$5:$B$13,0),MATCH(GI$4,'Curva Forward'!$C$4:$AN$4,0))),DK15)</f>
        <v>0</v>
      </c>
      <c r="GJ15" s="190">
        <f>AX15*AX$2*IF($FC15="V",1,-1)*IF($Q15="Fixo",(DL15-INDEX('Curva Forward'!$C$5:$AN$13,MATCH(CONCATENATE(BD_COMERCIAL!$K15," ",BD_COMERCIAL!$L15),'Curva Forward'!$B$5:$B$13,0),MATCH(GJ$4,'Curva Forward'!$C$4:$AN$4,0))),DL15)</f>
        <v>0</v>
      </c>
      <c r="GK15" s="190">
        <f>AY15*AY$2*IF($FC15="V",1,-1)*IF($Q15="Fixo",(DM15-INDEX('Curva Forward'!$C$5:$AN$13,MATCH(CONCATENATE(BD_COMERCIAL!$K15," ",BD_COMERCIAL!$L15),'Curva Forward'!$B$5:$B$13,0),MATCH(GK$4,'Curva Forward'!$C$4:$AN$4,0))),DM15)</f>
        <v>0</v>
      </c>
      <c r="GL15" s="190">
        <f>IF(EZ15="",0,CL15*CL$2*IF($FC15="V",1,-1)*IF($Q15="Fixo",(EZ15-INDEX('Curva Forward'!$C$5:$AN$13,MATCH(CONCATENATE(BD_COMERCIAL!$K15," ",BD_COMERCIAL!$L15),'Curva Forward'!$B$5:$B$13,0),MATCH(GL$4,'Curva Forward'!$C$4:$AN$4,0))),EZ15))</f>
        <v>0</v>
      </c>
      <c r="GM15" s="190">
        <f>IF(FA15="",0,CM15*CM$2*IF($FC15="V",1,-1)*IF($Q15="Fixo",(FA15-INDEX('Curva Forward'!$C$5:$AN$13,MATCH(CONCATENATE(BD_COMERCIAL!$K15," ",BD_COMERCIAL!$L15),'Curva Forward'!$B$5:$B$13,0),MATCH(GM$4,'Curva Forward'!$C$4:$AN$4,0))),FA15))</f>
        <v>0</v>
      </c>
      <c r="GN15" s="190">
        <f>IF(FB15="",0,CN15*CN$2*IF($FC15="V",1,-1)*IF($Q15="Fixo",(FB15-INDEX('Curva Forward'!$C$5:$AN$13,MATCH(CONCATENATE(BD_COMERCIAL!$K15," ",BD_COMERCIAL!$L15),'Curva Forward'!$B$5:$B$13,0),MATCH(GN$4,'Curva Forward'!$C$4:$AN$4,0))),FB15))</f>
        <v>0</v>
      </c>
      <c r="GO15" s="191">
        <f t="shared" ca="1" si="11"/>
        <v>0</v>
      </c>
      <c r="GP15" s="191">
        <f t="shared" ca="1" si="12"/>
        <v>-826944</v>
      </c>
      <c r="GQ15"/>
      <c r="GR15" s="84"/>
      <c r="GS15"/>
      <c r="GT15" s="206"/>
      <c r="GU15" s="198"/>
      <c r="GV15"/>
      <c r="GW15"/>
      <c r="GX15" s="191"/>
      <c r="GY15" s="191"/>
      <c r="GZ15" s="190"/>
      <c r="HA15" s="190"/>
      <c r="HB15" s="190"/>
      <c r="HC15" s="190"/>
      <c r="HD15" s="190"/>
      <c r="HE15" s="190"/>
      <c r="HF15" s="190"/>
      <c r="HG15" s="190"/>
      <c r="HH15" s="190"/>
      <c r="HI15" s="190"/>
      <c r="HJ15" s="190"/>
      <c r="HK15" s="190"/>
      <c r="HL15" s="190"/>
      <c r="HM15" s="190"/>
      <c r="HN15" s="190"/>
      <c r="HO15" s="190"/>
      <c r="HP15" s="190"/>
      <c r="HQ15" s="190"/>
      <c r="HR15" s="190"/>
      <c r="HS15" s="190"/>
      <c r="HT15" s="190"/>
      <c r="HU15" s="190"/>
      <c r="HV15" s="190"/>
      <c r="HW15" s="190"/>
      <c r="HX15" s="190"/>
      <c r="HY15" s="190"/>
      <c r="HZ15" s="190"/>
      <c r="IA15" s="191"/>
      <c r="IB15" s="191"/>
    </row>
    <row r="16" spans="1:236" s="276" customFormat="1" x14ac:dyDescent="0.35">
      <c r="A16" s="251"/>
      <c r="B16" s="7">
        <v>23087</v>
      </c>
      <c r="C16" s="8">
        <v>44638</v>
      </c>
      <c r="D16" s="9" t="s">
        <v>130</v>
      </c>
      <c r="E16" s="9" t="s">
        <v>214</v>
      </c>
      <c r="F16" s="112">
        <v>19125927000186</v>
      </c>
      <c r="G16" s="10" t="s">
        <v>124</v>
      </c>
      <c r="H16" s="112">
        <v>3780401000108</v>
      </c>
      <c r="I16" s="9" t="s">
        <v>137</v>
      </c>
      <c r="J16" s="158"/>
      <c r="K16" s="10" t="s">
        <v>126</v>
      </c>
      <c r="L16" s="84" t="s">
        <v>22</v>
      </c>
      <c r="M16" s="11">
        <v>44927</v>
      </c>
      <c r="N16" s="12">
        <v>45016</v>
      </c>
      <c r="O16" s="10">
        <v>10</v>
      </c>
      <c r="P16" s="84">
        <v>212</v>
      </c>
      <c r="Q16" s="84" t="s">
        <v>127</v>
      </c>
      <c r="R16" s="10" t="s">
        <v>128</v>
      </c>
      <c r="S16" s="14" t="s">
        <v>133</v>
      </c>
      <c r="T16" s="11" t="s">
        <v>129</v>
      </c>
      <c r="U16" s="12">
        <v>44638</v>
      </c>
      <c r="V16" s="202">
        <f ca="1">IF(U16="","",
IF(U16="NA","",
IFERROR(VLOOKUP(EOMONTH(M16,-2)+1,IPCA!$A:$B,2,0),
VLOOKUP(EOMONTH(TODAY(),-2)+1,IPCA!$A:$B,2,0))/
VLOOKUP(EOMONTH(U16,-2)+1,IPCA!$A:$B,2,0)*
P16))</f>
        <v>220.82929701829696</v>
      </c>
      <c r="W16" s="84"/>
      <c r="X16" s="13"/>
      <c r="Y16" s="158" t="s">
        <v>7</v>
      </c>
      <c r="Z16" s="106" t="s">
        <v>134</v>
      </c>
      <c r="AA16" s="107">
        <v>44750</v>
      </c>
      <c r="AB16" s="15">
        <v>10</v>
      </c>
      <c r="AC16">
        <v>10</v>
      </c>
      <c r="AD16">
        <v>10</v>
      </c>
      <c r="AE16"/>
      <c r="AF16"/>
      <c r="AG16"/>
      <c r="AH16"/>
      <c r="AI16"/>
      <c r="AJ16"/>
      <c r="AK16"/>
      <c r="AL16"/>
      <c r="AM16" s="6"/>
      <c r="AN16" s="15"/>
      <c r="AO16"/>
      <c r="AP16"/>
      <c r="AQ16"/>
      <c r="AR16"/>
      <c r="AS16"/>
      <c r="AT16"/>
      <c r="AU16"/>
      <c r="AV16"/>
      <c r="AW16"/>
      <c r="AX16"/>
      <c r="AY16" s="6"/>
      <c r="AZ16" s="15"/>
      <c r="BA16"/>
      <c r="BB16"/>
      <c r="BC16"/>
      <c r="BD16"/>
      <c r="BE16"/>
      <c r="BF16"/>
      <c r="BG16"/>
      <c r="BH16"/>
      <c r="BI16"/>
      <c r="BJ16"/>
      <c r="BK16" s="6"/>
      <c r="BL16" s="15"/>
      <c r="BM16"/>
      <c r="BN16"/>
      <c r="BO16"/>
      <c r="BP16"/>
      <c r="BQ16"/>
      <c r="BR16"/>
      <c r="BS16"/>
      <c r="BT16"/>
      <c r="BU16"/>
      <c r="BV16"/>
      <c r="BW16" s="6"/>
      <c r="BX16" s="15"/>
      <c r="BY16"/>
      <c r="BZ16"/>
      <c r="CA16"/>
      <c r="CB16"/>
      <c r="CC16"/>
      <c r="CD16"/>
      <c r="CE16"/>
      <c r="CF16"/>
      <c r="CG16"/>
      <c r="CH16"/>
      <c r="CI16" s="6"/>
      <c r="CJ16" s="16">
        <v>2.4657534246575343</v>
      </c>
      <c r="CK16" s="16" t="s">
        <v>578</v>
      </c>
      <c r="CL16" s="16" t="s">
        <v>578</v>
      </c>
      <c r="CM16" s="16" t="s">
        <v>578</v>
      </c>
      <c r="CN16" s="16" t="s">
        <v>578</v>
      </c>
      <c r="CO16" s="18"/>
      <c r="CP16" s="15">
        <v>212</v>
      </c>
      <c r="CQ16">
        <v>212</v>
      </c>
      <c r="CR16">
        <v>212</v>
      </c>
      <c r="CS16"/>
      <c r="CT16"/>
      <c r="CU16"/>
      <c r="CV16"/>
      <c r="CW16"/>
      <c r="CX16"/>
      <c r="CY16"/>
      <c r="CZ16"/>
      <c r="DA16" s="6"/>
      <c r="DB16" s="15"/>
      <c r="DC16"/>
      <c r="DD16"/>
      <c r="DE16"/>
      <c r="DF16"/>
      <c r="DG16"/>
      <c r="DH16"/>
      <c r="DI16"/>
      <c r="DJ16"/>
      <c r="DK16"/>
      <c r="DL16"/>
      <c r="DM16" s="6"/>
      <c r="DN16" s="15"/>
      <c r="DO16"/>
      <c r="DP16"/>
      <c r="DQ16"/>
      <c r="DR16"/>
      <c r="DS16"/>
      <c r="DT16"/>
      <c r="DU16"/>
      <c r="DV16"/>
      <c r="DW16"/>
      <c r="DX16"/>
      <c r="DY16" s="6"/>
      <c r="DZ16" s="15"/>
      <c r="EA16"/>
      <c r="EB16"/>
      <c r="EC16"/>
      <c r="ED16"/>
      <c r="EE16"/>
      <c r="EF16"/>
      <c r="EG16"/>
      <c r="EH16"/>
      <c r="EI16"/>
      <c r="EJ16"/>
      <c r="EK16" s="6"/>
      <c r="EL16" s="15"/>
      <c r="EM16"/>
      <c r="EN16"/>
      <c r="EO16"/>
      <c r="EP16"/>
      <c r="EQ16"/>
      <c r="ER16"/>
      <c r="ES16"/>
      <c r="ET16"/>
      <c r="EU16"/>
      <c r="EV16"/>
      <c r="EW16" s="6"/>
      <c r="EX16" s="16">
        <v>52.273972602739725</v>
      </c>
      <c r="EY16" s="16" t="s">
        <v>578</v>
      </c>
      <c r="EZ16" s="16" t="s">
        <v>578</v>
      </c>
      <c r="FA16" s="154" t="s">
        <v>578</v>
      </c>
      <c r="FB16" s="154" t="s">
        <v>578</v>
      </c>
      <c r="FC16" t="s">
        <v>196</v>
      </c>
      <c r="FD16" s="20" t="s">
        <v>137</v>
      </c>
      <c r="FE16" s="115"/>
      <c r="FF16" s="199" t="s">
        <v>197</v>
      </c>
      <c r="FG16" s="115"/>
      <c r="FH16" s="206">
        <f t="shared" ca="1" si="6"/>
        <v>8.8292970182969555</v>
      </c>
      <c r="FI16" s="198">
        <f t="shared" si="7"/>
        <v>2.9666666666666668</v>
      </c>
      <c r="FJ16"/>
      <c r="FK16" t="str">
        <f t="shared" si="8"/>
        <v>COPEL COMERCIALIZAÇÃO S.A.</v>
      </c>
      <c r="FL16" s="191">
        <f t="shared" ca="1" si="9"/>
        <v>-1063920</v>
      </c>
      <c r="FM16" s="191">
        <f t="shared" ca="1" si="10"/>
        <v>-2024880</v>
      </c>
      <c r="FN16" s="190">
        <f>AB16*AB$2*IF($FC16="V",1,-1)*IF($Q16="Fixo",(CP16-INDEX('Curva Forward'!$C$5:$AN$13,MATCH(CONCATENATE(BD_COMERCIAL!$K16," ",BD_COMERCIAL!$L16),'Curva Forward'!$B$5:$B$13,0),MATCH(FN$4,'Curva Forward'!$C$4:$AN$4,0))),CP16)</f>
        <v>-1063920</v>
      </c>
      <c r="FO16" s="190">
        <f>AC16*AC$2*IF($FC16="V",1,-1)*IF($Q16="Fixo",(CQ16-INDEX('Curva Forward'!$C$5:$AN$13,MATCH(CONCATENATE(BD_COMERCIAL!$K16," ",BD_COMERCIAL!$L16),'Curva Forward'!$B$5:$B$13,0),MATCH(FO$4,'Curva Forward'!$C$4:$AN$4,0))),CQ16)</f>
        <v>-960960</v>
      </c>
      <c r="FP16" s="190">
        <f>AD16*AD$2*IF($FC16="V",1,-1)*IF($Q16="Fixo",(CR16-INDEX('Curva Forward'!$C$5:$AN$13,MATCH(CONCATENATE(BD_COMERCIAL!$K16," ",BD_COMERCIAL!$L16),'Curva Forward'!$B$5:$B$13,0),MATCH(FP$4,'Curva Forward'!$C$4:$AN$4,0))),CR16)</f>
        <v>-1063920</v>
      </c>
      <c r="FQ16" s="190">
        <f>AE16*AE$2*IF($FC16="V",1,-1)*IF($Q16="Fixo",(CS16-INDEX('Curva Forward'!$C$5:$AN$13,MATCH(CONCATENATE(BD_COMERCIAL!$K16," ",BD_COMERCIAL!$L16),'Curva Forward'!$B$5:$B$13,0),MATCH(FQ$4,'Curva Forward'!$C$4:$AN$4,0))),CS16)</f>
        <v>0</v>
      </c>
      <c r="FR16" s="190">
        <f>AF16*AF$2*IF($FC16="V",1,-1)*IF($Q16="Fixo",(CT16-INDEX('Curva Forward'!$C$5:$AN$13,MATCH(CONCATENATE(BD_COMERCIAL!$K16," ",BD_COMERCIAL!$L16),'Curva Forward'!$B$5:$B$13,0),MATCH(FR$4,'Curva Forward'!$C$4:$AN$4,0))),CT16)</f>
        <v>0</v>
      </c>
      <c r="FS16" s="190">
        <f>AG16*AG$2*IF($FC16="V",1,-1)*IF($Q16="Fixo",(CU16-INDEX('Curva Forward'!$C$5:$AN$13,MATCH(CONCATENATE(BD_COMERCIAL!$K16," ",BD_COMERCIAL!$L16),'Curva Forward'!$B$5:$B$13,0),MATCH(FS$4,'Curva Forward'!$C$4:$AN$4,0))),CU16)</f>
        <v>0</v>
      </c>
      <c r="FT16" s="190">
        <f>AH16*AH$2*IF($FC16="V",1,-1)*IF($Q16="Fixo",(CV16-INDEX('Curva Forward'!$C$5:$AN$13,MATCH(CONCATENATE(BD_COMERCIAL!$K16," ",BD_COMERCIAL!$L16),'Curva Forward'!$B$5:$B$13,0),MATCH(FT$4,'Curva Forward'!$C$4:$AN$4,0))),CV16)</f>
        <v>0</v>
      </c>
      <c r="FU16" s="190">
        <f>AI16*AI$2*IF($FC16="V",1,-1)*IF($Q16="Fixo",(CW16-INDEX('Curva Forward'!$C$5:$AN$13,MATCH(CONCATENATE(BD_COMERCIAL!$K16," ",BD_COMERCIAL!$L16),'Curva Forward'!$B$5:$B$13,0),MATCH(FU$4,'Curva Forward'!$C$4:$AN$4,0))),CW16)</f>
        <v>0</v>
      </c>
      <c r="FV16" s="190">
        <f>AJ16*AJ$2*IF($FC16="V",1,-1)*IF($Q16="Fixo",(CX16-INDEX('Curva Forward'!$C$5:$AN$13,MATCH(CONCATENATE(BD_COMERCIAL!$K16," ",BD_COMERCIAL!$L16),'Curva Forward'!$B$5:$B$13,0),MATCH(FV$4,'Curva Forward'!$C$4:$AN$4,0))),CX16)</f>
        <v>0</v>
      </c>
      <c r="FW16" s="190">
        <f>AK16*AK$2*IF($FC16="V",1,-1)*IF($Q16="Fixo",(CY16-INDEX('Curva Forward'!$C$5:$AN$13,MATCH(CONCATENATE(BD_COMERCIAL!$K16," ",BD_COMERCIAL!$L16),'Curva Forward'!$B$5:$B$13,0),MATCH(FW$4,'Curva Forward'!$C$4:$AN$4,0))),CY16)</f>
        <v>0</v>
      </c>
      <c r="FX16" s="190">
        <f>AL16*AL$2*IF($FC16="V",1,-1)*IF($Q16="Fixo",(CZ16-INDEX('Curva Forward'!$C$5:$AN$13,MATCH(CONCATENATE(BD_COMERCIAL!$K16," ",BD_COMERCIAL!$L16),'Curva Forward'!$B$5:$B$13,0),MATCH(FX$4,'Curva Forward'!$C$4:$AN$4,0))),CZ16)</f>
        <v>0</v>
      </c>
      <c r="FY16" s="190">
        <f>AM16*AM$2*IF($FC16="V",1,-1)*IF($Q16="Fixo",(DA16-INDEX('Curva Forward'!$C$5:$AN$13,MATCH(CONCATENATE(BD_COMERCIAL!$K16," ",BD_COMERCIAL!$L16),'Curva Forward'!$B$5:$B$13,0),MATCH(FY$4,'Curva Forward'!$C$4:$AN$4,0))),DA16)</f>
        <v>0</v>
      </c>
      <c r="FZ16" s="190">
        <f>AN16*AN$2*IF($FC16="V",1,-1)*IF($Q16="Fixo",(DB16-INDEX('Curva Forward'!$C$5:$AN$13,MATCH(CONCATENATE(BD_COMERCIAL!$K16," ",BD_COMERCIAL!$L16),'Curva Forward'!$B$5:$B$13,0),MATCH(FZ$4,'Curva Forward'!$C$4:$AN$4,0))),DB16)</f>
        <v>0</v>
      </c>
      <c r="GA16" s="190">
        <f>AO16*AO$2*IF($FC16="V",1,-1)*IF($Q16="Fixo",(DC16-INDEX('Curva Forward'!$C$5:$AN$13,MATCH(CONCATENATE(BD_COMERCIAL!$K16," ",BD_COMERCIAL!$L16),'Curva Forward'!$B$5:$B$13,0),MATCH(GA$4,'Curva Forward'!$C$4:$AN$4,0))),DC16)</f>
        <v>0</v>
      </c>
      <c r="GB16" s="190">
        <f>AP16*AP$2*IF($FC16="V",1,-1)*IF($Q16="Fixo",(DD16-INDEX('Curva Forward'!$C$5:$AN$13,MATCH(CONCATENATE(BD_COMERCIAL!$K16," ",BD_COMERCIAL!$L16),'Curva Forward'!$B$5:$B$13,0),MATCH(GB$4,'Curva Forward'!$C$4:$AN$4,0))),DD16)</f>
        <v>0</v>
      </c>
      <c r="GC16" s="190">
        <f>AQ16*AQ$2*IF($FC16="V",1,-1)*IF($Q16="Fixo",(DE16-INDEX('Curva Forward'!$C$5:$AN$13,MATCH(CONCATENATE(BD_COMERCIAL!$K16," ",BD_COMERCIAL!$L16),'Curva Forward'!$B$5:$B$13,0),MATCH(GC$4,'Curva Forward'!$C$4:$AN$4,0))),DE16)</f>
        <v>0</v>
      </c>
      <c r="GD16" s="190">
        <f>AR16*AR$2*IF($FC16="V",1,-1)*IF($Q16="Fixo",(DF16-INDEX('Curva Forward'!$C$5:$AN$13,MATCH(CONCATENATE(BD_COMERCIAL!$K16," ",BD_COMERCIAL!$L16),'Curva Forward'!$B$5:$B$13,0),MATCH(GD$4,'Curva Forward'!$C$4:$AN$4,0))),DF16)</f>
        <v>0</v>
      </c>
      <c r="GE16" s="190">
        <f>AS16*AS$2*IF($FC16="V",1,-1)*IF($Q16="Fixo",(DG16-INDEX('Curva Forward'!$C$5:$AN$13,MATCH(CONCATENATE(BD_COMERCIAL!$K16," ",BD_COMERCIAL!$L16),'Curva Forward'!$B$5:$B$13,0),MATCH(GE$4,'Curva Forward'!$C$4:$AN$4,0))),DG16)</f>
        <v>0</v>
      </c>
      <c r="GF16" s="190">
        <f>AT16*AT$2*IF($FC16="V",1,-1)*IF($Q16="Fixo",(DH16-INDEX('Curva Forward'!$C$5:$AN$13,MATCH(CONCATENATE(BD_COMERCIAL!$K16," ",BD_COMERCIAL!$L16),'Curva Forward'!$B$5:$B$13,0),MATCH(GF$4,'Curva Forward'!$C$4:$AN$4,0))),DH16)</f>
        <v>0</v>
      </c>
      <c r="GG16" s="190">
        <f>AU16*AU$2*IF($FC16="V",1,-1)*IF($Q16="Fixo",(DI16-INDEX('Curva Forward'!$C$5:$AN$13,MATCH(CONCATENATE(BD_COMERCIAL!$K16," ",BD_COMERCIAL!$L16),'Curva Forward'!$B$5:$B$13,0),MATCH(GG$4,'Curva Forward'!$C$4:$AN$4,0))),DI16)</f>
        <v>0</v>
      </c>
      <c r="GH16" s="190">
        <f>AV16*AV$2*IF($FC16="V",1,-1)*IF($Q16="Fixo",(DJ16-INDEX('Curva Forward'!$C$5:$AN$13,MATCH(CONCATENATE(BD_COMERCIAL!$K16," ",BD_COMERCIAL!$L16),'Curva Forward'!$B$5:$B$13,0),MATCH(GH$4,'Curva Forward'!$C$4:$AN$4,0))),DJ16)</f>
        <v>0</v>
      </c>
      <c r="GI16" s="190">
        <f>AW16*AW$2*IF($FC16="V",1,-1)*IF($Q16="Fixo",(DK16-INDEX('Curva Forward'!$C$5:$AN$13,MATCH(CONCATENATE(BD_COMERCIAL!$K16," ",BD_COMERCIAL!$L16),'Curva Forward'!$B$5:$B$13,0),MATCH(GI$4,'Curva Forward'!$C$4:$AN$4,0))),DK16)</f>
        <v>0</v>
      </c>
      <c r="GJ16" s="190">
        <f>AX16*AX$2*IF($FC16="V",1,-1)*IF($Q16="Fixo",(DL16-INDEX('Curva Forward'!$C$5:$AN$13,MATCH(CONCATENATE(BD_COMERCIAL!$K16," ",BD_COMERCIAL!$L16),'Curva Forward'!$B$5:$B$13,0),MATCH(GJ$4,'Curva Forward'!$C$4:$AN$4,0))),DL16)</f>
        <v>0</v>
      </c>
      <c r="GK16" s="190">
        <f>AY16*AY$2*IF($FC16="V",1,-1)*IF($Q16="Fixo",(DM16-INDEX('Curva Forward'!$C$5:$AN$13,MATCH(CONCATENATE(BD_COMERCIAL!$K16," ",BD_COMERCIAL!$L16),'Curva Forward'!$B$5:$B$13,0),MATCH(GK$4,'Curva Forward'!$C$4:$AN$4,0))),DM16)</f>
        <v>0</v>
      </c>
      <c r="GL16" s="190">
        <f>IF(EZ16="",0,CL16*CL$2*IF($FC16="V",1,-1)*IF($Q16="Fixo",(EZ16-INDEX('Curva Forward'!$C$5:$AN$13,MATCH(CONCATENATE(BD_COMERCIAL!$K16," ",BD_COMERCIAL!$L16),'Curva Forward'!$B$5:$B$13,0),MATCH(GL$4,'Curva Forward'!$C$4:$AN$4,0))),EZ16))</f>
        <v>0</v>
      </c>
      <c r="GM16" s="190">
        <f>IF(FA16="",0,CM16*CM$2*IF($FC16="V",1,-1)*IF($Q16="Fixo",(FA16-INDEX('Curva Forward'!$C$5:$AN$13,MATCH(CONCATENATE(BD_COMERCIAL!$K16," ",BD_COMERCIAL!$L16),'Curva Forward'!$B$5:$B$13,0),MATCH(GM$4,'Curva Forward'!$C$4:$AN$4,0))),FA16))</f>
        <v>0</v>
      </c>
      <c r="GN16" s="190">
        <f>IF(FB16="",0,CN16*CN$2*IF($FC16="V",1,-1)*IF($Q16="Fixo",(FB16-INDEX('Curva Forward'!$C$5:$AN$13,MATCH(CONCATENATE(BD_COMERCIAL!$K16," ",BD_COMERCIAL!$L16),'Curva Forward'!$B$5:$B$13,0),MATCH(GN$4,'Curva Forward'!$C$4:$AN$4,0))),FB16))</f>
        <v>0</v>
      </c>
      <c r="GO16" s="191">
        <f t="shared" ca="1" si="11"/>
        <v>0</v>
      </c>
      <c r="GP16" s="191">
        <f t="shared" ca="1" si="12"/>
        <v>-2024880</v>
      </c>
      <c r="GQ16"/>
      <c r="GR16" s="84"/>
      <c r="GS16"/>
      <c r="GT16" s="206"/>
      <c r="GU16" s="198"/>
      <c r="GV16"/>
      <c r="GW16"/>
      <c r="GX16" s="191"/>
      <c r="GY16" s="191"/>
      <c r="GZ16" s="190"/>
      <c r="HA16" s="190"/>
      <c r="HB16" s="190"/>
      <c r="HC16" s="190"/>
      <c r="HD16" s="190"/>
      <c r="HE16" s="190"/>
      <c r="HF16" s="190"/>
      <c r="HG16" s="190"/>
      <c r="HH16" s="190"/>
      <c r="HI16" s="190"/>
      <c r="HJ16" s="190"/>
      <c r="HK16" s="190"/>
      <c r="HL16" s="190"/>
      <c r="HM16" s="190"/>
      <c r="HN16" s="190"/>
      <c r="HO16" s="190"/>
      <c r="HP16" s="190"/>
      <c r="HQ16" s="190"/>
      <c r="HR16" s="190"/>
      <c r="HS16" s="190"/>
      <c r="HT16" s="190"/>
      <c r="HU16" s="190"/>
      <c r="HV16" s="190"/>
      <c r="HW16" s="190"/>
      <c r="HX16" s="190"/>
      <c r="HY16" s="190"/>
      <c r="HZ16" s="190"/>
      <c r="IA16" s="191"/>
      <c r="IB16" s="191"/>
    </row>
    <row r="17" spans="1:236" s="265" customFormat="1" ht="15" customHeight="1" x14ac:dyDescent="0.35">
      <c r="A17" s="251"/>
      <c r="B17" s="7" t="s">
        <v>325</v>
      </c>
      <c r="C17" s="8">
        <v>44644</v>
      </c>
      <c r="D17" s="9" t="s">
        <v>123</v>
      </c>
      <c r="E17" s="9" t="s">
        <v>124</v>
      </c>
      <c r="F17" s="112">
        <v>3780401000108</v>
      </c>
      <c r="G17" s="10" t="s">
        <v>155</v>
      </c>
      <c r="H17" s="112">
        <v>58177643000195</v>
      </c>
      <c r="I17" s="9" t="s">
        <v>137</v>
      </c>
      <c r="J17" s="158"/>
      <c r="K17" s="10" t="s">
        <v>126</v>
      </c>
      <c r="L17" s="84" t="s">
        <v>22</v>
      </c>
      <c r="M17" s="11">
        <v>44927</v>
      </c>
      <c r="N17" s="12">
        <v>45291</v>
      </c>
      <c r="O17" s="10">
        <v>3</v>
      </c>
      <c r="P17" s="84">
        <v>215</v>
      </c>
      <c r="Q17" s="84" t="s">
        <v>127</v>
      </c>
      <c r="R17" s="10" t="s">
        <v>128</v>
      </c>
      <c r="S17" s="14" t="s">
        <v>133</v>
      </c>
      <c r="T17" s="11" t="s">
        <v>129</v>
      </c>
      <c r="U17" s="12">
        <v>44644</v>
      </c>
      <c r="V17" s="202">
        <f ca="1">IF(U17="","",
IF(U17="NA","",
IFERROR(VLOOKUP(EOMONTH(M17,-2)+1,IPCA!$A:$B,2,0),
VLOOKUP(EOMONTH(TODAY(),-2)+1,IPCA!$A:$B,2,0))/
VLOOKUP(EOMONTH(U17,-2)+1,IPCA!$A:$B,2,0)*
P17))</f>
        <v>223.95423990063136</v>
      </c>
      <c r="W17" s="84"/>
      <c r="X17" s="13" t="s">
        <v>132</v>
      </c>
      <c r="Y17" s="158" t="s">
        <v>400</v>
      </c>
      <c r="Z17" s="106"/>
      <c r="AA17" s="107"/>
      <c r="AB17" s="15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 s="6">
        <v>3</v>
      </c>
      <c r="AN17" s="15"/>
      <c r="AO17"/>
      <c r="AP17"/>
      <c r="AQ17"/>
      <c r="AR17"/>
      <c r="AS17"/>
      <c r="AT17"/>
      <c r="AU17"/>
      <c r="AV17"/>
      <c r="AW17"/>
      <c r="AX17"/>
      <c r="AY17" s="6"/>
      <c r="AZ17" s="15"/>
      <c r="BA17"/>
      <c r="BB17"/>
      <c r="BC17"/>
      <c r="BD17"/>
      <c r="BE17"/>
      <c r="BF17"/>
      <c r="BG17"/>
      <c r="BH17"/>
      <c r="BI17"/>
      <c r="BJ17"/>
      <c r="BK17" s="6"/>
      <c r="BL17" s="15"/>
      <c r="BM17"/>
      <c r="BN17"/>
      <c r="BO17"/>
      <c r="BP17"/>
      <c r="BQ17"/>
      <c r="BR17"/>
      <c r="BS17"/>
      <c r="BT17"/>
      <c r="BU17"/>
      <c r="BV17"/>
      <c r="BW17" s="6"/>
      <c r="BX17" s="15"/>
      <c r="BY17"/>
      <c r="BZ17"/>
      <c r="CA17"/>
      <c r="CB17"/>
      <c r="CC17"/>
      <c r="CD17"/>
      <c r="CE17"/>
      <c r="CF17"/>
      <c r="CG17"/>
      <c r="CH17"/>
      <c r="CI17" s="6"/>
      <c r="CJ17" s="16">
        <v>3</v>
      </c>
      <c r="CK17" s="16" t="s">
        <v>578</v>
      </c>
      <c r="CL17" s="16" t="s">
        <v>578</v>
      </c>
      <c r="CM17" s="16" t="s">
        <v>578</v>
      </c>
      <c r="CN17" s="16" t="s">
        <v>578</v>
      </c>
      <c r="CO17" s="18"/>
      <c r="CP17" s="15">
        <v>215</v>
      </c>
      <c r="CQ17">
        <v>215</v>
      </c>
      <c r="CR17">
        <v>215</v>
      </c>
      <c r="CS17">
        <v>215</v>
      </c>
      <c r="CT17">
        <v>215</v>
      </c>
      <c r="CU17">
        <v>215</v>
      </c>
      <c r="CV17">
        <v>215</v>
      </c>
      <c r="CW17">
        <v>215</v>
      </c>
      <c r="CX17">
        <v>215</v>
      </c>
      <c r="CY17">
        <v>215</v>
      </c>
      <c r="CZ17">
        <v>215</v>
      </c>
      <c r="DA17" s="6">
        <v>215</v>
      </c>
      <c r="DB17" s="15"/>
      <c r="DC17"/>
      <c r="DD17"/>
      <c r="DE17"/>
      <c r="DF17"/>
      <c r="DG17"/>
      <c r="DH17"/>
      <c r="DI17"/>
      <c r="DJ17"/>
      <c r="DK17"/>
      <c r="DL17"/>
      <c r="DM17" s="6"/>
      <c r="DN17" s="15"/>
      <c r="DO17"/>
      <c r="DP17"/>
      <c r="DQ17"/>
      <c r="DR17"/>
      <c r="DS17"/>
      <c r="DT17"/>
      <c r="DU17"/>
      <c r="DV17"/>
      <c r="DW17"/>
      <c r="DX17"/>
      <c r="DY17" s="6"/>
      <c r="DZ17" s="15"/>
      <c r="EA17"/>
      <c r="EB17"/>
      <c r="EC17"/>
      <c r="ED17"/>
      <c r="EE17"/>
      <c r="EF17"/>
      <c r="EG17"/>
      <c r="EH17"/>
      <c r="EI17"/>
      <c r="EJ17"/>
      <c r="EK17" s="6"/>
      <c r="EL17" s="15"/>
      <c r="EM17"/>
      <c r="EN17"/>
      <c r="EO17"/>
      <c r="EP17"/>
      <c r="EQ17"/>
      <c r="ER17"/>
      <c r="ES17"/>
      <c r="ET17"/>
      <c r="EU17"/>
      <c r="EV17"/>
      <c r="EW17" s="6"/>
      <c r="EX17" s="16">
        <v>215</v>
      </c>
      <c r="EY17" s="16" t="s">
        <v>578</v>
      </c>
      <c r="EZ17" s="16" t="s">
        <v>578</v>
      </c>
      <c r="FA17" s="154" t="s">
        <v>578</v>
      </c>
      <c r="FB17" s="154" t="s">
        <v>578</v>
      </c>
      <c r="FC17" t="s">
        <v>195</v>
      </c>
      <c r="FD17" s="20" t="s">
        <v>137</v>
      </c>
      <c r="FE17" s="115"/>
      <c r="FF17" s="199" t="s">
        <v>197</v>
      </c>
      <c r="FG17" s="115"/>
      <c r="FH17" s="206">
        <f t="shared" ca="1" si="6"/>
        <v>8.9542399006313644</v>
      </c>
      <c r="FI17" s="198">
        <f t="shared" si="7"/>
        <v>12.133333333333333</v>
      </c>
      <c r="FJ17"/>
      <c r="FK17" t="str">
        <f t="shared" si="8"/>
        <v>COMERC Comercializadora de Energia Elétrica Ltda.</v>
      </c>
      <c r="FL17" s="191">
        <f t="shared" ca="1" si="9"/>
        <v>325872</v>
      </c>
      <c r="FM17" s="191">
        <f t="shared" ca="1" si="10"/>
        <v>3440376</v>
      </c>
      <c r="FN17" s="190">
        <f>AB17*AB$2*IF($FC17="V",1,-1)*IF($Q17="Fixo",(CP17-INDEX('Curva Forward'!$C$5:$AN$13,MATCH(CONCATENATE(BD_COMERCIAL!$K17," ",BD_COMERCIAL!$L17),'Curva Forward'!$B$5:$B$13,0),MATCH(FN$4,'Curva Forward'!$C$4:$AN$4,0))),CP17)</f>
        <v>325872</v>
      </c>
      <c r="FO17" s="190">
        <f>AC17*AC$2*IF($FC17="V",1,-1)*IF($Q17="Fixo",(CQ17-INDEX('Curva Forward'!$C$5:$AN$13,MATCH(CONCATENATE(BD_COMERCIAL!$K17," ",BD_COMERCIAL!$L17),'Curva Forward'!$B$5:$B$13,0),MATCH(FO$4,'Curva Forward'!$C$4:$AN$4,0))),CQ17)</f>
        <v>294336</v>
      </c>
      <c r="FP17" s="190">
        <f>AD17*AD$2*IF($FC17="V",1,-1)*IF($Q17="Fixo",(CR17-INDEX('Curva Forward'!$C$5:$AN$13,MATCH(CONCATENATE(BD_COMERCIAL!$K17," ",BD_COMERCIAL!$L17),'Curva Forward'!$B$5:$B$13,0),MATCH(FP$4,'Curva Forward'!$C$4:$AN$4,0))),CR17)</f>
        <v>325872</v>
      </c>
      <c r="FQ17" s="190">
        <f>AE17*AE$2*IF($FC17="V",1,-1)*IF($Q17="Fixo",(CS17-INDEX('Curva Forward'!$C$5:$AN$13,MATCH(CONCATENATE(BD_COMERCIAL!$K17," ",BD_COMERCIAL!$L17),'Curva Forward'!$B$5:$B$13,0),MATCH(FQ$4,'Curva Forward'!$C$4:$AN$4,0))),CS17)</f>
        <v>315360</v>
      </c>
      <c r="FR17" s="190">
        <f>AF17*AF$2*IF($FC17="V",1,-1)*IF($Q17="Fixo",(CT17-INDEX('Curva Forward'!$C$5:$AN$13,MATCH(CONCATENATE(BD_COMERCIAL!$K17," ",BD_COMERCIAL!$L17),'Curva Forward'!$B$5:$B$13,0),MATCH(FR$4,'Curva Forward'!$C$4:$AN$4,0))),CT17)</f>
        <v>323640</v>
      </c>
      <c r="FS17" s="190">
        <f>AG17*AG$2*IF($FC17="V",1,-1)*IF($Q17="Fixo",(CU17-INDEX('Curva Forward'!$C$5:$AN$13,MATCH(CONCATENATE(BD_COMERCIAL!$K17," ",BD_COMERCIAL!$L17),'Curva Forward'!$B$5:$B$13,0),MATCH(FS$4,'Curva Forward'!$C$4:$AN$4,0))),CU17)</f>
        <v>313200</v>
      </c>
      <c r="FT17" s="190">
        <f>AH17*AH$2*IF($FC17="V",1,-1)*IF($Q17="Fixo",(CV17-INDEX('Curva Forward'!$C$5:$AN$13,MATCH(CONCATENATE(BD_COMERCIAL!$K17," ",BD_COMERCIAL!$L17),'Curva Forward'!$B$5:$B$13,0),MATCH(FT$4,'Curva Forward'!$C$4:$AN$4,0))),CV17)</f>
        <v>316944</v>
      </c>
      <c r="FU17" s="190">
        <f>AI17*AI$2*IF($FC17="V",1,-1)*IF($Q17="Fixo",(CW17-INDEX('Curva Forward'!$C$5:$AN$13,MATCH(CONCATENATE(BD_COMERCIAL!$K17," ",BD_COMERCIAL!$L17),'Curva Forward'!$B$5:$B$13,0),MATCH(FU$4,'Curva Forward'!$C$4:$AN$4,0))),CW17)</f>
        <v>316944</v>
      </c>
      <c r="FV17" s="190">
        <f>AJ17*AJ$2*IF($FC17="V",1,-1)*IF($Q17="Fixo",(CX17-INDEX('Curva Forward'!$C$5:$AN$13,MATCH(CONCATENATE(BD_COMERCIAL!$K17," ",BD_COMERCIAL!$L17),'Curva Forward'!$B$5:$B$13,0),MATCH(FV$4,'Curva Forward'!$C$4:$AN$4,0))),CX17)</f>
        <v>306720</v>
      </c>
      <c r="FW17" s="190">
        <f>AK17*AK$2*IF($FC17="V",1,-1)*IF($Q17="Fixo",(CY17-INDEX('Curva Forward'!$C$5:$AN$13,MATCH(CONCATENATE(BD_COMERCIAL!$K17," ",BD_COMERCIAL!$L17),'Curva Forward'!$B$5:$B$13,0),MATCH(FW$4,'Curva Forward'!$C$4:$AN$4,0))),CY17)</f>
        <v>312480</v>
      </c>
      <c r="FX17" s="190">
        <f>AL17*AL$2*IF($FC17="V",1,-1)*IF($Q17="Fixo",(CZ17-INDEX('Curva Forward'!$C$5:$AN$13,MATCH(CONCATENATE(BD_COMERCIAL!$K17," ",BD_COMERCIAL!$L17),'Curva Forward'!$B$5:$B$13,0),MATCH(FX$4,'Curva Forward'!$C$4:$AN$4,0))),CZ17)</f>
        <v>302400</v>
      </c>
      <c r="FY17" s="190">
        <f>AM17*AM$2*IF($FC17="V",1,-1)*IF($Q17="Fixo",(DA17-INDEX('Curva Forward'!$C$5:$AN$13,MATCH(CONCATENATE(BD_COMERCIAL!$K17," ",BD_COMERCIAL!$L17),'Curva Forward'!$B$5:$B$13,0),MATCH(FY$4,'Curva Forward'!$C$4:$AN$4,0))),DA17)</f>
        <v>312480</v>
      </c>
      <c r="FZ17" s="190">
        <f>AN17*AN$2*IF($FC17="V",1,-1)*IF($Q17="Fixo",(DB17-INDEX('Curva Forward'!$C$5:$AN$13,MATCH(CONCATENATE(BD_COMERCIAL!$K17," ",BD_COMERCIAL!$L17),'Curva Forward'!$B$5:$B$13,0),MATCH(FZ$4,'Curva Forward'!$C$4:$AN$4,0))),DB17)</f>
        <v>0</v>
      </c>
      <c r="GA17" s="190">
        <f>AO17*AO$2*IF($FC17="V",1,-1)*IF($Q17="Fixo",(DC17-INDEX('Curva Forward'!$C$5:$AN$13,MATCH(CONCATENATE(BD_COMERCIAL!$K17," ",BD_COMERCIAL!$L17),'Curva Forward'!$B$5:$B$13,0),MATCH(GA$4,'Curva Forward'!$C$4:$AN$4,0))),DC17)</f>
        <v>0</v>
      </c>
      <c r="GB17" s="190">
        <f>AP17*AP$2*IF($FC17="V",1,-1)*IF($Q17="Fixo",(DD17-INDEX('Curva Forward'!$C$5:$AN$13,MATCH(CONCATENATE(BD_COMERCIAL!$K17," ",BD_COMERCIAL!$L17),'Curva Forward'!$B$5:$B$13,0),MATCH(GB$4,'Curva Forward'!$C$4:$AN$4,0))),DD17)</f>
        <v>0</v>
      </c>
      <c r="GC17" s="190">
        <f>AQ17*AQ$2*IF($FC17="V",1,-1)*IF($Q17="Fixo",(DE17-INDEX('Curva Forward'!$C$5:$AN$13,MATCH(CONCATENATE(BD_COMERCIAL!$K17," ",BD_COMERCIAL!$L17),'Curva Forward'!$B$5:$B$13,0),MATCH(GC$4,'Curva Forward'!$C$4:$AN$4,0))),DE17)</f>
        <v>0</v>
      </c>
      <c r="GD17" s="190">
        <f>AR17*AR$2*IF($FC17="V",1,-1)*IF($Q17="Fixo",(DF17-INDEX('Curva Forward'!$C$5:$AN$13,MATCH(CONCATENATE(BD_COMERCIAL!$K17," ",BD_COMERCIAL!$L17),'Curva Forward'!$B$5:$B$13,0),MATCH(GD$4,'Curva Forward'!$C$4:$AN$4,0))),DF17)</f>
        <v>0</v>
      </c>
      <c r="GE17" s="190">
        <f>AS17*AS$2*IF($FC17="V",1,-1)*IF($Q17="Fixo",(DG17-INDEX('Curva Forward'!$C$5:$AN$13,MATCH(CONCATENATE(BD_COMERCIAL!$K17," ",BD_COMERCIAL!$L17),'Curva Forward'!$B$5:$B$13,0),MATCH(GE$4,'Curva Forward'!$C$4:$AN$4,0))),DG17)</f>
        <v>0</v>
      </c>
      <c r="GF17" s="190">
        <f>AT17*AT$2*IF($FC17="V",1,-1)*IF($Q17="Fixo",(DH17-INDEX('Curva Forward'!$C$5:$AN$13,MATCH(CONCATENATE(BD_COMERCIAL!$K17," ",BD_COMERCIAL!$L17),'Curva Forward'!$B$5:$B$13,0),MATCH(GF$4,'Curva Forward'!$C$4:$AN$4,0))),DH17)</f>
        <v>0</v>
      </c>
      <c r="GG17" s="190">
        <f>AU17*AU$2*IF($FC17="V",1,-1)*IF($Q17="Fixo",(DI17-INDEX('Curva Forward'!$C$5:$AN$13,MATCH(CONCATENATE(BD_COMERCIAL!$K17," ",BD_COMERCIAL!$L17),'Curva Forward'!$B$5:$B$13,0),MATCH(GG$4,'Curva Forward'!$C$4:$AN$4,0))),DI17)</f>
        <v>0</v>
      </c>
      <c r="GH17" s="190">
        <f>AV17*AV$2*IF($FC17="V",1,-1)*IF($Q17="Fixo",(DJ17-INDEX('Curva Forward'!$C$5:$AN$13,MATCH(CONCATENATE(BD_COMERCIAL!$K17," ",BD_COMERCIAL!$L17),'Curva Forward'!$B$5:$B$13,0),MATCH(GH$4,'Curva Forward'!$C$4:$AN$4,0))),DJ17)</f>
        <v>0</v>
      </c>
      <c r="GI17" s="190">
        <f>AW17*AW$2*IF($FC17="V",1,-1)*IF($Q17="Fixo",(DK17-INDEX('Curva Forward'!$C$5:$AN$13,MATCH(CONCATENATE(BD_COMERCIAL!$K17," ",BD_COMERCIAL!$L17),'Curva Forward'!$B$5:$B$13,0),MATCH(GI$4,'Curva Forward'!$C$4:$AN$4,0))),DK17)</f>
        <v>0</v>
      </c>
      <c r="GJ17" s="190">
        <f>AX17*AX$2*IF($FC17="V",1,-1)*IF($Q17="Fixo",(DL17-INDEX('Curva Forward'!$C$5:$AN$13,MATCH(CONCATENATE(BD_COMERCIAL!$K17," ",BD_COMERCIAL!$L17),'Curva Forward'!$B$5:$B$13,0),MATCH(GJ$4,'Curva Forward'!$C$4:$AN$4,0))),DL17)</f>
        <v>0</v>
      </c>
      <c r="GK17" s="190">
        <f>AY17*AY$2*IF($FC17="V",1,-1)*IF($Q17="Fixo",(DM17-INDEX('Curva Forward'!$C$5:$AN$13,MATCH(CONCATENATE(BD_COMERCIAL!$K17," ",BD_COMERCIAL!$L17),'Curva Forward'!$B$5:$B$13,0),MATCH(GK$4,'Curva Forward'!$C$4:$AN$4,0))),DM17)</f>
        <v>0</v>
      </c>
      <c r="GL17" s="190">
        <f>IF(EZ17="",0,CL17*CL$2*IF($FC17="V",1,-1)*IF($Q17="Fixo",(EZ17-INDEX('Curva Forward'!$C$5:$AN$13,MATCH(CONCATENATE(BD_COMERCIAL!$K17," ",BD_COMERCIAL!$L17),'Curva Forward'!$B$5:$B$13,0),MATCH(GL$4,'Curva Forward'!$C$4:$AN$4,0))),EZ17))</f>
        <v>0</v>
      </c>
      <c r="GM17" s="190">
        <f>IF(FA17="",0,CM17*CM$2*IF($FC17="V",1,-1)*IF($Q17="Fixo",(FA17-INDEX('Curva Forward'!$C$5:$AN$13,MATCH(CONCATENATE(BD_COMERCIAL!$K17," ",BD_COMERCIAL!$L17),'Curva Forward'!$B$5:$B$13,0),MATCH(GM$4,'Curva Forward'!$C$4:$AN$4,0))),FA17))</f>
        <v>0</v>
      </c>
      <c r="GN17" s="190">
        <f>IF(FB17="",0,CN17*CN$2*IF($FC17="V",1,-1)*IF($Q17="Fixo",(FB17-INDEX('Curva Forward'!$C$5:$AN$13,MATCH(CONCATENATE(BD_COMERCIAL!$K17," ",BD_COMERCIAL!$L17),'Curva Forward'!$B$5:$B$13,0),MATCH(GN$4,'Curva Forward'!$C$4:$AN$4,0))),FB17))</f>
        <v>0</v>
      </c>
      <c r="GO17" s="191">
        <f t="shared" ca="1" si="11"/>
        <v>3440376</v>
      </c>
      <c r="GP17" s="191">
        <f t="shared" ca="1" si="12"/>
        <v>0</v>
      </c>
      <c r="GQ17"/>
      <c r="GR17" s="84"/>
      <c r="GS17"/>
      <c r="GT17" s="206"/>
      <c r="GU17" s="198"/>
      <c r="GV17"/>
      <c r="GW17"/>
      <c r="GX17" s="191"/>
      <c r="GY17" s="191"/>
      <c r="GZ17" s="190"/>
      <c r="HA17" s="190"/>
      <c r="HB17" s="190"/>
      <c r="HC17" s="190"/>
      <c r="HD17" s="190"/>
      <c r="HE17" s="190"/>
      <c r="HF17" s="190"/>
      <c r="HG17" s="190"/>
      <c r="HH17" s="190"/>
      <c r="HI17" s="190"/>
      <c r="HJ17" s="190"/>
      <c r="HK17" s="190"/>
      <c r="HL17" s="190"/>
      <c r="HM17" s="190"/>
      <c r="HN17" s="190"/>
      <c r="HO17" s="190"/>
      <c r="HP17" s="190"/>
      <c r="HQ17" s="190"/>
      <c r="HR17" s="190"/>
      <c r="HS17" s="190"/>
      <c r="HT17" s="190"/>
      <c r="HU17" s="190"/>
      <c r="HV17" s="190"/>
      <c r="HW17" s="190"/>
      <c r="HX17" s="190"/>
      <c r="HY17" s="190"/>
      <c r="HZ17" s="190"/>
      <c r="IA17" s="191"/>
      <c r="IB17" s="191"/>
    </row>
    <row r="18" spans="1:236" s="265" customFormat="1" ht="15" customHeight="1" x14ac:dyDescent="0.35">
      <c r="A18" s="251"/>
      <c r="B18" s="7">
        <v>23569</v>
      </c>
      <c r="C18" s="8">
        <v>44649</v>
      </c>
      <c r="D18" s="9" t="s">
        <v>123</v>
      </c>
      <c r="E18" s="9" t="s">
        <v>124</v>
      </c>
      <c r="F18" s="112">
        <v>3780401000108</v>
      </c>
      <c r="G18" s="10" t="s">
        <v>177</v>
      </c>
      <c r="H18" s="112">
        <v>27796415000170</v>
      </c>
      <c r="I18" s="9" t="s">
        <v>137</v>
      </c>
      <c r="J18" s="158"/>
      <c r="K18" s="10" t="s">
        <v>126</v>
      </c>
      <c r="L18" s="84" t="s">
        <v>22</v>
      </c>
      <c r="M18" s="11">
        <v>44927</v>
      </c>
      <c r="N18" s="12">
        <v>45016</v>
      </c>
      <c r="O18" s="10">
        <v>9.1666670000000003</v>
      </c>
      <c r="P18" s="84">
        <v>210</v>
      </c>
      <c r="Q18" s="84" t="s">
        <v>127</v>
      </c>
      <c r="R18" s="10" t="s">
        <v>128</v>
      </c>
      <c r="S18" s="14" t="s">
        <v>133</v>
      </c>
      <c r="T18" s="11" t="s">
        <v>129</v>
      </c>
      <c r="U18" s="12">
        <v>44652</v>
      </c>
      <c r="V18" s="202">
        <f ca="1">IF(U18="","",
IF(U18="NA","",
IFERROR(VLOOKUP(EOMONTH(M18,-2)+1,IPCA!$A:$B,2,0),
VLOOKUP(EOMONTH(TODAY(),-2)+1,IPCA!$A:$B,2,0))/
VLOOKUP(EOMONTH(U18,-2)+1,IPCA!$A:$B,2,0)*
P18))</f>
        <v>215.25870299385841</v>
      </c>
      <c r="W18" s="84"/>
      <c r="X18" s="13"/>
      <c r="Y18" s="158" t="s">
        <v>331</v>
      </c>
      <c r="Z18" s="106" t="s">
        <v>134</v>
      </c>
      <c r="AA18" s="107">
        <v>44848</v>
      </c>
      <c r="AB18" s="15">
        <v>9.1666670000000003</v>
      </c>
      <c r="AC18">
        <v>9.1666670000000003</v>
      </c>
      <c r="AD18">
        <v>9.1666670000000003</v>
      </c>
      <c r="AE18"/>
      <c r="AF18"/>
      <c r="AG18"/>
      <c r="AH18"/>
      <c r="AI18"/>
      <c r="AJ18"/>
      <c r="AK18"/>
      <c r="AL18"/>
      <c r="AM18" s="6"/>
      <c r="AN18" s="15"/>
      <c r="AO18"/>
      <c r="AP18"/>
      <c r="AQ18"/>
      <c r="AR18"/>
      <c r="AS18"/>
      <c r="AT18"/>
      <c r="AU18"/>
      <c r="AV18"/>
      <c r="AW18"/>
      <c r="AX18"/>
      <c r="AY18" s="6"/>
      <c r="AZ18" s="15"/>
      <c r="BA18"/>
      <c r="BB18"/>
      <c r="BC18"/>
      <c r="BD18"/>
      <c r="BE18"/>
      <c r="BF18"/>
      <c r="BG18"/>
      <c r="BH18"/>
      <c r="BI18"/>
      <c r="BJ18"/>
      <c r="BK18" s="6"/>
      <c r="BL18" s="15"/>
      <c r="BM18"/>
      <c r="BN18"/>
      <c r="BO18"/>
      <c r="BP18"/>
      <c r="BQ18"/>
      <c r="BR18"/>
      <c r="BS18"/>
      <c r="BT18"/>
      <c r="BU18"/>
      <c r="BV18"/>
      <c r="BW18" s="6"/>
      <c r="BX18" s="15"/>
      <c r="BY18"/>
      <c r="BZ18"/>
      <c r="CA18"/>
      <c r="CB18"/>
      <c r="CC18"/>
      <c r="CD18"/>
      <c r="CE18"/>
      <c r="CF18"/>
      <c r="CG18"/>
      <c r="CH18"/>
      <c r="CI18" s="6"/>
      <c r="CJ18" s="16">
        <v>2.2602740547945204</v>
      </c>
      <c r="CK18" s="16" t="s">
        <v>578</v>
      </c>
      <c r="CL18" s="16" t="s">
        <v>578</v>
      </c>
      <c r="CM18" s="16" t="s">
        <v>578</v>
      </c>
      <c r="CN18" s="16" t="s">
        <v>578</v>
      </c>
      <c r="CO18" s="18"/>
      <c r="CP18" s="15">
        <v>210</v>
      </c>
      <c r="CQ18">
        <v>210</v>
      </c>
      <c r="CR18">
        <v>210</v>
      </c>
      <c r="CS18"/>
      <c r="CT18"/>
      <c r="CU18"/>
      <c r="CV18"/>
      <c r="CW18"/>
      <c r="CX18"/>
      <c r="CY18"/>
      <c r="CZ18"/>
      <c r="DA18" s="6"/>
      <c r="DB18" s="15"/>
      <c r="DC18"/>
      <c r="DD18"/>
      <c r="DE18"/>
      <c r="DF18"/>
      <c r="DG18"/>
      <c r="DH18"/>
      <c r="DI18"/>
      <c r="DJ18"/>
      <c r="DK18"/>
      <c r="DL18"/>
      <c r="DM18" s="6"/>
      <c r="DN18" s="15"/>
      <c r="DO18"/>
      <c r="DP18"/>
      <c r="DQ18"/>
      <c r="DR18"/>
      <c r="DS18"/>
      <c r="DT18"/>
      <c r="DU18"/>
      <c r="DV18"/>
      <c r="DW18"/>
      <c r="DX18"/>
      <c r="DY18" s="6"/>
      <c r="DZ18" s="15"/>
      <c r="EA18"/>
      <c r="EB18"/>
      <c r="EC18"/>
      <c r="ED18"/>
      <c r="EE18"/>
      <c r="EF18"/>
      <c r="EG18"/>
      <c r="EH18"/>
      <c r="EI18"/>
      <c r="EJ18"/>
      <c r="EK18" s="6"/>
      <c r="EL18" s="15"/>
      <c r="EM18"/>
      <c r="EN18"/>
      <c r="EO18"/>
      <c r="EP18"/>
      <c r="EQ18"/>
      <c r="ER18"/>
      <c r="ES18"/>
      <c r="ET18"/>
      <c r="EU18"/>
      <c r="EV18"/>
      <c r="EW18" s="6"/>
      <c r="EX18" s="16">
        <v>51.780821917808218</v>
      </c>
      <c r="EY18" s="16" t="s">
        <v>578</v>
      </c>
      <c r="EZ18" s="16" t="s">
        <v>578</v>
      </c>
      <c r="FA18" s="154" t="s">
        <v>578</v>
      </c>
      <c r="FB18" s="154" t="s">
        <v>578</v>
      </c>
      <c r="FC18" t="s">
        <v>195</v>
      </c>
      <c r="FD18" s="20" t="s">
        <v>137</v>
      </c>
      <c r="FE18"/>
      <c r="FF18" s="199" t="s">
        <v>197</v>
      </c>
      <c r="FG18"/>
      <c r="FH18" s="206">
        <f t="shared" ca="1" si="6"/>
        <v>5.2587029938584067</v>
      </c>
      <c r="FI18" s="198">
        <f t="shared" si="7"/>
        <v>2.9666666666666668</v>
      </c>
      <c r="FJ18"/>
      <c r="FK18" t="str">
        <f t="shared" si="8"/>
        <v>SHELL ENERGY DO BRASIL LTDA</v>
      </c>
      <c r="FL18" s="191">
        <f t="shared" ca="1" si="9"/>
        <v>961620.03496800002</v>
      </c>
      <c r="FM18" s="191">
        <f t="shared" ca="1" si="10"/>
        <v>1830180.0665520001</v>
      </c>
      <c r="FN18" s="190">
        <f>AB18*AB$2*IF($FC18="V",1,-1)*IF($Q18="Fixo",(CP18-INDEX('Curva Forward'!$C$5:$AN$13,MATCH(CONCATENATE(BD_COMERCIAL!$K18," ",BD_COMERCIAL!$L18),'Curva Forward'!$B$5:$B$13,0),MATCH(FN$4,'Curva Forward'!$C$4:$AN$4,0))),CP18)</f>
        <v>961620.03496800002</v>
      </c>
      <c r="FO18" s="190">
        <f>AC18*AC$2*IF($FC18="V",1,-1)*IF($Q18="Fixo",(CQ18-INDEX('Curva Forward'!$C$5:$AN$13,MATCH(CONCATENATE(BD_COMERCIAL!$K18," ",BD_COMERCIAL!$L18),'Curva Forward'!$B$5:$B$13,0),MATCH(FO$4,'Curva Forward'!$C$4:$AN$4,0))),CQ18)</f>
        <v>868560.0315840001</v>
      </c>
      <c r="FP18" s="190">
        <f>AD18*AD$2*IF($FC18="V",1,-1)*IF($Q18="Fixo",(CR18-INDEX('Curva Forward'!$C$5:$AN$13,MATCH(CONCATENATE(BD_COMERCIAL!$K18," ",BD_COMERCIAL!$L18),'Curva Forward'!$B$5:$B$13,0),MATCH(FP$4,'Curva Forward'!$C$4:$AN$4,0))),CR18)</f>
        <v>961620.03496800002</v>
      </c>
      <c r="FQ18" s="190">
        <f>AE18*AE$2*IF($FC18="V",1,-1)*IF($Q18="Fixo",(CS18-INDEX('Curva Forward'!$C$5:$AN$13,MATCH(CONCATENATE(BD_COMERCIAL!$K18," ",BD_COMERCIAL!$L18),'Curva Forward'!$B$5:$B$13,0),MATCH(FQ$4,'Curva Forward'!$C$4:$AN$4,0))),CS18)</f>
        <v>0</v>
      </c>
      <c r="FR18" s="190">
        <f>AF18*AF$2*IF($FC18="V",1,-1)*IF($Q18="Fixo",(CT18-INDEX('Curva Forward'!$C$5:$AN$13,MATCH(CONCATENATE(BD_COMERCIAL!$K18," ",BD_COMERCIAL!$L18),'Curva Forward'!$B$5:$B$13,0),MATCH(FR$4,'Curva Forward'!$C$4:$AN$4,0))),CT18)</f>
        <v>0</v>
      </c>
      <c r="FS18" s="190">
        <f>AG18*AG$2*IF($FC18="V",1,-1)*IF($Q18="Fixo",(CU18-INDEX('Curva Forward'!$C$5:$AN$13,MATCH(CONCATENATE(BD_COMERCIAL!$K18," ",BD_COMERCIAL!$L18),'Curva Forward'!$B$5:$B$13,0),MATCH(FS$4,'Curva Forward'!$C$4:$AN$4,0))),CU18)</f>
        <v>0</v>
      </c>
      <c r="FT18" s="190">
        <f>AH18*AH$2*IF($FC18="V",1,-1)*IF($Q18="Fixo",(CV18-INDEX('Curva Forward'!$C$5:$AN$13,MATCH(CONCATENATE(BD_COMERCIAL!$K18," ",BD_COMERCIAL!$L18),'Curva Forward'!$B$5:$B$13,0),MATCH(FT$4,'Curva Forward'!$C$4:$AN$4,0))),CV18)</f>
        <v>0</v>
      </c>
      <c r="FU18" s="190">
        <f>AI18*AI$2*IF($FC18="V",1,-1)*IF($Q18="Fixo",(CW18-INDEX('Curva Forward'!$C$5:$AN$13,MATCH(CONCATENATE(BD_COMERCIAL!$K18," ",BD_COMERCIAL!$L18),'Curva Forward'!$B$5:$B$13,0),MATCH(FU$4,'Curva Forward'!$C$4:$AN$4,0))),CW18)</f>
        <v>0</v>
      </c>
      <c r="FV18" s="190">
        <f>AJ18*AJ$2*IF($FC18="V",1,-1)*IF($Q18="Fixo",(CX18-INDEX('Curva Forward'!$C$5:$AN$13,MATCH(CONCATENATE(BD_COMERCIAL!$K18," ",BD_COMERCIAL!$L18),'Curva Forward'!$B$5:$B$13,0),MATCH(FV$4,'Curva Forward'!$C$4:$AN$4,0))),CX18)</f>
        <v>0</v>
      </c>
      <c r="FW18" s="190">
        <f>AK18*AK$2*IF($FC18="V",1,-1)*IF($Q18="Fixo",(CY18-INDEX('Curva Forward'!$C$5:$AN$13,MATCH(CONCATENATE(BD_COMERCIAL!$K18," ",BD_COMERCIAL!$L18),'Curva Forward'!$B$5:$B$13,0),MATCH(FW$4,'Curva Forward'!$C$4:$AN$4,0))),CY18)</f>
        <v>0</v>
      </c>
      <c r="FX18" s="190">
        <f>AL18*AL$2*IF($FC18="V",1,-1)*IF($Q18="Fixo",(CZ18-INDEX('Curva Forward'!$C$5:$AN$13,MATCH(CONCATENATE(BD_COMERCIAL!$K18," ",BD_COMERCIAL!$L18),'Curva Forward'!$B$5:$B$13,0),MATCH(FX$4,'Curva Forward'!$C$4:$AN$4,0))),CZ18)</f>
        <v>0</v>
      </c>
      <c r="FY18" s="190">
        <f>AM18*AM$2*IF($FC18="V",1,-1)*IF($Q18="Fixo",(DA18-INDEX('Curva Forward'!$C$5:$AN$13,MATCH(CONCATENATE(BD_COMERCIAL!$K18," ",BD_COMERCIAL!$L18),'Curva Forward'!$B$5:$B$13,0),MATCH(FY$4,'Curva Forward'!$C$4:$AN$4,0))),DA18)</f>
        <v>0</v>
      </c>
      <c r="FZ18" s="190">
        <f>AN18*AN$2*IF($FC18="V",1,-1)*IF($Q18="Fixo",(DB18-INDEX('Curva Forward'!$C$5:$AN$13,MATCH(CONCATENATE(BD_COMERCIAL!$K18," ",BD_COMERCIAL!$L18),'Curva Forward'!$B$5:$B$13,0),MATCH(FZ$4,'Curva Forward'!$C$4:$AN$4,0))),DB18)</f>
        <v>0</v>
      </c>
      <c r="GA18" s="190">
        <f>AO18*AO$2*IF($FC18="V",1,-1)*IF($Q18="Fixo",(DC18-INDEX('Curva Forward'!$C$5:$AN$13,MATCH(CONCATENATE(BD_COMERCIAL!$K18," ",BD_COMERCIAL!$L18),'Curva Forward'!$B$5:$B$13,0),MATCH(GA$4,'Curva Forward'!$C$4:$AN$4,0))),DC18)</f>
        <v>0</v>
      </c>
      <c r="GB18" s="190">
        <f>AP18*AP$2*IF($FC18="V",1,-1)*IF($Q18="Fixo",(DD18-INDEX('Curva Forward'!$C$5:$AN$13,MATCH(CONCATENATE(BD_COMERCIAL!$K18," ",BD_COMERCIAL!$L18),'Curva Forward'!$B$5:$B$13,0),MATCH(GB$4,'Curva Forward'!$C$4:$AN$4,0))),DD18)</f>
        <v>0</v>
      </c>
      <c r="GC18" s="190">
        <f>AQ18*AQ$2*IF($FC18="V",1,-1)*IF($Q18="Fixo",(DE18-INDEX('Curva Forward'!$C$5:$AN$13,MATCH(CONCATENATE(BD_COMERCIAL!$K18," ",BD_COMERCIAL!$L18),'Curva Forward'!$B$5:$B$13,0),MATCH(GC$4,'Curva Forward'!$C$4:$AN$4,0))),DE18)</f>
        <v>0</v>
      </c>
      <c r="GD18" s="190">
        <f>AR18*AR$2*IF($FC18="V",1,-1)*IF($Q18="Fixo",(DF18-INDEX('Curva Forward'!$C$5:$AN$13,MATCH(CONCATENATE(BD_COMERCIAL!$K18," ",BD_COMERCIAL!$L18),'Curva Forward'!$B$5:$B$13,0),MATCH(GD$4,'Curva Forward'!$C$4:$AN$4,0))),DF18)</f>
        <v>0</v>
      </c>
      <c r="GE18" s="190">
        <f>AS18*AS$2*IF($FC18="V",1,-1)*IF($Q18="Fixo",(DG18-INDEX('Curva Forward'!$C$5:$AN$13,MATCH(CONCATENATE(BD_COMERCIAL!$K18," ",BD_COMERCIAL!$L18),'Curva Forward'!$B$5:$B$13,0),MATCH(GE$4,'Curva Forward'!$C$4:$AN$4,0))),DG18)</f>
        <v>0</v>
      </c>
      <c r="GF18" s="190">
        <f>AT18*AT$2*IF($FC18="V",1,-1)*IF($Q18="Fixo",(DH18-INDEX('Curva Forward'!$C$5:$AN$13,MATCH(CONCATENATE(BD_COMERCIAL!$K18," ",BD_COMERCIAL!$L18),'Curva Forward'!$B$5:$B$13,0),MATCH(GF$4,'Curva Forward'!$C$4:$AN$4,0))),DH18)</f>
        <v>0</v>
      </c>
      <c r="GG18" s="190">
        <f>AU18*AU$2*IF($FC18="V",1,-1)*IF($Q18="Fixo",(DI18-INDEX('Curva Forward'!$C$5:$AN$13,MATCH(CONCATENATE(BD_COMERCIAL!$K18," ",BD_COMERCIAL!$L18),'Curva Forward'!$B$5:$B$13,0),MATCH(GG$4,'Curva Forward'!$C$4:$AN$4,0))),DI18)</f>
        <v>0</v>
      </c>
      <c r="GH18" s="190">
        <f>AV18*AV$2*IF($FC18="V",1,-1)*IF($Q18="Fixo",(DJ18-INDEX('Curva Forward'!$C$5:$AN$13,MATCH(CONCATENATE(BD_COMERCIAL!$K18," ",BD_COMERCIAL!$L18),'Curva Forward'!$B$5:$B$13,0),MATCH(GH$4,'Curva Forward'!$C$4:$AN$4,0))),DJ18)</f>
        <v>0</v>
      </c>
      <c r="GI18" s="190">
        <f>AW18*AW$2*IF($FC18="V",1,-1)*IF($Q18="Fixo",(DK18-INDEX('Curva Forward'!$C$5:$AN$13,MATCH(CONCATENATE(BD_COMERCIAL!$K18," ",BD_COMERCIAL!$L18),'Curva Forward'!$B$5:$B$13,0),MATCH(GI$4,'Curva Forward'!$C$4:$AN$4,0))),DK18)</f>
        <v>0</v>
      </c>
      <c r="GJ18" s="190">
        <f>AX18*AX$2*IF($FC18="V",1,-1)*IF($Q18="Fixo",(DL18-INDEX('Curva Forward'!$C$5:$AN$13,MATCH(CONCATENATE(BD_COMERCIAL!$K18," ",BD_COMERCIAL!$L18),'Curva Forward'!$B$5:$B$13,0),MATCH(GJ$4,'Curva Forward'!$C$4:$AN$4,0))),DL18)</f>
        <v>0</v>
      </c>
      <c r="GK18" s="190">
        <f>AY18*AY$2*IF($FC18="V",1,-1)*IF($Q18="Fixo",(DM18-INDEX('Curva Forward'!$C$5:$AN$13,MATCH(CONCATENATE(BD_COMERCIAL!$K18," ",BD_COMERCIAL!$L18),'Curva Forward'!$B$5:$B$13,0),MATCH(GK$4,'Curva Forward'!$C$4:$AN$4,0))),DM18)</f>
        <v>0</v>
      </c>
      <c r="GL18" s="190">
        <f>IF(EZ18="",0,CL18*CL$2*IF($FC18="V",1,-1)*IF($Q18="Fixo",(EZ18-INDEX('Curva Forward'!$C$5:$AN$13,MATCH(CONCATENATE(BD_COMERCIAL!$K18," ",BD_COMERCIAL!$L18),'Curva Forward'!$B$5:$B$13,0),MATCH(GL$4,'Curva Forward'!$C$4:$AN$4,0))),EZ18))</f>
        <v>0</v>
      </c>
      <c r="GM18" s="190">
        <f>IF(FA18="",0,CM18*CM$2*IF($FC18="V",1,-1)*IF($Q18="Fixo",(FA18-INDEX('Curva Forward'!$C$5:$AN$13,MATCH(CONCATENATE(BD_COMERCIAL!$K18," ",BD_COMERCIAL!$L18),'Curva Forward'!$B$5:$B$13,0),MATCH(GM$4,'Curva Forward'!$C$4:$AN$4,0))),FA18))</f>
        <v>0</v>
      </c>
      <c r="GN18" s="190">
        <f>IF(FB18="",0,CN18*CN$2*IF($FC18="V",1,-1)*IF($Q18="Fixo",(FB18-INDEX('Curva Forward'!$C$5:$AN$13,MATCH(CONCATENATE(BD_COMERCIAL!$K18," ",BD_COMERCIAL!$L18),'Curva Forward'!$B$5:$B$13,0),MATCH(GN$4,'Curva Forward'!$C$4:$AN$4,0))),FB18))</f>
        <v>0</v>
      </c>
      <c r="GO18" s="191">
        <f t="shared" ca="1" si="11"/>
        <v>1830180.0665520001</v>
      </c>
      <c r="GP18" s="191">
        <f t="shared" ca="1" si="12"/>
        <v>0</v>
      </c>
      <c r="GQ18"/>
      <c r="GR18" s="84"/>
      <c r="GS18"/>
      <c r="GT18" s="206"/>
      <c r="GU18" s="198"/>
      <c r="GV18"/>
      <c r="GW18"/>
      <c r="GX18" s="191"/>
      <c r="GY18" s="191"/>
      <c r="GZ18" s="190"/>
      <c r="HA18" s="190"/>
      <c r="HB18" s="190"/>
      <c r="HC18" s="190"/>
      <c r="HD18" s="190"/>
      <c r="HE18" s="190"/>
      <c r="HF18" s="190"/>
      <c r="HG18" s="190"/>
      <c r="HH18" s="190"/>
      <c r="HI18" s="190"/>
      <c r="HJ18" s="190"/>
      <c r="HK18" s="190"/>
      <c r="HL18" s="190"/>
      <c r="HM18" s="190"/>
      <c r="HN18" s="190"/>
      <c r="HO18" s="190"/>
      <c r="HP18" s="190"/>
      <c r="HQ18" s="190"/>
      <c r="HR18" s="190"/>
      <c r="HS18" s="190"/>
      <c r="HT18" s="190"/>
      <c r="HU18" s="190"/>
      <c r="HV18" s="190"/>
      <c r="HW18" s="190"/>
      <c r="HX18" s="190"/>
      <c r="HY18" s="190"/>
      <c r="HZ18" s="190"/>
      <c r="IA18" s="191"/>
      <c r="IB18" s="191"/>
    </row>
    <row r="19" spans="1:236" s="265" customFormat="1" ht="15" customHeight="1" x14ac:dyDescent="0.35">
      <c r="A19" s="251"/>
      <c r="B19" s="7">
        <v>23567</v>
      </c>
      <c r="C19" s="8">
        <v>44649</v>
      </c>
      <c r="D19" s="9" t="s">
        <v>130</v>
      </c>
      <c r="E19" s="9" t="s">
        <v>177</v>
      </c>
      <c r="F19" s="112">
        <v>27796415000170</v>
      </c>
      <c r="G19" s="10" t="s">
        <v>124</v>
      </c>
      <c r="H19" s="112">
        <v>3780401000108</v>
      </c>
      <c r="I19" s="9" t="s">
        <v>137</v>
      </c>
      <c r="J19" s="158"/>
      <c r="K19" s="10" t="s">
        <v>126</v>
      </c>
      <c r="L19" s="84" t="s">
        <v>22</v>
      </c>
      <c r="M19" s="11">
        <v>45017</v>
      </c>
      <c r="N19" s="12">
        <v>45291</v>
      </c>
      <c r="O19" s="10">
        <v>3</v>
      </c>
      <c r="P19" s="84">
        <v>212</v>
      </c>
      <c r="Q19" s="84" t="s">
        <v>127</v>
      </c>
      <c r="R19" s="10" t="s">
        <v>128</v>
      </c>
      <c r="S19" s="14" t="s">
        <v>133</v>
      </c>
      <c r="T19" s="11" t="s">
        <v>129</v>
      </c>
      <c r="U19" s="12">
        <v>44652</v>
      </c>
      <c r="V19" s="202" t="e">
        <f ca="1">IF(U19="","",
IF(U19="NA","",
IFERROR(VLOOKUP(EOMONTH(M19,-2)+1,IPCA!$A:$B,2,0),
VLOOKUP(EOMONTH(TODAY(),-2)+1,IPCA!$A:$B,2,0))/
VLOOKUP(EOMONTH(U19,-2)+1,IPCA!$A:$B,2,0)*
P19))</f>
        <v>#N/A</v>
      </c>
      <c r="W19" s="84"/>
      <c r="X19" s="13"/>
      <c r="Y19" s="158" t="s">
        <v>331</v>
      </c>
      <c r="Z19" s="106" t="s">
        <v>134</v>
      </c>
      <c r="AA19" s="107">
        <v>44848</v>
      </c>
      <c r="AB19" s="15"/>
      <c r="AC19"/>
      <c r="AD19"/>
      <c r="AE19">
        <v>3</v>
      </c>
      <c r="AF19">
        <v>3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3</v>
      </c>
      <c r="AM19" s="6">
        <v>3</v>
      </c>
      <c r="AN19" s="15"/>
      <c r="AO19"/>
      <c r="AP19"/>
      <c r="AQ19"/>
      <c r="AR19"/>
      <c r="AS19"/>
      <c r="AT19"/>
      <c r="AU19"/>
      <c r="AV19"/>
      <c r="AW19"/>
      <c r="AX19"/>
      <c r="AY19" s="6"/>
      <c r="AZ19" s="15"/>
      <c r="BA19"/>
      <c r="BB19"/>
      <c r="BC19"/>
      <c r="BD19"/>
      <c r="BE19"/>
      <c r="BF19"/>
      <c r="BG19"/>
      <c r="BH19"/>
      <c r="BI19"/>
      <c r="BJ19"/>
      <c r="BK19" s="6"/>
      <c r="BL19" s="15"/>
      <c r="BM19"/>
      <c r="BN19"/>
      <c r="BO19"/>
      <c r="BP19"/>
      <c r="BQ19"/>
      <c r="BR19"/>
      <c r="BS19"/>
      <c r="BT19"/>
      <c r="BU19"/>
      <c r="BV19"/>
      <c r="BW19" s="6"/>
      <c r="BX19" s="15"/>
      <c r="BY19"/>
      <c r="BZ19"/>
      <c r="CA19"/>
      <c r="CB19"/>
      <c r="CC19"/>
      <c r="CD19"/>
      <c r="CE19"/>
      <c r="CF19"/>
      <c r="CG19"/>
      <c r="CH19"/>
      <c r="CI19" s="6"/>
      <c r="CJ19" s="16">
        <v>2.2602739726027399</v>
      </c>
      <c r="CK19" s="16" t="s">
        <v>578</v>
      </c>
      <c r="CL19" s="16" t="s">
        <v>578</v>
      </c>
      <c r="CM19" s="16" t="s">
        <v>578</v>
      </c>
      <c r="CN19" s="16" t="s">
        <v>578</v>
      </c>
      <c r="CO19" s="18"/>
      <c r="CP19" s="15"/>
      <c r="CQ19"/>
      <c r="CR19"/>
      <c r="CS19">
        <v>212</v>
      </c>
      <c r="CT19">
        <v>212</v>
      </c>
      <c r="CU19">
        <v>212</v>
      </c>
      <c r="CV19">
        <v>212</v>
      </c>
      <c r="CW19">
        <v>212</v>
      </c>
      <c r="CX19">
        <v>212</v>
      </c>
      <c r="CY19">
        <v>212</v>
      </c>
      <c r="CZ19">
        <v>212</v>
      </c>
      <c r="DA19" s="6">
        <v>212</v>
      </c>
      <c r="DB19" s="15"/>
      <c r="DC19"/>
      <c r="DD19"/>
      <c r="DE19"/>
      <c r="DF19"/>
      <c r="DG19"/>
      <c r="DH19"/>
      <c r="DI19"/>
      <c r="DJ19"/>
      <c r="DK19"/>
      <c r="DL19"/>
      <c r="DM19" s="6"/>
      <c r="DN19" s="15"/>
      <c r="DO19"/>
      <c r="DP19"/>
      <c r="DQ19"/>
      <c r="DR19"/>
      <c r="DS19"/>
      <c r="DT19"/>
      <c r="DU19"/>
      <c r="DV19"/>
      <c r="DW19"/>
      <c r="DX19"/>
      <c r="DY19" s="6"/>
      <c r="DZ19" s="15"/>
      <c r="EA19"/>
      <c r="EB19"/>
      <c r="EC19"/>
      <c r="ED19"/>
      <c r="EE19"/>
      <c r="EF19"/>
      <c r="EG19"/>
      <c r="EH19"/>
      <c r="EI19"/>
      <c r="EJ19"/>
      <c r="EK19" s="6"/>
      <c r="EL19" s="15"/>
      <c r="EM19"/>
      <c r="EN19"/>
      <c r="EO19"/>
      <c r="EP19"/>
      <c r="EQ19"/>
      <c r="ER19"/>
      <c r="ES19"/>
      <c r="ET19"/>
      <c r="EU19"/>
      <c r="EV19"/>
      <c r="EW19" s="6"/>
      <c r="EX19" s="16">
        <v>159.72602739726028</v>
      </c>
      <c r="EY19" s="16" t="s">
        <v>578</v>
      </c>
      <c r="EZ19" s="16" t="s">
        <v>578</v>
      </c>
      <c r="FA19" s="154" t="s">
        <v>578</v>
      </c>
      <c r="FB19" s="154" t="s">
        <v>578</v>
      </c>
      <c r="FC19" t="s">
        <v>196</v>
      </c>
      <c r="FD19" s="20" t="s">
        <v>137</v>
      </c>
      <c r="FE19"/>
      <c r="FF19" s="199" t="s">
        <v>197</v>
      </c>
      <c r="FG19"/>
      <c r="FH19" s="206" t="e">
        <f t="shared" ca="1" si="6"/>
        <v>#N/A</v>
      </c>
      <c r="FI19" s="198">
        <f t="shared" si="7"/>
        <v>9.1333333333333329</v>
      </c>
      <c r="FJ19"/>
      <c r="FK19" t="str">
        <f t="shared" si="8"/>
        <v>SHELL ENERGY DO BRASIL LTDA</v>
      </c>
      <c r="FL19" s="191">
        <f t="shared" ca="1" si="9"/>
        <v>0</v>
      </c>
      <c r="FM19" s="191">
        <f t="shared" ca="1" si="10"/>
        <v>-2760768</v>
      </c>
      <c r="FN19" s="190">
        <f>AB19*AB$2*IF($FC19="V",1,-1)*IF($Q19="Fixo",(CP19-INDEX('Curva Forward'!$C$5:$AN$13,MATCH(CONCATENATE(BD_COMERCIAL!$K19," ",BD_COMERCIAL!$L19),'Curva Forward'!$B$5:$B$13,0),MATCH(FN$4,'Curva Forward'!$C$4:$AN$4,0))),CP19)</f>
        <v>0</v>
      </c>
      <c r="FO19" s="190">
        <f>AC19*AC$2*IF($FC19="V",1,-1)*IF($Q19="Fixo",(CQ19-INDEX('Curva Forward'!$C$5:$AN$13,MATCH(CONCATENATE(BD_COMERCIAL!$K19," ",BD_COMERCIAL!$L19),'Curva Forward'!$B$5:$B$13,0),MATCH(FO$4,'Curva Forward'!$C$4:$AN$4,0))),CQ19)</f>
        <v>0</v>
      </c>
      <c r="FP19" s="190">
        <f>AD19*AD$2*IF($FC19="V",1,-1)*IF($Q19="Fixo",(CR19-INDEX('Curva Forward'!$C$5:$AN$13,MATCH(CONCATENATE(BD_COMERCIAL!$K19," ",BD_COMERCIAL!$L19),'Curva Forward'!$B$5:$B$13,0),MATCH(FP$4,'Curva Forward'!$C$4:$AN$4,0))),CR19)</f>
        <v>0</v>
      </c>
      <c r="FQ19" s="190">
        <f>AE19*AE$2*IF($FC19="V",1,-1)*IF($Q19="Fixo",(CS19-INDEX('Curva Forward'!$C$5:$AN$13,MATCH(CONCATENATE(BD_COMERCIAL!$K19," ",BD_COMERCIAL!$L19),'Curva Forward'!$B$5:$B$13,0),MATCH(FQ$4,'Curva Forward'!$C$4:$AN$4,0))),CS19)</f>
        <v>-308880</v>
      </c>
      <c r="FR19" s="190">
        <f>AF19*AF$2*IF($FC19="V",1,-1)*IF($Q19="Fixo",(CT19-INDEX('Curva Forward'!$C$5:$AN$13,MATCH(CONCATENATE(BD_COMERCIAL!$K19," ",BD_COMERCIAL!$L19),'Curva Forward'!$B$5:$B$13,0),MATCH(FR$4,'Curva Forward'!$C$4:$AN$4,0))),CT19)</f>
        <v>-316944</v>
      </c>
      <c r="FS19" s="190">
        <f>AG19*AG$2*IF($FC19="V",1,-1)*IF($Q19="Fixo",(CU19-INDEX('Curva Forward'!$C$5:$AN$13,MATCH(CONCATENATE(BD_COMERCIAL!$K19," ",BD_COMERCIAL!$L19),'Curva Forward'!$B$5:$B$13,0),MATCH(FS$4,'Curva Forward'!$C$4:$AN$4,0))),CU19)</f>
        <v>-306720</v>
      </c>
      <c r="FT19" s="190">
        <f>AH19*AH$2*IF($FC19="V",1,-1)*IF($Q19="Fixo",(CV19-INDEX('Curva Forward'!$C$5:$AN$13,MATCH(CONCATENATE(BD_COMERCIAL!$K19," ",BD_COMERCIAL!$L19),'Curva Forward'!$B$5:$B$13,0),MATCH(FT$4,'Curva Forward'!$C$4:$AN$4,0))),CV19)</f>
        <v>-310248</v>
      </c>
      <c r="FU19" s="190">
        <f>AI19*AI$2*IF($FC19="V",1,-1)*IF($Q19="Fixo",(CW19-INDEX('Curva Forward'!$C$5:$AN$13,MATCH(CONCATENATE(BD_COMERCIAL!$K19," ",BD_COMERCIAL!$L19),'Curva Forward'!$B$5:$B$13,0),MATCH(FU$4,'Curva Forward'!$C$4:$AN$4,0))),CW19)</f>
        <v>-310248</v>
      </c>
      <c r="FV19" s="190">
        <f>AJ19*AJ$2*IF($FC19="V",1,-1)*IF($Q19="Fixo",(CX19-INDEX('Curva Forward'!$C$5:$AN$13,MATCH(CONCATENATE(BD_COMERCIAL!$K19," ",BD_COMERCIAL!$L19),'Curva Forward'!$B$5:$B$13,0),MATCH(FV$4,'Curva Forward'!$C$4:$AN$4,0))),CX19)</f>
        <v>-300240</v>
      </c>
      <c r="FW19" s="190">
        <f>AK19*AK$2*IF($FC19="V",1,-1)*IF($Q19="Fixo",(CY19-INDEX('Curva Forward'!$C$5:$AN$13,MATCH(CONCATENATE(BD_COMERCIAL!$K19," ",BD_COMERCIAL!$L19),'Curva Forward'!$B$5:$B$13,0),MATCH(FW$4,'Curva Forward'!$C$4:$AN$4,0))),CY19)</f>
        <v>-305784</v>
      </c>
      <c r="FX19" s="190">
        <f>AL19*AL$2*IF($FC19="V",1,-1)*IF($Q19="Fixo",(CZ19-INDEX('Curva Forward'!$C$5:$AN$13,MATCH(CONCATENATE(BD_COMERCIAL!$K19," ",BD_COMERCIAL!$L19),'Curva Forward'!$B$5:$B$13,0),MATCH(FX$4,'Curva Forward'!$C$4:$AN$4,0))),CZ19)</f>
        <v>-295920</v>
      </c>
      <c r="FY19" s="190">
        <f>AM19*AM$2*IF($FC19="V",1,-1)*IF($Q19="Fixo",(DA19-INDEX('Curva Forward'!$C$5:$AN$13,MATCH(CONCATENATE(BD_COMERCIAL!$K19," ",BD_COMERCIAL!$L19),'Curva Forward'!$B$5:$B$13,0),MATCH(FY$4,'Curva Forward'!$C$4:$AN$4,0))),DA19)</f>
        <v>-305784</v>
      </c>
      <c r="FZ19" s="190">
        <f>AN19*AN$2*IF($FC19="V",1,-1)*IF($Q19="Fixo",(DB19-INDEX('Curva Forward'!$C$5:$AN$13,MATCH(CONCATENATE(BD_COMERCIAL!$K19," ",BD_COMERCIAL!$L19),'Curva Forward'!$B$5:$B$13,0),MATCH(FZ$4,'Curva Forward'!$C$4:$AN$4,0))),DB19)</f>
        <v>0</v>
      </c>
      <c r="GA19" s="190">
        <f>AO19*AO$2*IF($FC19="V",1,-1)*IF($Q19="Fixo",(DC19-INDEX('Curva Forward'!$C$5:$AN$13,MATCH(CONCATENATE(BD_COMERCIAL!$K19," ",BD_COMERCIAL!$L19),'Curva Forward'!$B$5:$B$13,0),MATCH(GA$4,'Curva Forward'!$C$4:$AN$4,0))),DC19)</f>
        <v>0</v>
      </c>
      <c r="GB19" s="190">
        <f>AP19*AP$2*IF($FC19="V",1,-1)*IF($Q19="Fixo",(DD19-INDEX('Curva Forward'!$C$5:$AN$13,MATCH(CONCATENATE(BD_COMERCIAL!$K19," ",BD_COMERCIAL!$L19),'Curva Forward'!$B$5:$B$13,0),MATCH(GB$4,'Curva Forward'!$C$4:$AN$4,0))),DD19)</f>
        <v>0</v>
      </c>
      <c r="GC19" s="190">
        <f>AQ19*AQ$2*IF($FC19="V",1,-1)*IF($Q19="Fixo",(DE19-INDEX('Curva Forward'!$C$5:$AN$13,MATCH(CONCATENATE(BD_COMERCIAL!$K19," ",BD_COMERCIAL!$L19),'Curva Forward'!$B$5:$B$13,0),MATCH(GC$4,'Curva Forward'!$C$4:$AN$4,0))),DE19)</f>
        <v>0</v>
      </c>
      <c r="GD19" s="190">
        <f>AR19*AR$2*IF($FC19="V",1,-1)*IF($Q19="Fixo",(DF19-INDEX('Curva Forward'!$C$5:$AN$13,MATCH(CONCATENATE(BD_COMERCIAL!$K19," ",BD_COMERCIAL!$L19),'Curva Forward'!$B$5:$B$13,0),MATCH(GD$4,'Curva Forward'!$C$4:$AN$4,0))),DF19)</f>
        <v>0</v>
      </c>
      <c r="GE19" s="190">
        <f>AS19*AS$2*IF($FC19="V",1,-1)*IF($Q19="Fixo",(DG19-INDEX('Curva Forward'!$C$5:$AN$13,MATCH(CONCATENATE(BD_COMERCIAL!$K19," ",BD_COMERCIAL!$L19),'Curva Forward'!$B$5:$B$13,0),MATCH(GE$4,'Curva Forward'!$C$4:$AN$4,0))),DG19)</f>
        <v>0</v>
      </c>
      <c r="GF19" s="190">
        <f>AT19*AT$2*IF($FC19="V",1,-1)*IF($Q19="Fixo",(DH19-INDEX('Curva Forward'!$C$5:$AN$13,MATCH(CONCATENATE(BD_COMERCIAL!$K19," ",BD_COMERCIAL!$L19),'Curva Forward'!$B$5:$B$13,0),MATCH(GF$4,'Curva Forward'!$C$4:$AN$4,0))),DH19)</f>
        <v>0</v>
      </c>
      <c r="GG19" s="190">
        <f>AU19*AU$2*IF($FC19="V",1,-1)*IF($Q19="Fixo",(DI19-INDEX('Curva Forward'!$C$5:$AN$13,MATCH(CONCATENATE(BD_COMERCIAL!$K19," ",BD_COMERCIAL!$L19),'Curva Forward'!$B$5:$B$13,0),MATCH(GG$4,'Curva Forward'!$C$4:$AN$4,0))),DI19)</f>
        <v>0</v>
      </c>
      <c r="GH19" s="190">
        <f>AV19*AV$2*IF($FC19="V",1,-1)*IF($Q19="Fixo",(DJ19-INDEX('Curva Forward'!$C$5:$AN$13,MATCH(CONCATENATE(BD_COMERCIAL!$K19," ",BD_COMERCIAL!$L19),'Curva Forward'!$B$5:$B$13,0),MATCH(GH$4,'Curva Forward'!$C$4:$AN$4,0))),DJ19)</f>
        <v>0</v>
      </c>
      <c r="GI19" s="190">
        <f>AW19*AW$2*IF($FC19="V",1,-1)*IF($Q19="Fixo",(DK19-INDEX('Curva Forward'!$C$5:$AN$13,MATCH(CONCATENATE(BD_COMERCIAL!$K19," ",BD_COMERCIAL!$L19),'Curva Forward'!$B$5:$B$13,0),MATCH(GI$4,'Curva Forward'!$C$4:$AN$4,0))),DK19)</f>
        <v>0</v>
      </c>
      <c r="GJ19" s="190">
        <f>AX19*AX$2*IF($FC19="V",1,-1)*IF($Q19="Fixo",(DL19-INDEX('Curva Forward'!$C$5:$AN$13,MATCH(CONCATENATE(BD_COMERCIAL!$K19," ",BD_COMERCIAL!$L19),'Curva Forward'!$B$5:$B$13,0),MATCH(GJ$4,'Curva Forward'!$C$4:$AN$4,0))),DL19)</f>
        <v>0</v>
      </c>
      <c r="GK19" s="190">
        <f>AY19*AY$2*IF($FC19="V",1,-1)*IF($Q19="Fixo",(DM19-INDEX('Curva Forward'!$C$5:$AN$13,MATCH(CONCATENATE(BD_COMERCIAL!$K19," ",BD_COMERCIAL!$L19),'Curva Forward'!$B$5:$B$13,0),MATCH(GK$4,'Curva Forward'!$C$4:$AN$4,0))),DM19)</f>
        <v>0</v>
      </c>
      <c r="GL19" s="190">
        <f>IF(EZ19="",0,CL19*CL$2*IF($FC19="V",1,-1)*IF($Q19="Fixo",(EZ19-INDEX('Curva Forward'!$C$5:$AN$13,MATCH(CONCATENATE(BD_COMERCIAL!$K19," ",BD_COMERCIAL!$L19),'Curva Forward'!$B$5:$B$13,0),MATCH(GL$4,'Curva Forward'!$C$4:$AN$4,0))),EZ19))</f>
        <v>0</v>
      </c>
      <c r="GM19" s="190">
        <f>IF(FA19="",0,CM19*CM$2*IF($FC19="V",1,-1)*IF($Q19="Fixo",(FA19-INDEX('Curva Forward'!$C$5:$AN$13,MATCH(CONCATENATE(BD_COMERCIAL!$K19," ",BD_COMERCIAL!$L19),'Curva Forward'!$B$5:$B$13,0),MATCH(GM$4,'Curva Forward'!$C$4:$AN$4,0))),FA19))</f>
        <v>0</v>
      </c>
      <c r="GN19" s="190">
        <f>IF(FB19="",0,CN19*CN$2*IF($FC19="V",1,-1)*IF($Q19="Fixo",(FB19-INDEX('Curva Forward'!$C$5:$AN$13,MATCH(CONCATENATE(BD_COMERCIAL!$K19," ",BD_COMERCIAL!$L19),'Curva Forward'!$B$5:$B$13,0),MATCH(GN$4,'Curva Forward'!$C$4:$AN$4,0))),FB19))</f>
        <v>0</v>
      </c>
      <c r="GO19" s="191">
        <f t="shared" ca="1" si="11"/>
        <v>0</v>
      </c>
      <c r="GP19" s="191">
        <f t="shared" ca="1" si="12"/>
        <v>-2760768</v>
      </c>
      <c r="GQ19"/>
      <c r="GR19" s="84"/>
      <c r="GS19"/>
      <c r="GT19" s="206"/>
      <c r="GU19" s="198"/>
      <c r="GV19"/>
      <c r="GW19"/>
      <c r="GX19" s="191"/>
      <c r="GY19" s="191"/>
      <c r="GZ19" s="190"/>
      <c r="HA19" s="190"/>
      <c r="HB19" s="190"/>
      <c r="HC19" s="190"/>
      <c r="HD19" s="190"/>
      <c r="HE19" s="190"/>
      <c r="HF19" s="190"/>
      <c r="HG19" s="190"/>
      <c r="HH19" s="190"/>
      <c r="HI19" s="190"/>
      <c r="HJ19" s="190"/>
      <c r="HK19" s="190"/>
      <c r="HL19" s="190"/>
      <c r="HM19" s="190"/>
      <c r="HN19" s="190"/>
      <c r="HO19" s="190"/>
      <c r="HP19" s="190"/>
      <c r="HQ19" s="190"/>
      <c r="HR19" s="190"/>
      <c r="HS19" s="190"/>
      <c r="HT19" s="190"/>
      <c r="HU19" s="190"/>
      <c r="HV19" s="190"/>
      <c r="HW19" s="190"/>
      <c r="HX19" s="190"/>
      <c r="HY19" s="190"/>
      <c r="HZ19" s="190"/>
      <c r="IA19" s="191"/>
      <c r="IB19" s="191"/>
    </row>
    <row r="20" spans="1:236" s="265" customFormat="1" ht="15" customHeight="1" x14ac:dyDescent="0.35">
      <c r="A20" s="251"/>
      <c r="B20" s="7" t="s">
        <v>330</v>
      </c>
      <c r="C20" s="8">
        <v>44658</v>
      </c>
      <c r="D20" s="9" t="s">
        <v>123</v>
      </c>
      <c r="E20" s="9" t="s">
        <v>124</v>
      </c>
      <c r="F20" s="112">
        <v>3780401000108</v>
      </c>
      <c r="G20" s="10" t="s">
        <v>194</v>
      </c>
      <c r="H20" s="112">
        <v>15087610000141</v>
      </c>
      <c r="I20" s="9" t="s">
        <v>137</v>
      </c>
      <c r="J20" s="158"/>
      <c r="K20" s="10" t="s">
        <v>126</v>
      </c>
      <c r="L20" s="84" t="s">
        <v>22</v>
      </c>
      <c r="M20" s="11">
        <v>44927</v>
      </c>
      <c r="N20" s="12">
        <v>45016</v>
      </c>
      <c r="O20" s="10">
        <v>2</v>
      </c>
      <c r="P20" s="84">
        <v>197</v>
      </c>
      <c r="Q20" s="84" t="s">
        <v>127</v>
      </c>
      <c r="R20" s="10" t="s">
        <v>128</v>
      </c>
      <c r="S20" s="14" t="s">
        <v>133</v>
      </c>
      <c r="T20" s="11" t="s">
        <v>129</v>
      </c>
      <c r="U20" s="12">
        <v>44658</v>
      </c>
      <c r="V20" s="202">
        <f ca="1">IF(U20="","",
IF(U20="NA","",
IFERROR(VLOOKUP(EOMONTH(M20,-2)+1,IPCA!$A:$B,2,0),
VLOOKUP(EOMONTH(TODAY(),-2)+1,IPCA!$A:$B,2,0))/
VLOOKUP(EOMONTH(U20,-2)+1,IPCA!$A:$B,2,0)*
P20))</f>
        <v>201.93316423709572</v>
      </c>
      <c r="W20" s="84"/>
      <c r="X20" s="13" t="s">
        <v>132</v>
      </c>
      <c r="Y20" s="158"/>
      <c r="Z20" s="106"/>
      <c r="AA20" s="107"/>
      <c r="AB20" s="15">
        <v>2</v>
      </c>
      <c r="AC20">
        <v>2</v>
      </c>
      <c r="AD20">
        <v>2</v>
      </c>
      <c r="AE20"/>
      <c r="AF20"/>
      <c r="AG20"/>
      <c r="AH20"/>
      <c r="AI20"/>
      <c r="AJ20"/>
      <c r="AK20"/>
      <c r="AL20"/>
      <c r="AM20" s="6"/>
      <c r="AN20" s="15"/>
      <c r="AO20"/>
      <c r="AP20"/>
      <c r="AQ20"/>
      <c r="AR20"/>
      <c r="AS20"/>
      <c r="AT20"/>
      <c r="AU20"/>
      <c r="AV20"/>
      <c r="AW20"/>
      <c r="AX20"/>
      <c r="AY20" s="6"/>
      <c r="AZ20" s="15"/>
      <c r="BA20"/>
      <c r="BB20"/>
      <c r="BC20"/>
      <c r="BD20"/>
      <c r="BE20"/>
      <c r="BF20"/>
      <c r="BG20"/>
      <c r="BH20"/>
      <c r="BI20"/>
      <c r="BJ20"/>
      <c r="BK20" s="6"/>
      <c r="BL20" s="15"/>
      <c r="BM20"/>
      <c r="BN20"/>
      <c r="BO20"/>
      <c r="BP20"/>
      <c r="BQ20"/>
      <c r="BR20"/>
      <c r="BS20"/>
      <c r="BT20"/>
      <c r="BU20"/>
      <c r="BV20"/>
      <c r="BW20" s="6"/>
      <c r="BX20" s="15"/>
      <c r="BY20"/>
      <c r="BZ20"/>
      <c r="CA20"/>
      <c r="CB20"/>
      <c r="CC20"/>
      <c r="CD20"/>
      <c r="CE20"/>
      <c r="CF20"/>
      <c r="CG20"/>
      <c r="CH20"/>
      <c r="CI20" s="6"/>
      <c r="CJ20" s="16">
        <v>0.49315068493150682</v>
      </c>
      <c r="CK20" s="16" t="s">
        <v>578</v>
      </c>
      <c r="CL20" s="16" t="s">
        <v>578</v>
      </c>
      <c r="CM20" s="16" t="s">
        <v>578</v>
      </c>
      <c r="CN20" s="16" t="s">
        <v>578</v>
      </c>
      <c r="CO20" s="18"/>
      <c r="CP20" s="15">
        <v>197</v>
      </c>
      <c r="CQ20">
        <v>197</v>
      </c>
      <c r="CR20">
        <v>197</v>
      </c>
      <c r="CS20"/>
      <c r="CT20"/>
      <c r="CU20"/>
      <c r="CV20"/>
      <c r="CW20"/>
      <c r="CX20"/>
      <c r="CY20"/>
      <c r="CZ20"/>
      <c r="DA20" s="6"/>
      <c r="DB20" s="15"/>
      <c r="DC20"/>
      <c r="DD20"/>
      <c r="DE20"/>
      <c r="DF20"/>
      <c r="DG20"/>
      <c r="DH20"/>
      <c r="DI20"/>
      <c r="DJ20"/>
      <c r="DK20"/>
      <c r="DL20"/>
      <c r="DM20" s="6"/>
      <c r="DN20" s="15"/>
      <c r="DO20"/>
      <c r="DP20"/>
      <c r="DQ20"/>
      <c r="DR20"/>
      <c r="DS20"/>
      <c r="DT20"/>
      <c r="DU20"/>
      <c r="DV20"/>
      <c r="DW20"/>
      <c r="DX20"/>
      <c r="DY20" s="6"/>
      <c r="DZ20" s="15"/>
      <c r="EA20"/>
      <c r="EB20"/>
      <c r="EC20"/>
      <c r="ED20"/>
      <c r="EE20"/>
      <c r="EF20"/>
      <c r="EG20"/>
      <c r="EH20"/>
      <c r="EI20"/>
      <c r="EJ20"/>
      <c r="EK20" s="6"/>
      <c r="EL20" s="15"/>
      <c r="EM20"/>
      <c r="EN20"/>
      <c r="EO20"/>
      <c r="EP20"/>
      <c r="EQ20"/>
      <c r="ER20"/>
      <c r="ES20"/>
      <c r="ET20"/>
      <c r="EU20"/>
      <c r="EV20"/>
      <c r="EW20" s="6"/>
      <c r="EX20" s="16">
        <v>48.575342465753423</v>
      </c>
      <c r="EY20" s="16" t="s">
        <v>578</v>
      </c>
      <c r="EZ20" s="16" t="s">
        <v>578</v>
      </c>
      <c r="FA20" s="154" t="s">
        <v>578</v>
      </c>
      <c r="FB20" s="154" t="s">
        <v>578</v>
      </c>
      <c r="FC20" t="s">
        <v>195</v>
      </c>
      <c r="FD20" s="20" t="s">
        <v>137</v>
      </c>
      <c r="FE20"/>
      <c r="FF20" s="199" t="s">
        <v>197</v>
      </c>
      <c r="FG20"/>
      <c r="FH20" s="206">
        <f t="shared" ca="1" si="6"/>
        <v>4.933164237095724</v>
      </c>
      <c r="FI20" s="198">
        <f t="shared" si="7"/>
        <v>2.9666666666666668</v>
      </c>
      <c r="FJ20"/>
      <c r="FK20" t="str">
        <f t="shared" si="8"/>
        <v>ECEL - Elétron Comercializadora de Energia Ltda</v>
      </c>
      <c r="FL20" s="191">
        <f t="shared" ca="1" si="9"/>
        <v>190464</v>
      </c>
      <c r="FM20" s="191">
        <f t="shared" ca="1" si="10"/>
        <v>362496</v>
      </c>
      <c r="FN20" s="190">
        <f>AB20*AB$2*IF($FC20="V",1,-1)*IF($Q20="Fixo",(CP20-INDEX('Curva Forward'!$C$5:$AN$13,MATCH(CONCATENATE(BD_COMERCIAL!$K20," ",BD_COMERCIAL!$L20),'Curva Forward'!$B$5:$B$13,0),MATCH(FN$4,'Curva Forward'!$C$4:$AN$4,0))),CP20)</f>
        <v>190464</v>
      </c>
      <c r="FO20" s="190">
        <f>AC20*AC$2*IF($FC20="V",1,-1)*IF($Q20="Fixo",(CQ20-INDEX('Curva Forward'!$C$5:$AN$13,MATCH(CONCATENATE(BD_COMERCIAL!$K20," ",BD_COMERCIAL!$L20),'Curva Forward'!$B$5:$B$13,0),MATCH(FO$4,'Curva Forward'!$C$4:$AN$4,0))),CQ20)</f>
        <v>172032</v>
      </c>
      <c r="FP20" s="190">
        <f>AD20*AD$2*IF($FC20="V",1,-1)*IF($Q20="Fixo",(CR20-INDEX('Curva Forward'!$C$5:$AN$13,MATCH(CONCATENATE(BD_COMERCIAL!$K20," ",BD_COMERCIAL!$L20),'Curva Forward'!$B$5:$B$13,0),MATCH(FP$4,'Curva Forward'!$C$4:$AN$4,0))),CR20)</f>
        <v>190464</v>
      </c>
      <c r="FQ20" s="190">
        <f>AE20*AE$2*IF($FC20="V",1,-1)*IF($Q20="Fixo",(CS20-INDEX('Curva Forward'!$C$5:$AN$13,MATCH(CONCATENATE(BD_COMERCIAL!$K20," ",BD_COMERCIAL!$L20),'Curva Forward'!$B$5:$B$13,0),MATCH(FQ$4,'Curva Forward'!$C$4:$AN$4,0))),CS20)</f>
        <v>0</v>
      </c>
      <c r="FR20" s="190">
        <f>AF20*AF$2*IF($FC20="V",1,-1)*IF($Q20="Fixo",(CT20-INDEX('Curva Forward'!$C$5:$AN$13,MATCH(CONCATENATE(BD_COMERCIAL!$K20," ",BD_COMERCIAL!$L20),'Curva Forward'!$B$5:$B$13,0),MATCH(FR$4,'Curva Forward'!$C$4:$AN$4,0))),CT20)</f>
        <v>0</v>
      </c>
      <c r="FS20" s="190">
        <f>AG20*AG$2*IF($FC20="V",1,-1)*IF($Q20="Fixo",(CU20-INDEX('Curva Forward'!$C$5:$AN$13,MATCH(CONCATENATE(BD_COMERCIAL!$K20," ",BD_COMERCIAL!$L20),'Curva Forward'!$B$5:$B$13,0),MATCH(FS$4,'Curva Forward'!$C$4:$AN$4,0))),CU20)</f>
        <v>0</v>
      </c>
      <c r="FT20" s="190">
        <f>AH20*AH$2*IF($FC20="V",1,-1)*IF($Q20="Fixo",(CV20-INDEX('Curva Forward'!$C$5:$AN$13,MATCH(CONCATENATE(BD_COMERCIAL!$K20," ",BD_COMERCIAL!$L20),'Curva Forward'!$B$5:$B$13,0),MATCH(FT$4,'Curva Forward'!$C$4:$AN$4,0))),CV20)</f>
        <v>0</v>
      </c>
      <c r="FU20" s="190">
        <f>AI20*AI$2*IF($FC20="V",1,-1)*IF($Q20="Fixo",(CW20-INDEX('Curva Forward'!$C$5:$AN$13,MATCH(CONCATENATE(BD_COMERCIAL!$K20," ",BD_COMERCIAL!$L20),'Curva Forward'!$B$5:$B$13,0),MATCH(FU$4,'Curva Forward'!$C$4:$AN$4,0))),CW20)</f>
        <v>0</v>
      </c>
      <c r="FV20" s="190">
        <f>AJ20*AJ$2*IF($FC20="V",1,-1)*IF($Q20="Fixo",(CX20-INDEX('Curva Forward'!$C$5:$AN$13,MATCH(CONCATENATE(BD_COMERCIAL!$K20," ",BD_COMERCIAL!$L20),'Curva Forward'!$B$5:$B$13,0),MATCH(FV$4,'Curva Forward'!$C$4:$AN$4,0))),CX20)</f>
        <v>0</v>
      </c>
      <c r="FW20" s="190">
        <f>AK20*AK$2*IF($FC20="V",1,-1)*IF($Q20="Fixo",(CY20-INDEX('Curva Forward'!$C$5:$AN$13,MATCH(CONCATENATE(BD_COMERCIAL!$K20," ",BD_COMERCIAL!$L20),'Curva Forward'!$B$5:$B$13,0),MATCH(FW$4,'Curva Forward'!$C$4:$AN$4,0))),CY20)</f>
        <v>0</v>
      </c>
      <c r="FX20" s="190">
        <f>AL20*AL$2*IF($FC20="V",1,-1)*IF($Q20="Fixo",(CZ20-INDEX('Curva Forward'!$C$5:$AN$13,MATCH(CONCATENATE(BD_COMERCIAL!$K20," ",BD_COMERCIAL!$L20),'Curva Forward'!$B$5:$B$13,0),MATCH(FX$4,'Curva Forward'!$C$4:$AN$4,0))),CZ20)</f>
        <v>0</v>
      </c>
      <c r="FY20" s="190">
        <f>AM20*AM$2*IF($FC20="V",1,-1)*IF($Q20="Fixo",(DA20-INDEX('Curva Forward'!$C$5:$AN$13,MATCH(CONCATENATE(BD_COMERCIAL!$K20," ",BD_COMERCIAL!$L20),'Curva Forward'!$B$5:$B$13,0),MATCH(FY$4,'Curva Forward'!$C$4:$AN$4,0))),DA20)</f>
        <v>0</v>
      </c>
      <c r="FZ20" s="190">
        <f>AN20*AN$2*IF($FC20="V",1,-1)*IF($Q20="Fixo",(DB20-INDEX('Curva Forward'!$C$5:$AN$13,MATCH(CONCATENATE(BD_COMERCIAL!$K20," ",BD_COMERCIAL!$L20),'Curva Forward'!$B$5:$B$13,0),MATCH(FZ$4,'Curva Forward'!$C$4:$AN$4,0))),DB20)</f>
        <v>0</v>
      </c>
      <c r="GA20" s="190">
        <f>AO20*AO$2*IF($FC20="V",1,-1)*IF($Q20="Fixo",(DC20-INDEX('Curva Forward'!$C$5:$AN$13,MATCH(CONCATENATE(BD_COMERCIAL!$K20," ",BD_COMERCIAL!$L20),'Curva Forward'!$B$5:$B$13,0),MATCH(GA$4,'Curva Forward'!$C$4:$AN$4,0))),DC20)</f>
        <v>0</v>
      </c>
      <c r="GB20" s="190">
        <f>AP20*AP$2*IF($FC20="V",1,-1)*IF($Q20="Fixo",(DD20-INDEX('Curva Forward'!$C$5:$AN$13,MATCH(CONCATENATE(BD_COMERCIAL!$K20," ",BD_COMERCIAL!$L20),'Curva Forward'!$B$5:$B$13,0),MATCH(GB$4,'Curva Forward'!$C$4:$AN$4,0))),DD20)</f>
        <v>0</v>
      </c>
      <c r="GC20" s="190">
        <f>AQ20*AQ$2*IF($FC20="V",1,-1)*IF($Q20="Fixo",(DE20-INDEX('Curva Forward'!$C$5:$AN$13,MATCH(CONCATENATE(BD_COMERCIAL!$K20," ",BD_COMERCIAL!$L20),'Curva Forward'!$B$5:$B$13,0),MATCH(GC$4,'Curva Forward'!$C$4:$AN$4,0))),DE20)</f>
        <v>0</v>
      </c>
      <c r="GD20" s="190">
        <f>AR20*AR$2*IF($FC20="V",1,-1)*IF($Q20="Fixo",(DF20-INDEX('Curva Forward'!$C$5:$AN$13,MATCH(CONCATENATE(BD_COMERCIAL!$K20," ",BD_COMERCIAL!$L20),'Curva Forward'!$B$5:$B$13,0),MATCH(GD$4,'Curva Forward'!$C$4:$AN$4,0))),DF20)</f>
        <v>0</v>
      </c>
      <c r="GE20" s="190">
        <f>AS20*AS$2*IF($FC20="V",1,-1)*IF($Q20="Fixo",(DG20-INDEX('Curva Forward'!$C$5:$AN$13,MATCH(CONCATENATE(BD_COMERCIAL!$K20," ",BD_COMERCIAL!$L20),'Curva Forward'!$B$5:$B$13,0),MATCH(GE$4,'Curva Forward'!$C$4:$AN$4,0))),DG20)</f>
        <v>0</v>
      </c>
      <c r="GF20" s="190">
        <f>AT20*AT$2*IF($FC20="V",1,-1)*IF($Q20="Fixo",(DH20-INDEX('Curva Forward'!$C$5:$AN$13,MATCH(CONCATENATE(BD_COMERCIAL!$K20," ",BD_COMERCIAL!$L20),'Curva Forward'!$B$5:$B$13,0),MATCH(GF$4,'Curva Forward'!$C$4:$AN$4,0))),DH20)</f>
        <v>0</v>
      </c>
      <c r="GG20" s="190">
        <f>AU20*AU$2*IF($FC20="V",1,-1)*IF($Q20="Fixo",(DI20-INDEX('Curva Forward'!$C$5:$AN$13,MATCH(CONCATENATE(BD_COMERCIAL!$K20," ",BD_COMERCIAL!$L20),'Curva Forward'!$B$5:$B$13,0),MATCH(GG$4,'Curva Forward'!$C$4:$AN$4,0))),DI20)</f>
        <v>0</v>
      </c>
      <c r="GH20" s="190">
        <f>AV20*AV$2*IF($FC20="V",1,-1)*IF($Q20="Fixo",(DJ20-INDEX('Curva Forward'!$C$5:$AN$13,MATCH(CONCATENATE(BD_COMERCIAL!$K20," ",BD_COMERCIAL!$L20),'Curva Forward'!$B$5:$B$13,0),MATCH(GH$4,'Curva Forward'!$C$4:$AN$4,0))),DJ20)</f>
        <v>0</v>
      </c>
      <c r="GI20" s="190">
        <f>AW20*AW$2*IF($FC20="V",1,-1)*IF($Q20="Fixo",(DK20-INDEX('Curva Forward'!$C$5:$AN$13,MATCH(CONCATENATE(BD_COMERCIAL!$K20," ",BD_COMERCIAL!$L20),'Curva Forward'!$B$5:$B$13,0),MATCH(GI$4,'Curva Forward'!$C$4:$AN$4,0))),DK20)</f>
        <v>0</v>
      </c>
      <c r="GJ20" s="190">
        <f>AX20*AX$2*IF($FC20="V",1,-1)*IF($Q20="Fixo",(DL20-INDEX('Curva Forward'!$C$5:$AN$13,MATCH(CONCATENATE(BD_COMERCIAL!$K20," ",BD_COMERCIAL!$L20),'Curva Forward'!$B$5:$B$13,0),MATCH(GJ$4,'Curva Forward'!$C$4:$AN$4,0))),DL20)</f>
        <v>0</v>
      </c>
      <c r="GK20" s="190">
        <f>AY20*AY$2*IF($FC20="V",1,-1)*IF($Q20="Fixo",(DM20-INDEX('Curva Forward'!$C$5:$AN$13,MATCH(CONCATENATE(BD_COMERCIAL!$K20," ",BD_COMERCIAL!$L20),'Curva Forward'!$B$5:$B$13,0),MATCH(GK$4,'Curva Forward'!$C$4:$AN$4,0))),DM20)</f>
        <v>0</v>
      </c>
      <c r="GL20" s="190">
        <f>IF(EZ20="",0,CL20*CL$2*IF($FC20="V",1,-1)*IF($Q20="Fixo",(EZ20-INDEX('Curva Forward'!$C$5:$AN$13,MATCH(CONCATENATE(BD_COMERCIAL!$K20," ",BD_COMERCIAL!$L20),'Curva Forward'!$B$5:$B$13,0),MATCH(GL$4,'Curva Forward'!$C$4:$AN$4,0))),EZ20))</f>
        <v>0</v>
      </c>
      <c r="GM20" s="190">
        <f>IF(FA20="",0,CM20*CM$2*IF($FC20="V",1,-1)*IF($Q20="Fixo",(FA20-INDEX('Curva Forward'!$C$5:$AN$13,MATCH(CONCATENATE(BD_COMERCIAL!$K20," ",BD_COMERCIAL!$L20),'Curva Forward'!$B$5:$B$13,0),MATCH(GM$4,'Curva Forward'!$C$4:$AN$4,0))),FA20))</f>
        <v>0</v>
      </c>
      <c r="GN20" s="190">
        <f>IF(FB20="",0,CN20*CN$2*IF($FC20="V",1,-1)*IF($Q20="Fixo",(FB20-INDEX('Curva Forward'!$C$5:$AN$13,MATCH(CONCATENATE(BD_COMERCIAL!$K20," ",BD_COMERCIAL!$L20),'Curva Forward'!$B$5:$B$13,0),MATCH(GN$4,'Curva Forward'!$C$4:$AN$4,0))),FB20))</f>
        <v>0</v>
      </c>
      <c r="GO20" s="191">
        <f t="shared" ca="1" si="11"/>
        <v>362496</v>
      </c>
      <c r="GP20" s="191">
        <f t="shared" ca="1" si="12"/>
        <v>0</v>
      </c>
      <c r="GQ20"/>
      <c r="GR20" s="84"/>
      <c r="GS20"/>
      <c r="GT20" s="206"/>
      <c r="GU20" s="198"/>
      <c r="GV20"/>
      <c r="GW20"/>
      <c r="GX20" s="191"/>
      <c r="GY20" s="191"/>
      <c r="GZ20" s="190"/>
      <c r="HA20" s="190"/>
      <c r="HB20" s="190"/>
      <c r="HC20" s="190"/>
      <c r="HD20" s="190"/>
      <c r="HE20" s="190"/>
      <c r="HF20" s="190"/>
      <c r="HG20" s="190"/>
      <c r="HH20" s="190"/>
      <c r="HI20" s="190"/>
      <c r="HJ20" s="190"/>
      <c r="HK20" s="190"/>
      <c r="HL20" s="190"/>
      <c r="HM20" s="190"/>
      <c r="HN20" s="190"/>
      <c r="HO20" s="190"/>
      <c r="HP20" s="190"/>
      <c r="HQ20" s="190"/>
      <c r="HR20" s="190"/>
      <c r="HS20" s="190"/>
      <c r="HT20" s="190"/>
      <c r="HU20" s="190"/>
      <c r="HV20" s="190"/>
      <c r="HW20" s="190"/>
      <c r="HX20" s="190"/>
      <c r="HY20" s="190"/>
      <c r="HZ20" s="190"/>
      <c r="IA20" s="191"/>
      <c r="IB20" s="191"/>
    </row>
    <row r="21" spans="1:236" s="265" customFormat="1" ht="15" customHeight="1" x14ac:dyDescent="0.35">
      <c r="A21" s="251"/>
      <c r="B21" s="7" t="s">
        <v>334</v>
      </c>
      <c r="C21" s="8">
        <v>44713</v>
      </c>
      <c r="D21" s="9" t="s">
        <v>123</v>
      </c>
      <c r="E21" s="9" t="s">
        <v>124</v>
      </c>
      <c r="F21" s="112">
        <v>3780401000108</v>
      </c>
      <c r="G21" s="10" t="s">
        <v>204</v>
      </c>
      <c r="H21" s="112">
        <v>4270778000171</v>
      </c>
      <c r="I21" s="9" t="s">
        <v>125</v>
      </c>
      <c r="J21" s="158" t="s">
        <v>377</v>
      </c>
      <c r="K21" s="10" t="s">
        <v>126</v>
      </c>
      <c r="L21" s="84" t="s">
        <v>22</v>
      </c>
      <c r="M21" s="11">
        <v>44927</v>
      </c>
      <c r="N21" s="12">
        <v>45016</v>
      </c>
      <c r="O21" s="10">
        <v>5</v>
      </c>
      <c r="P21" s="84">
        <v>185</v>
      </c>
      <c r="Q21" s="84" t="s">
        <v>127</v>
      </c>
      <c r="R21" s="10" t="s">
        <v>128</v>
      </c>
      <c r="S21" s="14" t="s">
        <v>133</v>
      </c>
      <c r="T21" s="11" t="s">
        <v>129</v>
      </c>
      <c r="U21" s="12">
        <v>44713</v>
      </c>
      <c r="V21" s="202">
        <f ca="1">IF(U21="","",
IF(U21="NA","",
IFERROR(VLOOKUP(EOMONTH(M21,-2)+1,IPCA!$A:$B,2,0),
VLOOKUP(EOMONTH(TODAY(),-2)+1,IPCA!$A:$B,2,0))/
VLOOKUP(EOMONTH(U21,-2)+1,IPCA!$A:$B,2,0)*
P21))</f>
        <v>186.76579789423786</v>
      </c>
      <c r="W21" s="84"/>
      <c r="X21" s="13" t="s">
        <v>132</v>
      </c>
      <c r="Y21" s="158"/>
      <c r="Z21" s="106"/>
      <c r="AA21" s="107"/>
      <c r="AB21" s="15">
        <v>5</v>
      </c>
      <c r="AC21">
        <v>5</v>
      </c>
      <c r="AD21">
        <v>5</v>
      </c>
      <c r="AE21"/>
      <c r="AF21"/>
      <c r="AG21"/>
      <c r="AH21"/>
      <c r="AI21"/>
      <c r="AJ21"/>
      <c r="AK21"/>
      <c r="AL21"/>
      <c r="AM21" s="6"/>
      <c r="AN21" s="15"/>
      <c r="AO21"/>
      <c r="AP21"/>
      <c r="AQ21"/>
      <c r="AR21"/>
      <c r="AS21"/>
      <c r="AT21"/>
      <c r="AU21"/>
      <c r="AV21"/>
      <c r="AW21"/>
      <c r="AX21"/>
      <c r="AY21" s="6"/>
      <c r="AZ21" s="15"/>
      <c r="BA21"/>
      <c r="BB21"/>
      <c r="BC21"/>
      <c r="BD21"/>
      <c r="BE21"/>
      <c r="BF21"/>
      <c r="BG21"/>
      <c r="BH21"/>
      <c r="BI21"/>
      <c r="BJ21"/>
      <c r="BK21" s="6"/>
      <c r="BL21" s="15"/>
      <c r="BM21"/>
      <c r="BN21"/>
      <c r="BO21"/>
      <c r="BP21"/>
      <c r="BQ21"/>
      <c r="BR21"/>
      <c r="BS21"/>
      <c r="BT21"/>
      <c r="BU21"/>
      <c r="BV21"/>
      <c r="BW21" s="6"/>
      <c r="BX21" s="15"/>
      <c r="BY21"/>
      <c r="BZ21"/>
      <c r="CA21"/>
      <c r="CB21"/>
      <c r="CC21"/>
      <c r="CD21"/>
      <c r="CE21"/>
      <c r="CF21"/>
      <c r="CG21"/>
      <c r="CH21"/>
      <c r="CI21" s="6"/>
      <c r="CJ21" s="16">
        <v>1.2328767123287672</v>
      </c>
      <c r="CK21" s="16" t="s">
        <v>578</v>
      </c>
      <c r="CL21" s="16" t="s">
        <v>578</v>
      </c>
      <c r="CM21" s="16" t="s">
        <v>578</v>
      </c>
      <c r="CN21" s="16" t="s">
        <v>578</v>
      </c>
      <c r="CO21" s="18"/>
      <c r="CP21" s="15">
        <v>185</v>
      </c>
      <c r="CQ21">
        <v>185</v>
      </c>
      <c r="CR21">
        <v>185</v>
      </c>
      <c r="CS21"/>
      <c r="CT21"/>
      <c r="CU21"/>
      <c r="CV21"/>
      <c r="CW21"/>
      <c r="CX21"/>
      <c r="CY21"/>
      <c r="CZ21"/>
      <c r="DA21" s="6"/>
      <c r="DB21" s="15"/>
      <c r="DC21"/>
      <c r="DD21"/>
      <c r="DE21"/>
      <c r="DF21"/>
      <c r="DG21"/>
      <c r="DH21"/>
      <c r="DI21"/>
      <c r="DJ21"/>
      <c r="DK21"/>
      <c r="DL21"/>
      <c r="DM21" s="6"/>
      <c r="DN21" s="15"/>
      <c r="DO21"/>
      <c r="DP21"/>
      <c r="DQ21"/>
      <c r="DR21"/>
      <c r="DS21"/>
      <c r="DT21"/>
      <c r="DU21"/>
      <c r="DV21"/>
      <c r="DW21"/>
      <c r="DX21"/>
      <c r="DY21" s="6"/>
      <c r="DZ21" s="15"/>
      <c r="EA21"/>
      <c r="EB21"/>
      <c r="EC21"/>
      <c r="ED21"/>
      <c r="EE21"/>
      <c r="EF21"/>
      <c r="EG21"/>
      <c r="EH21"/>
      <c r="EI21"/>
      <c r="EJ21"/>
      <c r="EK21" s="6"/>
      <c r="EL21" s="15"/>
      <c r="EM21"/>
      <c r="EN21"/>
      <c r="EO21"/>
      <c r="EP21"/>
      <c r="EQ21"/>
      <c r="ER21"/>
      <c r="ES21"/>
      <c r="ET21"/>
      <c r="EU21"/>
      <c r="EV21"/>
      <c r="EW21" s="6"/>
      <c r="EX21" s="16">
        <v>45.61643835616438</v>
      </c>
      <c r="EY21" s="16" t="s">
        <v>578</v>
      </c>
      <c r="EZ21" s="16" t="s">
        <v>578</v>
      </c>
      <c r="FA21" s="154" t="s">
        <v>578</v>
      </c>
      <c r="FB21" s="154" t="s">
        <v>578</v>
      </c>
      <c r="FC21" t="s">
        <v>195</v>
      </c>
      <c r="FD21" s="20" t="s">
        <v>125</v>
      </c>
      <c r="FE21"/>
      <c r="FF21" s="199" t="s">
        <v>197</v>
      </c>
      <c r="FG21"/>
      <c r="FH21" s="206">
        <f t="shared" ca="1" si="6"/>
        <v>1.7657978942378634</v>
      </c>
      <c r="FI21" s="198">
        <f t="shared" si="7"/>
        <v>2.9666666666666668</v>
      </c>
      <c r="FJ21"/>
      <c r="FK21" t="str">
        <f t="shared" si="8"/>
        <v>Santander Corretora de Seguros, Investimentos e Serviços S.A.</v>
      </c>
      <c r="FL21" s="191">
        <f t="shared" ca="1" si="9"/>
        <v>431520</v>
      </c>
      <c r="FM21" s="191">
        <f t="shared" ca="1" si="10"/>
        <v>821280</v>
      </c>
      <c r="FN21" s="190">
        <f>AB21*AB$2*IF($FC21="V",1,-1)*IF($Q21="Fixo",(CP21-INDEX('Curva Forward'!$C$5:$AN$13,MATCH(CONCATENATE(BD_COMERCIAL!$K21," ",BD_COMERCIAL!$L21),'Curva Forward'!$B$5:$B$13,0),MATCH(FN$4,'Curva Forward'!$C$4:$AN$4,0))),CP21)</f>
        <v>431520</v>
      </c>
      <c r="FO21" s="190">
        <f>AC21*AC$2*IF($FC21="V",1,-1)*IF($Q21="Fixo",(CQ21-INDEX('Curva Forward'!$C$5:$AN$13,MATCH(CONCATENATE(BD_COMERCIAL!$K21," ",BD_COMERCIAL!$L21),'Curva Forward'!$B$5:$B$13,0),MATCH(FO$4,'Curva Forward'!$C$4:$AN$4,0))),CQ21)</f>
        <v>389760</v>
      </c>
      <c r="FP21" s="190">
        <f>AD21*AD$2*IF($FC21="V",1,-1)*IF($Q21="Fixo",(CR21-INDEX('Curva Forward'!$C$5:$AN$13,MATCH(CONCATENATE(BD_COMERCIAL!$K21," ",BD_COMERCIAL!$L21),'Curva Forward'!$B$5:$B$13,0),MATCH(FP$4,'Curva Forward'!$C$4:$AN$4,0))),CR21)</f>
        <v>431520</v>
      </c>
      <c r="FQ21" s="190">
        <f>AE21*AE$2*IF($FC21="V",1,-1)*IF($Q21="Fixo",(CS21-INDEX('Curva Forward'!$C$5:$AN$13,MATCH(CONCATENATE(BD_COMERCIAL!$K21," ",BD_COMERCIAL!$L21),'Curva Forward'!$B$5:$B$13,0),MATCH(FQ$4,'Curva Forward'!$C$4:$AN$4,0))),CS21)</f>
        <v>0</v>
      </c>
      <c r="FR21" s="190">
        <f>AF21*AF$2*IF($FC21="V",1,-1)*IF($Q21="Fixo",(CT21-INDEX('Curva Forward'!$C$5:$AN$13,MATCH(CONCATENATE(BD_COMERCIAL!$K21," ",BD_COMERCIAL!$L21),'Curva Forward'!$B$5:$B$13,0),MATCH(FR$4,'Curva Forward'!$C$4:$AN$4,0))),CT21)</f>
        <v>0</v>
      </c>
      <c r="FS21" s="190">
        <f>AG21*AG$2*IF($FC21="V",1,-1)*IF($Q21="Fixo",(CU21-INDEX('Curva Forward'!$C$5:$AN$13,MATCH(CONCATENATE(BD_COMERCIAL!$K21," ",BD_COMERCIAL!$L21),'Curva Forward'!$B$5:$B$13,0),MATCH(FS$4,'Curva Forward'!$C$4:$AN$4,0))),CU21)</f>
        <v>0</v>
      </c>
      <c r="FT21" s="190">
        <f>AH21*AH$2*IF($FC21="V",1,-1)*IF($Q21="Fixo",(CV21-INDEX('Curva Forward'!$C$5:$AN$13,MATCH(CONCATENATE(BD_COMERCIAL!$K21," ",BD_COMERCIAL!$L21),'Curva Forward'!$B$5:$B$13,0),MATCH(FT$4,'Curva Forward'!$C$4:$AN$4,0))),CV21)</f>
        <v>0</v>
      </c>
      <c r="FU21" s="190">
        <f>AI21*AI$2*IF($FC21="V",1,-1)*IF($Q21="Fixo",(CW21-INDEX('Curva Forward'!$C$5:$AN$13,MATCH(CONCATENATE(BD_COMERCIAL!$K21," ",BD_COMERCIAL!$L21),'Curva Forward'!$B$5:$B$13,0),MATCH(FU$4,'Curva Forward'!$C$4:$AN$4,0))),CW21)</f>
        <v>0</v>
      </c>
      <c r="FV21" s="190">
        <f>AJ21*AJ$2*IF($FC21="V",1,-1)*IF($Q21="Fixo",(CX21-INDEX('Curva Forward'!$C$5:$AN$13,MATCH(CONCATENATE(BD_COMERCIAL!$K21," ",BD_COMERCIAL!$L21),'Curva Forward'!$B$5:$B$13,0),MATCH(FV$4,'Curva Forward'!$C$4:$AN$4,0))),CX21)</f>
        <v>0</v>
      </c>
      <c r="FW21" s="190">
        <f>AK21*AK$2*IF($FC21="V",1,-1)*IF($Q21="Fixo",(CY21-INDEX('Curva Forward'!$C$5:$AN$13,MATCH(CONCATENATE(BD_COMERCIAL!$K21," ",BD_COMERCIAL!$L21),'Curva Forward'!$B$5:$B$13,0),MATCH(FW$4,'Curva Forward'!$C$4:$AN$4,0))),CY21)</f>
        <v>0</v>
      </c>
      <c r="FX21" s="190">
        <f>AL21*AL$2*IF($FC21="V",1,-1)*IF($Q21="Fixo",(CZ21-INDEX('Curva Forward'!$C$5:$AN$13,MATCH(CONCATENATE(BD_COMERCIAL!$K21," ",BD_COMERCIAL!$L21),'Curva Forward'!$B$5:$B$13,0),MATCH(FX$4,'Curva Forward'!$C$4:$AN$4,0))),CZ21)</f>
        <v>0</v>
      </c>
      <c r="FY21" s="190">
        <f>AM21*AM$2*IF($FC21="V",1,-1)*IF($Q21="Fixo",(DA21-INDEX('Curva Forward'!$C$5:$AN$13,MATCH(CONCATENATE(BD_COMERCIAL!$K21," ",BD_COMERCIAL!$L21),'Curva Forward'!$B$5:$B$13,0),MATCH(FY$4,'Curva Forward'!$C$4:$AN$4,0))),DA21)</f>
        <v>0</v>
      </c>
      <c r="FZ21" s="190">
        <f>AN21*AN$2*IF($FC21="V",1,-1)*IF($Q21="Fixo",(DB21-INDEX('Curva Forward'!$C$5:$AN$13,MATCH(CONCATENATE(BD_COMERCIAL!$K21," ",BD_COMERCIAL!$L21),'Curva Forward'!$B$5:$B$13,0),MATCH(FZ$4,'Curva Forward'!$C$4:$AN$4,0))),DB21)</f>
        <v>0</v>
      </c>
      <c r="GA21" s="190">
        <f>AO21*AO$2*IF($FC21="V",1,-1)*IF($Q21="Fixo",(DC21-INDEX('Curva Forward'!$C$5:$AN$13,MATCH(CONCATENATE(BD_COMERCIAL!$K21," ",BD_COMERCIAL!$L21),'Curva Forward'!$B$5:$B$13,0),MATCH(GA$4,'Curva Forward'!$C$4:$AN$4,0))),DC21)</f>
        <v>0</v>
      </c>
      <c r="GB21" s="190">
        <f>AP21*AP$2*IF($FC21="V",1,-1)*IF($Q21="Fixo",(DD21-INDEX('Curva Forward'!$C$5:$AN$13,MATCH(CONCATENATE(BD_COMERCIAL!$K21," ",BD_COMERCIAL!$L21),'Curva Forward'!$B$5:$B$13,0),MATCH(GB$4,'Curva Forward'!$C$4:$AN$4,0))),DD21)</f>
        <v>0</v>
      </c>
      <c r="GC21" s="190">
        <f>AQ21*AQ$2*IF($FC21="V",1,-1)*IF($Q21="Fixo",(DE21-INDEX('Curva Forward'!$C$5:$AN$13,MATCH(CONCATENATE(BD_COMERCIAL!$K21," ",BD_COMERCIAL!$L21),'Curva Forward'!$B$5:$B$13,0),MATCH(GC$4,'Curva Forward'!$C$4:$AN$4,0))),DE21)</f>
        <v>0</v>
      </c>
      <c r="GD21" s="190">
        <f>AR21*AR$2*IF($FC21="V",1,-1)*IF($Q21="Fixo",(DF21-INDEX('Curva Forward'!$C$5:$AN$13,MATCH(CONCATENATE(BD_COMERCIAL!$K21," ",BD_COMERCIAL!$L21),'Curva Forward'!$B$5:$B$13,0),MATCH(GD$4,'Curva Forward'!$C$4:$AN$4,0))),DF21)</f>
        <v>0</v>
      </c>
      <c r="GE21" s="190">
        <f>AS21*AS$2*IF($FC21="V",1,-1)*IF($Q21="Fixo",(DG21-INDEX('Curva Forward'!$C$5:$AN$13,MATCH(CONCATENATE(BD_COMERCIAL!$K21," ",BD_COMERCIAL!$L21),'Curva Forward'!$B$5:$B$13,0),MATCH(GE$4,'Curva Forward'!$C$4:$AN$4,0))),DG21)</f>
        <v>0</v>
      </c>
      <c r="GF21" s="190">
        <f>AT21*AT$2*IF($FC21="V",1,-1)*IF($Q21="Fixo",(DH21-INDEX('Curva Forward'!$C$5:$AN$13,MATCH(CONCATENATE(BD_COMERCIAL!$K21," ",BD_COMERCIAL!$L21),'Curva Forward'!$B$5:$B$13,0),MATCH(GF$4,'Curva Forward'!$C$4:$AN$4,0))),DH21)</f>
        <v>0</v>
      </c>
      <c r="GG21" s="190">
        <f>AU21*AU$2*IF($FC21="V",1,-1)*IF($Q21="Fixo",(DI21-INDEX('Curva Forward'!$C$5:$AN$13,MATCH(CONCATENATE(BD_COMERCIAL!$K21," ",BD_COMERCIAL!$L21),'Curva Forward'!$B$5:$B$13,0),MATCH(GG$4,'Curva Forward'!$C$4:$AN$4,0))),DI21)</f>
        <v>0</v>
      </c>
      <c r="GH21" s="190">
        <f>AV21*AV$2*IF($FC21="V",1,-1)*IF($Q21="Fixo",(DJ21-INDEX('Curva Forward'!$C$5:$AN$13,MATCH(CONCATENATE(BD_COMERCIAL!$K21," ",BD_COMERCIAL!$L21),'Curva Forward'!$B$5:$B$13,0),MATCH(GH$4,'Curva Forward'!$C$4:$AN$4,0))),DJ21)</f>
        <v>0</v>
      </c>
      <c r="GI21" s="190">
        <f>AW21*AW$2*IF($FC21="V",1,-1)*IF($Q21="Fixo",(DK21-INDEX('Curva Forward'!$C$5:$AN$13,MATCH(CONCATENATE(BD_COMERCIAL!$K21," ",BD_COMERCIAL!$L21),'Curva Forward'!$B$5:$B$13,0),MATCH(GI$4,'Curva Forward'!$C$4:$AN$4,0))),DK21)</f>
        <v>0</v>
      </c>
      <c r="GJ21" s="190">
        <f>AX21*AX$2*IF($FC21="V",1,-1)*IF($Q21="Fixo",(DL21-INDEX('Curva Forward'!$C$5:$AN$13,MATCH(CONCATENATE(BD_COMERCIAL!$K21," ",BD_COMERCIAL!$L21),'Curva Forward'!$B$5:$B$13,0),MATCH(GJ$4,'Curva Forward'!$C$4:$AN$4,0))),DL21)</f>
        <v>0</v>
      </c>
      <c r="GK21" s="190">
        <f>AY21*AY$2*IF($FC21="V",1,-1)*IF($Q21="Fixo",(DM21-INDEX('Curva Forward'!$C$5:$AN$13,MATCH(CONCATENATE(BD_COMERCIAL!$K21," ",BD_COMERCIAL!$L21),'Curva Forward'!$B$5:$B$13,0),MATCH(GK$4,'Curva Forward'!$C$4:$AN$4,0))),DM21)</f>
        <v>0</v>
      </c>
      <c r="GL21" s="190">
        <f>IF(EZ21="",0,CL21*CL$2*IF($FC21="V",1,-1)*IF($Q21="Fixo",(EZ21-INDEX('Curva Forward'!$C$5:$AN$13,MATCH(CONCATENATE(BD_COMERCIAL!$K21," ",BD_COMERCIAL!$L21),'Curva Forward'!$B$5:$B$13,0),MATCH(GL$4,'Curva Forward'!$C$4:$AN$4,0))),EZ21))</f>
        <v>0</v>
      </c>
      <c r="GM21" s="190">
        <f>IF(FA21="",0,CM21*CM$2*IF($FC21="V",1,-1)*IF($Q21="Fixo",(FA21-INDEX('Curva Forward'!$C$5:$AN$13,MATCH(CONCATENATE(BD_COMERCIAL!$K21," ",BD_COMERCIAL!$L21),'Curva Forward'!$B$5:$B$13,0),MATCH(GM$4,'Curva Forward'!$C$4:$AN$4,0))),FA21))</f>
        <v>0</v>
      </c>
      <c r="GN21" s="190">
        <f>IF(FB21="",0,CN21*CN$2*IF($FC21="V",1,-1)*IF($Q21="Fixo",(FB21-INDEX('Curva Forward'!$C$5:$AN$13,MATCH(CONCATENATE(BD_COMERCIAL!$K21," ",BD_COMERCIAL!$L21),'Curva Forward'!$B$5:$B$13,0),MATCH(GN$4,'Curva Forward'!$C$4:$AN$4,0))),FB21))</f>
        <v>0</v>
      </c>
      <c r="GO21" s="191">
        <f t="shared" ca="1" si="11"/>
        <v>821280</v>
      </c>
      <c r="GP21" s="191">
        <f t="shared" ca="1" si="12"/>
        <v>0</v>
      </c>
      <c r="GQ21"/>
      <c r="GR21" s="84"/>
      <c r="GS21"/>
      <c r="GT21" s="206"/>
      <c r="GU21" s="198"/>
      <c r="GV21"/>
      <c r="GW21"/>
      <c r="GX21" s="191"/>
      <c r="GY21" s="191"/>
      <c r="GZ21" s="190"/>
      <c r="HA21" s="190"/>
      <c r="HB21" s="190"/>
      <c r="HC21" s="190"/>
      <c r="HD21" s="190"/>
      <c r="HE21" s="190"/>
      <c r="HF21" s="190"/>
      <c r="HG21" s="190"/>
      <c r="HH21" s="190"/>
      <c r="HI21" s="190"/>
      <c r="HJ21" s="190"/>
      <c r="HK21" s="190"/>
      <c r="HL21" s="190"/>
      <c r="HM21" s="190"/>
      <c r="HN21" s="190"/>
      <c r="HO21" s="190"/>
      <c r="HP21" s="190"/>
      <c r="HQ21" s="190"/>
      <c r="HR21" s="190"/>
      <c r="HS21" s="190"/>
      <c r="HT21" s="190"/>
      <c r="HU21" s="190"/>
      <c r="HV21" s="190"/>
      <c r="HW21" s="190"/>
      <c r="HX21" s="190"/>
      <c r="HY21" s="190"/>
      <c r="HZ21" s="190"/>
      <c r="IA21" s="191"/>
      <c r="IB21" s="191"/>
    </row>
    <row r="22" spans="1:236" s="265" customFormat="1" ht="15" customHeight="1" x14ac:dyDescent="0.35">
      <c r="A22" s="251"/>
      <c r="B22" s="7" t="s">
        <v>335</v>
      </c>
      <c r="C22" s="8">
        <v>44713</v>
      </c>
      <c r="D22" s="9" t="s">
        <v>123</v>
      </c>
      <c r="E22" s="9" t="s">
        <v>124</v>
      </c>
      <c r="F22" s="112">
        <v>3780401000108</v>
      </c>
      <c r="G22" s="10" t="s">
        <v>212</v>
      </c>
      <c r="H22" s="112">
        <v>9185485000100</v>
      </c>
      <c r="I22" s="9" t="s">
        <v>125</v>
      </c>
      <c r="J22" s="158" t="s">
        <v>377</v>
      </c>
      <c r="K22" s="10" t="s">
        <v>126</v>
      </c>
      <c r="L22" s="84" t="s">
        <v>22</v>
      </c>
      <c r="M22" s="11">
        <v>44927</v>
      </c>
      <c r="N22" s="12">
        <v>45016</v>
      </c>
      <c r="O22" s="10">
        <v>5</v>
      </c>
      <c r="P22" s="84">
        <v>180</v>
      </c>
      <c r="Q22" s="84" t="s">
        <v>127</v>
      </c>
      <c r="R22" s="10" t="s">
        <v>128</v>
      </c>
      <c r="S22" s="14" t="s">
        <v>133</v>
      </c>
      <c r="T22" s="11" t="s">
        <v>129</v>
      </c>
      <c r="U22" s="12">
        <v>44713</v>
      </c>
      <c r="V22" s="202">
        <f ca="1">IF(U22="","",
IF(U22="NA","",
IFERROR(VLOOKUP(EOMONTH(M22,-2)+1,IPCA!$A:$B,2,0),
VLOOKUP(EOMONTH(TODAY(),-2)+1,IPCA!$A:$B,2,0))/
VLOOKUP(EOMONTH(U22,-2)+1,IPCA!$A:$B,2,0)*
P22))</f>
        <v>181.71807362682603</v>
      </c>
      <c r="W22" s="84"/>
      <c r="X22" s="13" t="s">
        <v>132</v>
      </c>
      <c r="Y22" s="158"/>
      <c r="Z22" s="106"/>
      <c r="AA22" s="107"/>
      <c r="AB22" s="15">
        <v>5</v>
      </c>
      <c r="AC22">
        <v>5</v>
      </c>
      <c r="AD22">
        <v>5</v>
      </c>
      <c r="AE22"/>
      <c r="AF22"/>
      <c r="AG22"/>
      <c r="AH22"/>
      <c r="AI22"/>
      <c r="AJ22"/>
      <c r="AK22"/>
      <c r="AL22"/>
      <c r="AM22" s="6"/>
      <c r="AN22" s="15"/>
      <c r="AO22"/>
      <c r="AP22"/>
      <c r="AQ22"/>
      <c r="AR22"/>
      <c r="AS22"/>
      <c r="AT22"/>
      <c r="AU22"/>
      <c r="AV22"/>
      <c r="AW22"/>
      <c r="AX22"/>
      <c r="AY22" s="6"/>
      <c r="AZ22" s="15"/>
      <c r="BA22"/>
      <c r="BB22"/>
      <c r="BC22"/>
      <c r="BD22"/>
      <c r="BE22"/>
      <c r="BF22"/>
      <c r="BG22"/>
      <c r="BH22"/>
      <c r="BI22"/>
      <c r="BJ22"/>
      <c r="BK22" s="6"/>
      <c r="BL22" s="15"/>
      <c r="BM22"/>
      <c r="BN22"/>
      <c r="BO22"/>
      <c r="BP22"/>
      <c r="BQ22"/>
      <c r="BR22"/>
      <c r="BS22"/>
      <c r="BT22"/>
      <c r="BU22"/>
      <c r="BV22"/>
      <c r="BW22" s="6"/>
      <c r="BX22" s="15"/>
      <c r="BY22"/>
      <c r="BZ22"/>
      <c r="CA22"/>
      <c r="CB22"/>
      <c r="CC22"/>
      <c r="CD22"/>
      <c r="CE22"/>
      <c r="CF22"/>
      <c r="CG22"/>
      <c r="CH22"/>
      <c r="CI22" s="6"/>
      <c r="CJ22" s="16">
        <v>1.2328767123287672</v>
      </c>
      <c r="CK22" s="16" t="s">
        <v>578</v>
      </c>
      <c r="CL22" s="16" t="s">
        <v>578</v>
      </c>
      <c r="CM22" s="16" t="s">
        <v>578</v>
      </c>
      <c r="CN22" s="16" t="s">
        <v>578</v>
      </c>
      <c r="CO22" s="18"/>
      <c r="CP22" s="15">
        <v>180</v>
      </c>
      <c r="CQ22">
        <v>180</v>
      </c>
      <c r="CR22">
        <v>180</v>
      </c>
      <c r="CS22"/>
      <c r="CT22"/>
      <c r="CU22"/>
      <c r="CV22"/>
      <c r="CW22"/>
      <c r="CX22"/>
      <c r="CY22"/>
      <c r="CZ22"/>
      <c r="DA22" s="6"/>
      <c r="DB22" s="15"/>
      <c r="DC22"/>
      <c r="DD22"/>
      <c r="DE22"/>
      <c r="DF22"/>
      <c r="DG22"/>
      <c r="DH22"/>
      <c r="DI22"/>
      <c r="DJ22"/>
      <c r="DK22"/>
      <c r="DL22"/>
      <c r="DM22" s="6"/>
      <c r="DN22" s="15"/>
      <c r="DO22"/>
      <c r="DP22"/>
      <c r="DQ22"/>
      <c r="DR22"/>
      <c r="DS22"/>
      <c r="DT22"/>
      <c r="DU22"/>
      <c r="DV22"/>
      <c r="DW22"/>
      <c r="DX22"/>
      <c r="DY22" s="6"/>
      <c r="DZ22" s="15"/>
      <c r="EA22"/>
      <c r="EB22"/>
      <c r="EC22"/>
      <c r="ED22"/>
      <c r="EE22"/>
      <c r="EF22"/>
      <c r="EG22"/>
      <c r="EH22"/>
      <c r="EI22"/>
      <c r="EJ22"/>
      <c r="EK22" s="6"/>
      <c r="EL22" s="15"/>
      <c r="EM22"/>
      <c r="EN22"/>
      <c r="EO22"/>
      <c r="EP22"/>
      <c r="EQ22"/>
      <c r="ER22"/>
      <c r="ES22"/>
      <c r="ET22"/>
      <c r="EU22"/>
      <c r="EV22"/>
      <c r="EW22" s="6"/>
      <c r="EX22" s="16">
        <v>44.38356164383562</v>
      </c>
      <c r="EY22" s="16" t="s">
        <v>578</v>
      </c>
      <c r="EZ22" s="16" t="s">
        <v>578</v>
      </c>
      <c r="FA22" s="154" t="s">
        <v>578</v>
      </c>
      <c r="FB22" s="154" t="s">
        <v>578</v>
      </c>
      <c r="FC22" t="s">
        <v>195</v>
      </c>
      <c r="FD22" s="20" t="s">
        <v>125</v>
      </c>
      <c r="FE22"/>
      <c r="FF22" s="199" t="s">
        <v>197</v>
      </c>
      <c r="FG22"/>
      <c r="FH22" s="206">
        <f t="shared" ca="1" si="6"/>
        <v>1.7180736268260262</v>
      </c>
      <c r="FI22" s="198">
        <f t="shared" si="7"/>
        <v>2.9666666666666668</v>
      </c>
      <c r="FJ22"/>
      <c r="FK22" t="str">
        <f t="shared" si="8"/>
        <v>Eneva Comercializadora de Energia Ltda</v>
      </c>
      <c r="FL22" s="191">
        <f t="shared" ca="1" si="9"/>
        <v>412920</v>
      </c>
      <c r="FM22" s="191">
        <f t="shared" ca="1" si="10"/>
        <v>785880</v>
      </c>
      <c r="FN22" s="190">
        <f>AB22*AB$2*IF($FC22="V",1,-1)*IF($Q22="Fixo",(CP22-INDEX('Curva Forward'!$C$5:$AN$13,MATCH(CONCATENATE(BD_COMERCIAL!$K22," ",BD_COMERCIAL!$L22),'Curva Forward'!$B$5:$B$13,0),MATCH(FN$4,'Curva Forward'!$C$4:$AN$4,0))),CP22)</f>
        <v>412920</v>
      </c>
      <c r="FO22" s="190">
        <f>AC22*AC$2*IF($FC22="V",1,-1)*IF($Q22="Fixo",(CQ22-INDEX('Curva Forward'!$C$5:$AN$13,MATCH(CONCATENATE(BD_COMERCIAL!$K22," ",BD_COMERCIAL!$L22),'Curva Forward'!$B$5:$B$13,0),MATCH(FO$4,'Curva Forward'!$C$4:$AN$4,0))),CQ22)</f>
        <v>372960</v>
      </c>
      <c r="FP22" s="190">
        <f>AD22*AD$2*IF($FC22="V",1,-1)*IF($Q22="Fixo",(CR22-INDEX('Curva Forward'!$C$5:$AN$13,MATCH(CONCATENATE(BD_COMERCIAL!$K22," ",BD_COMERCIAL!$L22),'Curva Forward'!$B$5:$B$13,0),MATCH(FP$4,'Curva Forward'!$C$4:$AN$4,0))),CR22)</f>
        <v>412920</v>
      </c>
      <c r="FQ22" s="190">
        <f>AE22*AE$2*IF($FC22="V",1,-1)*IF($Q22="Fixo",(CS22-INDEX('Curva Forward'!$C$5:$AN$13,MATCH(CONCATENATE(BD_COMERCIAL!$K22," ",BD_COMERCIAL!$L22),'Curva Forward'!$B$5:$B$13,0),MATCH(FQ$4,'Curva Forward'!$C$4:$AN$4,0))),CS22)</f>
        <v>0</v>
      </c>
      <c r="FR22" s="190">
        <f>AF22*AF$2*IF($FC22="V",1,-1)*IF($Q22="Fixo",(CT22-INDEX('Curva Forward'!$C$5:$AN$13,MATCH(CONCATENATE(BD_COMERCIAL!$K22," ",BD_COMERCIAL!$L22),'Curva Forward'!$B$5:$B$13,0),MATCH(FR$4,'Curva Forward'!$C$4:$AN$4,0))),CT22)</f>
        <v>0</v>
      </c>
      <c r="FS22" s="190">
        <f>AG22*AG$2*IF($FC22="V",1,-1)*IF($Q22="Fixo",(CU22-INDEX('Curva Forward'!$C$5:$AN$13,MATCH(CONCATENATE(BD_COMERCIAL!$K22," ",BD_COMERCIAL!$L22),'Curva Forward'!$B$5:$B$13,0),MATCH(FS$4,'Curva Forward'!$C$4:$AN$4,0))),CU22)</f>
        <v>0</v>
      </c>
      <c r="FT22" s="190">
        <f>AH22*AH$2*IF($FC22="V",1,-1)*IF($Q22="Fixo",(CV22-INDEX('Curva Forward'!$C$5:$AN$13,MATCH(CONCATENATE(BD_COMERCIAL!$K22," ",BD_COMERCIAL!$L22),'Curva Forward'!$B$5:$B$13,0),MATCH(FT$4,'Curva Forward'!$C$4:$AN$4,0))),CV22)</f>
        <v>0</v>
      </c>
      <c r="FU22" s="190">
        <f>AI22*AI$2*IF($FC22="V",1,-1)*IF($Q22="Fixo",(CW22-INDEX('Curva Forward'!$C$5:$AN$13,MATCH(CONCATENATE(BD_COMERCIAL!$K22," ",BD_COMERCIAL!$L22),'Curva Forward'!$B$5:$B$13,0),MATCH(FU$4,'Curva Forward'!$C$4:$AN$4,0))),CW22)</f>
        <v>0</v>
      </c>
      <c r="FV22" s="190">
        <f>AJ22*AJ$2*IF($FC22="V",1,-1)*IF($Q22="Fixo",(CX22-INDEX('Curva Forward'!$C$5:$AN$13,MATCH(CONCATENATE(BD_COMERCIAL!$K22," ",BD_COMERCIAL!$L22),'Curva Forward'!$B$5:$B$13,0),MATCH(FV$4,'Curva Forward'!$C$4:$AN$4,0))),CX22)</f>
        <v>0</v>
      </c>
      <c r="FW22" s="190">
        <f>AK22*AK$2*IF($FC22="V",1,-1)*IF($Q22="Fixo",(CY22-INDEX('Curva Forward'!$C$5:$AN$13,MATCH(CONCATENATE(BD_COMERCIAL!$K22," ",BD_COMERCIAL!$L22),'Curva Forward'!$B$5:$B$13,0),MATCH(FW$4,'Curva Forward'!$C$4:$AN$4,0))),CY22)</f>
        <v>0</v>
      </c>
      <c r="FX22" s="190">
        <f>AL22*AL$2*IF($FC22="V",1,-1)*IF($Q22="Fixo",(CZ22-INDEX('Curva Forward'!$C$5:$AN$13,MATCH(CONCATENATE(BD_COMERCIAL!$K22," ",BD_COMERCIAL!$L22),'Curva Forward'!$B$5:$B$13,0),MATCH(FX$4,'Curva Forward'!$C$4:$AN$4,0))),CZ22)</f>
        <v>0</v>
      </c>
      <c r="FY22" s="190">
        <f>AM22*AM$2*IF($FC22="V",1,-1)*IF($Q22="Fixo",(DA22-INDEX('Curva Forward'!$C$5:$AN$13,MATCH(CONCATENATE(BD_COMERCIAL!$K22," ",BD_COMERCIAL!$L22),'Curva Forward'!$B$5:$B$13,0),MATCH(FY$4,'Curva Forward'!$C$4:$AN$4,0))),DA22)</f>
        <v>0</v>
      </c>
      <c r="FZ22" s="190">
        <f>AN22*AN$2*IF($FC22="V",1,-1)*IF($Q22="Fixo",(DB22-INDEX('Curva Forward'!$C$5:$AN$13,MATCH(CONCATENATE(BD_COMERCIAL!$K22," ",BD_COMERCIAL!$L22),'Curva Forward'!$B$5:$B$13,0),MATCH(FZ$4,'Curva Forward'!$C$4:$AN$4,0))),DB22)</f>
        <v>0</v>
      </c>
      <c r="GA22" s="190">
        <f>AO22*AO$2*IF($FC22="V",1,-1)*IF($Q22="Fixo",(DC22-INDEX('Curva Forward'!$C$5:$AN$13,MATCH(CONCATENATE(BD_COMERCIAL!$K22," ",BD_COMERCIAL!$L22),'Curva Forward'!$B$5:$B$13,0),MATCH(GA$4,'Curva Forward'!$C$4:$AN$4,0))),DC22)</f>
        <v>0</v>
      </c>
      <c r="GB22" s="190">
        <f>AP22*AP$2*IF($FC22="V",1,-1)*IF($Q22="Fixo",(DD22-INDEX('Curva Forward'!$C$5:$AN$13,MATCH(CONCATENATE(BD_COMERCIAL!$K22," ",BD_COMERCIAL!$L22),'Curva Forward'!$B$5:$B$13,0),MATCH(GB$4,'Curva Forward'!$C$4:$AN$4,0))),DD22)</f>
        <v>0</v>
      </c>
      <c r="GC22" s="190">
        <f>AQ22*AQ$2*IF($FC22="V",1,-1)*IF($Q22="Fixo",(DE22-INDEX('Curva Forward'!$C$5:$AN$13,MATCH(CONCATENATE(BD_COMERCIAL!$K22," ",BD_COMERCIAL!$L22),'Curva Forward'!$B$5:$B$13,0),MATCH(GC$4,'Curva Forward'!$C$4:$AN$4,0))),DE22)</f>
        <v>0</v>
      </c>
      <c r="GD22" s="190">
        <f>AR22*AR$2*IF($FC22="V",1,-1)*IF($Q22="Fixo",(DF22-INDEX('Curva Forward'!$C$5:$AN$13,MATCH(CONCATENATE(BD_COMERCIAL!$K22," ",BD_COMERCIAL!$L22),'Curva Forward'!$B$5:$B$13,0),MATCH(GD$4,'Curva Forward'!$C$4:$AN$4,0))),DF22)</f>
        <v>0</v>
      </c>
      <c r="GE22" s="190">
        <f>AS22*AS$2*IF($FC22="V",1,-1)*IF($Q22="Fixo",(DG22-INDEX('Curva Forward'!$C$5:$AN$13,MATCH(CONCATENATE(BD_COMERCIAL!$K22," ",BD_COMERCIAL!$L22),'Curva Forward'!$B$5:$B$13,0),MATCH(GE$4,'Curva Forward'!$C$4:$AN$4,0))),DG22)</f>
        <v>0</v>
      </c>
      <c r="GF22" s="190">
        <f>AT22*AT$2*IF($FC22="V",1,-1)*IF($Q22="Fixo",(DH22-INDEX('Curva Forward'!$C$5:$AN$13,MATCH(CONCATENATE(BD_COMERCIAL!$K22," ",BD_COMERCIAL!$L22),'Curva Forward'!$B$5:$B$13,0),MATCH(GF$4,'Curva Forward'!$C$4:$AN$4,0))),DH22)</f>
        <v>0</v>
      </c>
      <c r="GG22" s="190">
        <f>AU22*AU$2*IF($FC22="V",1,-1)*IF($Q22="Fixo",(DI22-INDEX('Curva Forward'!$C$5:$AN$13,MATCH(CONCATENATE(BD_COMERCIAL!$K22," ",BD_COMERCIAL!$L22),'Curva Forward'!$B$5:$B$13,0),MATCH(GG$4,'Curva Forward'!$C$4:$AN$4,0))),DI22)</f>
        <v>0</v>
      </c>
      <c r="GH22" s="190">
        <f>AV22*AV$2*IF($FC22="V",1,-1)*IF($Q22="Fixo",(DJ22-INDEX('Curva Forward'!$C$5:$AN$13,MATCH(CONCATENATE(BD_COMERCIAL!$K22," ",BD_COMERCIAL!$L22),'Curva Forward'!$B$5:$B$13,0),MATCH(GH$4,'Curva Forward'!$C$4:$AN$4,0))),DJ22)</f>
        <v>0</v>
      </c>
      <c r="GI22" s="190">
        <f>AW22*AW$2*IF($FC22="V",1,-1)*IF($Q22="Fixo",(DK22-INDEX('Curva Forward'!$C$5:$AN$13,MATCH(CONCATENATE(BD_COMERCIAL!$K22," ",BD_COMERCIAL!$L22),'Curva Forward'!$B$5:$B$13,0),MATCH(GI$4,'Curva Forward'!$C$4:$AN$4,0))),DK22)</f>
        <v>0</v>
      </c>
      <c r="GJ22" s="190">
        <f>AX22*AX$2*IF($FC22="V",1,-1)*IF($Q22="Fixo",(DL22-INDEX('Curva Forward'!$C$5:$AN$13,MATCH(CONCATENATE(BD_COMERCIAL!$K22," ",BD_COMERCIAL!$L22),'Curva Forward'!$B$5:$B$13,0),MATCH(GJ$4,'Curva Forward'!$C$4:$AN$4,0))),DL22)</f>
        <v>0</v>
      </c>
      <c r="GK22" s="190">
        <f>AY22*AY$2*IF($FC22="V",1,-1)*IF($Q22="Fixo",(DM22-INDEX('Curva Forward'!$C$5:$AN$13,MATCH(CONCATENATE(BD_COMERCIAL!$K22," ",BD_COMERCIAL!$L22),'Curva Forward'!$B$5:$B$13,0),MATCH(GK$4,'Curva Forward'!$C$4:$AN$4,0))),DM22)</f>
        <v>0</v>
      </c>
      <c r="GL22" s="190">
        <f>IF(EZ22="",0,CL22*CL$2*IF($FC22="V",1,-1)*IF($Q22="Fixo",(EZ22-INDEX('Curva Forward'!$C$5:$AN$13,MATCH(CONCATENATE(BD_COMERCIAL!$K22," ",BD_COMERCIAL!$L22),'Curva Forward'!$B$5:$B$13,0),MATCH(GL$4,'Curva Forward'!$C$4:$AN$4,0))),EZ22))</f>
        <v>0</v>
      </c>
      <c r="GM22" s="190">
        <f>IF(FA22="",0,CM22*CM$2*IF($FC22="V",1,-1)*IF($Q22="Fixo",(FA22-INDEX('Curva Forward'!$C$5:$AN$13,MATCH(CONCATENATE(BD_COMERCIAL!$K22," ",BD_COMERCIAL!$L22),'Curva Forward'!$B$5:$B$13,0),MATCH(GM$4,'Curva Forward'!$C$4:$AN$4,0))),FA22))</f>
        <v>0</v>
      </c>
      <c r="GN22" s="190">
        <f>IF(FB22="",0,CN22*CN$2*IF($FC22="V",1,-1)*IF($Q22="Fixo",(FB22-INDEX('Curva Forward'!$C$5:$AN$13,MATCH(CONCATENATE(BD_COMERCIAL!$K22," ",BD_COMERCIAL!$L22),'Curva Forward'!$B$5:$B$13,0),MATCH(GN$4,'Curva Forward'!$C$4:$AN$4,0))),FB22))</f>
        <v>0</v>
      </c>
      <c r="GO22" s="191">
        <f t="shared" ca="1" si="11"/>
        <v>785880</v>
      </c>
      <c r="GP22" s="191">
        <f t="shared" ca="1" si="12"/>
        <v>0</v>
      </c>
      <c r="GQ22"/>
      <c r="GR22" s="84"/>
      <c r="GS22"/>
      <c r="GT22" s="206"/>
      <c r="GU22" s="198"/>
      <c r="GV22"/>
      <c r="GW22"/>
      <c r="GX22" s="191"/>
      <c r="GY22" s="191"/>
      <c r="GZ22" s="190"/>
      <c r="HA22" s="190"/>
      <c r="HB22" s="190"/>
      <c r="HC22" s="190"/>
      <c r="HD22" s="190"/>
      <c r="HE22" s="190"/>
      <c r="HF22" s="190"/>
      <c r="HG22" s="190"/>
      <c r="HH22" s="190"/>
      <c r="HI22" s="190"/>
      <c r="HJ22" s="190"/>
      <c r="HK22" s="190"/>
      <c r="HL22" s="190"/>
      <c r="HM22" s="190"/>
      <c r="HN22" s="190"/>
      <c r="HO22" s="190"/>
      <c r="HP22" s="190"/>
      <c r="HQ22" s="190"/>
      <c r="HR22" s="190"/>
      <c r="HS22" s="190"/>
      <c r="HT22" s="190"/>
      <c r="HU22" s="190"/>
      <c r="HV22" s="190"/>
      <c r="HW22" s="190"/>
      <c r="HX22" s="190"/>
      <c r="HY22" s="190"/>
      <c r="HZ22" s="190"/>
      <c r="IA22" s="191"/>
      <c r="IB22" s="191"/>
    </row>
    <row r="23" spans="1:236" s="265" customFormat="1" ht="15" customHeight="1" x14ac:dyDescent="0.35">
      <c r="A23" s="251"/>
      <c r="B23" s="7" t="s">
        <v>336</v>
      </c>
      <c r="C23" s="8">
        <v>44714</v>
      </c>
      <c r="D23" s="9" t="s">
        <v>123</v>
      </c>
      <c r="E23" s="9" t="s">
        <v>124</v>
      </c>
      <c r="F23" s="112">
        <v>3780401000108</v>
      </c>
      <c r="G23" s="10" t="s">
        <v>184</v>
      </c>
      <c r="H23" s="112">
        <v>20557422000170</v>
      </c>
      <c r="I23" s="9" t="s">
        <v>125</v>
      </c>
      <c r="J23" s="158" t="s">
        <v>377</v>
      </c>
      <c r="K23" s="10" t="s">
        <v>126</v>
      </c>
      <c r="L23" s="84" t="s">
        <v>22</v>
      </c>
      <c r="M23" s="11">
        <v>44927</v>
      </c>
      <c r="N23" s="12">
        <v>45016</v>
      </c>
      <c r="O23" s="10">
        <v>5</v>
      </c>
      <c r="P23" s="84">
        <v>189</v>
      </c>
      <c r="Q23" s="84" t="s">
        <v>127</v>
      </c>
      <c r="R23" s="10" t="s">
        <v>128</v>
      </c>
      <c r="S23" s="14" t="s">
        <v>133</v>
      </c>
      <c r="T23" s="11" t="s">
        <v>129</v>
      </c>
      <c r="U23" s="12">
        <v>44714</v>
      </c>
      <c r="V23" s="202">
        <f ca="1">IF(U23="","",
IF(U23="NA","",
IFERROR(VLOOKUP(EOMONTH(M23,-2)+1,IPCA!$A:$B,2,0),
VLOOKUP(EOMONTH(TODAY(),-2)+1,IPCA!$A:$B,2,0))/
VLOOKUP(EOMONTH(U23,-2)+1,IPCA!$A:$B,2,0)*
P23))</f>
        <v>190.80397730816733</v>
      </c>
      <c r="W23" s="84"/>
      <c r="X23" s="13" t="s">
        <v>132</v>
      </c>
      <c r="Y23" s="158"/>
      <c r="Z23" s="106"/>
      <c r="AA23" s="107"/>
      <c r="AB23" s="15">
        <v>5</v>
      </c>
      <c r="AC23">
        <v>5</v>
      </c>
      <c r="AD23">
        <v>5</v>
      </c>
      <c r="AE23"/>
      <c r="AF23"/>
      <c r="AG23"/>
      <c r="AH23"/>
      <c r="AI23"/>
      <c r="AJ23"/>
      <c r="AK23"/>
      <c r="AL23"/>
      <c r="AM23" s="6"/>
      <c r="AN23" s="15"/>
      <c r="AO23"/>
      <c r="AP23"/>
      <c r="AQ23"/>
      <c r="AR23"/>
      <c r="AS23"/>
      <c r="AT23"/>
      <c r="AU23"/>
      <c r="AV23"/>
      <c r="AW23"/>
      <c r="AX23"/>
      <c r="AY23" s="6"/>
      <c r="AZ23" s="15"/>
      <c r="BA23"/>
      <c r="BB23"/>
      <c r="BC23"/>
      <c r="BD23"/>
      <c r="BE23"/>
      <c r="BF23"/>
      <c r="BG23"/>
      <c r="BH23"/>
      <c r="BI23"/>
      <c r="BJ23"/>
      <c r="BK23" s="6"/>
      <c r="BL23" s="15"/>
      <c r="BM23"/>
      <c r="BN23"/>
      <c r="BO23"/>
      <c r="BP23"/>
      <c r="BQ23"/>
      <c r="BR23"/>
      <c r="BS23"/>
      <c r="BT23"/>
      <c r="BU23"/>
      <c r="BV23"/>
      <c r="BW23" s="6"/>
      <c r="BX23" s="15"/>
      <c r="BY23"/>
      <c r="BZ23"/>
      <c r="CA23"/>
      <c r="CB23"/>
      <c r="CC23"/>
      <c r="CD23"/>
      <c r="CE23"/>
      <c r="CF23"/>
      <c r="CG23"/>
      <c r="CH23"/>
      <c r="CI23" s="6"/>
      <c r="CJ23" s="16">
        <v>1.2328767123287672</v>
      </c>
      <c r="CK23" s="16" t="s">
        <v>578</v>
      </c>
      <c r="CL23" s="16" t="s">
        <v>578</v>
      </c>
      <c r="CM23" s="16" t="s">
        <v>578</v>
      </c>
      <c r="CN23" s="16" t="s">
        <v>578</v>
      </c>
      <c r="CO23" s="18"/>
      <c r="CP23" s="15">
        <v>189</v>
      </c>
      <c r="CQ23">
        <v>189</v>
      </c>
      <c r="CR23">
        <v>189</v>
      </c>
      <c r="CS23"/>
      <c r="CT23"/>
      <c r="CU23"/>
      <c r="CV23"/>
      <c r="CW23"/>
      <c r="CX23"/>
      <c r="CY23"/>
      <c r="CZ23"/>
      <c r="DA23" s="6"/>
      <c r="DB23" s="15"/>
      <c r="DC23"/>
      <c r="DD23"/>
      <c r="DE23"/>
      <c r="DF23"/>
      <c r="DG23"/>
      <c r="DH23"/>
      <c r="DI23"/>
      <c r="DJ23"/>
      <c r="DK23"/>
      <c r="DL23"/>
      <c r="DM23" s="6"/>
      <c r="DN23" s="15"/>
      <c r="DO23"/>
      <c r="DP23"/>
      <c r="DQ23"/>
      <c r="DR23"/>
      <c r="DS23"/>
      <c r="DT23"/>
      <c r="DU23"/>
      <c r="DV23"/>
      <c r="DW23"/>
      <c r="DX23"/>
      <c r="DY23" s="6"/>
      <c r="DZ23" s="15"/>
      <c r="EA23"/>
      <c r="EB23"/>
      <c r="EC23"/>
      <c r="ED23"/>
      <c r="EE23"/>
      <c r="EF23"/>
      <c r="EG23"/>
      <c r="EH23"/>
      <c r="EI23"/>
      <c r="EJ23"/>
      <c r="EK23" s="6"/>
      <c r="EL23" s="15"/>
      <c r="EM23"/>
      <c r="EN23"/>
      <c r="EO23"/>
      <c r="EP23"/>
      <c r="EQ23"/>
      <c r="ER23"/>
      <c r="ES23"/>
      <c r="ET23"/>
      <c r="EU23"/>
      <c r="EV23"/>
      <c r="EW23" s="6"/>
      <c r="EX23" s="16">
        <v>46.602739726027394</v>
      </c>
      <c r="EY23" s="16" t="s">
        <v>578</v>
      </c>
      <c r="EZ23" s="16" t="s">
        <v>578</v>
      </c>
      <c r="FA23" s="154" t="s">
        <v>578</v>
      </c>
      <c r="FB23" s="154" t="s">
        <v>578</v>
      </c>
      <c r="FC23" t="s">
        <v>195</v>
      </c>
      <c r="FD23" s="20" t="s">
        <v>125</v>
      </c>
      <c r="FE23"/>
      <c r="FF23" s="199" t="s">
        <v>197</v>
      </c>
      <c r="FG23"/>
      <c r="FH23" s="206">
        <f t="shared" ca="1" si="6"/>
        <v>1.8039773081673331</v>
      </c>
      <c r="FI23" s="198">
        <f t="shared" si="7"/>
        <v>2.9666666666666668</v>
      </c>
      <c r="FJ23"/>
      <c r="FK23" t="str">
        <f t="shared" si="8"/>
        <v>Libra Comercializadora de Energia Ltda</v>
      </c>
      <c r="FL23" s="191">
        <f t="shared" ca="1" si="9"/>
        <v>446400</v>
      </c>
      <c r="FM23" s="191">
        <f t="shared" ca="1" si="10"/>
        <v>849600</v>
      </c>
      <c r="FN23" s="190">
        <f>AB23*AB$2*IF($FC23="V",1,-1)*IF($Q23="Fixo",(CP23-INDEX('Curva Forward'!$C$5:$AN$13,MATCH(CONCATENATE(BD_COMERCIAL!$K23," ",BD_COMERCIAL!$L23),'Curva Forward'!$B$5:$B$13,0),MATCH(FN$4,'Curva Forward'!$C$4:$AN$4,0))),CP23)</f>
        <v>446400</v>
      </c>
      <c r="FO23" s="190">
        <f>AC23*AC$2*IF($FC23="V",1,-1)*IF($Q23="Fixo",(CQ23-INDEX('Curva Forward'!$C$5:$AN$13,MATCH(CONCATENATE(BD_COMERCIAL!$K23," ",BD_COMERCIAL!$L23),'Curva Forward'!$B$5:$B$13,0),MATCH(FO$4,'Curva Forward'!$C$4:$AN$4,0))),CQ23)</f>
        <v>403200</v>
      </c>
      <c r="FP23" s="190">
        <f>AD23*AD$2*IF($FC23="V",1,-1)*IF($Q23="Fixo",(CR23-INDEX('Curva Forward'!$C$5:$AN$13,MATCH(CONCATENATE(BD_COMERCIAL!$K23," ",BD_COMERCIAL!$L23),'Curva Forward'!$B$5:$B$13,0),MATCH(FP$4,'Curva Forward'!$C$4:$AN$4,0))),CR23)</f>
        <v>446400</v>
      </c>
      <c r="FQ23" s="190">
        <f>AE23*AE$2*IF($FC23="V",1,-1)*IF($Q23="Fixo",(CS23-INDEX('Curva Forward'!$C$5:$AN$13,MATCH(CONCATENATE(BD_COMERCIAL!$K23," ",BD_COMERCIAL!$L23),'Curva Forward'!$B$5:$B$13,0),MATCH(FQ$4,'Curva Forward'!$C$4:$AN$4,0))),CS23)</f>
        <v>0</v>
      </c>
      <c r="FR23" s="190">
        <f>AF23*AF$2*IF($FC23="V",1,-1)*IF($Q23="Fixo",(CT23-INDEX('Curva Forward'!$C$5:$AN$13,MATCH(CONCATENATE(BD_COMERCIAL!$K23," ",BD_COMERCIAL!$L23),'Curva Forward'!$B$5:$B$13,0),MATCH(FR$4,'Curva Forward'!$C$4:$AN$4,0))),CT23)</f>
        <v>0</v>
      </c>
      <c r="FS23" s="190">
        <f>AG23*AG$2*IF($FC23="V",1,-1)*IF($Q23="Fixo",(CU23-INDEX('Curva Forward'!$C$5:$AN$13,MATCH(CONCATENATE(BD_COMERCIAL!$K23," ",BD_COMERCIAL!$L23),'Curva Forward'!$B$5:$B$13,0),MATCH(FS$4,'Curva Forward'!$C$4:$AN$4,0))),CU23)</f>
        <v>0</v>
      </c>
      <c r="FT23" s="190">
        <f>AH23*AH$2*IF($FC23="V",1,-1)*IF($Q23="Fixo",(CV23-INDEX('Curva Forward'!$C$5:$AN$13,MATCH(CONCATENATE(BD_COMERCIAL!$K23," ",BD_COMERCIAL!$L23),'Curva Forward'!$B$5:$B$13,0),MATCH(FT$4,'Curva Forward'!$C$4:$AN$4,0))),CV23)</f>
        <v>0</v>
      </c>
      <c r="FU23" s="190">
        <f>AI23*AI$2*IF($FC23="V",1,-1)*IF($Q23="Fixo",(CW23-INDEX('Curva Forward'!$C$5:$AN$13,MATCH(CONCATENATE(BD_COMERCIAL!$K23," ",BD_COMERCIAL!$L23),'Curva Forward'!$B$5:$B$13,0),MATCH(FU$4,'Curva Forward'!$C$4:$AN$4,0))),CW23)</f>
        <v>0</v>
      </c>
      <c r="FV23" s="190">
        <f>AJ23*AJ$2*IF($FC23="V",1,-1)*IF($Q23="Fixo",(CX23-INDEX('Curva Forward'!$C$5:$AN$13,MATCH(CONCATENATE(BD_COMERCIAL!$K23," ",BD_COMERCIAL!$L23),'Curva Forward'!$B$5:$B$13,0),MATCH(FV$4,'Curva Forward'!$C$4:$AN$4,0))),CX23)</f>
        <v>0</v>
      </c>
      <c r="FW23" s="190">
        <f>AK23*AK$2*IF($FC23="V",1,-1)*IF($Q23="Fixo",(CY23-INDEX('Curva Forward'!$C$5:$AN$13,MATCH(CONCATENATE(BD_COMERCIAL!$K23," ",BD_COMERCIAL!$L23),'Curva Forward'!$B$5:$B$13,0),MATCH(FW$4,'Curva Forward'!$C$4:$AN$4,0))),CY23)</f>
        <v>0</v>
      </c>
      <c r="FX23" s="190">
        <f>AL23*AL$2*IF($FC23="V",1,-1)*IF($Q23="Fixo",(CZ23-INDEX('Curva Forward'!$C$5:$AN$13,MATCH(CONCATENATE(BD_COMERCIAL!$K23," ",BD_COMERCIAL!$L23),'Curva Forward'!$B$5:$B$13,0),MATCH(FX$4,'Curva Forward'!$C$4:$AN$4,0))),CZ23)</f>
        <v>0</v>
      </c>
      <c r="FY23" s="190">
        <f>AM23*AM$2*IF($FC23="V",1,-1)*IF($Q23="Fixo",(DA23-INDEX('Curva Forward'!$C$5:$AN$13,MATCH(CONCATENATE(BD_COMERCIAL!$K23," ",BD_COMERCIAL!$L23),'Curva Forward'!$B$5:$B$13,0),MATCH(FY$4,'Curva Forward'!$C$4:$AN$4,0))),DA23)</f>
        <v>0</v>
      </c>
      <c r="FZ23" s="190">
        <f>AN23*AN$2*IF($FC23="V",1,-1)*IF($Q23="Fixo",(DB23-INDEX('Curva Forward'!$C$5:$AN$13,MATCH(CONCATENATE(BD_COMERCIAL!$K23," ",BD_COMERCIAL!$L23),'Curva Forward'!$B$5:$B$13,0),MATCH(FZ$4,'Curva Forward'!$C$4:$AN$4,0))),DB23)</f>
        <v>0</v>
      </c>
      <c r="GA23" s="190">
        <f>AO23*AO$2*IF($FC23="V",1,-1)*IF($Q23="Fixo",(DC23-INDEX('Curva Forward'!$C$5:$AN$13,MATCH(CONCATENATE(BD_COMERCIAL!$K23," ",BD_COMERCIAL!$L23),'Curva Forward'!$B$5:$B$13,0),MATCH(GA$4,'Curva Forward'!$C$4:$AN$4,0))),DC23)</f>
        <v>0</v>
      </c>
      <c r="GB23" s="190">
        <f>AP23*AP$2*IF($FC23="V",1,-1)*IF($Q23="Fixo",(DD23-INDEX('Curva Forward'!$C$5:$AN$13,MATCH(CONCATENATE(BD_COMERCIAL!$K23," ",BD_COMERCIAL!$L23),'Curva Forward'!$B$5:$B$13,0),MATCH(GB$4,'Curva Forward'!$C$4:$AN$4,0))),DD23)</f>
        <v>0</v>
      </c>
      <c r="GC23" s="190">
        <f>AQ23*AQ$2*IF($FC23="V",1,-1)*IF($Q23="Fixo",(DE23-INDEX('Curva Forward'!$C$5:$AN$13,MATCH(CONCATENATE(BD_COMERCIAL!$K23," ",BD_COMERCIAL!$L23),'Curva Forward'!$B$5:$B$13,0),MATCH(GC$4,'Curva Forward'!$C$4:$AN$4,0))),DE23)</f>
        <v>0</v>
      </c>
      <c r="GD23" s="190">
        <f>AR23*AR$2*IF($FC23="V",1,-1)*IF($Q23="Fixo",(DF23-INDEX('Curva Forward'!$C$5:$AN$13,MATCH(CONCATENATE(BD_COMERCIAL!$K23," ",BD_COMERCIAL!$L23),'Curva Forward'!$B$5:$B$13,0),MATCH(GD$4,'Curva Forward'!$C$4:$AN$4,0))),DF23)</f>
        <v>0</v>
      </c>
      <c r="GE23" s="190">
        <f>AS23*AS$2*IF($FC23="V",1,-1)*IF($Q23="Fixo",(DG23-INDEX('Curva Forward'!$C$5:$AN$13,MATCH(CONCATENATE(BD_COMERCIAL!$K23," ",BD_COMERCIAL!$L23),'Curva Forward'!$B$5:$B$13,0),MATCH(GE$4,'Curva Forward'!$C$4:$AN$4,0))),DG23)</f>
        <v>0</v>
      </c>
      <c r="GF23" s="190">
        <f>AT23*AT$2*IF($FC23="V",1,-1)*IF($Q23="Fixo",(DH23-INDEX('Curva Forward'!$C$5:$AN$13,MATCH(CONCATENATE(BD_COMERCIAL!$K23," ",BD_COMERCIAL!$L23),'Curva Forward'!$B$5:$B$13,0),MATCH(GF$4,'Curva Forward'!$C$4:$AN$4,0))),DH23)</f>
        <v>0</v>
      </c>
      <c r="GG23" s="190">
        <f>AU23*AU$2*IF($FC23="V",1,-1)*IF($Q23="Fixo",(DI23-INDEX('Curva Forward'!$C$5:$AN$13,MATCH(CONCATENATE(BD_COMERCIAL!$K23," ",BD_COMERCIAL!$L23),'Curva Forward'!$B$5:$B$13,0),MATCH(GG$4,'Curva Forward'!$C$4:$AN$4,0))),DI23)</f>
        <v>0</v>
      </c>
      <c r="GH23" s="190">
        <f>AV23*AV$2*IF($FC23="V",1,-1)*IF($Q23="Fixo",(DJ23-INDEX('Curva Forward'!$C$5:$AN$13,MATCH(CONCATENATE(BD_COMERCIAL!$K23," ",BD_COMERCIAL!$L23),'Curva Forward'!$B$5:$B$13,0),MATCH(GH$4,'Curva Forward'!$C$4:$AN$4,0))),DJ23)</f>
        <v>0</v>
      </c>
      <c r="GI23" s="190">
        <f>AW23*AW$2*IF($FC23="V",1,-1)*IF($Q23="Fixo",(DK23-INDEX('Curva Forward'!$C$5:$AN$13,MATCH(CONCATENATE(BD_COMERCIAL!$K23," ",BD_COMERCIAL!$L23),'Curva Forward'!$B$5:$B$13,0),MATCH(GI$4,'Curva Forward'!$C$4:$AN$4,0))),DK23)</f>
        <v>0</v>
      </c>
      <c r="GJ23" s="190">
        <f>AX23*AX$2*IF($FC23="V",1,-1)*IF($Q23="Fixo",(DL23-INDEX('Curva Forward'!$C$5:$AN$13,MATCH(CONCATENATE(BD_COMERCIAL!$K23," ",BD_COMERCIAL!$L23),'Curva Forward'!$B$5:$B$13,0),MATCH(GJ$4,'Curva Forward'!$C$4:$AN$4,0))),DL23)</f>
        <v>0</v>
      </c>
      <c r="GK23" s="190">
        <f>AY23*AY$2*IF($FC23="V",1,-1)*IF($Q23="Fixo",(DM23-INDEX('Curva Forward'!$C$5:$AN$13,MATCH(CONCATENATE(BD_COMERCIAL!$K23," ",BD_COMERCIAL!$L23),'Curva Forward'!$B$5:$B$13,0),MATCH(GK$4,'Curva Forward'!$C$4:$AN$4,0))),DM23)</f>
        <v>0</v>
      </c>
      <c r="GL23" s="190">
        <f>IF(EZ23="",0,CL23*CL$2*IF($FC23="V",1,-1)*IF($Q23="Fixo",(EZ23-INDEX('Curva Forward'!$C$5:$AN$13,MATCH(CONCATENATE(BD_COMERCIAL!$K23," ",BD_COMERCIAL!$L23),'Curva Forward'!$B$5:$B$13,0),MATCH(GL$4,'Curva Forward'!$C$4:$AN$4,0))),EZ23))</f>
        <v>0</v>
      </c>
      <c r="GM23" s="190">
        <f>IF(FA23="",0,CM23*CM$2*IF($FC23="V",1,-1)*IF($Q23="Fixo",(FA23-INDEX('Curva Forward'!$C$5:$AN$13,MATCH(CONCATENATE(BD_COMERCIAL!$K23," ",BD_COMERCIAL!$L23),'Curva Forward'!$B$5:$B$13,0),MATCH(GM$4,'Curva Forward'!$C$4:$AN$4,0))),FA23))</f>
        <v>0</v>
      </c>
      <c r="GN23" s="190">
        <f>IF(FB23="",0,CN23*CN$2*IF($FC23="V",1,-1)*IF($Q23="Fixo",(FB23-INDEX('Curva Forward'!$C$5:$AN$13,MATCH(CONCATENATE(BD_COMERCIAL!$K23," ",BD_COMERCIAL!$L23),'Curva Forward'!$B$5:$B$13,0),MATCH(GN$4,'Curva Forward'!$C$4:$AN$4,0))),FB23))</f>
        <v>0</v>
      </c>
      <c r="GO23" s="191">
        <f t="shared" ca="1" si="11"/>
        <v>849600</v>
      </c>
      <c r="GP23" s="191">
        <f t="shared" ca="1" si="12"/>
        <v>0</v>
      </c>
      <c r="GQ23"/>
      <c r="GR23" s="84"/>
      <c r="GS23"/>
      <c r="GT23" s="206"/>
      <c r="GU23" s="198"/>
      <c r="GV23"/>
      <c r="GW23"/>
      <c r="GX23" s="191"/>
      <c r="GY23" s="191"/>
      <c r="GZ23" s="190"/>
      <c r="HA23" s="190"/>
      <c r="HB23" s="190"/>
      <c r="HC23" s="190"/>
      <c r="HD23" s="190"/>
      <c r="HE23" s="190"/>
      <c r="HF23" s="190"/>
      <c r="HG23" s="190"/>
      <c r="HH23" s="190"/>
      <c r="HI23" s="190"/>
      <c r="HJ23" s="190"/>
      <c r="HK23" s="190"/>
      <c r="HL23" s="190"/>
      <c r="HM23" s="190"/>
      <c r="HN23" s="190"/>
      <c r="HO23" s="190"/>
      <c r="HP23" s="190"/>
      <c r="HQ23" s="190"/>
      <c r="HR23" s="190"/>
      <c r="HS23" s="190"/>
      <c r="HT23" s="190"/>
      <c r="HU23" s="190"/>
      <c r="HV23" s="190"/>
      <c r="HW23" s="190"/>
      <c r="HX23" s="190"/>
      <c r="HY23" s="190"/>
      <c r="HZ23" s="190"/>
      <c r="IA23" s="191"/>
      <c r="IB23" s="191"/>
    </row>
    <row r="24" spans="1:236" s="265" customFormat="1" ht="15" customHeight="1" x14ac:dyDescent="0.35">
      <c r="A24" s="251"/>
      <c r="B24" s="7" t="s">
        <v>337</v>
      </c>
      <c r="C24" s="8">
        <v>44715</v>
      </c>
      <c r="D24" s="9" t="s">
        <v>123</v>
      </c>
      <c r="E24" s="9" t="s">
        <v>124</v>
      </c>
      <c r="F24" s="112">
        <v>3780401000108</v>
      </c>
      <c r="G24" s="10" t="s">
        <v>303</v>
      </c>
      <c r="H24" s="112">
        <v>33933760000100</v>
      </c>
      <c r="I24" s="9" t="s">
        <v>125</v>
      </c>
      <c r="J24" s="158" t="s">
        <v>377</v>
      </c>
      <c r="K24" s="10" t="s">
        <v>126</v>
      </c>
      <c r="L24" s="84" t="s">
        <v>22</v>
      </c>
      <c r="M24" s="11">
        <v>44927</v>
      </c>
      <c r="N24" s="12">
        <v>45016</v>
      </c>
      <c r="O24" s="10">
        <v>5</v>
      </c>
      <c r="P24" s="84">
        <v>192</v>
      </c>
      <c r="Q24" s="84" t="s">
        <v>127</v>
      </c>
      <c r="R24" s="10" t="s">
        <v>128</v>
      </c>
      <c r="S24" s="14" t="s">
        <v>133</v>
      </c>
      <c r="T24" s="11" t="s">
        <v>129</v>
      </c>
      <c r="U24" s="12">
        <v>44715</v>
      </c>
      <c r="V24" s="202">
        <f ca="1">IF(U24="","",
IF(U24="NA","",
IFERROR(VLOOKUP(EOMONTH(M24,-2)+1,IPCA!$A:$B,2,0),
VLOOKUP(EOMONTH(TODAY(),-2)+1,IPCA!$A:$B,2,0))/
VLOOKUP(EOMONTH(U24,-2)+1,IPCA!$A:$B,2,0)*
P24))</f>
        <v>193.83261186861444</v>
      </c>
      <c r="W24" s="84"/>
      <c r="X24" s="13" t="s">
        <v>132</v>
      </c>
      <c r="Y24" s="158"/>
      <c r="Z24" s="106"/>
      <c r="AA24" s="107"/>
      <c r="AB24" s="15">
        <v>5</v>
      </c>
      <c r="AC24">
        <v>5</v>
      </c>
      <c r="AD24">
        <v>5</v>
      </c>
      <c r="AE24"/>
      <c r="AF24"/>
      <c r="AG24"/>
      <c r="AH24"/>
      <c r="AI24"/>
      <c r="AJ24"/>
      <c r="AK24"/>
      <c r="AL24"/>
      <c r="AM24" s="6"/>
      <c r="AN24" s="15"/>
      <c r="AO24"/>
      <c r="AP24"/>
      <c r="AQ24"/>
      <c r="AR24"/>
      <c r="AS24"/>
      <c r="AT24"/>
      <c r="AU24"/>
      <c r="AV24"/>
      <c r="AW24"/>
      <c r="AX24"/>
      <c r="AY24" s="6"/>
      <c r="AZ24" s="15"/>
      <c r="BA24"/>
      <c r="BB24"/>
      <c r="BC24"/>
      <c r="BD24"/>
      <c r="BE24"/>
      <c r="BF24"/>
      <c r="BG24"/>
      <c r="BH24"/>
      <c r="BI24"/>
      <c r="BJ24"/>
      <c r="BK24" s="6"/>
      <c r="BL24" s="15"/>
      <c r="BM24"/>
      <c r="BN24"/>
      <c r="BO24"/>
      <c r="BP24"/>
      <c r="BQ24"/>
      <c r="BR24"/>
      <c r="BS24"/>
      <c r="BT24"/>
      <c r="BU24"/>
      <c r="BV24"/>
      <c r="BW24" s="6"/>
      <c r="BX24" s="15"/>
      <c r="BY24"/>
      <c r="BZ24"/>
      <c r="CA24"/>
      <c r="CB24"/>
      <c r="CC24"/>
      <c r="CD24"/>
      <c r="CE24"/>
      <c r="CF24"/>
      <c r="CG24"/>
      <c r="CH24"/>
      <c r="CI24" s="6"/>
      <c r="CJ24" s="16">
        <v>1.2328767123287672</v>
      </c>
      <c r="CK24" s="16" t="s">
        <v>578</v>
      </c>
      <c r="CL24" s="16" t="s">
        <v>578</v>
      </c>
      <c r="CM24" s="16" t="s">
        <v>578</v>
      </c>
      <c r="CN24" s="16" t="s">
        <v>578</v>
      </c>
      <c r="CO24" s="18"/>
      <c r="CP24" s="15">
        <v>192</v>
      </c>
      <c r="CQ24">
        <v>192</v>
      </c>
      <c r="CR24">
        <v>192</v>
      </c>
      <c r="CS24"/>
      <c r="CT24"/>
      <c r="CU24"/>
      <c r="CV24"/>
      <c r="CW24"/>
      <c r="CX24"/>
      <c r="CY24"/>
      <c r="CZ24"/>
      <c r="DA24" s="6"/>
      <c r="DB24" s="15"/>
      <c r="DC24"/>
      <c r="DD24"/>
      <c r="DE24"/>
      <c r="DF24"/>
      <c r="DG24"/>
      <c r="DH24"/>
      <c r="DI24"/>
      <c r="DJ24"/>
      <c r="DK24"/>
      <c r="DL24"/>
      <c r="DM24" s="6"/>
      <c r="DN24" s="15"/>
      <c r="DO24"/>
      <c r="DP24"/>
      <c r="DQ24"/>
      <c r="DR24"/>
      <c r="DS24"/>
      <c r="DT24"/>
      <c r="DU24"/>
      <c r="DV24"/>
      <c r="DW24"/>
      <c r="DX24"/>
      <c r="DY24" s="6"/>
      <c r="DZ24" s="15"/>
      <c r="EA24"/>
      <c r="EB24"/>
      <c r="EC24"/>
      <c r="ED24"/>
      <c r="EE24"/>
      <c r="EF24"/>
      <c r="EG24"/>
      <c r="EH24"/>
      <c r="EI24"/>
      <c r="EJ24"/>
      <c r="EK24" s="6"/>
      <c r="EL24" s="15"/>
      <c r="EM24"/>
      <c r="EN24"/>
      <c r="EO24"/>
      <c r="EP24"/>
      <c r="EQ24"/>
      <c r="ER24"/>
      <c r="ES24"/>
      <c r="ET24"/>
      <c r="EU24"/>
      <c r="EV24"/>
      <c r="EW24" s="6"/>
      <c r="EX24" s="16">
        <v>47.342465753424655</v>
      </c>
      <c r="EY24" s="16" t="s">
        <v>578</v>
      </c>
      <c r="EZ24" s="16" t="s">
        <v>578</v>
      </c>
      <c r="FA24" s="154" t="s">
        <v>578</v>
      </c>
      <c r="FB24" s="154" t="s">
        <v>578</v>
      </c>
      <c r="FC24" t="s">
        <v>195</v>
      </c>
      <c r="FD24" s="20" t="s">
        <v>125</v>
      </c>
      <c r="FE24"/>
      <c r="FF24" s="199" t="s">
        <v>197</v>
      </c>
      <c r="FG24"/>
      <c r="FH24" s="206">
        <f t="shared" ca="1" si="6"/>
        <v>1.8326118686144355</v>
      </c>
      <c r="FI24" s="198">
        <f t="shared" si="7"/>
        <v>2.9666666666666668</v>
      </c>
      <c r="FJ24"/>
      <c r="FK24" t="str">
        <f t="shared" si="8"/>
        <v>CASA DOS VENTOS COMERCIALIZADORA DE ENERGIA S.A</v>
      </c>
      <c r="FL24" s="191">
        <f t="shared" ca="1" si="9"/>
        <v>457560</v>
      </c>
      <c r="FM24" s="191">
        <f t="shared" ca="1" si="10"/>
        <v>870840</v>
      </c>
      <c r="FN24" s="190">
        <f>AB24*AB$2*IF($FC24="V",1,-1)*IF($Q24="Fixo",(CP24-INDEX('Curva Forward'!$C$5:$AN$13,MATCH(CONCATENATE(BD_COMERCIAL!$K24," ",BD_COMERCIAL!$L24),'Curva Forward'!$B$5:$B$13,0),MATCH(FN$4,'Curva Forward'!$C$4:$AN$4,0))),CP24)</f>
        <v>457560</v>
      </c>
      <c r="FO24" s="190">
        <f>AC24*AC$2*IF($FC24="V",1,-1)*IF($Q24="Fixo",(CQ24-INDEX('Curva Forward'!$C$5:$AN$13,MATCH(CONCATENATE(BD_COMERCIAL!$K24," ",BD_COMERCIAL!$L24),'Curva Forward'!$B$5:$B$13,0),MATCH(FO$4,'Curva Forward'!$C$4:$AN$4,0))),CQ24)</f>
        <v>413280</v>
      </c>
      <c r="FP24" s="190">
        <f>AD24*AD$2*IF($FC24="V",1,-1)*IF($Q24="Fixo",(CR24-INDEX('Curva Forward'!$C$5:$AN$13,MATCH(CONCATENATE(BD_COMERCIAL!$K24," ",BD_COMERCIAL!$L24),'Curva Forward'!$B$5:$B$13,0),MATCH(FP$4,'Curva Forward'!$C$4:$AN$4,0))),CR24)</f>
        <v>457560</v>
      </c>
      <c r="FQ24" s="190">
        <f>AE24*AE$2*IF($FC24="V",1,-1)*IF($Q24="Fixo",(CS24-INDEX('Curva Forward'!$C$5:$AN$13,MATCH(CONCATENATE(BD_COMERCIAL!$K24," ",BD_COMERCIAL!$L24),'Curva Forward'!$B$5:$B$13,0),MATCH(FQ$4,'Curva Forward'!$C$4:$AN$4,0))),CS24)</f>
        <v>0</v>
      </c>
      <c r="FR24" s="190">
        <f>AF24*AF$2*IF($FC24="V",1,-1)*IF($Q24="Fixo",(CT24-INDEX('Curva Forward'!$C$5:$AN$13,MATCH(CONCATENATE(BD_COMERCIAL!$K24," ",BD_COMERCIAL!$L24),'Curva Forward'!$B$5:$B$13,0),MATCH(FR$4,'Curva Forward'!$C$4:$AN$4,0))),CT24)</f>
        <v>0</v>
      </c>
      <c r="FS24" s="190">
        <f>AG24*AG$2*IF($FC24="V",1,-1)*IF($Q24="Fixo",(CU24-INDEX('Curva Forward'!$C$5:$AN$13,MATCH(CONCATENATE(BD_COMERCIAL!$K24," ",BD_COMERCIAL!$L24),'Curva Forward'!$B$5:$B$13,0),MATCH(FS$4,'Curva Forward'!$C$4:$AN$4,0))),CU24)</f>
        <v>0</v>
      </c>
      <c r="FT24" s="190">
        <f>AH24*AH$2*IF($FC24="V",1,-1)*IF($Q24="Fixo",(CV24-INDEX('Curva Forward'!$C$5:$AN$13,MATCH(CONCATENATE(BD_COMERCIAL!$K24," ",BD_COMERCIAL!$L24),'Curva Forward'!$B$5:$B$13,0),MATCH(FT$4,'Curva Forward'!$C$4:$AN$4,0))),CV24)</f>
        <v>0</v>
      </c>
      <c r="FU24" s="190">
        <f>AI24*AI$2*IF($FC24="V",1,-1)*IF($Q24="Fixo",(CW24-INDEX('Curva Forward'!$C$5:$AN$13,MATCH(CONCATENATE(BD_COMERCIAL!$K24," ",BD_COMERCIAL!$L24),'Curva Forward'!$B$5:$B$13,0),MATCH(FU$4,'Curva Forward'!$C$4:$AN$4,0))),CW24)</f>
        <v>0</v>
      </c>
      <c r="FV24" s="190">
        <f>AJ24*AJ$2*IF($FC24="V",1,-1)*IF($Q24="Fixo",(CX24-INDEX('Curva Forward'!$C$5:$AN$13,MATCH(CONCATENATE(BD_COMERCIAL!$K24," ",BD_COMERCIAL!$L24),'Curva Forward'!$B$5:$B$13,0),MATCH(FV$4,'Curva Forward'!$C$4:$AN$4,0))),CX24)</f>
        <v>0</v>
      </c>
      <c r="FW24" s="190">
        <f>AK24*AK$2*IF($FC24="V",1,-1)*IF($Q24="Fixo",(CY24-INDEX('Curva Forward'!$C$5:$AN$13,MATCH(CONCATENATE(BD_COMERCIAL!$K24," ",BD_COMERCIAL!$L24),'Curva Forward'!$B$5:$B$13,0),MATCH(FW$4,'Curva Forward'!$C$4:$AN$4,0))),CY24)</f>
        <v>0</v>
      </c>
      <c r="FX24" s="190">
        <f>AL24*AL$2*IF($FC24="V",1,-1)*IF($Q24="Fixo",(CZ24-INDEX('Curva Forward'!$C$5:$AN$13,MATCH(CONCATENATE(BD_COMERCIAL!$K24," ",BD_COMERCIAL!$L24),'Curva Forward'!$B$5:$B$13,0),MATCH(FX$4,'Curva Forward'!$C$4:$AN$4,0))),CZ24)</f>
        <v>0</v>
      </c>
      <c r="FY24" s="190">
        <f>AM24*AM$2*IF($FC24="V",1,-1)*IF($Q24="Fixo",(DA24-INDEX('Curva Forward'!$C$5:$AN$13,MATCH(CONCATENATE(BD_COMERCIAL!$K24," ",BD_COMERCIAL!$L24),'Curva Forward'!$B$5:$B$13,0),MATCH(FY$4,'Curva Forward'!$C$4:$AN$4,0))),DA24)</f>
        <v>0</v>
      </c>
      <c r="FZ24" s="190">
        <f>AN24*AN$2*IF($FC24="V",1,-1)*IF($Q24="Fixo",(DB24-INDEX('Curva Forward'!$C$5:$AN$13,MATCH(CONCATENATE(BD_COMERCIAL!$K24," ",BD_COMERCIAL!$L24),'Curva Forward'!$B$5:$B$13,0),MATCH(FZ$4,'Curva Forward'!$C$4:$AN$4,0))),DB24)</f>
        <v>0</v>
      </c>
      <c r="GA24" s="190">
        <f>AO24*AO$2*IF($FC24="V",1,-1)*IF($Q24="Fixo",(DC24-INDEX('Curva Forward'!$C$5:$AN$13,MATCH(CONCATENATE(BD_COMERCIAL!$K24," ",BD_COMERCIAL!$L24),'Curva Forward'!$B$5:$B$13,0),MATCH(GA$4,'Curva Forward'!$C$4:$AN$4,0))),DC24)</f>
        <v>0</v>
      </c>
      <c r="GB24" s="190">
        <f>AP24*AP$2*IF($FC24="V",1,-1)*IF($Q24="Fixo",(DD24-INDEX('Curva Forward'!$C$5:$AN$13,MATCH(CONCATENATE(BD_COMERCIAL!$K24," ",BD_COMERCIAL!$L24),'Curva Forward'!$B$5:$B$13,0),MATCH(GB$4,'Curva Forward'!$C$4:$AN$4,0))),DD24)</f>
        <v>0</v>
      </c>
      <c r="GC24" s="190">
        <f>AQ24*AQ$2*IF($FC24="V",1,-1)*IF($Q24="Fixo",(DE24-INDEX('Curva Forward'!$C$5:$AN$13,MATCH(CONCATENATE(BD_COMERCIAL!$K24," ",BD_COMERCIAL!$L24),'Curva Forward'!$B$5:$B$13,0),MATCH(GC$4,'Curva Forward'!$C$4:$AN$4,0))),DE24)</f>
        <v>0</v>
      </c>
      <c r="GD24" s="190">
        <f>AR24*AR$2*IF($FC24="V",1,-1)*IF($Q24="Fixo",(DF24-INDEX('Curva Forward'!$C$5:$AN$13,MATCH(CONCATENATE(BD_COMERCIAL!$K24," ",BD_COMERCIAL!$L24),'Curva Forward'!$B$5:$B$13,0),MATCH(GD$4,'Curva Forward'!$C$4:$AN$4,0))),DF24)</f>
        <v>0</v>
      </c>
      <c r="GE24" s="190">
        <f>AS24*AS$2*IF($FC24="V",1,-1)*IF($Q24="Fixo",(DG24-INDEX('Curva Forward'!$C$5:$AN$13,MATCH(CONCATENATE(BD_COMERCIAL!$K24," ",BD_COMERCIAL!$L24),'Curva Forward'!$B$5:$B$13,0),MATCH(GE$4,'Curva Forward'!$C$4:$AN$4,0))),DG24)</f>
        <v>0</v>
      </c>
      <c r="GF24" s="190">
        <f>AT24*AT$2*IF($FC24="V",1,-1)*IF($Q24="Fixo",(DH24-INDEX('Curva Forward'!$C$5:$AN$13,MATCH(CONCATENATE(BD_COMERCIAL!$K24," ",BD_COMERCIAL!$L24),'Curva Forward'!$B$5:$B$13,0),MATCH(GF$4,'Curva Forward'!$C$4:$AN$4,0))),DH24)</f>
        <v>0</v>
      </c>
      <c r="GG24" s="190">
        <f>AU24*AU$2*IF($FC24="V",1,-1)*IF($Q24="Fixo",(DI24-INDEX('Curva Forward'!$C$5:$AN$13,MATCH(CONCATENATE(BD_COMERCIAL!$K24," ",BD_COMERCIAL!$L24),'Curva Forward'!$B$5:$B$13,0),MATCH(GG$4,'Curva Forward'!$C$4:$AN$4,0))),DI24)</f>
        <v>0</v>
      </c>
      <c r="GH24" s="190">
        <f>AV24*AV$2*IF($FC24="V",1,-1)*IF($Q24="Fixo",(DJ24-INDEX('Curva Forward'!$C$5:$AN$13,MATCH(CONCATENATE(BD_COMERCIAL!$K24," ",BD_COMERCIAL!$L24),'Curva Forward'!$B$5:$B$13,0),MATCH(GH$4,'Curva Forward'!$C$4:$AN$4,0))),DJ24)</f>
        <v>0</v>
      </c>
      <c r="GI24" s="190">
        <f>AW24*AW$2*IF($FC24="V",1,-1)*IF($Q24="Fixo",(DK24-INDEX('Curva Forward'!$C$5:$AN$13,MATCH(CONCATENATE(BD_COMERCIAL!$K24," ",BD_COMERCIAL!$L24),'Curva Forward'!$B$5:$B$13,0),MATCH(GI$4,'Curva Forward'!$C$4:$AN$4,0))),DK24)</f>
        <v>0</v>
      </c>
      <c r="GJ24" s="190">
        <f>AX24*AX$2*IF($FC24="V",1,-1)*IF($Q24="Fixo",(DL24-INDEX('Curva Forward'!$C$5:$AN$13,MATCH(CONCATENATE(BD_COMERCIAL!$K24," ",BD_COMERCIAL!$L24),'Curva Forward'!$B$5:$B$13,0),MATCH(GJ$4,'Curva Forward'!$C$4:$AN$4,0))),DL24)</f>
        <v>0</v>
      </c>
      <c r="GK24" s="190">
        <f>AY24*AY$2*IF($FC24="V",1,-1)*IF($Q24="Fixo",(DM24-INDEX('Curva Forward'!$C$5:$AN$13,MATCH(CONCATENATE(BD_COMERCIAL!$K24," ",BD_COMERCIAL!$L24),'Curva Forward'!$B$5:$B$13,0),MATCH(GK$4,'Curva Forward'!$C$4:$AN$4,0))),DM24)</f>
        <v>0</v>
      </c>
      <c r="GL24" s="190">
        <f>IF(EZ24="",0,CL24*CL$2*IF($FC24="V",1,-1)*IF($Q24="Fixo",(EZ24-INDEX('Curva Forward'!$C$5:$AN$13,MATCH(CONCATENATE(BD_COMERCIAL!$K24," ",BD_COMERCIAL!$L24),'Curva Forward'!$B$5:$B$13,0),MATCH(GL$4,'Curva Forward'!$C$4:$AN$4,0))),EZ24))</f>
        <v>0</v>
      </c>
      <c r="GM24" s="190">
        <f>IF(FA24="",0,CM24*CM$2*IF($FC24="V",1,-1)*IF($Q24="Fixo",(FA24-INDEX('Curva Forward'!$C$5:$AN$13,MATCH(CONCATENATE(BD_COMERCIAL!$K24," ",BD_COMERCIAL!$L24),'Curva Forward'!$B$5:$B$13,0),MATCH(GM$4,'Curva Forward'!$C$4:$AN$4,0))),FA24))</f>
        <v>0</v>
      </c>
      <c r="GN24" s="190">
        <f>IF(FB24="",0,CN24*CN$2*IF($FC24="V",1,-1)*IF($Q24="Fixo",(FB24-INDEX('Curva Forward'!$C$5:$AN$13,MATCH(CONCATENATE(BD_COMERCIAL!$K24," ",BD_COMERCIAL!$L24),'Curva Forward'!$B$5:$B$13,0),MATCH(GN$4,'Curva Forward'!$C$4:$AN$4,0))),FB24))</f>
        <v>0</v>
      </c>
      <c r="GO24" s="191">
        <f t="shared" ca="1" si="11"/>
        <v>870840</v>
      </c>
      <c r="GP24" s="191">
        <f t="shared" ca="1" si="12"/>
        <v>0</v>
      </c>
      <c r="GQ24"/>
      <c r="GR24" s="84"/>
      <c r="GS24"/>
      <c r="GT24" s="206"/>
      <c r="GU24" s="198"/>
      <c r="GV24"/>
      <c r="GW24"/>
      <c r="GX24" s="191"/>
      <c r="GY24" s="191"/>
      <c r="GZ24" s="190"/>
      <c r="HA24" s="190"/>
      <c r="HB24" s="190"/>
      <c r="HC24" s="190"/>
      <c r="HD24" s="190"/>
      <c r="HE24" s="190"/>
      <c r="HF24" s="190"/>
      <c r="HG24" s="190"/>
      <c r="HH24" s="190"/>
      <c r="HI24" s="190"/>
      <c r="HJ24" s="190"/>
      <c r="HK24" s="190"/>
      <c r="HL24" s="190"/>
      <c r="HM24" s="190"/>
      <c r="HN24" s="190"/>
      <c r="HO24" s="190"/>
      <c r="HP24" s="190"/>
      <c r="HQ24" s="190"/>
      <c r="HR24" s="190"/>
      <c r="HS24" s="190"/>
      <c r="HT24" s="190"/>
      <c r="HU24" s="190"/>
      <c r="HV24" s="190"/>
      <c r="HW24" s="190"/>
      <c r="HX24" s="190"/>
      <c r="HY24" s="190"/>
      <c r="HZ24" s="190"/>
      <c r="IA24" s="191"/>
      <c r="IB24" s="191"/>
    </row>
    <row r="25" spans="1:236" s="265" customFormat="1" ht="15" customHeight="1" x14ac:dyDescent="0.35">
      <c r="A25" s="251"/>
      <c r="B25" s="7" t="s">
        <v>338</v>
      </c>
      <c r="C25" s="8">
        <v>44715</v>
      </c>
      <c r="D25" s="9" t="s">
        <v>123</v>
      </c>
      <c r="E25" s="9" t="s">
        <v>124</v>
      </c>
      <c r="F25" s="112">
        <v>3780401000108</v>
      </c>
      <c r="G25" s="10" t="s">
        <v>177</v>
      </c>
      <c r="H25" s="112">
        <v>27796415000170</v>
      </c>
      <c r="I25" s="9" t="s">
        <v>125</v>
      </c>
      <c r="J25" s="158" t="s">
        <v>377</v>
      </c>
      <c r="K25" s="10" t="s">
        <v>126</v>
      </c>
      <c r="L25" s="84" t="s">
        <v>22</v>
      </c>
      <c r="M25" s="11">
        <v>44927</v>
      </c>
      <c r="N25" s="12">
        <v>45016</v>
      </c>
      <c r="O25" s="10">
        <v>10</v>
      </c>
      <c r="P25" s="84">
        <v>190</v>
      </c>
      <c r="Q25" s="84" t="s">
        <v>127</v>
      </c>
      <c r="R25" s="10" t="s">
        <v>128</v>
      </c>
      <c r="S25" s="14" t="s">
        <v>133</v>
      </c>
      <c r="T25" s="11" t="s">
        <v>129</v>
      </c>
      <c r="U25" s="12">
        <v>44715</v>
      </c>
      <c r="V25" s="202">
        <f ca="1">IF(U25="","",
IF(U25="NA","",
IFERROR(VLOOKUP(EOMONTH(M25,-2)+1,IPCA!$A:$B,2,0),
VLOOKUP(EOMONTH(TODAY(),-2)+1,IPCA!$A:$B,2,0))/
VLOOKUP(EOMONTH(U25,-2)+1,IPCA!$A:$B,2,0)*
P25))</f>
        <v>191.8135221616497</v>
      </c>
      <c r="W25" s="84"/>
      <c r="X25" s="13" t="s">
        <v>132</v>
      </c>
      <c r="Y25" s="158"/>
      <c r="Z25" s="106"/>
      <c r="AA25" s="107"/>
      <c r="AB25" s="15">
        <v>10</v>
      </c>
      <c r="AC25">
        <v>10</v>
      </c>
      <c r="AD25">
        <v>10</v>
      </c>
      <c r="AE25"/>
      <c r="AF25"/>
      <c r="AG25"/>
      <c r="AH25"/>
      <c r="AI25"/>
      <c r="AJ25"/>
      <c r="AK25"/>
      <c r="AL25"/>
      <c r="AM25" s="6"/>
      <c r="AN25" s="15"/>
      <c r="AO25"/>
      <c r="AP25"/>
      <c r="AQ25"/>
      <c r="AR25"/>
      <c r="AS25"/>
      <c r="AT25"/>
      <c r="AU25"/>
      <c r="AV25"/>
      <c r="AW25"/>
      <c r="AX25"/>
      <c r="AY25" s="6"/>
      <c r="AZ25" s="15"/>
      <c r="BA25"/>
      <c r="BB25"/>
      <c r="BC25"/>
      <c r="BD25"/>
      <c r="BE25"/>
      <c r="BF25"/>
      <c r="BG25"/>
      <c r="BH25"/>
      <c r="BI25"/>
      <c r="BJ25"/>
      <c r="BK25" s="6"/>
      <c r="BL25" s="15"/>
      <c r="BM25"/>
      <c r="BN25"/>
      <c r="BO25"/>
      <c r="BP25"/>
      <c r="BQ25"/>
      <c r="BR25"/>
      <c r="BS25"/>
      <c r="BT25"/>
      <c r="BU25"/>
      <c r="BV25"/>
      <c r="BW25" s="6"/>
      <c r="BX25" s="15"/>
      <c r="BY25"/>
      <c r="BZ25"/>
      <c r="CA25"/>
      <c r="CB25"/>
      <c r="CC25"/>
      <c r="CD25"/>
      <c r="CE25"/>
      <c r="CF25"/>
      <c r="CG25"/>
      <c r="CH25"/>
      <c r="CI25" s="6"/>
      <c r="CJ25" s="16">
        <v>2.4657534246575343</v>
      </c>
      <c r="CK25" s="16" t="s">
        <v>578</v>
      </c>
      <c r="CL25" s="16" t="s">
        <v>578</v>
      </c>
      <c r="CM25" s="16" t="s">
        <v>578</v>
      </c>
      <c r="CN25" s="16" t="s">
        <v>578</v>
      </c>
      <c r="CO25" s="18"/>
      <c r="CP25" s="15">
        <v>190</v>
      </c>
      <c r="CQ25">
        <v>190</v>
      </c>
      <c r="CR25">
        <v>190</v>
      </c>
      <c r="CS25"/>
      <c r="CT25"/>
      <c r="CU25"/>
      <c r="CV25"/>
      <c r="CW25"/>
      <c r="CX25"/>
      <c r="CY25"/>
      <c r="CZ25"/>
      <c r="DA25" s="6"/>
      <c r="DB25" s="15"/>
      <c r="DC25"/>
      <c r="DD25"/>
      <c r="DE25"/>
      <c r="DF25"/>
      <c r="DG25"/>
      <c r="DH25"/>
      <c r="DI25"/>
      <c r="DJ25"/>
      <c r="DK25"/>
      <c r="DL25"/>
      <c r="DM25" s="6"/>
      <c r="DN25" s="15"/>
      <c r="DO25"/>
      <c r="DP25"/>
      <c r="DQ25"/>
      <c r="DR25"/>
      <c r="DS25"/>
      <c r="DT25"/>
      <c r="DU25"/>
      <c r="DV25"/>
      <c r="DW25"/>
      <c r="DX25"/>
      <c r="DY25" s="6"/>
      <c r="DZ25" s="15"/>
      <c r="EA25"/>
      <c r="EB25"/>
      <c r="EC25"/>
      <c r="ED25"/>
      <c r="EE25"/>
      <c r="EF25"/>
      <c r="EG25"/>
      <c r="EH25"/>
      <c r="EI25"/>
      <c r="EJ25"/>
      <c r="EK25" s="6"/>
      <c r="EL25" s="15"/>
      <c r="EM25"/>
      <c r="EN25"/>
      <c r="EO25"/>
      <c r="EP25"/>
      <c r="EQ25"/>
      <c r="ER25"/>
      <c r="ES25"/>
      <c r="ET25"/>
      <c r="EU25"/>
      <c r="EV25"/>
      <c r="EW25" s="6"/>
      <c r="EX25" s="16">
        <v>46.849315068493148</v>
      </c>
      <c r="EY25" s="16" t="s">
        <v>578</v>
      </c>
      <c r="EZ25" s="16" t="s">
        <v>578</v>
      </c>
      <c r="FA25" s="154" t="s">
        <v>578</v>
      </c>
      <c r="FB25" s="154" t="s">
        <v>578</v>
      </c>
      <c r="FC25" t="s">
        <v>195</v>
      </c>
      <c r="FD25" s="20" t="s">
        <v>125</v>
      </c>
      <c r="FE25"/>
      <c r="FF25" s="199" t="s">
        <v>197</v>
      </c>
      <c r="FG25"/>
      <c r="FH25" s="206">
        <f t="shared" ca="1" si="6"/>
        <v>1.8135221616497006</v>
      </c>
      <c r="FI25" s="198">
        <f t="shared" si="7"/>
        <v>2.9666666666666668</v>
      </c>
      <c r="FJ25"/>
      <c r="FK25" t="str">
        <f t="shared" si="8"/>
        <v>SHELL ENERGY DO BRASIL LTDA</v>
      </c>
      <c r="FL25" s="191">
        <f t="shared" ca="1" si="9"/>
        <v>900240</v>
      </c>
      <c r="FM25" s="191">
        <f t="shared" ca="1" si="10"/>
        <v>1713360</v>
      </c>
      <c r="FN25" s="190">
        <f>AB25*AB$2*IF($FC25="V",1,-1)*IF($Q25="Fixo",(CP25-INDEX('Curva Forward'!$C$5:$AN$13,MATCH(CONCATENATE(BD_COMERCIAL!$K25," ",BD_COMERCIAL!$L25),'Curva Forward'!$B$5:$B$13,0),MATCH(FN$4,'Curva Forward'!$C$4:$AN$4,0))),CP25)</f>
        <v>900240</v>
      </c>
      <c r="FO25" s="190">
        <f>AC25*AC$2*IF($FC25="V",1,-1)*IF($Q25="Fixo",(CQ25-INDEX('Curva Forward'!$C$5:$AN$13,MATCH(CONCATENATE(BD_COMERCIAL!$K25," ",BD_COMERCIAL!$L25),'Curva Forward'!$B$5:$B$13,0),MATCH(FO$4,'Curva Forward'!$C$4:$AN$4,0))),CQ25)</f>
        <v>813120</v>
      </c>
      <c r="FP25" s="190">
        <f>AD25*AD$2*IF($FC25="V",1,-1)*IF($Q25="Fixo",(CR25-INDEX('Curva Forward'!$C$5:$AN$13,MATCH(CONCATENATE(BD_COMERCIAL!$K25," ",BD_COMERCIAL!$L25),'Curva Forward'!$B$5:$B$13,0),MATCH(FP$4,'Curva Forward'!$C$4:$AN$4,0))),CR25)</f>
        <v>900240</v>
      </c>
      <c r="FQ25" s="190">
        <f>AE25*AE$2*IF($FC25="V",1,-1)*IF($Q25="Fixo",(CS25-INDEX('Curva Forward'!$C$5:$AN$13,MATCH(CONCATENATE(BD_COMERCIAL!$K25," ",BD_COMERCIAL!$L25),'Curva Forward'!$B$5:$B$13,0),MATCH(FQ$4,'Curva Forward'!$C$4:$AN$4,0))),CS25)</f>
        <v>0</v>
      </c>
      <c r="FR25" s="190">
        <f>AF25*AF$2*IF($FC25="V",1,-1)*IF($Q25="Fixo",(CT25-INDEX('Curva Forward'!$C$5:$AN$13,MATCH(CONCATENATE(BD_COMERCIAL!$K25," ",BD_COMERCIAL!$L25),'Curva Forward'!$B$5:$B$13,0),MATCH(FR$4,'Curva Forward'!$C$4:$AN$4,0))),CT25)</f>
        <v>0</v>
      </c>
      <c r="FS25" s="190">
        <f>AG25*AG$2*IF($FC25="V",1,-1)*IF($Q25="Fixo",(CU25-INDEX('Curva Forward'!$C$5:$AN$13,MATCH(CONCATENATE(BD_COMERCIAL!$K25," ",BD_COMERCIAL!$L25),'Curva Forward'!$B$5:$B$13,0),MATCH(FS$4,'Curva Forward'!$C$4:$AN$4,0))),CU25)</f>
        <v>0</v>
      </c>
      <c r="FT25" s="190">
        <f>AH25*AH$2*IF($FC25="V",1,-1)*IF($Q25="Fixo",(CV25-INDEX('Curva Forward'!$C$5:$AN$13,MATCH(CONCATENATE(BD_COMERCIAL!$K25," ",BD_COMERCIAL!$L25),'Curva Forward'!$B$5:$B$13,0),MATCH(FT$4,'Curva Forward'!$C$4:$AN$4,0))),CV25)</f>
        <v>0</v>
      </c>
      <c r="FU25" s="190">
        <f>AI25*AI$2*IF($FC25="V",1,-1)*IF($Q25="Fixo",(CW25-INDEX('Curva Forward'!$C$5:$AN$13,MATCH(CONCATENATE(BD_COMERCIAL!$K25," ",BD_COMERCIAL!$L25),'Curva Forward'!$B$5:$B$13,0),MATCH(FU$4,'Curva Forward'!$C$4:$AN$4,0))),CW25)</f>
        <v>0</v>
      </c>
      <c r="FV25" s="190">
        <f>AJ25*AJ$2*IF($FC25="V",1,-1)*IF($Q25="Fixo",(CX25-INDEX('Curva Forward'!$C$5:$AN$13,MATCH(CONCATENATE(BD_COMERCIAL!$K25," ",BD_COMERCIAL!$L25),'Curva Forward'!$B$5:$B$13,0),MATCH(FV$4,'Curva Forward'!$C$4:$AN$4,0))),CX25)</f>
        <v>0</v>
      </c>
      <c r="FW25" s="190">
        <f>AK25*AK$2*IF($FC25="V",1,-1)*IF($Q25="Fixo",(CY25-INDEX('Curva Forward'!$C$5:$AN$13,MATCH(CONCATENATE(BD_COMERCIAL!$K25," ",BD_COMERCIAL!$L25),'Curva Forward'!$B$5:$B$13,0),MATCH(FW$4,'Curva Forward'!$C$4:$AN$4,0))),CY25)</f>
        <v>0</v>
      </c>
      <c r="FX25" s="190">
        <f>AL25*AL$2*IF($FC25="V",1,-1)*IF($Q25="Fixo",(CZ25-INDEX('Curva Forward'!$C$5:$AN$13,MATCH(CONCATENATE(BD_COMERCIAL!$K25," ",BD_COMERCIAL!$L25),'Curva Forward'!$B$5:$B$13,0),MATCH(FX$4,'Curva Forward'!$C$4:$AN$4,0))),CZ25)</f>
        <v>0</v>
      </c>
      <c r="FY25" s="190">
        <f>AM25*AM$2*IF($FC25="V",1,-1)*IF($Q25="Fixo",(DA25-INDEX('Curva Forward'!$C$5:$AN$13,MATCH(CONCATENATE(BD_COMERCIAL!$K25," ",BD_COMERCIAL!$L25),'Curva Forward'!$B$5:$B$13,0),MATCH(FY$4,'Curva Forward'!$C$4:$AN$4,0))),DA25)</f>
        <v>0</v>
      </c>
      <c r="FZ25" s="190">
        <f>AN25*AN$2*IF($FC25="V",1,-1)*IF($Q25="Fixo",(DB25-INDEX('Curva Forward'!$C$5:$AN$13,MATCH(CONCATENATE(BD_COMERCIAL!$K25," ",BD_COMERCIAL!$L25),'Curva Forward'!$B$5:$B$13,0),MATCH(FZ$4,'Curva Forward'!$C$4:$AN$4,0))),DB25)</f>
        <v>0</v>
      </c>
      <c r="GA25" s="190">
        <f>AO25*AO$2*IF($FC25="V",1,-1)*IF($Q25="Fixo",(DC25-INDEX('Curva Forward'!$C$5:$AN$13,MATCH(CONCATENATE(BD_COMERCIAL!$K25," ",BD_COMERCIAL!$L25),'Curva Forward'!$B$5:$B$13,0),MATCH(GA$4,'Curva Forward'!$C$4:$AN$4,0))),DC25)</f>
        <v>0</v>
      </c>
      <c r="GB25" s="190">
        <f>AP25*AP$2*IF($FC25="V",1,-1)*IF($Q25="Fixo",(DD25-INDEX('Curva Forward'!$C$5:$AN$13,MATCH(CONCATENATE(BD_COMERCIAL!$K25," ",BD_COMERCIAL!$L25),'Curva Forward'!$B$5:$B$13,0),MATCH(GB$4,'Curva Forward'!$C$4:$AN$4,0))),DD25)</f>
        <v>0</v>
      </c>
      <c r="GC25" s="190">
        <f>AQ25*AQ$2*IF($FC25="V",1,-1)*IF($Q25="Fixo",(DE25-INDEX('Curva Forward'!$C$5:$AN$13,MATCH(CONCATENATE(BD_COMERCIAL!$K25," ",BD_COMERCIAL!$L25),'Curva Forward'!$B$5:$B$13,0),MATCH(GC$4,'Curva Forward'!$C$4:$AN$4,0))),DE25)</f>
        <v>0</v>
      </c>
      <c r="GD25" s="190">
        <f>AR25*AR$2*IF($FC25="V",1,-1)*IF($Q25="Fixo",(DF25-INDEX('Curva Forward'!$C$5:$AN$13,MATCH(CONCATENATE(BD_COMERCIAL!$K25," ",BD_COMERCIAL!$L25),'Curva Forward'!$B$5:$B$13,0),MATCH(GD$4,'Curva Forward'!$C$4:$AN$4,0))),DF25)</f>
        <v>0</v>
      </c>
      <c r="GE25" s="190">
        <f>AS25*AS$2*IF($FC25="V",1,-1)*IF($Q25="Fixo",(DG25-INDEX('Curva Forward'!$C$5:$AN$13,MATCH(CONCATENATE(BD_COMERCIAL!$K25," ",BD_COMERCIAL!$L25),'Curva Forward'!$B$5:$B$13,0),MATCH(GE$4,'Curva Forward'!$C$4:$AN$4,0))),DG25)</f>
        <v>0</v>
      </c>
      <c r="GF25" s="190">
        <f>AT25*AT$2*IF($FC25="V",1,-1)*IF($Q25="Fixo",(DH25-INDEX('Curva Forward'!$C$5:$AN$13,MATCH(CONCATENATE(BD_COMERCIAL!$K25," ",BD_COMERCIAL!$L25),'Curva Forward'!$B$5:$B$13,0),MATCH(GF$4,'Curva Forward'!$C$4:$AN$4,0))),DH25)</f>
        <v>0</v>
      </c>
      <c r="GG25" s="190">
        <f>AU25*AU$2*IF($FC25="V",1,-1)*IF($Q25="Fixo",(DI25-INDEX('Curva Forward'!$C$5:$AN$13,MATCH(CONCATENATE(BD_COMERCIAL!$K25," ",BD_COMERCIAL!$L25),'Curva Forward'!$B$5:$B$13,0),MATCH(GG$4,'Curva Forward'!$C$4:$AN$4,0))),DI25)</f>
        <v>0</v>
      </c>
      <c r="GH25" s="190">
        <f>AV25*AV$2*IF($FC25="V",1,-1)*IF($Q25="Fixo",(DJ25-INDEX('Curva Forward'!$C$5:$AN$13,MATCH(CONCATENATE(BD_COMERCIAL!$K25," ",BD_COMERCIAL!$L25),'Curva Forward'!$B$5:$B$13,0),MATCH(GH$4,'Curva Forward'!$C$4:$AN$4,0))),DJ25)</f>
        <v>0</v>
      </c>
      <c r="GI25" s="190">
        <f>AW25*AW$2*IF($FC25="V",1,-1)*IF($Q25="Fixo",(DK25-INDEX('Curva Forward'!$C$5:$AN$13,MATCH(CONCATENATE(BD_COMERCIAL!$K25," ",BD_COMERCIAL!$L25),'Curva Forward'!$B$5:$B$13,0),MATCH(GI$4,'Curva Forward'!$C$4:$AN$4,0))),DK25)</f>
        <v>0</v>
      </c>
      <c r="GJ25" s="190">
        <f>AX25*AX$2*IF($FC25="V",1,-1)*IF($Q25="Fixo",(DL25-INDEX('Curva Forward'!$C$5:$AN$13,MATCH(CONCATENATE(BD_COMERCIAL!$K25," ",BD_COMERCIAL!$L25),'Curva Forward'!$B$5:$B$13,0),MATCH(GJ$4,'Curva Forward'!$C$4:$AN$4,0))),DL25)</f>
        <v>0</v>
      </c>
      <c r="GK25" s="190">
        <f>AY25*AY$2*IF($FC25="V",1,-1)*IF($Q25="Fixo",(DM25-INDEX('Curva Forward'!$C$5:$AN$13,MATCH(CONCATENATE(BD_COMERCIAL!$K25," ",BD_COMERCIAL!$L25),'Curva Forward'!$B$5:$B$13,0),MATCH(GK$4,'Curva Forward'!$C$4:$AN$4,0))),DM25)</f>
        <v>0</v>
      </c>
      <c r="GL25" s="190">
        <f>IF(EZ25="",0,CL25*CL$2*IF($FC25="V",1,-1)*IF($Q25="Fixo",(EZ25-INDEX('Curva Forward'!$C$5:$AN$13,MATCH(CONCATENATE(BD_COMERCIAL!$K25," ",BD_COMERCIAL!$L25),'Curva Forward'!$B$5:$B$13,0),MATCH(GL$4,'Curva Forward'!$C$4:$AN$4,0))),EZ25))</f>
        <v>0</v>
      </c>
      <c r="GM25" s="190">
        <f>IF(FA25="",0,CM25*CM$2*IF($FC25="V",1,-1)*IF($Q25="Fixo",(FA25-INDEX('Curva Forward'!$C$5:$AN$13,MATCH(CONCATENATE(BD_COMERCIAL!$K25," ",BD_COMERCIAL!$L25),'Curva Forward'!$B$5:$B$13,0),MATCH(GM$4,'Curva Forward'!$C$4:$AN$4,0))),FA25))</f>
        <v>0</v>
      </c>
      <c r="GN25" s="190">
        <f>IF(FB25="",0,CN25*CN$2*IF($FC25="V",1,-1)*IF($Q25="Fixo",(FB25-INDEX('Curva Forward'!$C$5:$AN$13,MATCH(CONCATENATE(BD_COMERCIAL!$K25," ",BD_COMERCIAL!$L25),'Curva Forward'!$B$5:$B$13,0),MATCH(GN$4,'Curva Forward'!$C$4:$AN$4,0))),FB25))</f>
        <v>0</v>
      </c>
      <c r="GO25" s="191">
        <f t="shared" ca="1" si="11"/>
        <v>1713360</v>
      </c>
      <c r="GP25" s="191">
        <f t="shared" ca="1" si="12"/>
        <v>0</v>
      </c>
      <c r="GQ25"/>
      <c r="GR25" s="84"/>
      <c r="GS25"/>
      <c r="GT25" s="206"/>
      <c r="GU25" s="198"/>
      <c r="GV25"/>
      <c r="GW25"/>
      <c r="GX25" s="191"/>
      <c r="GY25" s="191"/>
      <c r="GZ25" s="190"/>
      <c r="HA25" s="190"/>
      <c r="HB25" s="190"/>
      <c r="HC25" s="190"/>
      <c r="HD25" s="190"/>
      <c r="HE25" s="190"/>
      <c r="HF25" s="190"/>
      <c r="HG25" s="190"/>
      <c r="HH25" s="190"/>
      <c r="HI25" s="190"/>
      <c r="HJ25" s="190"/>
      <c r="HK25" s="190"/>
      <c r="HL25" s="190"/>
      <c r="HM25" s="190"/>
      <c r="HN25" s="190"/>
      <c r="HO25" s="190"/>
      <c r="HP25" s="190"/>
      <c r="HQ25" s="190"/>
      <c r="HR25" s="190"/>
      <c r="HS25" s="190"/>
      <c r="HT25" s="190"/>
      <c r="HU25" s="190"/>
      <c r="HV25" s="190"/>
      <c r="HW25" s="190"/>
      <c r="HX25" s="190"/>
      <c r="HY25" s="190"/>
      <c r="HZ25" s="190"/>
      <c r="IA25" s="191"/>
      <c r="IB25" s="191"/>
    </row>
    <row r="26" spans="1:236" s="265" customFormat="1" ht="15" customHeight="1" x14ac:dyDescent="0.35">
      <c r="A26" s="251"/>
      <c r="B26" s="7" t="s">
        <v>339</v>
      </c>
      <c r="C26" s="8">
        <v>44715</v>
      </c>
      <c r="D26" s="9" t="s">
        <v>123</v>
      </c>
      <c r="E26" s="9" t="s">
        <v>124</v>
      </c>
      <c r="F26" s="112">
        <v>3780401000108</v>
      </c>
      <c r="G26" s="10" t="s">
        <v>190</v>
      </c>
      <c r="H26" s="112">
        <v>11085823000183</v>
      </c>
      <c r="I26" s="9" t="s">
        <v>125</v>
      </c>
      <c r="J26" s="158" t="s">
        <v>377</v>
      </c>
      <c r="K26" s="10" t="s">
        <v>126</v>
      </c>
      <c r="L26" s="84" t="s">
        <v>22</v>
      </c>
      <c r="M26" s="11">
        <v>44927</v>
      </c>
      <c r="N26" s="12">
        <v>45016</v>
      </c>
      <c r="O26" s="10">
        <v>10</v>
      </c>
      <c r="P26" s="84">
        <v>190</v>
      </c>
      <c r="Q26" s="84" t="s">
        <v>127</v>
      </c>
      <c r="R26" s="10" t="s">
        <v>128</v>
      </c>
      <c r="S26" s="14" t="s">
        <v>133</v>
      </c>
      <c r="T26" s="11" t="s">
        <v>129</v>
      </c>
      <c r="U26" s="12">
        <v>44715</v>
      </c>
      <c r="V26" s="202">
        <f ca="1">IF(U26="","",
IF(U26="NA","",
IFERROR(VLOOKUP(EOMONTH(M26,-2)+1,IPCA!$A:$B,2,0),
VLOOKUP(EOMONTH(TODAY(),-2)+1,IPCA!$A:$B,2,0))/
VLOOKUP(EOMONTH(U26,-2)+1,IPCA!$A:$B,2,0)*
P26))</f>
        <v>191.8135221616497</v>
      </c>
      <c r="W26" s="84"/>
      <c r="X26" s="13" t="s">
        <v>132</v>
      </c>
      <c r="Y26" s="158"/>
      <c r="Z26" s="106"/>
      <c r="AA26" s="107"/>
      <c r="AB26" s="15">
        <v>10</v>
      </c>
      <c r="AC26">
        <v>10</v>
      </c>
      <c r="AD26">
        <v>10</v>
      </c>
      <c r="AE26"/>
      <c r="AF26"/>
      <c r="AG26"/>
      <c r="AH26"/>
      <c r="AI26"/>
      <c r="AJ26"/>
      <c r="AK26"/>
      <c r="AL26"/>
      <c r="AM26" s="6"/>
      <c r="AN26" s="15"/>
      <c r="AO26"/>
      <c r="AP26"/>
      <c r="AQ26"/>
      <c r="AR26"/>
      <c r="AS26"/>
      <c r="AT26"/>
      <c r="AU26"/>
      <c r="AV26"/>
      <c r="AW26"/>
      <c r="AX26"/>
      <c r="AY26" s="6"/>
      <c r="AZ26" s="15"/>
      <c r="BA26"/>
      <c r="BB26"/>
      <c r="BC26"/>
      <c r="BD26"/>
      <c r="BE26"/>
      <c r="BF26"/>
      <c r="BG26"/>
      <c r="BH26"/>
      <c r="BI26"/>
      <c r="BJ26"/>
      <c r="BK26" s="6"/>
      <c r="BL26" s="15"/>
      <c r="BM26"/>
      <c r="BN26"/>
      <c r="BO26"/>
      <c r="BP26"/>
      <c r="BQ26"/>
      <c r="BR26"/>
      <c r="BS26"/>
      <c r="BT26"/>
      <c r="BU26"/>
      <c r="BV26"/>
      <c r="BW26" s="6"/>
      <c r="BX26" s="15"/>
      <c r="BY26"/>
      <c r="BZ26"/>
      <c r="CA26"/>
      <c r="CB26"/>
      <c r="CC26"/>
      <c r="CD26"/>
      <c r="CE26"/>
      <c r="CF26"/>
      <c r="CG26"/>
      <c r="CH26"/>
      <c r="CI26" s="6"/>
      <c r="CJ26" s="16">
        <v>2.4657534246575343</v>
      </c>
      <c r="CK26" s="16" t="s">
        <v>578</v>
      </c>
      <c r="CL26" s="16" t="s">
        <v>578</v>
      </c>
      <c r="CM26" s="16" t="s">
        <v>578</v>
      </c>
      <c r="CN26" s="16" t="s">
        <v>578</v>
      </c>
      <c r="CO26" s="18"/>
      <c r="CP26" s="15">
        <v>190</v>
      </c>
      <c r="CQ26">
        <v>190</v>
      </c>
      <c r="CR26">
        <v>190</v>
      </c>
      <c r="CS26"/>
      <c r="CT26"/>
      <c r="CU26"/>
      <c r="CV26"/>
      <c r="CW26"/>
      <c r="CX26"/>
      <c r="CY26"/>
      <c r="CZ26"/>
      <c r="DA26" s="6"/>
      <c r="DB26" s="15"/>
      <c r="DC26"/>
      <c r="DD26"/>
      <c r="DE26"/>
      <c r="DF26"/>
      <c r="DG26"/>
      <c r="DH26"/>
      <c r="DI26"/>
      <c r="DJ26"/>
      <c r="DK26"/>
      <c r="DL26"/>
      <c r="DM26" s="6"/>
      <c r="DN26" s="15"/>
      <c r="DO26"/>
      <c r="DP26"/>
      <c r="DQ26"/>
      <c r="DR26"/>
      <c r="DS26"/>
      <c r="DT26"/>
      <c r="DU26"/>
      <c r="DV26"/>
      <c r="DW26"/>
      <c r="DX26"/>
      <c r="DY26" s="6"/>
      <c r="DZ26" s="15"/>
      <c r="EA26"/>
      <c r="EB26"/>
      <c r="EC26"/>
      <c r="ED26"/>
      <c r="EE26"/>
      <c r="EF26"/>
      <c r="EG26"/>
      <c r="EH26"/>
      <c r="EI26"/>
      <c r="EJ26"/>
      <c r="EK26" s="6"/>
      <c r="EL26" s="15"/>
      <c r="EM26"/>
      <c r="EN26"/>
      <c r="EO26"/>
      <c r="EP26"/>
      <c r="EQ26"/>
      <c r="ER26"/>
      <c r="ES26"/>
      <c r="ET26"/>
      <c r="EU26"/>
      <c r="EV26"/>
      <c r="EW26" s="6"/>
      <c r="EX26" s="16">
        <v>46.849315068493148</v>
      </c>
      <c r="EY26" s="16" t="s">
        <v>578</v>
      </c>
      <c r="EZ26" s="16" t="s">
        <v>578</v>
      </c>
      <c r="FA26" s="154" t="s">
        <v>578</v>
      </c>
      <c r="FB26" s="154" t="s">
        <v>578</v>
      </c>
      <c r="FC26" t="s">
        <v>195</v>
      </c>
      <c r="FD26" s="20" t="s">
        <v>125</v>
      </c>
      <c r="FE26"/>
      <c r="FF26" s="199" t="s">
        <v>197</v>
      </c>
      <c r="FG26"/>
      <c r="FH26" s="206">
        <f t="shared" ca="1" si="6"/>
        <v>1.8135221616497006</v>
      </c>
      <c r="FI26" s="198">
        <f t="shared" si="7"/>
        <v>2.9666666666666668</v>
      </c>
      <c r="FJ26"/>
      <c r="FK26" t="str">
        <f t="shared" si="8"/>
        <v>America Energia S/A</v>
      </c>
      <c r="FL26" s="191">
        <f t="shared" ca="1" si="9"/>
        <v>900240</v>
      </c>
      <c r="FM26" s="191">
        <f t="shared" ca="1" si="10"/>
        <v>1713360</v>
      </c>
      <c r="FN26" s="190">
        <f>AB26*AB$2*IF($FC26="V",1,-1)*IF($Q26="Fixo",(CP26-INDEX('Curva Forward'!$C$5:$AN$13,MATCH(CONCATENATE(BD_COMERCIAL!$K26," ",BD_COMERCIAL!$L26),'Curva Forward'!$B$5:$B$13,0),MATCH(FN$4,'Curva Forward'!$C$4:$AN$4,0))),CP26)</f>
        <v>900240</v>
      </c>
      <c r="FO26" s="190">
        <f>AC26*AC$2*IF($FC26="V",1,-1)*IF($Q26="Fixo",(CQ26-INDEX('Curva Forward'!$C$5:$AN$13,MATCH(CONCATENATE(BD_COMERCIAL!$K26," ",BD_COMERCIAL!$L26),'Curva Forward'!$B$5:$B$13,0),MATCH(FO$4,'Curva Forward'!$C$4:$AN$4,0))),CQ26)</f>
        <v>813120</v>
      </c>
      <c r="FP26" s="190">
        <f>AD26*AD$2*IF($FC26="V",1,-1)*IF($Q26="Fixo",(CR26-INDEX('Curva Forward'!$C$5:$AN$13,MATCH(CONCATENATE(BD_COMERCIAL!$K26," ",BD_COMERCIAL!$L26),'Curva Forward'!$B$5:$B$13,0),MATCH(FP$4,'Curva Forward'!$C$4:$AN$4,0))),CR26)</f>
        <v>900240</v>
      </c>
      <c r="FQ26" s="190">
        <f>AE26*AE$2*IF($FC26="V",1,-1)*IF($Q26="Fixo",(CS26-INDEX('Curva Forward'!$C$5:$AN$13,MATCH(CONCATENATE(BD_COMERCIAL!$K26," ",BD_COMERCIAL!$L26),'Curva Forward'!$B$5:$B$13,0),MATCH(FQ$4,'Curva Forward'!$C$4:$AN$4,0))),CS26)</f>
        <v>0</v>
      </c>
      <c r="FR26" s="190">
        <f>AF26*AF$2*IF($FC26="V",1,-1)*IF($Q26="Fixo",(CT26-INDEX('Curva Forward'!$C$5:$AN$13,MATCH(CONCATENATE(BD_COMERCIAL!$K26," ",BD_COMERCIAL!$L26),'Curva Forward'!$B$5:$B$13,0),MATCH(FR$4,'Curva Forward'!$C$4:$AN$4,0))),CT26)</f>
        <v>0</v>
      </c>
      <c r="FS26" s="190">
        <f>AG26*AG$2*IF($FC26="V",1,-1)*IF($Q26="Fixo",(CU26-INDEX('Curva Forward'!$C$5:$AN$13,MATCH(CONCATENATE(BD_COMERCIAL!$K26," ",BD_COMERCIAL!$L26),'Curva Forward'!$B$5:$B$13,0),MATCH(FS$4,'Curva Forward'!$C$4:$AN$4,0))),CU26)</f>
        <v>0</v>
      </c>
      <c r="FT26" s="190">
        <f>AH26*AH$2*IF($FC26="V",1,-1)*IF($Q26="Fixo",(CV26-INDEX('Curva Forward'!$C$5:$AN$13,MATCH(CONCATENATE(BD_COMERCIAL!$K26," ",BD_COMERCIAL!$L26),'Curva Forward'!$B$5:$B$13,0),MATCH(FT$4,'Curva Forward'!$C$4:$AN$4,0))),CV26)</f>
        <v>0</v>
      </c>
      <c r="FU26" s="190">
        <f>AI26*AI$2*IF($FC26="V",1,-1)*IF($Q26="Fixo",(CW26-INDEX('Curva Forward'!$C$5:$AN$13,MATCH(CONCATENATE(BD_COMERCIAL!$K26," ",BD_COMERCIAL!$L26),'Curva Forward'!$B$5:$B$13,0),MATCH(FU$4,'Curva Forward'!$C$4:$AN$4,0))),CW26)</f>
        <v>0</v>
      </c>
      <c r="FV26" s="190">
        <f>AJ26*AJ$2*IF($FC26="V",1,-1)*IF($Q26="Fixo",(CX26-INDEX('Curva Forward'!$C$5:$AN$13,MATCH(CONCATENATE(BD_COMERCIAL!$K26," ",BD_COMERCIAL!$L26),'Curva Forward'!$B$5:$B$13,0),MATCH(FV$4,'Curva Forward'!$C$4:$AN$4,0))),CX26)</f>
        <v>0</v>
      </c>
      <c r="FW26" s="190">
        <f>AK26*AK$2*IF($FC26="V",1,-1)*IF($Q26="Fixo",(CY26-INDEX('Curva Forward'!$C$5:$AN$13,MATCH(CONCATENATE(BD_COMERCIAL!$K26," ",BD_COMERCIAL!$L26),'Curva Forward'!$B$5:$B$13,0),MATCH(FW$4,'Curva Forward'!$C$4:$AN$4,0))),CY26)</f>
        <v>0</v>
      </c>
      <c r="FX26" s="190">
        <f>AL26*AL$2*IF($FC26="V",1,-1)*IF($Q26="Fixo",(CZ26-INDEX('Curva Forward'!$C$5:$AN$13,MATCH(CONCATENATE(BD_COMERCIAL!$K26," ",BD_COMERCIAL!$L26),'Curva Forward'!$B$5:$B$13,0),MATCH(FX$4,'Curva Forward'!$C$4:$AN$4,0))),CZ26)</f>
        <v>0</v>
      </c>
      <c r="FY26" s="190">
        <f>AM26*AM$2*IF($FC26="V",1,-1)*IF($Q26="Fixo",(DA26-INDEX('Curva Forward'!$C$5:$AN$13,MATCH(CONCATENATE(BD_COMERCIAL!$K26," ",BD_COMERCIAL!$L26),'Curva Forward'!$B$5:$B$13,0),MATCH(FY$4,'Curva Forward'!$C$4:$AN$4,0))),DA26)</f>
        <v>0</v>
      </c>
      <c r="FZ26" s="190">
        <f>AN26*AN$2*IF($FC26="V",1,-1)*IF($Q26="Fixo",(DB26-INDEX('Curva Forward'!$C$5:$AN$13,MATCH(CONCATENATE(BD_COMERCIAL!$K26," ",BD_COMERCIAL!$L26),'Curva Forward'!$B$5:$B$13,0),MATCH(FZ$4,'Curva Forward'!$C$4:$AN$4,0))),DB26)</f>
        <v>0</v>
      </c>
      <c r="GA26" s="190">
        <f>AO26*AO$2*IF($FC26="V",1,-1)*IF($Q26="Fixo",(DC26-INDEX('Curva Forward'!$C$5:$AN$13,MATCH(CONCATENATE(BD_COMERCIAL!$K26," ",BD_COMERCIAL!$L26),'Curva Forward'!$B$5:$B$13,0),MATCH(GA$4,'Curva Forward'!$C$4:$AN$4,0))),DC26)</f>
        <v>0</v>
      </c>
      <c r="GB26" s="190">
        <f>AP26*AP$2*IF($FC26="V",1,-1)*IF($Q26="Fixo",(DD26-INDEX('Curva Forward'!$C$5:$AN$13,MATCH(CONCATENATE(BD_COMERCIAL!$K26," ",BD_COMERCIAL!$L26),'Curva Forward'!$B$5:$B$13,0),MATCH(GB$4,'Curva Forward'!$C$4:$AN$4,0))),DD26)</f>
        <v>0</v>
      </c>
      <c r="GC26" s="190">
        <f>AQ26*AQ$2*IF($FC26="V",1,-1)*IF($Q26="Fixo",(DE26-INDEX('Curva Forward'!$C$5:$AN$13,MATCH(CONCATENATE(BD_COMERCIAL!$K26," ",BD_COMERCIAL!$L26),'Curva Forward'!$B$5:$B$13,0),MATCH(GC$4,'Curva Forward'!$C$4:$AN$4,0))),DE26)</f>
        <v>0</v>
      </c>
      <c r="GD26" s="190">
        <f>AR26*AR$2*IF($FC26="V",1,-1)*IF($Q26="Fixo",(DF26-INDEX('Curva Forward'!$C$5:$AN$13,MATCH(CONCATENATE(BD_COMERCIAL!$K26," ",BD_COMERCIAL!$L26),'Curva Forward'!$B$5:$B$13,0),MATCH(GD$4,'Curva Forward'!$C$4:$AN$4,0))),DF26)</f>
        <v>0</v>
      </c>
      <c r="GE26" s="190">
        <f>AS26*AS$2*IF($FC26="V",1,-1)*IF($Q26="Fixo",(DG26-INDEX('Curva Forward'!$C$5:$AN$13,MATCH(CONCATENATE(BD_COMERCIAL!$K26," ",BD_COMERCIAL!$L26),'Curva Forward'!$B$5:$B$13,0),MATCH(GE$4,'Curva Forward'!$C$4:$AN$4,0))),DG26)</f>
        <v>0</v>
      </c>
      <c r="GF26" s="190">
        <f>AT26*AT$2*IF($FC26="V",1,-1)*IF($Q26="Fixo",(DH26-INDEX('Curva Forward'!$C$5:$AN$13,MATCH(CONCATENATE(BD_COMERCIAL!$K26," ",BD_COMERCIAL!$L26),'Curva Forward'!$B$5:$B$13,0),MATCH(GF$4,'Curva Forward'!$C$4:$AN$4,0))),DH26)</f>
        <v>0</v>
      </c>
      <c r="GG26" s="190">
        <f>AU26*AU$2*IF($FC26="V",1,-1)*IF($Q26="Fixo",(DI26-INDEX('Curva Forward'!$C$5:$AN$13,MATCH(CONCATENATE(BD_COMERCIAL!$K26," ",BD_COMERCIAL!$L26),'Curva Forward'!$B$5:$B$13,0),MATCH(GG$4,'Curva Forward'!$C$4:$AN$4,0))),DI26)</f>
        <v>0</v>
      </c>
      <c r="GH26" s="190">
        <f>AV26*AV$2*IF($FC26="V",1,-1)*IF($Q26="Fixo",(DJ26-INDEX('Curva Forward'!$C$5:$AN$13,MATCH(CONCATENATE(BD_COMERCIAL!$K26," ",BD_COMERCIAL!$L26),'Curva Forward'!$B$5:$B$13,0),MATCH(GH$4,'Curva Forward'!$C$4:$AN$4,0))),DJ26)</f>
        <v>0</v>
      </c>
      <c r="GI26" s="190">
        <f>AW26*AW$2*IF($FC26="V",1,-1)*IF($Q26="Fixo",(DK26-INDEX('Curva Forward'!$C$5:$AN$13,MATCH(CONCATENATE(BD_COMERCIAL!$K26," ",BD_COMERCIAL!$L26),'Curva Forward'!$B$5:$B$13,0),MATCH(GI$4,'Curva Forward'!$C$4:$AN$4,0))),DK26)</f>
        <v>0</v>
      </c>
      <c r="GJ26" s="190">
        <f>AX26*AX$2*IF($FC26="V",1,-1)*IF($Q26="Fixo",(DL26-INDEX('Curva Forward'!$C$5:$AN$13,MATCH(CONCATENATE(BD_COMERCIAL!$K26," ",BD_COMERCIAL!$L26),'Curva Forward'!$B$5:$B$13,0),MATCH(GJ$4,'Curva Forward'!$C$4:$AN$4,0))),DL26)</f>
        <v>0</v>
      </c>
      <c r="GK26" s="190">
        <f>AY26*AY$2*IF($FC26="V",1,-1)*IF($Q26="Fixo",(DM26-INDEX('Curva Forward'!$C$5:$AN$13,MATCH(CONCATENATE(BD_COMERCIAL!$K26," ",BD_COMERCIAL!$L26),'Curva Forward'!$B$5:$B$13,0),MATCH(GK$4,'Curva Forward'!$C$4:$AN$4,0))),DM26)</f>
        <v>0</v>
      </c>
      <c r="GL26" s="190">
        <f>IF(EZ26="",0,CL26*CL$2*IF($FC26="V",1,-1)*IF($Q26="Fixo",(EZ26-INDEX('Curva Forward'!$C$5:$AN$13,MATCH(CONCATENATE(BD_COMERCIAL!$K26," ",BD_COMERCIAL!$L26),'Curva Forward'!$B$5:$B$13,0),MATCH(GL$4,'Curva Forward'!$C$4:$AN$4,0))),EZ26))</f>
        <v>0</v>
      </c>
      <c r="GM26" s="190">
        <f>IF(FA26="",0,CM26*CM$2*IF($FC26="V",1,-1)*IF($Q26="Fixo",(FA26-INDEX('Curva Forward'!$C$5:$AN$13,MATCH(CONCATENATE(BD_COMERCIAL!$K26," ",BD_COMERCIAL!$L26),'Curva Forward'!$B$5:$B$13,0),MATCH(GM$4,'Curva Forward'!$C$4:$AN$4,0))),FA26))</f>
        <v>0</v>
      </c>
      <c r="GN26" s="190">
        <f>IF(FB26="",0,CN26*CN$2*IF($FC26="V",1,-1)*IF($Q26="Fixo",(FB26-INDEX('Curva Forward'!$C$5:$AN$13,MATCH(CONCATENATE(BD_COMERCIAL!$K26," ",BD_COMERCIAL!$L26),'Curva Forward'!$B$5:$B$13,0),MATCH(GN$4,'Curva Forward'!$C$4:$AN$4,0))),FB26))</f>
        <v>0</v>
      </c>
      <c r="GO26" s="191">
        <f t="shared" ca="1" si="11"/>
        <v>1713360</v>
      </c>
      <c r="GP26" s="191">
        <f t="shared" ca="1" si="12"/>
        <v>0</v>
      </c>
      <c r="GQ26"/>
      <c r="GR26" s="84"/>
      <c r="GS26"/>
      <c r="GT26" s="206"/>
      <c r="GU26" s="198"/>
      <c r="GV26"/>
      <c r="GW26"/>
      <c r="GX26" s="191"/>
      <c r="GY26" s="191"/>
      <c r="GZ26" s="190"/>
      <c r="HA26" s="190"/>
      <c r="HB26" s="190"/>
      <c r="HC26" s="190"/>
      <c r="HD26" s="190"/>
      <c r="HE26" s="190"/>
      <c r="HF26" s="190"/>
      <c r="HG26" s="190"/>
      <c r="HH26" s="190"/>
      <c r="HI26" s="190"/>
      <c r="HJ26" s="190"/>
      <c r="HK26" s="190"/>
      <c r="HL26" s="190"/>
      <c r="HM26" s="190"/>
      <c r="HN26" s="190"/>
      <c r="HO26" s="190"/>
      <c r="HP26" s="190"/>
      <c r="HQ26" s="190"/>
      <c r="HR26" s="190"/>
      <c r="HS26" s="190"/>
      <c r="HT26" s="190"/>
      <c r="HU26" s="190"/>
      <c r="HV26" s="190"/>
      <c r="HW26" s="190"/>
      <c r="HX26" s="190"/>
      <c r="HY26" s="190"/>
      <c r="HZ26" s="190"/>
      <c r="IA26" s="191"/>
      <c r="IB26" s="191"/>
    </row>
    <row r="27" spans="1:236" s="265" customFormat="1" ht="15" customHeight="1" x14ac:dyDescent="0.35">
      <c r="A27" s="251"/>
      <c r="B27" s="7" t="s">
        <v>340</v>
      </c>
      <c r="C27" s="8">
        <v>44715</v>
      </c>
      <c r="D27" s="9" t="s">
        <v>130</v>
      </c>
      <c r="E27" s="9" t="s">
        <v>145</v>
      </c>
      <c r="F27" s="112" t="e">
        <v>#VALUE!</v>
      </c>
      <c r="G27" s="10" t="s">
        <v>124</v>
      </c>
      <c r="H27" s="112">
        <v>3780401000108</v>
      </c>
      <c r="I27" s="9" t="s">
        <v>137</v>
      </c>
      <c r="J27" s="158" t="s">
        <v>377</v>
      </c>
      <c r="K27" s="10" t="s">
        <v>126</v>
      </c>
      <c r="L27" s="84" t="s">
        <v>22</v>
      </c>
      <c r="M27" s="11">
        <v>44927</v>
      </c>
      <c r="N27" s="12">
        <v>45016</v>
      </c>
      <c r="O27" s="10">
        <v>5</v>
      </c>
      <c r="P27" s="84">
        <v>190</v>
      </c>
      <c r="Q27" s="84" t="s">
        <v>127</v>
      </c>
      <c r="R27" s="10" t="s">
        <v>128</v>
      </c>
      <c r="S27" s="14" t="s">
        <v>133</v>
      </c>
      <c r="T27" s="11" t="s">
        <v>129</v>
      </c>
      <c r="U27" s="12">
        <v>44715</v>
      </c>
      <c r="V27" s="202">
        <f ca="1">IF(U27="","",
IF(U27="NA","",
IFERROR(VLOOKUP(EOMONTH(M27,-2)+1,IPCA!$A:$B,2,0),
VLOOKUP(EOMONTH(TODAY(),-2)+1,IPCA!$A:$B,2,0))/
VLOOKUP(EOMONTH(U27,-2)+1,IPCA!$A:$B,2,0)*
P27))</f>
        <v>191.8135221616497</v>
      </c>
      <c r="W27" s="84"/>
      <c r="X27" s="13"/>
      <c r="Y27" s="158"/>
      <c r="Z27" s="106" t="s">
        <v>146</v>
      </c>
      <c r="AA27" s="107" t="s">
        <v>146</v>
      </c>
      <c r="AB27" s="15">
        <v>5</v>
      </c>
      <c r="AC27">
        <v>5</v>
      </c>
      <c r="AD27">
        <v>5</v>
      </c>
      <c r="AE27"/>
      <c r="AF27"/>
      <c r="AG27"/>
      <c r="AH27"/>
      <c r="AI27"/>
      <c r="AJ27"/>
      <c r="AK27"/>
      <c r="AL27"/>
      <c r="AM27" s="6"/>
      <c r="AN27" s="15"/>
      <c r="AO27"/>
      <c r="AP27"/>
      <c r="AQ27"/>
      <c r="AR27"/>
      <c r="AS27"/>
      <c r="AT27"/>
      <c r="AU27"/>
      <c r="AV27"/>
      <c r="AW27"/>
      <c r="AX27"/>
      <c r="AY27" s="6"/>
      <c r="AZ27" s="15"/>
      <c r="BA27"/>
      <c r="BB27"/>
      <c r="BC27"/>
      <c r="BD27"/>
      <c r="BE27"/>
      <c r="BF27"/>
      <c r="BG27"/>
      <c r="BH27"/>
      <c r="BI27"/>
      <c r="BJ27"/>
      <c r="BK27" s="6"/>
      <c r="BL27" s="15"/>
      <c r="BM27"/>
      <c r="BN27"/>
      <c r="BO27"/>
      <c r="BP27"/>
      <c r="BQ27"/>
      <c r="BR27"/>
      <c r="BS27"/>
      <c r="BT27"/>
      <c r="BU27"/>
      <c r="BV27"/>
      <c r="BW27" s="6"/>
      <c r="BX27" s="15"/>
      <c r="BY27"/>
      <c r="BZ27"/>
      <c r="CA27"/>
      <c r="CB27"/>
      <c r="CC27"/>
      <c r="CD27"/>
      <c r="CE27"/>
      <c r="CF27"/>
      <c r="CG27"/>
      <c r="CH27"/>
      <c r="CI27" s="6"/>
      <c r="CJ27" s="16">
        <v>1.2328767123287672</v>
      </c>
      <c r="CK27" s="16" t="s">
        <v>578</v>
      </c>
      <c r="CL27" s="16" t="s">
        <v>578</v>
      </c>
      <c r="CM27" s="16" t="s">
        <v>578</v>
      </c>
      <c r="CN27" s="16" t="s">
        <v>578</v>
      </c>
      <c r="CO27" s="18"/>
      <c r="CP27" s="15">
        <v>190</v>
      </c>
      <c r="CQ27">
        <v>190</v>
      </c>
      <c r="CR27">
        <v>190</v>
      </c>
      <c r="CS27"/>
      <c r="CT27"/>
      <c r="CU27"/>
      <c r="CV27"/>
      <c r="CW27"/>
      <c r="CX27"/>
      <c r="CY27"/>
      <c r="CZ27"/>
      <c r="DA27" s="6"/>
      <c r="DB27" s="15"/>
      <c r="DC27"/>
      <c r="DD27"/>
      <c r="DE27"/>
      <c r="DF27"/>
      <c r="DG27"/>
      <c r="DH27"/>
      <c r="DI27"/>
      <c r="DJ27"/>
      <c r="DK27"/>
      <c r="DL27"/>
      <c r="DM27" s="6"/>
      <c r="DN27" s="15"/>
      <c r="DO27"/>
      <c r="DP27"/>
      <c r="DQ27"/>
      <c r="DR27"/>
      <c r="DS27"/>
      <c r="DT27"/>
      <c r="DU27"/>
      <c r="DV27"/>
      <c r="DW27"/>
      <c r="DX27"/>
      <c r="DY27" s="6"/>
      <c r="DZ27" s="15"/>
      <c r="EA27"/>
      <c r="EB27"/>
      <c r="EC27"/>
      <c r="ED27"/>
      <c r="EE27"/>
      <c r="EF27"/>
      <c r="EG27"/>
      <c r="EH27"/>
      <c r="EI27"/>
      <c r="EJ27"/>
      <c r="EK27" s="6"/>
      <c r="EL27" s="15"/>
      <c r="EM27"/>
      <c r="EN27"/>
      <c r="EO27"/>
      <c r="EP27"/>
      <c r="EQ27"/>
      <c r="ER27"/>
      <c r="ES27"/>
      <c r="ET27"/>
      <c r="EU27"/>
      <c r="EV27"/>
      <c r="EW27" s="6"/>
      <c r="EX27" s="16">
        <v>46.849315068493148</v>
      </c>
      <c r="EY27" s="16" t="s">
        <v>578</v>
      </c>
      <c r="EZ27" s="16" t="s">
        <v>578</v>
      </c>
      <c r="FA27" s="154" t="s">
        <v>578</v>
      </c>
      <c r="FB27" s="154" t="s">
        <v>578</v>
      </c>
      <c r="FC27" t="s">
        <v>196</v>
      </c>
      <c r="FD27" s="20" t="s">
        <v>145</v>
      </c>
      <c r="FE27"/>
      <c r="FF27" s="199" t="s">
        <v>197</v>
      </c>
      <c r="FG27"/>
      <c r="FH27" s="206">
        <f t="shared" ca="1" si="6"/>
        <v>1.8135221616497006</v>
      </c>
      <c r="FI27" s="198">
        <f t="shared" si="7"/>
        <v>2.9666666666666668</v>
      </c>
      <c r="FJ27"/>
      <c r="FK27" t="str">
        <f t="shared" si="8"/>
        <v>Portfólio</v>
      </c>
      <c r="FL27" s="191">
        <f t="shared" ca="1" si="9"/>
        <v>-450120</v>
      </c>
      <c r="FM27" s="191">
        <f t="shared" ca="1" si="10"/>
        <v>-856680</v>
      </c>
      <c r="FN27" s="190">
        <f>AB27*AB$2*IF($FC27="V",1,-1)*IF($Q27="Fixo",(CP27-INDEX('Curva Forward'!$C$5:$AN$13,MATCH(CONCATENATE(BD_COMERCIAL!$K27," ",BD_COMERCIAL!$L27),'Curva Forward'!$B$5:$B$13,0),MATCH(FN$4,'Curva Forward'!$C$4:$AN$4,0))),CP27)</f>
        <v>-450120</v>
      </c>
      <c r="FO27" s="190">
        <f>AC27*AC$2*IF($FC27="V",1,-1)*IF($Q27="Fixo",(CQ27-INDEX('Curva Forward'!$C$5:$AN$13,MATCH(CONCATENATE(BD_COMERCIAL!$K27," ",BD_COMERCIAL!$L27),'Curva Forward'!$B$5:$B$13,0),MATCH(FO$4,'Curva Forward'!$C$4:$AN$4,0))),CQ27)</f>
        <v>-406560</v>
      </c>
      <c r="FP27" s="190">
        <f>AD27*AD$2*IF($FC27="V",1,-1)*IF($Q27="Fixo",(CR27-INDEX('Curva Forward'!$C$5:$AN$13,MATCH(CONCATENATE(BD_COMERCIAL!$K27," ",BD_COMERCIAL!$L27),'Curva Forward'!$B$5:$B$13,0),MATCH(FP$4,'Curva Forward'!$C$4:$AN$4,0))),CR27)</f>
        <v>-450120</v>
      </c>
      <c r="FQ27" s="190">
        <f>AE27*AE$2*IF($FC27="V",1,-1)*IF($Q27="Fixo",(CS27-INDEX('Curva Forward'!$C$5:$AN$13,MATCH(CONCATENATE(BD_COMERCIAL!$K27," ",BD_COMERCIAL!$L27),'Curva Forward'!$B$5:$B$13,0),MATCH(FQ$4,'Curva Forward'!$C$4:$AN$4,0))),CS27)</f>
        <v>0</v>
      </c>
      <c r="FR27" s="190">
        <f>AF27*AF$2*IF($FC27="V",1,-1)*IF($Q27="Fixo",(CT27-INDEX('Curva Forward'!$C$5:$AN$13,MATCH(CONCATENATE(BD_COMERCIAL!$K27," ",BD_COMERCIAL!$L27),'Curva Forward'!$B$5:$B$13,0),MATCH(FR$4,'Curva Forward'!$C$4:$AN$4,0))),CT27)</f>
        <v>0</v>
      </c>
      <c r="FS27" s="190">
        <f>AG27*AG$2*IF($FC27="V",1,-1)*IF($Q27="Fixo",(CU27-INDEX('Curva Forward'!$C$5:$AN$13,MATCH(CONCATENATE(BD_COMERCIAL!$K27," ",BD_COMERCIAL!$L27),'Curva Forward'!$B$5:$B$13,0),MATCH(FS$4,'Curva Forward'!$C$4:$AN$4,0))),CU27)</f>
        <v>0</v>
      </c>
      <c r="FT27" s="190">
        <f>AH27*AH$2*IF($FC27="V",1,-1)*IF($Q27="Fixo",(CV27-INDEX('Curva Forward'!$C$5:$AN$13,MATCH(CONCATENATE(BD_COMERCIAL!$K27," ",BD_COMERCIAL!$L27),'Curva Forward'!$B$5:$B$13,0),MATCH(FT$4,'Curva Forward'!$C$4:$AN$4,0))),CV27)</f>
        <v>0</v>
      </c>
      <c r="FU27" s="190">
        <f>AI27*AI$2*IF($FC27="V",1,-1)*IF($Q27="Fixo",(CW27-INDEX('Curva Forward'!$C$5:$AN$13,MATCH(CONCATENATE(BD_COMERCIAL!$K27," ",BD_COMERCIAL!$L27),'Curva Forward'!$B$5:$B$13,0),MATCH(FU$4,'Curva Forward'!$C$4:$AN$4,0))),CW27)</f>
        <v>0</v>
      </c>
      <c r="FV27" s="190">
        <f>AJ27*AJ$2*IF($FC27="V",1,-1)*IF($Q27="Fixo",(CX27-INDEX('Curva Forward'!$C$5:$AN$13,MATCH(CONCATENATE(BD_COMERCIAL!$K27," ",BD_COMERCIAL!$L27),'Curva Forward'!$B$5:$B$13,0),MATCH(FV$4,'Curva Forward'!$C$4:$AN$4,0))),CX27)</f>
        <v>0</v>
      </c>
      <c r="FW27" s="190">
        <f>AK27*AK$2*IF($FC27="V",1,-1)*IF($Q27="Fixo",(CY27-INDEX('Curva Forward'!$C$5:$AN$13,MATCH(CONCATENATE(BD_COMERCIAL!$K27," ",BD_COMERCIAL!$L27),'Curva Forward'!$B$5:$B$13,0),MATCH(FW$4,'Curva Forward'!$C$4:$AN$4,0))),CY27)</f>
        <v>0</v>
      </c>
      <c r="FX27" s="190">
        <f>AL27*AL$2*IF($FC27="V",1,-1)*IF($Q27="Fixo",(CZ27-INDEX('Curva Forward'!$C$5:$AN$13,MATCH(CONCATENATE(BD_COMERCIAL!$K27," ",BD_COMERCIAL!$L27),'Curva Forward'!$B$5:$B$13,0),MATCH(FX$4,'Curva Forward'!$C$4:$AN$4,0))),CZ27)</f>
        <v>0</v>
      </c>
      <c r="FY27" s="190">
        <f>AM27*AM$2*IF($FC27="V",1,-1)*IF($Q27="Fixo",(DA27-INDEX('Curva Forward'!$C$5:$AN$13,MATCH(CONCATENATE(BD_COMERCIAL!$K27," ",BD_COMERCIAL!$L27),'Curva Forward'!$B$5:$B$13,0),MATCH(FY$4,'Curva Forward'!$C$4:$AN$4,0))),DA27)</f>
        <v>0</v>
      </c>
      <c r="FZ27" s="190">
        <f>AN27*AN$2*IF($FC27="V",1,-1)*IF($Q27="Fixo",(DB27-INDEX('Curva Forward'!$C$5:$AN$13,MATCH(CONCATENATE(BD_COMERCIAL!$K27," ",BD_COMERCIAL!$L27),'Curva Forward'!$B$5:$B$13,0),MATCH(FZ$4,'Curva Forward'!$C$4:$AN$4,0))),DB27)</f>
        <v>0</v>
      </c>
      <c r="GA27" s="190">
        <f>AO27*AO$2*IF($FC27="V",1,-1)*IF($Q27="Fixo",(DC27-INDEX('Curva Forward'!$C$5:$AN$13,MATCH(CONCATENATE(BD_COMERCIAL!$K27," ",BD_COMERCIAL!$L27),'Curva Forward'!$B$5:$B$13,0),MATCH(GA$4,'Curva Forward'!$C$4:$AN$4,0))),DC27)</f>
        <v>0</v>
      </c>
      <c r="GB27" s="190">
        <f>AP27*AP$2*IF($FC27="V",1,-1)*IF($Q27="Fixo",(DD27-INDEX('Curva Forward'!$C$5:$AN$13,MATCH(CONCATENATE(BD_COMERCIAL!$K27," ",BD_COMERCIAL!$L27),'Curva Forward'!$B$5:$B$13,0),MATCH(GB$4,'Curva Forward'!$C$4:$AN$4,0))),DD27)</f>
        <v>0</v>
      </c>
      <c r="GC27" s="190">
        <f>AQ27*AQ$2*IF($FC27="V",1,-1)*IF($Q27="Fixo",(DE27-INDEX('Curva Forward'!$C$5:$AN$13,MATCH(CONCATENATE(BD_COMERCIAL!$K27," ",BD_COMERCIAL!$L27),'Curva Forward'!$B$5:$B$13,0),MATCH(GC$4,'Curva Forward'!$C$4:$AN$4,0))),DE27)</f>
        <v>0</v>
      </c>
      <c r="GD27" s="190">
        <f>AR27*AR$2*IF($FC27="V",1,-1)*IF($Q27="Fixo",(DF27-INDEX('Curva Forward'!$C$5:$AN$13,MATCH(CONCATENATE(BD_COMERCIAL!$K27," ",BD_COMERCIAL!$L27),'Curva Forward'!$B$5:$B$13,0),MATCH(GD$4,'Curva Forward'!$C$4:$AN$4,0))),DF27)</f>
        <v>0</v>
      </c>
      <c r="GE27" s="190">
        <f>AS27*AS$2*IF($FC27="V",1,-1)*IF($Q27="Fixo",(DG27-INDEX('Curva Forward'!$C$5:$AN$13,MATCH(CONCATENATE(BD_COMERCIAL!$K27," ",BD_COMERCIAL!$L27),'Curva Forward'!$B$5:$B$13,0),MATCH(GE$4,'Curva Forward'!$C$4:$AN$4,0))),DG27)</f>
        <v>0</v>
      </c>
      <c r="GF27" s="190">
        <f>AT27*AT$2*IF($FC27="V",1,-1)*IF($Q27="Fixo",(DH27-INDEX('Curva Forward'!$C$5:$AN$13,MATCH(CONCATENATE(BD_COMERCIAL!$K27," ",BD_COMERCIAL!$L27),'Curva Forward'!$B$5:$B$13,0),MATCH(GF$4,'Curva Forward'!$C$4:$AN$4,0))),DH27)</f>
        <v>0</v>
      </c>
      <c r="GG27" s="190">
        <f>AU27*AU$2*IF($FC27="V",1,-1)*IF($Q27="Fixo",(DI27-INDEX('Curva Forward'!$C$5:$AN$13,MATCH(CONCATENATE(BD_COMERCIAL!$K27," ",BD_COMERCIAL!$L27),'Curva Forward'!$B$5:$B$13,0),MATCH(GG$4,'Curva Forward'!$C$4:$AN$4,0))),DI27)</f>
        <v>0</v>
      </c>
      <c r="GH27" s="190">
        <f>AV27*AV$2*IF($FC27="V",1,-1)*IF($Q27="Fixo",(DJ27-INDEX('Curva Forward'!$C$5:$AN$13,MATCH(CONCATENATE(BD_COMERCIAL!$K27," ",BD_COMERCIAL!$L27),'Curva Forward'!$B$5:$B$13,0),MATCH(GH$4,'Curva Forward'!$C$4:$AN$4,0))),DJ27)</f>
        <v>0</v>
      </c>
      <c r="GI27" s="190">
        <f>AW27*AW$2*IF($FC27="V",1,-1)*IF($Q27="Fixo",(DK27-INDEX('Curva Forward'!$C$5:$AN$13,MATCH(CONCATENATE(BD_COMERCIAL!$K27," ",BD_COMERCIAL!$L27),'Curva Forward'!$B$5:$B$13,0),MATCH(GI$4,'Curva Forward'!$C$4:$AN$4,0))),DK27)</f>
        <v>0</v>
      </c>
      <c r="GJ27" s="190">
        <f>AX27*AX$2*IF($FC27="V",1,-1)*IF($Q27="Fixo",(DL27-INDEX('Curva Forward'!$C$5:$AN$13,MATCH(CONCATENATE(BD_COMERCIAL!$K27," ",BD_COMERCIAL!$L27),'Curva Forward'!$B$5:$B$13,0),MATCH(GJ$4,'Curva Forward'!$C$4:$AN$4,0))),DL27)</f>
        <v>0</v>
      </c>
      <c r="GK27" s="190">
        <f>AY27*AY$2*IF($FC27="V",1,-1)*IF($Q27="Fixo",(DM27-INDEX('Curva Forward'!$C$5:$AN$13,MATCH(CONCATENATE(BD_COMERCIAL!$K27," ",BD_COMERCIAL!$L27),'Curva Forward'!$B$5:$B$13,0),MATCH(GK$4,'Curva Forward'!$C$4:$AN$4,0))),DM27)</f>
        <v>0</v>
      </c>
      <c r="GL27" s="190">
        <f>IF(EZ27="",0,CL27*CL$2*IF($FC27="V",1,-1)*IF($Q27="Fixo",(EZ27-INDEX('Curva Forward'!$C$5:$AN$13,MATCH(CONCATENATE(BD_COMERCIAL!$K27," ",BD_COMERCIAL!$L27),'Curva Forward'!$B$5:$B$13,0),MATCH(GL$4,'Curva Forward'!$C$4:$AN$4,0))),EZ27))</f>
        <v>0</v>
      </c>
      <c r="GM27" s="190">
        <f>IF(FA27="",0,CM27*CM$2*IF($FC27="V",1,-1)*IF($Q27="Fixo",(FA27-INDEX('Curva Forward'!$C$5:$AN$13,MATCH(CONCATENATE(BD_COMERCIAL!$K27," ",BD_COMERCIAL!$L27),'Curva Forward'!$B$5:$B$13,0),MATCH(GM$4,'Curva Forward'!$C$4:$AN$4,0))),FA27))</f>
        <v>0</v>
      </c>
      <c r="GN27" s="190">
        <f>IF(FB27="",0,CN27*CN$2*IF($FC27="V",1,-1)*IF($Q27="Fixo",(FB27-INDEX('Curva Forward'!$C$5:$AN$13,MATCH(CONCATENATE(BD_COMERCIAL!$K27," ",BD_COMERCIAL!$L27),'Curva Forward'!$B$5:$B$13,0),MATCH(GN$4,'Curva Forward'!$C$4:$AN$4,0))),FB27))</f>
        <v>0</v>
      </c>
      <c r="GO27" s="191">
        <f t="shared" ca="1" si="11"/>
        <v>0</v>
      </c>
      <c r="GP27" s="191">
        <f t="shared" ca="1" si="12"/>
        <v>-856680</v>
      </c>
      <c r="GQ27"/>
      <c r="GR27" s="84"/>
      <c r="GS27"/>
      <c r="GT27" s="206"/>
      <c r="GU27" s="198"/>
      <c r="GV27"/>
      <c r="GW27"/>
      <c r="GX27" s="191"/>
      <c r="GY27" s="191"/>
      <c r="GZ27" s="190"/>
      <c r="HA27" s="190"/>
      <c r="HB27" s="190"/>
      <c r="HC27" s="190"/>
      <c r="HD27" s="190"/>
      <c r="HE27" s="190"/>
      <c r="HF27" s="190"/>
      <c r="HG27" s="190"/>
      <c r="HH27" s="190"/>
      <c r="HI27" s="190"/>
      <c r="HJ27" s="190"/>
      <c r="HK27" s="190"/>
      <c r="HL27" s="190"/>
      <c r="HM27" s="190"/>
      <c r="HN27" s="190"/>
      <c r="HO27" s="190"/>
      <c r="HP27" s="190"/>
      <c r="HQ27" s="190"/>
      <c r="HR27" s="190"/>
      <c r="HS27" s="190"/>
      <c r="HT27" s="190"/>
      <c r="HU27" s="190"/>
      <c r="HV27" s="190"/>
      <c r="HW27" s="190"/>
      <c r="HX27" s="190"/>
      <c r="HY27" s="190"/>
      <c r="HZ27" s="190"/>
      <c r="IA27" s="191"/>
      <c r="IB27" s="191"/>
    </row>
    <row r="28" spans="1:236" s="265" customFormat="1" ht="15" customHeight="1" x14ac:dyDescent="0.35">
      <c r="A28" s="251"/>
      <c r="B28" s="7" t="s">
        <v>344</v>
      </c>
      <c r="C28" s="8">
        <v>44777</v>
      </c>
      <c r="D28" s="9" t="s">
        <v>123</v>
      </c>
      <c r="E28" s="9" t="s">
        <v>124</v>
      </c>
      <c r="F28" s="112">
        <v>3780401000108</v>
      </c>
      <c r="G28" s="10" t="s">
        <v>342</v>
      </c>
      <c r="H28" s="112">
        <v>30840548000100</v>
      </c>
      <c r="I28" s="9" t="s">
        <v>125</v>
      </c>
      <c r="J28" s="158" t="s">
        <v>345</v>
      </c>
      <c r="K28" s="10" t="s">
        <v>126</v>
      </c>
      <c r="L28" s="84" t="s">
        <v>22</v>
      </c>
      <c r="M28" s="11">
        <v>44927</v>
      </c>
      <c r="N28" s="12">
        <v>44957</v>
      </c>
      <c r="O28" s="10">
        <v>14</v>
      </c>
      <c r="P28" s="84">
        <v>163</v>
      </c>
      <c r="Q28" s="84" t="s">
        <v>127</v>
      </c>
      <c r="R28" s="10" t="s">
        <v>128</v>
      </c>
      <c r="S28" s="14" t="s">
        <v>133</v>
      </c>
      <c r="T28" s="11" t="s">
        <v>129</v>
      </c>
      <c r="U28" s="12">
        <v>44777</v>
      </c>
      <c r="V28" s="202">
        <f ca="1">IF(U28="","",
IF(U28="NA","",
IFERROR(VLOOKUP(EOMONTH(M28,-2)+1,IPCA!$A:$B,2,0),
VLOOKUP(EOMONTH(TODAY(),-2)+1,IPCA!$A:$B,2,0))/
VLOOKUP(EOMONTH(U28,-2)+1,IPCA!$A:$B,2,0)*
P28))</f>
        <v>164.57967856892211</v>
      </c>
      <c r="W28" s="84"/>
      <c r="X28" s="13" t="s">
        <v>132</v>
      </c>
      <c r="Y28" s="158"/>
      <c r="Z28" s="106"/>
      <c r="AA28" s="107"/>
      <c r="AB28" s="15">
        <v>14</v>
      </c>
      <c r="AC28"/>
      <c r="AD28"/>
      <c r="AE28"/>
      <c r="AF28"/>
      <c r="AG28"/>
      <c r="AH28"/>
      <c r="AI28"/>
      <c r="AJ28"/>
      <c r="AK28"/>
      <c r="AL28"/>
      <c r="AM28" s="6"/>
      <c r="AN28" s="15"/>
      <c r="AO28"/>
      <c r="AP28"/>
      <c r="AQ28"/>
      <c r="AR28"/>
      <c r="AS28"/>
      <c r="AT28"/>
      <c r="AU28"/>
      <c r="AV28"/>
      <c r="AW28"/>
      <c r="AX28"/>
      <c r="AY28" s="6"/>
      <c r="AZ28" s="15"/>
      <c r="BA28"/>
      <c r="BB28"/>
      <c r="BC28"/>
      <c r="BD28"/>
      <c r="BE28"/>
      <c r="BF28"/>
      <c r="BG28"/>
      <c r="BH28"/>
      <c r="BI28"/>
      <c r="BJ28"/>
      <c r="BK28" s="6"/>
      <c r="BL28" s="15"/>
      <c r="BM28"/>
      <c r="BN28"/>
      <c r="BO28"/>
      <c r="BP28"/>
      <c r="BQ28"/>
      <c r="BR28"/>
      <c r="BS28"/>
      <c r="BT28"/>
      <c r="BU28"/>
      <c r="BV28"/>
      <c r="BW28" s="6"/>
      <c r="BX28" s="15"/>
      <c r="BY28"/>
      <c r="BZ28"/>
      <c r="CA28"/>
      <c r="CB28"/>
      <c r="CC28"/>
      <c r="CD28"/>
      <c r="CE28"/>
      <c r="CF28"/>
      <c r="CG28"/>
      <c r="CH28"/>
      <c r="CI28" s="6"/>
      <c r="CJ28" s="16">
        <v>1.189041095890411</v>
      </c>
      <c r="CK28" s="16" t="s">
        <v>578</v>
      </c>
      <c r="CL28" s="16" t="s">
        <v>578</v>
      </c>
      <c r="CM28" s="16" t="s">
        <v>578</v>
      </c>
      <c r="CN28" s="16" t="s">
        <v>578</v>
      </c>
      <c r="CO28" s="18"/>
      <c r="CP28" s="15">
        <v>163</v>
      </c>
      <c r="CQ28"/>
      <c r="CR28"/>
      <c r="CS28"/>
      <c r="CT28"/>
      <c r="CU28"/>
      <c r="CV28"/>
      <c r="CW28"/>
      <c r="CX28"/>
      <c r="CY28"/>
      <c r="CZ28"/>
      <c r="DA28" s="6"/>
      <c r="DB28" s="15"/>
      <c r="DC28"/>
      <c r="DD28"/>
      <c r="DE28"/>
      <c r="DF28"/>
      <c r="DG28"/>
      <c r="DH28"/>
      <c r="DI28"/>
      <c r="DJ28"/>
      <c r="DK28"/>
      <c r="DL28"/>
      <c r="DM28" s="6"/>
      <c r="DN28" s="15"/>
      <c r="DO28"/>
      <c r="DP28"/>
      <c r="DQ28"/>
      <c r="DR28"/>
      <c r="DS28"/>
      <c r="DT28"/>
      <c r="DU28"/>
      <c r="DV28"/>
      <c r="DW28"/>
      <c r="DX28"/>
      <c r="DY28" s="6"/>
      <c r="DZ28" s="15"/>
      <c r="EA28"/>
      <c r="EB28"/>
      <c r="EC28"/>
      <c r="ED28"/>
      <c r="EE28"/>
      <c r="EF28"/>
      <c r="EG28"/>
      <c r="EH28"/>
      <c r="EI28"/>
      <c r="EJ28"/>
      <c r="EK28" s="6"/>
      <c r="EL28" s="15"/>
      <c r="EM28"/>
      <c r="EN28"/>
      <c r="EO28"/>
      <c r="EP28"/>
      <c r="EQ28"/>
      <c r="ER28"/>
      <c r="ES28"/>
      <c r="ET28"/>
      <c r="EU28"/>
      <c r="EV28"/>
      <c r="EW28" s="6"/>
      <c r="EX28" s="16">
        <v>13.843835616438357</v>
      </c>
      <c r="EY28" s="16" t="s">
        <v>578</v>
      </c>
      <c r="EZ28" s="16" t="s">
        <v>578</v>
      </c>
      <c r="FA28" s="154" t="s">
        <v>578</v>
      </c>
      <c r="FB28" s="154" t="s">
        <v>578</v>
      </c>
      <c r="FC28" t="s">
        <v>195</v>
      </c>
      <c r="FD28" s="20" t="s">
        <v>125</v>
      </c>
      <c r="FE28"/>
      <c r="FF28" s="199" t="s">
        <v>197</v>
      </c>
      <c r="FG28"/>
      <c r="FH28" s="206">
        <f t="shared" ca="1" si="6"/>
        <v>1.5796785689221053</v>
      </c>
      <c r="FI28" s="198">
        <f t="shared" si="7"/>
        <v>1</v>
      </c>
      <c r="FJ28"/>
      <c r="FK28" t="str">
        <f t="shared" si="8"/>
        <v>GENCO ENERGIA LTDA</v>
      </c>
      <c r="FL28" s="191">
        <f t="shared" ca="1" si="9"/>
        <v>979104</v>
      </c>
      <c r="FM28" s="191">
        <f t="shared" ca="1" si="10"/>
        <v>0</v>
      </c>
      <c r="FN28" s="190">
        <f>AB28*AB$2*IF($FC28="V",1,-1)*IF($Q28="Fixo",(CP28-INDEX('Curva Forward'!$C$5:$AN$13,MATCH(CONCATENATE(BD_COMERCIAL!$K28," ",BD_COMERCIAL!$L28),'Curva Forward'!$B$5:$B$13,0),MATCH(FN$4,'Curva Forward'!$C$4:$AN$4,0))),CP28)</f>
        <v>979104</v>
      </c>
      <c r="FO28" s="190">
        <f>AC28*AC$2*IF($FC28="V",1,-1)*IF($Q28="Fixo",(CQ28-INDEX('Curva Forward'!$C$5:$AN$13,MATCH(CONCATENATE(BD_COMERCIAL!$K28," ",BD_COMERCIAL!$L28),'Curva Forward'!$B$5:$B$13,0),MATCH(FO$4,'Curva Forward'!$C$4:$AN$4,0))),CQ28)</f>
        <v>0</v>
      </c>
      <c r="FP28" s="190">
        <f>AD28*AD$2*IF($FC28="V",1,-1)*IF($Q28="Fixo",(CR28-INDEX('Curva Forward'!$C$5:$AN$13,MATCH(CONCATENATE(BD_COMERCIAL!$K28," ",BD_COMERCIAL!$L28),'Curva Forward'!$B$5:$B$13,0),MATCH(FP$4,'Curva Forward'!$C$4:$AN$4,0))),CR28)</f>
        <v>0</v>
      </c>
      <c r="FQ28" s="190">
        <f>AE28*AE$2*IF($FC28="V",1,-1)*IF($Q28="Fixo",(CS28-INDEX('Curva Forward'!$C$5:$AN$13,MATCH(CONCATENATE(BD_COMERCIAL!$K28," ",BD_COMERCIAL!$L28),'Curva Forward'!$B$5:$B$13,0),MATCH(FQ$4,'Curva Forward'!$C$4:$AN$4,0))),CS28)</f>
        <v>0</v>
      </c>
      <c r="FR28" s="190">
        <f>AF28*AF$2*IF($FC28="V",1,-1)*IF($Q28="Fixo",(CT28-INDEX('Curva Forward'!$C$5:$AN$13,MATCH(CONCATENATE(BD_COMERCIAL!$K28," ",BD_COMERCIAL!$L28),'Curva Forward'!$B$5:$B$13,0),MATCH(FR$4,'Curva Forward'!$C$4:$AN$4,0))),CT28)</f>
        <v>0</v>
      </c>
      <c r="FS28" s="190">
        <f>AG28*AG$2*IF($FC28="V",1,-1)*IF($Q28="Fixo",(CU28-INDEX('Curva Forward'!$C$5:$AN$13,MATCH(CONCATENATE(BD_COMERCIAL!$K28," ",BD_COMERCIAL!$L28),'Curva Forward'!$B$5:$B$13,0),MATCH(FS$4,'Curva Forward'!$C$4:$AN$4,0))),CU28)</f>
        <v>0</v>
      </c>
      <c r="FT28" s="190">
        <f>AH28*AH$2*IF($FC28="V",1,-1)*IF($Q28="Fixo",(CV28-INDEX('Curva Forward'!$C$5:$AN$13,MATCH(CONCATENATE(BD_COMERCIAL!$K28," ",BD_COMERCIAL!$L28),'Curva Forward'!$B$5:$B$13,0),MATCH(FT$4,'Curva Forward'!$C$4:$AN$4,0))),CV28)</f>
        <v>0</v>
      </c>
      <c r="FU28" s="190">
        <f>AI28*AI$2*IF($FC28="V",1,-1)*IF($Q28="Fixo",(CW28-INDEX('Curva Forward'!$C$5:$AN$13,MATCH(CONCATENATE(BD_COMERCIAL!$K28," ",BD_COMERCIAL!$L28),'Curva Forward'!$B$5:$B$13,0),MATCH(FU$4,'Curva Forward'!$C$4:$AN$4,0))),CW28)</f>
        <v>0</v>
      </c>
      <c r="FV28" s="190">
        <f>AJ28*AJ$2*IF($FC28="V",1,-1)*IF($Q28="Fixo",(CX28-INDEX('Curva Forward'!$C$5:$AN$13,MATCH(CONCATENATE(BD_COMERCIAL!$K28," ",BD_COMERCIAL!$L28),'Curva Forward'!$B$5:$B$13,0),MATCH(FV$4,'Curva Forward'!$C$4:$AN$4,0))),CX28)</f>
        <v>0</v>
      </c>
      <c r="FW28" s="190">
        <f>AK28*AK$2*IF($FC28="V",1,-1)*IF($Q28="Fixo",(CY28-INDEX('Curva Forward'!$C$5:$AN$13,MATCH(CONCATENATE(BD_COMERCIAL!$K28," ",BD_COMERCIAL!$L28),'Curva Forward'!$B$5:$B$13,0),MATCH(FW$4,'Curva Forward'!$C$4:$AN$4,0))),CY28)</f>
        <v>0</v>
      </c>
      <c r="FX28" s="190">
        <f>AL28*AL$2*IF($FC28="V",1,-1)*IF($Q28="Fixo",(CZ28-INDEX('Curva Forward'!$C$5:$AN$13,MATCH(CONCATENATE(BD_COMERCIAL!$K28," ",BD_COMERCIAL!$L28),'Curva Forward'!$B$5:$B$13,0),MATCH(FX$4,'Curva Forward'!$C$4:$AN$4,0))),CZ28)</f>
        <v>0</v>
      </c>
      <c r="FY28" s="190">
        <f>AM28*AM$2*IF($FC28="V",1,-1)*IF($Q28="Fixo",(DA28-INDEX('Curva Forward'!$C$5:$AN$13,MATCH(CONCATENATE(BD_COMERCIAL!$K28," ",BD_COMERCIAL!$L28),'Curva Forward'!$B$5:$B$13,0),MATCH(FY$4,'Curva Forward'!$C$4:$AN$4,0))),DA28)</f>
        <v>0</v>
      </c>
      <c r="FZ28" s="190">
        <f>AN28*AN$2*IF($FC28="V",1,-1)*IF($Q28="Fixo",(DB28-INDEX('Curva Forward'!$C$5:$AN$13,MATCH(CONCATENATE(BD_COMERCIAL!$K28," ",BD_COMERCIAL!$L28),'Curva Forward'!$B$5:$B$13,0),MATCH(FZ$4,'Curva Forward'!$C$4:$AN$4,0))),DB28)</f>
        <v>0</v>
      </c>
      <c r="GA28" s="190">
        <f>AO28*AO$2*IF($FC28="V",1,-1)*IF($Q28="Fixo",(DC28-INDEX('Curva Forward'!$C$5:$AN$13,MATCH(CONCATENATE(BD_COMERCIAL!$K28," ",BD_COMERCIAL!$L28),'Curva Forward'!$B$5:$B$13,0),MATCH(GA$4,'Curva Forward'!$C$4:$AN$4,0))),DC28)</f>
        <v>0</v>
      </c>
      <c r="GB28" s="190">
        <f>AP28*AP$2*IF($FC28="V",1,-1)*IF($Q28="Fixo",(DD28-INDEX('Curva Forward'!$C$5:$AN$13,MATCH(CONCATENATE(BD_COMERCIAL!$K28," ",BD_COMERCIAL!$L28),'Curva Forward'!$B$5:$B$13,0),MATCH(GB$4,'Curva Forward'!$C$4:$AN$4,0))),DD28)</f>
        <v>0</v>
      </c>
      <c r="GC28" s="190">
        <f>AQ28*AQ$2*IF($FC28="V",1,-1)*IF($Q28="Fixo",(DE28-INDEX('Curva Forward'!$C$5:$AN$13,MATCH(CONCATENATE(BD_COMERCIAL!$K28," ",BD_COMERCIAL!$L28),'Curva Forward'!$B$5:$B$13,0),MATCH(GC$4,'Curva Forward'!$C$4:$AN$4,0))),DE28)</f>
        <v>0</v>
      </c>
      <c r="GD28" s="190">
        <f>AR28*AR$2*IF($FC28="V",1,-1)*IF($Q28="Fixo",(DF28-INDEX('Curva Forward'!$C$5:$AN$13,MATCH(CONCATENATE(BD_COMERCIAL!$K28," ",BD_COMERCIAL!$L28),'Curva Forward'!$B$5:$B$13,0),MATCH(GD$4,'Curva Forward'!$C$4:$AN$4,0))),DF28)</f>
        <v>0</v>
      </c>
      <c r="GE28" s="190">
        <f>AS28*AS$2*IF($FC28="V",1,-1)*IF($Q28="Fixo",(DG28-INDEX('Curva Forward'!$C$5:$AN$13,MATCH(CONCATENATE(BD_COMERCIAL!$K28," ",BD_COMERCIAL!$L28),'Curva Forward'!$B$5:$B$13,0),MATCH(GE$4,'Curva Forward'!$C$4:$AN$4,0))),DG28)</f>
        <v>0</v>
      </c>
      <c r="GF28" s="190">
        <f>AT28*AT$2*IF($FC28="V",1,-1)*IF($Q28="Fixo",(DH28-INDEX('Curva Forward'!$C$5:$AN$13,MATCH(CONCATENATE(BD_COMERCIAL!$K28," ",BD_COMERCIAL!$L28),'Curva Forward'!$B$5:$B$13,0),MATCH(GF$4,'Curva Forward'!$C$4:$AN$4,0))),DH28)</f>
        <v>0</v>
      </c>
      <c r="GG28" s="190">
        <f>AU28*AU$2*IF($FC28="V",1,-1)*IF($Q28="Fixo",(DI28-INDEX('Curva Forward'!$C$5:$AN$13,MATCH(CONCATENATE(BD_COMERCIAL!$K28," ",BD_COMERCIAL!$L28),'Curva Forward'!$B$5:$B$13,0),MATCH(GG$4,'Curva Forward'!$C$4:$AN$4,0))),DI28)</f>
        <v>0</v>
      </c>
      <c r="GH28" s="190">
        <f>AV28*AV$2*IF($FC28="V",1,-1)*IF($Q28="Fixo",(DJ28-INDEX('Curva Forward'!$C$5:$AN$13,MATCH(CONCATENATE(BD_COMERCIAL!$K28," ",BD_COMERCIAL!$L28),'Curva Forward'!$B$5:$B$13,0),MATCH(GH$4,'Curva Forward'!$C$4:$AN$4,0))),DJ28)</f>
        <v>0</v>
      </c>
      <c r="GI28" s="190">
        <f>AW28*AW$2*IF($FC28="V",1,-1)*IF($Q28="Fixo",(DK28-INDEX('Curva Forward'!$C$5:$AN$13,MATCH(CONCATENATE(BD_COMERCIAL!$K28," ",BD_COMERCIAL!$L28),'Curva Forward'!$B$5:$B$13,0),MATCH(GI$4,'Curva Forward'!$C$4:$AN$4,0))),DK28)</f>
        <v>0</v>
      </c>
      <c r="GJ28" s="190">
        <f>AX28*AX$2*IF($FC28="V",1,-1)*IF($Q28="Fixo",(DL28-INDEX('Curva Forward'!$C$5:$AN$13,MATCH(CONCATENATE(BD_COMERCIAL!$K28," ",BD_COMERCIAL!$L28),'Curva Forward'!$B$5:$B$13,0),MATCH(GJ$4,'Curva Forward'!$C$4:$AN$4,0))),DL28)</f>
        <v>0</v>
      </c>
      <c r="GK28" s="190">
        <f>AY28*AY$2*IF($FC28="V",1,-1)*IF($Q28="Fixo",(DM28-INDEX('Curva Forward'!$C$5:$AN$13,MATCH(CONCATENATE(BD_COMERCIAL!$K28," ",BD_COMERCIAL!$L28),'Curva Forward'!$B$5:$B$13,0),MATCH(GK$4,'Curva Forward'!$C$4:$AN$4,0))),DM28)</f>
        <v>0</v>
      </c>
      <c r="GL28" s="190">
        <f>IF(EZ28="",0,CL28*CL$2*IF($FC28="V",1,-1)*IF($Q28="Fixo",(EZ28-INDEX('Curva Forward'!$C$5:$AN$13,MATCH(CONCATENATE(BD_COMERCIAL!$K28," ",BD_COMERCIAL!$L28),'Curva Forward'!$B$5:$B$13,0),MATCH(GL$4,'Curva Forward'!$C$4:$AN$4,0))),EZ28))</f>
        <v>0</v>
      </c>
      <c r="GM28" s="190">
        <f>IF(FA28="",0,CM28*CM$2*IF($FC28="V",1,-1)*IF($Q28="Fixo",(FA28-INDEX('Curva Forward'!$C$5:$AN$13,MATCH(CONCATENATE(BD_COMERCIAL!$K28," ",BD_COMERCIAL!$L28),'Curva Forward'!$B$5:$B$13,0),MATCH(GM$4,'Curva Forward'!$C$4:$AN$4,0))),FA28))</f>
        <v>0</v>
      </c>
      <c r="GN28" s="190">
        <f>IF(FB28="",0,CN28*CN$2*IF($FC28="V",1,-1)*IF($Q28="Fixo",(FB28-INDEX('Curva Forward'!$C$5:$AN$13,MATCH(CONCATENATE(BD_COMERCIAL!$K28," ",BD_COMERCIAL!$L28),'Curva Forward'!$B$5:$B$13,0),MATCH(GN$4,'Curva Forward'!$C$4:$AN$4,0))),FB28))</f>
        <v>0</v>
      </c>
      <c r="GO28" s="191">
        <f t="shared" ca="1" si="11"/>
        <v>0</v>
      </c>
      <c r="GP28" s="191">
        <f t="shared" ca="1" si="12"/>
        <v>0</v>
      </c>
      <c r="GQ28"/>
      <c r="GR28" s="84"/>
      <c r="GS28"/>
      <c r="GT28" s="206"/>
      <c r="GU28" s="198"/>
      <c r="GV28"/>
      <c r="GW28"/>
      <c r="GX28" s="191"/>
      <c r="GY28" s="191"/>
      <c r="GZ28" s="190"/>
      <c r="HA28" s="190"/>
      <c r="HB28" s="190"/>
      <c r="HC28" s="190"/>
      <c r="HD28" s="190"/>
      <c r="HE28" s="190"/>
      <c r="HF28" s="190"/>
      <c r="HG28" s="190"/>
      <c r="HH28" s="190"/>
      <c r="HI28" s="190"/>
      <c r="HJ28" s="190"/>
      <c r="HK28" s="190"/>
      <c r="HL28" s="190"/>
      <c r="HM28" s="190"/>
      <c r="HN28" s="190"/>
      <c r="HO28" s="190"/>
      <c r="HP28" s="190"/>
      <c r="HQ28" s="190"/>
      <c r="HR28" s="190"/>
      <c r="HS28" s="190"/>
      <c r="HT28" s="190"/>
      <c r="HU28" s="190"/>
      <c r="HV28" s="190"/>
      <c r="HW28" s="190"/>
      <c r="HX28" s="190"/>
      <c r="HY28" s="190"/>
      <c r="HZ28" s="190"/>
      <c r="IA28" s="191"/>
      <c r="IB28" s="191"/>
    </row>
    <row r="29" spans="1:236" s="265" customFormat="1" ht="15" customHeight="1" x14ac:dyDescent="0.35">
      <c r="A29" s="251"/>
      <c r="B29" s="7" t="s">
        <v>346</v>
      </c>
      <c r="C29" s="8">
        <v>44777</v>
      </c>
      <c r="D29" s="9" t="s">
        <v>130</v>
      </c>
      <c r="E29" s="9" t="s">
        <v>342</v>
      </c>
      <c r="F29" s="112">
        <v>30840548000100</v>
      </c>
      <c r="G29" s="10" t="s">
        <v>124</v>
      </c>
      <c r="H29" s="112">
        <v>3780401000108</v>
      </c>
      <c r="I29" s="9" t="s">
        <v>125</v>
      </c>
      <c r="J29" s="158" t="s">
        <v>345</v>
      </c>
      <c r="K29" s="10" t="s">
        <v>126</v>
      </c>
      <c r="L29" s="84" t="s">
        <v>22</v>
      </c>
      <c r="M29" s="11">
        <v>44958</v>
      </c>
      <c r="N29" s="12">
        <v>44985</v>
      </c>
      <c r="O29" s="10">
        <v>14</v>
      </c>
      <c r="P29" s="84">
        <v>163</v>
      </c>
      <c r="Q29" s="84" t="s">
        <v>127</v>
      </c>
      <c r="R29" s="10" t="s">
        <v>128</v>
      </c>
      <c r="S29" s="14" t="s">
        <v>133</v>
      </c>
      <c r="T29" s="11" t="s">
        <v>129</v>
      </c>
      <c r="U29" s="12">
        <v>44777</v>
      </c>
      <c r="V29" s="202" t="e">
        <f ca="1">IF(U29="","",
IF(U29="NA","",
IFERROR(VLOOKUP(EOMONTH(M29,-2)+1,IPCA!$A:$B,2,0),
VLOOKUP(EOMONTH(TODAY(),-2)+1,IPCA!$A:$B,2,0))/
VLOOKUP(EOMONTH(U29,-2)+1,IPCA!$A:$B,2,0)*
P29))</f>
        <v>#N/A</v>
      </c>
      <c r="W29" s="84"/>
      <c r="X29" s="13" t="s">
        <v>132</v>
      </c>
      <c r="Y29" s="158" t="s">
        <v>396</v>
      </c>
      <c r="Z29" s="106"/>
      <c r="AA29" s="107"/>
      <c r="AB29" s="15"/>
      <c r="AC29">
        <v>14</v>
      </c>
      <c r="AD29"/>
      <c r="AE29"/>
      <c r="AF29"/>
      <c r="AG29"/>
      <c r="AH29"/>
      <c r="AI29"/>
      <c r="AJ29"/>
      <c r="AK29"/>
      <c r="AL29"/>
      <c r="AM29" s="6"/>
      <c r="AN29" s="15"/>
      <c r="AO29"/>
      <c r="AP29"/>
      <c r="AQ29"/>
      <c r="AR29"/>
      <c r="AS29"/>
      <c r="AT29"/>
      <c r="AU29"/>
      <c r="AV29"/>
      <c r="AW29"/>
      <c r="AX29"/>
      <c r="AY29" s="6"/>
      <c r="AZ29" s="15"/>
      <c r="BA29"/>
      <c r="BB29"/>
      <c r="BC29"/>
      <c r="BD29"/>
      <c r="BE29"/>
      <c r="BF29"/>
      <c r="BG29"/>
      <c r="BH29"/>
      <c r="BI29"/>
      <c r="BJ29"/>
      <c r="BK29" s="6"/>
      <c r="BL29" s="15"/>
      <c r="BM29"/>
      <c r="BN29"/>
      <c r="BO29"/>
      <c r="BP29"/>
      <c r="BQ29"/>
      <c r="BR29"/>
      <c r="BS29"/>
      <c r="BT29"/>
      <c r="BU29"/>
      <c r="BV29"/>
      <c r="BW29" s="6"/>
      <c r="BX29" s="15"/>
      <c r="BY29"/>
      <c r="BZ29"/>
      <c r="CA29"/>
      <c r="CB29"/>
      <c r="CC29"/>
      <c r="CD29"/>
      <c r="CE29"/>
      <c r="CF29"/>
      <c r="CG29"/>
      <c r="CH29"/>
      <c r="CI29" s="6"/>
      <c r="CJ29" s="16">
        <v>1.0739726027397261</v>
      </c>
      <c r="CK29" s="16" t="s">
        <v>578</v>
      </c>
      <c r="CL29" s="16" t="s">
        <v>578</v>
      </c>
      <c r="CM29" s="16" t="s">
        <v>578</v>
      </c>
      <c r="CN29" s="16" t="s">
        <v>578</v>
      </c>
      <c r="CO29" s="18"/>
      <c r="CP29" s="15"/>
      <c r="CQ29">
        <v>163</v>
      </c>
      <c r="CR29"/>
      <c r="CS29"/>
      <c r="CT29"/>
      <c r="CU29"/>
      <c r="CV29"/>
      <c r="CW29"/>
      <c r="CX29"/>
      <c r="CY29"/>
      <c r="CZ29"/>
      <c r="DA29" s="6"/>
      <c r="DB29" s="15"/>
      <c r="DC29"/>
      <c r="DD29"/>
      <c r="DE29"/>
      <c r="DF29"/>
      <c r="DG29"/>
      <c r="DH29"/>
      <c r="DI29"/>
      <c r="DJ29"/>
      <c r="DK29"/>
      <c r="DL29"/>
      <c r="DM29" s="6"/>
      <c r="DN29" s="15"/>
      <c r="DO29"/>
      <c r="DP29"/>
      <c r="DQ29"/>
      <c r="DR29"/>
      <c r="DS29"/>
      <c r="DT29"/>
      <c r="DU29"/>
      <c r="DV29"/>
      <c r="DW29"/>
      <c r="DX29"/>
      <c r="DY29" s="6"/>
      <c r="DZ29" s="15"/>
      <c r="EA29"/>
      <c r="EB29"/>
      <c r="EC29"/>
      <c r="ED29"/>
      <c r="EE29"/>
      <c r="EF29"/>
      <c r="EG29"/>
      <c r="EH29"/>
      <c r="EI29"/>
      <c r="EJ29"/>
      <c r="EK29" s="6"/>
      <c r="EL29" s="15"/>
      <c r="EM29"/>
      <c r="EN29"/>
      <c r="EO29"/>
      <c r="EP29"/>
      <c r="EQ29"/>
      <c r="ER29"/>
      <c r="ES29"/>
      <c r="ET29"/>
      <c r="EU29"/>
      <c r="EV29"/>
      <c r="EW29" s="6"/>
      <c r="EX29" s="16">
        <v>12.504109589041096</v>
      </c>
      <c r="EY29" s="16" t="s">
        <v>578</v>
      </c>
      <c r="EZ29" s="16" t="s">
        <v>578</v>
      </c>
      <c r="FA29" s="154" t="s">
        <v>578</v>
      </c>
      <c r="FB29" s="154" t="s">
        <v>578</v>
      </c>
      <c r="FC29" t="s">
        <v>196</v>
      </c>
      <c r="FD29" s="20" t="s">
        <v>125</v>
      </c>
      <c r="FE29"/>
      <c r="FF29" s="199" t="s">
        <v>197</v>
      </c>
      <c r="FG29"/>
      <c r="FH29" s="206" t="e">
        <f t="shared" ca="1" si="6"/>
        <v>#N/A</v>
      </c>
      <c r="FI29" s="198">
        <f t="shared" si="7"/>
        <v>0.9</v>
      </c>
      <c r="FJ29"/>
      <c r="FK29" t="str">
        <f t="shared" si="8"/>
        <v>GENCO ENERGIA LTDA</v>
      </c>
      <c r="FL29" s="191">
        <f t="shared" ca="1" si="9"/>
        <v>0</v>
      </c>
      <c r="FM29" s="191">
        <f t="shared" ca="1" si="10"/>
        <v>-884352</v>
      </c>
      <c r="FN29" s="190">
        <f>AB29*AB$2*IF($FC29="V",1,-1)*IF($Q29="Fixo",(CP29-INDEX('Curva Forward'!$C$5:$AN$13,MATCH(CONCATENATE(BD_COMERCIAL!$K29," ",BD_COMERCIAL!$L29),'Curva Forward'!$B$5:$B$13,0),MATCH(FN$4,'Curva Forward'!$C$4:$AN$4,0))),CP29)</f>
        <v>0</v>
      </c>
      <c r="FO29" s="190">
        <f>AC29*AC$2*IF($FC29="V",1,-1)*IF($Q29="Fixo",(CQ29-INDEX('Curva Forward'!$C$5:$AN$13,MATCH(CONCATENATE(BD_COMERCIAL!$K29," ",BD_COMERCIAL!$L29),'Curva Forward'!$B$5:$B$13,0),MATCH(FO$4,'Curva Forward'!$C$4:$AN$4,0))),CQ29)</f>
        <v>-884352</v>
      </c>
      <c r="FP29" s="190">
        <f>AD29*AD$2*IF($FC29="V",1,-1)*IF($Q29="Fixo",(CR29-INDEX('Curva Forward'!$C$5:$AN$13,MATCH(CONCATENATE(BD_COMERCIAL!$K29," ",BD_COMERCIAL!$L29),'Curva Forward'!$B$5:$B$13,0),MATCH(FP$4,'Curva Forward'!$C$4:$AN$4,0))),CR29)</f>
        <v>0</v>
      </c>
      <c r="FQ29" s="190">
        <f>AE29*AE$2*IF($FC29="V",1,-1)*IF($Q29="Fixo",(CS29-INDEX('Curva Forward'!$C$5:$AN$13,MATCH(CONCATENATE(BD_COMERCIAL!$K29," ",BD_COMERCIAL!$L29),'Curva Forward'!$B$5:$B$13,0),MATCH(FQ$4,'Curva Forward'!$C$4:$AN$4,0))),CS29)</f>
        <v>0</v>
      </c>
      <c r="FR29" s="190">
        <f>AF29*AF$2*IF($FC29="V",1,-1)*IF($Q29="Fixo",(CT29-INDEX('Curva Forward'!$C$5:$AN$13,MATCH(CONCATENATE(BD_COMERCIAL!$K29," ",BD_COMERCIAL!$L29),'Curva Forward'!$B$5:$B$13,0),MATCH(FR$4,'Curva Forward'!$C$4:$AN$4,0))),CT29)</f>
        <v>0</v>
      </c>
      <c r="FS29" s="190">
        <f>AG29*AG$2*IF($FC29="V",1,-1)*IF($Q29="Fixo",(CU29-INDEX('Curva Forward'!$C$5:$AN$13,MATCH(CONCATENATE(BD_COMERCIAL!$K29," ",BD_COMERCIAL!$L29),'Curva Forward'!$B$5:$B$13,0),MATCH(FS$4,'Curva Forward'!$C$4:$AN$4,0))),CU29)</f>
        <v>0</v>
      </c>
      <c r="FT29" s="190">
        <f>AH29*AH$2*IF($FC29="V",1,-1)*IF($Q29="Fixo",(CV29-INDEX('Curva Forward'!$C$5:$AN$13,MATCH(CONCATENATE(BD_COMERCIAL!$K29," ",BD_COMERCIAL!$L29),'Curva Forward'!$B$5:$B$13,0),MATCH(FT$4,'Curva Forward'!$C$4:$AN$4,0))),CV29)</f>
        <v>0</v>
      </c>
      <c r="FU29" s="190">
        <f>AI29*AI$2*IF($FC29="V",1,-1)*IF($Q29="Fixo",(CW29-INDEX('Curva Forward'!$C$5:$AN$13,MATCH(CONCATENATE(BD_COMERCIAL!$K29," ",BD_COMERCIAL!$L29),'Curva Forward'!$B$5:$B$13,0),MATCH(FU$4,'Curva Forward'!$C$4:$AN$4,0))),CW29)</f>
        <v>0</v>
      </c>
      <c r="FV29" s="190">
        <f>AJ29*AJ$2*IF($FC29="V",1,-1)*IF($Q29="Fixo",(CX29-INDEX('Curva Forward'!$C$5:$AN$13,MATCH(CONCATENATE(BD_COMERCIAL!$K29," ",BD_COMERCIAL!$L29),'Curva Forward'!$B$5:$B$13,0),MATCH(FV$4,'Curva Forward'!$C$4:$AN$4,0))),CX29)</f>
        <v>0</v>
      </c>
      <c r="FW29" s="190">
        <f>AK29*AK$2*IF($FC29="V",1,-1)*IF($Q29="Fixo",(CY29-INDEX('Curva Forward'!$C$5:$AN$13,MATCH(CONCATENATE(BD_COMERCIAL!$K29," ",BD_COMERCIAL!$L29),'Curva Forward'!$B$5:$B$13,0),MATCH(FW$4,'Curva Forward'!$C$4:$AN$4,0))),CY29)</f>
        <v>0</v>
      </c>
      <c r="FX29" s="190">
        <f>AL29*AL$2*IF($FC29="V",1,-1)*IF($Q29="Fixo",(CZ29-INDEX('Curva Forward'!$C$5:$AN$13,MATCH(CONCATENATE(BD_COMERCIAL!$K29," ",BD_COMERCIAL!$L29),'Curva Forward'!$B$5:$B$13,0),MATCH(FX$4,'Curva Forward'!$C$4:$AN$4,0))),CZ29)</f>
        <v>0</v>
      </c>
      <c r="FY29" s="190">
        <f>AM29*AM$2*IF($FC29="V",1,-1)*IF($Q29="Fixo",(DA29-INDEX('Curva Forward'!$C$5:$AN$13,MATCH(CONCATENATE(BD_COMERCIAL!$K29," ",BD_COMERCIAL!$L29),'Curva Forward'!$B$5:$B$13,0),MATCH(FY$4,'Curva Forward'!$C$4:$AN$4,0))),DA29)</f>
        <v>0</v>
      </c>
      <c r="FZ29" s="190">
        <f>AN29*AN$2*IF($FC29="V",1,-1)*IF($Q29="Fixo",(DB29-INDEX('Curva Forward'!$C$5:$AN$13,MATCH(CONCATENATE(BD_COMERCIAL!$K29," ",BD_COMERCIAL!$L29),'Curva Forward'!$B$5:$B$13,0),MATCH(FZ$4,'Curva Forward'!$C$4:$AN$4,0))),DB29)</f>
        <v>0</v>
      </c>
      <c r="GA29" s="190">
        <f>AO29*AO$2*IF($FC29="V",1,-1)*IF($Q29="Fixo",(DC29-INDEX('Curva Forward'!$C$5:$AN$13,MATCH(CONCATENATE(BD_COMERCIAL!$K29," ",BD_COMERCIAL!$L29),'Curva Forward'!$B$5:$B$13,0),MATCH(GA$4,'Curva Forward'!$C$4:$AN$4,0))),DC29)</f>
        <v>0</v>
      </c>
      <c r="GB29" s="190">
        <f>AP29*AP$2*IF($FC29="V",1,-1)*IF($Q29="Fixo",(DD29-INDEX('Curva Forward'!$C$5:$AN$13,MATCH(CONCATENATE(BD_COMERCIAL!$K29," ",BD_COMERCIAL!$L29),'Curva Forward'!$B$5:$B$13,0),MATCH(GB$4,'Curva Forward'!$C$4:$AN$4,0))),DD29)</f>
        <v>0</v>
      </c>
      <c r="GC29" s="190">
        <f>AQ29*AQ$2*IF($FC29="V",1,-1)*IF($Q29="Fixo",(DE29-INDEX('Curva Forward'!$C$5:$AN$13,MATCH(CONCATENATE(BD_COMERCIAL!$K29," ",BD_COMERCIAL!$L29),'Curva Forward'!$B$5:$B$13,0),MATCH(GC$4,'Curva Forward'!$C$4:$AN$4,0))),DE29)</f>
        <v>0</v>
      </c>
      <c r="GD29" s="190">
        <f>AR29*AR$2*IF($FC29="V",1,-1)*IF($Q29="Fixo",(DF29-INDEX('Curva Forward'!$C$5:$AN$13,MATCH(CONCATENATE(BD_COMERCIAL!$K29," ",BD_COMERCIAL!$L29),'Curva Forward'!$B$5:$B$13,0),MATCH(GD$4,'Curva Forward'!$C$4:$AN$4,0))),DF29)</f>
        <v>0</v>
      </c>
      <c r="GE29" s="190">
        <f>AS29*AS$2*IF($FC29="V",1,-1)*IF($Q29="Fixo",(DG29-INDEX('Curva Forward'!$C$5:$AN$13,MATCH(CONCATENATE(BD_COMERCIAL!$K29," ",BD_COMERCIAL!$L29),'Curva Forward'!$B$5:$B$13,0),MATCH(GE$4,'Curva Forward'!$C$4:$AN$4,0))),DG29)</f>
        <v>0</v>
      </c>
      <c r="GF29" s="190">
        <f>AT29*AT$2*IF($FC29="V",1,-1)*IF($Q29="Fixo",(DH29-INDEX('Curva Forward'!$C$5:$AN$13,MATCH(CONCATENATE(BD_COMERCIAL!$K29," ",BD_COMERCIAL!$L29),'Curva Forward'!$B$5:$B$13,0),MATCH(GF$4,'Curva Forward'!$C$4:$AN$4,0))),DH29)</f>
        <v>0</v>
      </c>
      <c r="GG29" s="190">
        <f>AU29*AU$2*IF($FC29="V",1,-1)*IF($Q29="Fixo",(DI29-INDEX('Curva Forward'!$C$5:$AN$13,MATCH(CONCATENATE(BD_COMERCIAL!$K29," ",BD_COMERCIAL!$L29),'Curva Forward'!$B$5:$B$13,0),MATCH(GG$4,'Curva Forward'!$C$4:$AN$4,0))),DI29)</f>
        <v>0</v>
      </c>
      <c r="GH29" s="190">
        <f>AV29*AV$2*IF($FC29="V",1,-1)*IF($Q29="Fixo",(DJ29-INDEX('Curva Forward'!$C$5:$AN$13,MATCH(CONCATENATE(BD_COMERCIAL!$K29," ",BD_COMERCIAL!$L29),'Curva Forward'!$B$5:$B$13,0),MATCH(GH$4,'Curva Forward'!$C$4:$AN$4,0))),DJ29)</f>
        <v>0</v>
      </c>
      <c r="GI29" s="190">
        <f>AW29*AW$2*IF($FC29="V",1,-1)*IF($Q29="Fixo",(DK29-INDEX('Curva Forward'!$C$5:$AN$13,MATCH(CONCATENATE(BD_COMERCIAL!$K29," ",BD_COMERCIAL!$L29),'Curva Forward'!$B$5:$B$13,0),MATCH(GI$4,'Curva Forward'!$C$4:$AN$4,0))),DK29)</f>
        <v>0</v>
      </c>
      <c r="GJ29" s="190">
        <f>AX29*AX$2*IF($FC29="V",1,-1)*IF($Q29="Fixo",(DL29-INDEX('Curva Forward'!$C$5:$AN$13,MATCH(CONCATENATE(BD_COMERCIAL!$K29," ",BD_COMERCIAL!$L29),'Curva Forward'!$B$5:$B$13,0),MATCH(GJ$4,'Curva Forward'!$C$4:$AN$4,0))),DL29)</f>
        <v>0</v>
      </c>
      <c r="GK29" s="190">
        <f>AY29*AY$2*IF($FC29="V",1,-1)*IF($Q29="Fixo",(DM29-INDEX('Curva Forward'!$C$5:$AN$13,MATCH(CONCATENATE(BD_COMERCIAL!$K29," ",BD_COMERCIAL!$L29),'Curva Forward'!$B$5:$B$13,0),MATCH(GK$4,'Curva Forward'!$C$4:$AN$4,0))),DM29)</f>
        <v>0</v>
      </c>
      <c r="GL29" s="190">
        <f>IF(EZ29="",0,CL29*CL$2*IF($FC29="V",1,-1)*IF($Q29="Fixo",(EZ29-INDEX('Curva Forward'!$C$5:$AN$13,MATCH(CONCATENATE(BD_COMERCIAL!$K29," ",BD_COMERCIAL!$L29),'Curva Forward'!$B$5:$B$13,0),MATCH(GL$4,'Curva Forward'!$C$4:$AN$4,0))),EZ29))</f>
        <v>0</v>
      </c>
      <c r="GM29" s="190">
        <f>IF(FA29="",0,CM29*CM$2*IF($FC29="V",1,-1)*IF($Q29="Fixo",(FA29-INDEX('Curva Forward'!$C$5:$AN$13,MATCH(CONCATENATE(BD_COMERCIAL!$K29," ",BD_COMERCIAL!$L29),'Curva Forward'!$B$5:$B$13,0),MATCH(GM$4,'Curva Forward'!$C$4:$AN$4,0))),FA29))</f>
        <v>0</v>
      </c>
      <c r="GN29" s="190">
        <f>IF(FB29="",0,CN29*CN$2*IF($FC29="V",1,-1)*IF($Q29="Fixo",(FB29-INDEX('Curva Forward'!$C$5:$AN$13,MATCH(CONCATENATE(BD_COMERCIAL!$K29," ",BD_COMERCIAL!$L29),'Curva Forward'!$B$5:$B$13,0),MATCH(GN$4,'Curva Forward'!$C$4:$AN$4,0))),FB29))</f>
        <v>0</v>
      </c>
      <c r="GO29" s="191">
        <f t="shared" ca="1" si="11"/>
        <v>0</v>
      </c>
      <c r="GP29" s="191">
        <f t="shared" ca="1" si="12"/>
        <v>-884352</v>
      </c>
      <c r="GQ29"/>
      <c r="GR29" s="84"/>
      <c r="GS29"/>
      <c r="GT29" s="206"/>
      <c r="GU29" s="198"/>
      <c r="GV29"/>
      <c r="GW29"/>
      <c r="GX29" s="191"/>
      <c r="GY29" s="191"/>
      <c r="GZ29" s="190"/>
      <c r="HA29" s="190"/>
      <c r="HB29" s="190"/>
      <c r="HC29" s="190"/>
      <c r="HD29" s="190"/>
      <c r="HE29" s="190"/>
      <c r="HF29" s="190"/>
      <c r="HG29" s="190"/>
      <c r="HH29" s="190"/>
      <c r="HI29" s="190"/>
      <c r="HJ29" s="190"/>
      <c r="HK29" s="190"/>
      <c r="HL29" s="190"/>
      <c r="HM29" s="190"/>
      <c r="HN29" s="190"/>
      <c r="HO29" s="190"/>
      <c r="HP29" s="190"/>
      <c r="HQ29" s="190"/>
      <c r="HR29" s="190"/>
      <c r="HS29" s="190"/>
      <c r="HT29" s="190"/>
      <c r="HU29" s="190"/>
      <c r="HV29" s="190"/>
      <c r="HW29" s="190"/>
      <c r="HX29" s="190"/>
      <c r="HY29" s="190"/>
      <c r="HZ29" s="190"/>
      <c r="IA29" s="191"/>
      <c r="IB29" s="191"/>
    </row>
    <row r="30" spans="1:236" s="265" customFormat="1" ht="15" customHeight="1" x14ac:dyDescent="0.35">
      <c r="A30" s="251"/>
      <c r="B30" s="7" t="s">
        <v>350</v>
      </c>
      <c r="C30" s="8">
        <v>44788</v>
      </c>
      <c r="D30" s="9" t="s">
        <v>123</v>
      </c>
      <c r="E30" s="10" t="s">
        <v>124</v>
      </c>
      <c r="F30" s="112" t="s">
        <v>348</v>
      </c>
      <c r="G30" s="10" t="s">
        <v>304</v>
      </c>
      <c r="H30" s="112" t="s">
        <v>351</v>
      </c>
      <c r="I30" s="9" t="s">
        <v>125</v>
      </c>
      <c r="J30" s="158" t="s">
        <v>349</v>
      </c>
      <c r="K30" s="10" t="s">
        <v>126</v>
      </c>
      <c r="L30" s="84" t="s">
        <v>22</v>
      </c>
      <c r="M30" s="11">
        <v>45017</v>
      </c>
      <c r="N30" s="12">
        <v>45107</v>
      </c>
      <c r="O30" s="10">
        <v>10</v>
      </c>
      <c r="P30" s="84">
        <v>125</v>
      </c>
      <c r="Q30" s="84" t="s">
        <v>127</v>
      </c>
      <c r="R30" s="10" t="s">
        <v>128</v>
      </c>
      <c r="S30" s="14" t="s">
        <v>133</v>
      </c>
      <c r="T30" s="11" t="s">
        <v>129</v>
      </c>
      <c r="U30" s="12">
        <v>44789</v>
      </c>
      <c r="V30" s="202" t="e">
        <f ca="1">IF(U30="","",
IF(U30="NA","",
IFERROR(VLOOKUP(EOMONTH(M30,-2)+1,IPCA!$A:$B,2,0),
VLOOKUP(EOMONTH(TODAY(),-2)+1,IPCA!$A:$B,2,0))/
VLOOKUP(EOMONTH(U30,-2)+1,IPCA!$A:$B,2,0)*
P30))</f>
        <v>#N/A</v>
      </c>
      <c r="W30" s="84"/>
      <c r="X30" s="13" t="s">
        <v>132</v>
      </c>
      <c r="Y30" s="158"/>
      <c r="Z30" s="106"/>
      <c r="AA30" s="107"/>
      <c r="AB30" s="15"/>
      <c r="AC30"/>
      <c r="AD30"/>
      <c r="AE30">
        <v>10</v>
      </c>
      <c r="AF30">
        <v>10</v>
      </c>
      <c r="AG30">
        <v>10</v>
      </c>
      <c r="AH30"/>
      <c r="AI30"/>
      <c r="AJ30"/>
      <c r="AK30"/>
      <c r="AL30"/>
      <c r="AM30" s="6"/>
      <c r="AN30" s="15"/>
      <c r="AO30"/>
      <c r="AP30"/>
      <c r="AQ30"/>
      <c r="AR30"/>
      <c r="AS30"/>
      <c r="AT30"/>
      <c r="AU30"/>
      <c r="AV30"/>
      <c r="AW30"/>
      <c r="AX30"/>
      <c r="AY30" s="6"/>
      <c r="AZ30" s="15"/>
      <c r="BA30"/>
      <c r="BB30"/>
      <c r="BC30"/>
      <c r="BD30"/>
      <c r="BE30"/>
      <c r="BF30"/>
      <c r="BG30"/>
      <c r="BH30"/>
      <c r="BI30"/>
      <c r="BJ30"/>
      <c r="BK30" s="6"/>
      <c r="BL30" s="15"/>
      <c r="BM30"/>
      <c r="BN30"/>
      <c r="BO30"/>
      <c r="BP30"/>
      <c r="BQ30"/>
      <c r="BR30"/>
      <c r="BS30"/>
      <c r="BT30"/>
      <c r="BU30"/>
      <c r="BV30"/>
      <c r="BW30" s="6"/>
      <c r="BX30" s="15"/>
      <c r="BY30"/>
      <c r="BZ30"/>
      <c r="CA30"/>
      <c r="CB30"/>
      <c r="CC30"/>
      <c r="CD30"/>
      <c r="CE30"/>
      <c r="CF30"/>
      <c r="CG30"/>
      <c r="CH30"/>
      <c r="CI30" s="6"/>
      <c r="CJ30" s="16">
        <v>2.493150684931507</v>
      </c>
      <c r="CK30" s="16" t="s">
        <v>578</v>
      </c>
      <c r="CL30" s="16" t="s">
        <v>578</v>
      </c>
      <c r="CM30" s="16" t="s">
        <v>578</v>
      </c>
      <c r="CN30" s="16" t="s">
        <v>578</v>
      </c>
      <c r="CO30" s="18"/>
      <c r="CP30" s="15"/>
      <c r="CQ30"/>
      <c r="CR30"/>
      <c r="CS30">
        <v>125</v>
      </c>
      <c r="CT30">
        <v>125</v>
      </c>
      <c r="CU30">
        <v>125</v>
      </c>
      <c r="CV30"/>
      <c r="CW30"/>
      <c r="CX30"/>
      <c r="CY30"/>
      <c r="CZ30"/>
      <c r="DA30" s="6"/>
      <c r="DB30" s="15"/>
      <c r="DC30"/>
      <c r="DD30"/>
      <c r="DE30"/>
      <c r="DF30"/>
      <c r="DG30"/>
      <c r="DH30"/>
      <c r="DI30"/>
      <c r="DJ30"/>
      <c r="DK30"/>
      <c r="DL30"/>
      <c r="DM30" s="6"/>
      <c r="DN30" s="15"/>
      <c r="DO30"/>
      <c r="DP30"/>
      <c r="DQ30"/>
      <c r="DR30"/>
      <c r="DS30"/>
      <c r="DT30"/>
      <c r="DU30"/>
      <c r="DV30"/>
      <c r="DW30"/>
      <c r="DX30"/>
      <c r="DY30" s="6"/>
      <c r="DZ30" s="15"/>
      <c r="EA30"/>
      <c r="EB30"/>
      <c r="EC30"/>
      <c r="ED30"/>
      <c r="EE30"/>
      <c r="EF30"/>
      <c r="EG30"/>
      <c r="EH30"/>
      <c r="EI30"/>
      <c r="EJ30"/>
      <c r="EK30" s="6"/>
      <c r="EL30" s="15"/>
      <c r="EM30"/>
      <c r="EN30"/>
      <c r="EO30"/>
      <c r="EP30"/>
      <c r="EQ30"/>
      <c r="ER30"/>
      <c r="ES30"/>
      <c r="ET30"/>
      <c r="EU30"/>
      <c r="EV30"/>
      <c r="EW30" s="6"/>
      <c r="EX30" s="16">
        <v>31.164383561643834</v>
      </c>
      <c r="EY30" s="16" t="s">
        <v>578</v>
      </c>
      <c r="EZ30" s="16" t="s">
        <v>578</v>
      </c>
      <c r="FA30" s="154" t="s">
        <v>578</v>
      </c>
      <c r="FB30" s="154" t="s">
        <v>578</v>
      </c>
      <c r="FC30" t="s">
        <v>195</v>
      </c>
      <c r="FD30" s="20" t="s">
        <v>125</v>
      </c>
      <c r="FE30"/>
      <c r="FF30" s="199" t="s">
        <v>197</v>
      </c>
      <c r="FG30"/>
      <c r="FH30" s="206" t="e">
        <f t="shared" ca="1" si="6"/>
        <v>#N/A</v>
      </c>
      <c r="FI30" s="198">
        <f t="shared" si="7"/>
        <v>3</v>
      </c>
      <c r="FJ30"/>
      <c r="FK30" t="str">
        <f t="shared" si="8"/>
        <v>GERDAU AÇOS LONGOS S.A. - Filial</v>
      </c>
      <c r="FL30" s="191">
        <f t="shared" ca="1" si="9"/>
        <v>0</v>
      </c>
      <c r="FM30" s="191">
        <f t="shared" ca="1" si="10"/>
        <v>1208400</v>
      </c>
      <c r="FN30" s="190">
        <f>AB30*AB$2*IF($FC30="V",1,-1)*IF($Q30="Fixo",(CP30-INDEX('Curva Forward'!$C$5:$AN$13,MATCH(CONCATENATE(BD_COMERCIAL!$K30," ",BD_COMERCIAL!$L30),'Curva Forward'!$B$5:$B$13,0),MATCH(FN$4,'Curva Forward'!$C$4:$AN$4,0))),CP30)</f>
        <v>0</v>
      </c>
      <c r="FO30" s="190">
        <f>AC30*AC$2*IF($FC30="V",1,-1)*IF($Q30="Fixo",(CQ30-INDEX('Curva Forward'!$C$5:$AN$13,MATCH(CONCATENATE(BD_COMERCIAL!$K30," ",BD_COMERCIAL!$L30),'Curva Forward'!$B$5:$B$13,0),MATCH(FO$4,'Curva Forward'!$C$4:$AN$4,0))),CQ30)</f>
        <v>0</v>
      </c>
      <c r="FP30" s="190">
        <f>AD30*AD$2*IF($FC30="V",1,-1)*IF($Q30="Fixo",(CR30-INDEX('Curva Forward'!$C$5:$AN$13,MATCH(CONCATENATE(BD_COMERCIAL!$K30," ",BD_COMERCIAL!$L30),'Curva Forward'!$B$5:$B$13,0),MATCH(FP$4,'Curva Forward'!$C$4:$AN$4,0))),CR30)</f>
        <v>0</v>
      </c>
      <c r="FQ30" s="190">
        <f>AE30*AE$2*IF($FC30="V",1,-1)*IF($Q30="Fixo",(CS30-INDEX('Curva Forward'!$C$5:$AN$13,MATCH(CONCATENATE(BD_COMERCIAL!$K30," ",BD_COMERCIAL!$L30),'Curva Forward'!$B$5:$B$13,0),MATCH(FQ$4,'Curva Forward'!$C$4:$AN$4,0))),CS30)</f>
        <v>403200</v>
      </c>
      <c r="FR30" s="190">
        <f>AF30*AF$2*IF($FC30="V",1,-1)*IF($Q30="Fixo",(CT30-INDEX('Curva Forward'!$C$5:$AN$13,MATCH(CONCATENATE(BD_COMERCIAL!$K30," ",BD_COMERCIAL!$L30),'Curva Forward'!$B$5:$B$13,0),MATCH(FR$4,'Curva Forward'!$C$4:$AN$4,0))),CT30)</f>
        <v>409200</v>
      </c>
      <c r="FS30" s="190">
        <f>AG30*AG$2*IF($FC30="V",1,-1)*IF($Q30="Fixo",(CU30-INDEX('Curva Forward'!$C$5:$AN$13,MATCH(CONCATENATE(BD_COMERCIAL!$K30," ",BD_COMERCIAL!$L30),'Curva Forward'!$B$5:$B$13,0),MATCH(FS$4,'Curva Forward'!$C$4:$AN$4,0))),CU30)</f>
        <v>396000</v>
      </c>
      <c r="FT30" s="190">
        <f>AH30*AH$2*IF($FC30="V",1,-1)*IF($Q30="Fixo",(CV30-INDEX('Curva Forward'!$C$5:$AN$13,MATCH(CONCATENATE(BD_COMERCIAL!$K30," ",BD_COMERCIAL!$L30),'Curva Forward'!$B$5:$B$13,0),MATCH(FT$4,'Curva Forward'!$C$4:$AN$4,0))),CV30)</f>
        <v>0</v>
      </c>
      <c r="FU30" s="190">
        <f>AI30*AI$2*IF($FC30="V",1,-1)*IF($Q30="Fixo",(CW30-INDEX('Curva Forward'!$C$5:$AN$13,MATCH(CONCATENATE(BD_COMERCIAL!$K30," ",BD_COMERCIAL!$L30),'Curva Forward'!$B$5:$B$13,0),MATCH(FU$4,'Curva Forward'!$C$4:$AN$4,0))),CW30)</f>
        <v>0</v>
      </c>
      <c r="FV30" s="190">
        <f>AJ30*AJ$2*IF($FC30="V",1,-1)*IF($Q30="Fixo",(CX30-INDEX('Curva Forward'!$C$5:$AN$13,MATCH(CONCATENATE(BD_COMERCIAL!$K30," ",BD_COMERCIAL!$L30),'Curva Forward'!$B$5:$B$13,0),MATCH(FV$4,'Curva Forward'!$C$4:$AN$4,0))),CX30)</f>
        <v>0</v>
      </c>
      <c r="FW30" s="190">
        <f>AK30*AK$2*IF($FC30="V",1,-1)*IF($Q30="Fixo",(CY30-INDEX('Curva Forward'!$C$5:$AN$13,MATCH(CONCATENATE(BD_COMERCIAL!$K30," ",BD_COMERCIAL!$L30),'Curva Forward'!$B$5:$B$13,0),MATCH(FW$4,'Curva Forward'!$C$4:$AN$4,0))),CY30)</f>
        <v>0</v>
      </c>
      <c r="FX30" s="190">
        <f>AL30*AL$2*IF($FC30="V",1,-1)*IF($Q30="Fixo",(CZ30-INDEX('Curva Forward'!$C$5:$AN$13,MATCH(CONCATENATE(BD_COMERCIAL!$K30," ",BD_COMERCIAL!$L30),'Curva Forward'!$B$5:$B$13,0),MATCH(FX$4,'Curva Forward'!$C$4:$AN$4,0))),CZ30)</f>
        <v>0</v>
      </c>
      <c r="FY30" s="190">
        <f>AM30*AM$2*IF($FC30="V",1,-1)*IF($Q30="Fixo",(DA30-INDEX('Curva Forward'!$C$5:$AN$13,MATCH(CONCATENATE(BD_COMERCIAL!$K30," ",BD_COMERCIAL!$L30),'Curva Forward'!$B$5:$B$13,0),MATCH(FY$4,'Curva Forward'!$C$4:$AN$4,0))),DA30)</f>
        <v>0</v>
      </c>
      <c r="FZ30" s="190">
        <f>AN30*AN$2*IF($FC30="V",1,-1)*IF($Q30="Fixo",(DB30-INDEX('Curva Forward'!$C$5:$AN$13,MATCH(CONCATENATE(BD_COMERCIAL!$K30," ",BD_COMERCIAL!$L30),'Curva Forward'!$B$5:$B$13,0),MATCH(FZ$4,'Curva Forward'!$C$4:$AN$4,0))),DB30)</f>
        <v>0</v>
      </c>
      <c r="GA30" s="190">
        <f>AO30*AO$2*IF($FC30="V",1,-1)*IF($Q30="Fixo",(DC30-INDEX('Curva Forward'!$C$5:$AN$13,MATCH(CONCATENATE(BD_COMERCIAL!$K30," ",BD_COMERCIAL!$L30),'Curva Forward'!$B$5:$B$13,0),MATCH(GA$4,'Curva Forward'!$C$4:$AN$4,0))),DC30)</f>
        <v>0</v>
      </c>
      <c r="GB30" s="190">
        <f>AP30*AP$2*IF($FC30="V",1,-1)*IF($Q30="Fixo",(DD30-INDEX('Curva Forward'!$C$5:$AN$13,MATCH(CONCATENATE(BD_COMERCIAL!$K30," ",BD_COMERCIAL!$L30),'Curva Forward'!$B$5:$B$13,0),MATCH(GB$4,'Curva Forward'!$C$4:$AN$4,0))),DD30)</f>
        <v>0</v>
      </c>
      <c r="GC30" s="190">
        <f>AQ30*AQ$2*IF($FC30="V",1,-1)*IF($Q30="Fixo",(DE30-INDEX('Curva Forward'!$C$5:$AN$13,MATCH(CONCATENATE(BD_COMERCIAL!$K30," ",BD_COMERCIAL!$L30),'Curva Forward'!$B$5:$B$13,0),MATCH(GC$4,'Curva Forward'!$C$4:$AN$4,0))),DE30)</f>
        <v>0</v>
      </c>
      <c r="GD30" s="190">
        <f>AR30*AR$2*IF($FC30="V",1,-1)*IF($Q30="Fixo",(DF30-INDEX('Curva Forward'!$C$5:$AN$13,MATCH(CONCATENATE(BD_COMERCIAL!$K30," ",BD_COMERCIAL!$L30),'Curva Forward'!$B$5:$B$13,0),MATCH(GD$4,'Curva Forward'!$C$4:$AN$4,0))),DF30)</f>
        <v>0</v>
      </c>
      <c r="GE30" s="190">
        <f>AS30*AS$2*IF($FC30="V",1,-1)*IF($Q30="Fixo",(DG30-INDEX('Curva Forward'!$C$5:$AN$13,MATCH(CONCATENATE(BD_COMERCIAL!$K30," ",BD_COMERCIAL!$L30),'Curva Forward'!$B$5:$B$13,0),MATCH(GE$4,'Curva Forward'!$C$4:$AN$4,0))),DG30)</f>
        <v>0</v>
      </c>
      <c r="GF30" s="190">
        <f>AT30*AT$2*IF($FC30="V",1,-1)*IF($Q30="Fixo",(DH30-INDEX('Curva Forward'!$C$5:$AN$13,MATCH(CONCATENATE(BD_COMERCIAL!$K30," ",BD_COMERCIAL!$L30),'Curva Forward'!$B$5:$B$13,0),MATCH(GF$4,'Curva Forward'!$C$4:$AN$4,0))),DH30)</f>
        <v>0</v>
      </c>
      <c r="GG30" s="190">
        <f>AU30*AU$2*IF($FC30="V",1,-1)*IF($Q30="Fixo",(DI30-INDEX('Curva Forward'!$C$5:$AN$13,MATCH(CONCATENATE(BD_COMERCIAL!$K30," ",BD_COMERCIAL!$L30),'Curva Forward'!$B$5:$B$13,0),MATCH(GG$4,'Curva Forward'!$C$4:$AN$4,0))),DI30)</f>
        <v>0</v>
      </c>
      <c r="GH30" s="190">
        <f>AV30*AV$2*IF($FC30="V",1,-1)*IF($Q30="Fixo",(DJ30-INDEX('Curva Forward'!$C$5:$AN$13,MATCH(CONCATENATE(BD_COMERCIAL!$K30," ",BD_COMERCIAL!$L30),'Curva Forward'!$B$5:$B$13,0),MATCH(GH$4,'Curva Forward'!$C$4:$AN$4,0))),DJ30)</f>
        <v>0</v>
      </c>
      <c r="GI30" s="190">
        <f>AW30*AW$2*IF($FC30="V",1,-1)*IF($Q30="Fixo",(DK30-INDEX('Curva Forward'!$C$5:$AN$13,MATCH(CONCATENATE(BD_COMERCIAL!$K30," ",BD_COMERCIAL!$L30),'Curva Forward'!$B$5:$B$13,0),MATCH(GI$4,'Curva Forward'!$C$4:$AN$4,0))),DK30)</f>
        <v>0</v>
      </c>
      <c r="GJ30" s="190">
        <f>AX30*AX$2*IF($FC30="V",1,-1)*IF($Q30="Fixo",(DL30-INDEX('Curva Forward'!$C$5:$AN$13,MATCH(CONCATENATE(BD_COMERCIAL!$K30," ",BD_COMERCIAL!$L30),'Curva Forward'!$B$5:$B$13,0),MATCH(GJ$4,'Curva Forward'!$C$4:$AN$4,0))),DL30)</f>
        <v>0</v>
      </c>
      <c r="GK30" s="190">
        <f>AY30*AY$2*IF($FC30="V",1,-1)*IF($Q30="Fixo",(DM30-INDEX('Curva Forward'!$C$5:$AN$13,MATCH(CONCATENATE(BD_COMERCIAL!$K30," ",BD_COMERCIAL!$L30),'Curva Forward'!$B$5:$B$13,0),MATCH(GK$4,'Curva Forward'!$C$4:$AN$4,0))),DM30)</f>
        <v>0</v>
      </c>
      <c r="GL30" s="190">
        <f>IF(EZ30="",0,CL30*CL$2*IF($FC30="V",1,-1)*IF($Q30="Fixo",(EZ30-INDEX('Curva Forward'!$C$5:$AN$13,MATCH(CONCATENATE(BD_COMERCIAL!$K30," ",BD_COMERCIAL!$L30),'Curva Forward'!$B$5:$B$13,0),MATCH(GL$4,'Curva Forward'!$C$4:$AN$4,0))),EZ30))</f>
        <v>0</v>
      </c>
      <c r="GM30" s="190">
        <f>IF(FA30="",0,CM30*CM$2*IF($FC30="V",1,-1)*IF($Q30="Fixo",(FA30-INDEX('Curva Forward'!$C$5:$AN$13,MATCH(CONCATENATE(BD_COMERCIAL!$K30," ",BD_COMERCIAL!$L30),'Curva Forward'!$B$5:$B$13,0),MATCH(GM$4,'Curva Forward'!$C$4:$AN$4,0))),FA30))</f>
        <v>0</v>
      </c>
      <c r="GN30" s="190">
        <f>IF(FB30="",0,CN30*CN$2*IF($FC30="V",1,-1)*IF($Q30="Fixo",(FB30-INDEX('Curva Forward'!$C$5:$AN$13,MATCH(CONCATENATE(BD_COMERCIAL!$K30," ",BD_COMERCIAL!$L30),'Curva Forward'!$B$5:$B$13,0),MATCH(GN$4,'Curva Forward'!$C$4:$AN$4,0))),FB30))</f>
        <v>0</v>
      </c>
      <c r="GO30" s="191">
        <f t="shared" ca="1" si="11"/>
        <v>1208400</v>
      </c>
      <c r="GP30" s="191">
        <f t="shared" ca="1" si="12"/>
        <v>0</v>
      </c>
      <c r="GQ30"/>
      <c r="GR30" s="84"/>
      <c r="GS30"/>
      <c r="GT30" s="206"/>
      <c r="GU30" s="198"/>
      <c r="GV30"/>
      <c r="GW30"/>
      <c r="GX30" s="191"/>
      <c r="GY30" s="191"/>
      <c r="GZ30" s="190"/>
      <c r="HA30" s="190"/>
      <c r="HB30" s="190"/>
      <c r="HC30" s="190"/>
      <c r="HD30" s="190"/>
      <c r="HE30" s="190"/>
      <c r="HF30" s="190"/>
      <c r="HG30" s="190"/>
      <c r="HH30" s="190"/>
      <c r="HI30" s="190"/>
      <c r="HJ30" s="190"/>
      <c r="HK30" s="190"/>
      <c r="HL30" s="190"/>
      <c r="HM30" s="190"/>
      <c r="HN30" s="190"/>
      <c r="HO30" s="190"/>
      <c r="HP30" s="190"/>
      <c r="HQ30" s="190"/>
      <c r="HR30" s="190"/>
      <c r="HS30" s="190"/>
      <c r="HT30" s="190"/>
      <c r="HU30" s="190"/>
      <c r="HV30" s="190"/>
      <c r="HW30" s="190"/>
      <c r="HX30" s="190"/>
      <c r="HY30" s="190"/>
      <c r="HZ30" s="190"/>
      <c r="IA30" s="191"/>
      <c r="IB30" s="191"/>
    </row>
    <row r="31" spans="1:236" s="265" customFormat="1" ht="15" customHeight="1" x14ac:dyDescent="0.35">
      <c r="A31" s="251"/>
      <c r="B31" s="7" t="s">
        <v>402</v>
      </c>
      <c r="C31" s="8">
        <v>44789</v>
      </c>
      <c r="D31" s="9" t="s">
        <v>123</v>
      </c>
      <c r="E31" s="10" t="s">
        <v>124</v>
      </c>
      <c r="F31" s="112">
        <v>3780401000108</v>
      </c>
      <c r="G31" s="9" t="s">
        <v>145</v>
      </c>
      <c r="H31" s="112" t="e">
        <v>#VALUE!</v>
      </c>
      <c r="I31" s="9" t="s">
        <v>137</v>
      </c>
      <c r="J31" s="158" t="s">
        <v>352</v>
      </c>
      <c r="K31" s="10" t="s">
        <v>126</v>
      </c>
      <c r="L31" s="84" t="s">
        <v>22</v>
      </c>
      <c r="M31" s="11">
        <v>45292</v>
      </c>
      <c r="N31" s="12">
        <v>45657</v>
      </c>
      <c r="O31" s="10">
        <v>10</v>
      </c>
      <c r="P31" s="84">
        <v>187</v>
      </c>
      <c r="Q31" s="84" t="s">
        <v>127</v>
      </c>
      <c r="R31" s="10" t="s">
        <v>128</v>
      </c>
      <c r="S31" s="14" t="s">
        <v>133</v>
      </c>
      <c r="T31" s="11" t="s">
        <v>129</v>
      </c>
      <c r="U31" s="12">
        <v>44743</v>
      </c>
      <c r="V31" s="202" t="e">
        <f ca="1">IF(U31="","",
IF(U31="NA","",
IFERROR(VLOOKUP(EOMONTH(M31,-2)+1,IPCA!$A:$B,2,0),
VLOOKUP(EOMONTH(TODAY(),-2)+1,IPCA!$A:$B,2,0))/
VLOOKUP(EOMONTH(U31,-2)+1,IPCA!$A:$B,2,0)*
P31))</f>
        <v>#N/A</v>
      </c>
      <c r="W31" s="84"/>
      <c r="X31" s="13"/>
      <c r="Y31" s="158"/>
      <c r="Z31" s="106" t="s">
        <v>146</v>
      </c>
      <c r="AA31" s="107" t="s">
        <v>146</v>
      </c>
      <c r="AB31" s="15"/>
      <c r="AC31"/>
      <c r="AD31"/>
      <c r="AE31"/>
      <c r="AF31"/>
      <c r="AG31"/>
      <c r="AH31"/>
      <c r="AI31"/>
      <c r="AJ31"/>
      <c r="AK31"/>
      <c r="AL31"/>
      <c r="AM31" s="6"/>
      <c r="AN31" s="15">
        <v>10</v>
      </c>
      <c r="AO31">
        <v>10</v>
      </c>
      <c r="AP31">
        <v>10</v>
      </c>
      <c r="AQ31">
        <v>10</v>
      </c>
      <c r="AR31">
        <v>10</v>
      </c>
      <c r="AS31">
        <v>10</v>
      </c>
      <c r="AT31">
        <v>10</v>
      </c>
      <c r="AU31">
        <v>10</v>
      </c>
      <c r="AV31">
        <v>10</v>
      </c>
      <c r="AW31">
        <v>10</v>
      </c>
      <c r="AX31">
        <v>10</v>
      </c>
      <c r="AY31" s="6">
        <v>10</v>
      </c>
      <c r="AZ31" s="15"/>
      <c r="BA31"/>
      <c r="BB31"/>
      <c r="BC31"/>
      <c r="BD31"/>
      <c r="BE31"/>
      <c r="BF31"/>
      <c r="BG31"/>
      <c r="BH31"/>
      <c r="BI31"/>
      <c r="BJ31"/>
      <c r="BK31" s="6"/>
      <c r="BL31" s="15"/>
      <c r="BM31"/>
      <c r="BN31"/>
      <c r="BO31"/>
      <c r="BP31"/>
      <c r="BQ31"/>
      <c r="BR31"/>
      <c r="BS31"/>
      <c r="BT31"/>
      <c r="BU31"/>
      <c r="BV31"/>
      <c r="BW31" s="6"/>
      <c r="BX31" s="15"/>
      <c r="BY31"/>
      <c r="BZ31"/>
      <c r="CA31"/>
      <c r="CB31"/>
      <c r="CC31"/>
      <c r="CD31"/>
      <c r="CE31"/>
      <c r="CF31"/>
      <c r="CG31"/>
      <c r="CH31"/>
      <c r="CI31" s="6"/>
      <c r="CJ31" s="16" t="s">
        <v>578</v>
      </c>
      <c r="CK31" s="16">
        <v>10</v>
      </c>
      <c r="CL31" s="16" t="s">
        <v>578</v>
      </c>
      <c r="CM31" s="16" t="s">
        <v>578</v>
      </c>
      <c r="CN31" s="16" t="s">
        <v>578</v>
      </c>
      <c r="CO31" s="18"/>
      <c r="CP31" s="15"/>
      <c r="CQ31"/>
      <c r="CR31"/>
      <c r="CS31"/>
      <c r="CT31"/>
      <c r="CU31"/>
      <c r="CV31"/>
      <c r="CW31"/>
      <c r="CX31"/>
      <c r="CY31"/>
      <c r="CZ31"/>
      <c r="DA31" s="6"/>
      <c r="DB31" s="15">
        <v>187</v>
      </c>
      <c r="DC31">
        <v>187</v>
      </c>
      <c r="DD31">
        <v>187</v>
      </c>
      <c r="DE31">
        <v>187</v>
      </c>
      <c r="DF31">
        <v>187</v>
      </c>
      <c r="DG31">
        <v>187</v>
      </c>
      <c r="DH31">
        <v>187</v>
      </c>
      <c r="DI31">
        <v>187</v>
      </c>
      <c r="DJ31">
        <v>187</v>
      </c>
      <c r="DK31">
        <v>187</v>
      </c>
      <c r="DL31">
        <v>187</v>
      </c>
      <c r="DM31" s="6">
        <v>187</v>
      </c>
      <c r="DN31" s="15"/>
      <c r="DO31"/>
      <c r="DP31"/>
      <c r="DQ31"/>
      <c r="DR31"/>
      <c r="DS31"/>
      <c r="DT31"/>
      <c r="DU31"/>
      <c r="DV31"/>
      <c r="DW31"/>
      <c r="DX31"/>
      <c r="DY31" s="6"/>
      <c r="DZ31" s="15"/>
      <c r="EA31"/>
      <c r="EB31"/>
      <c r="EC31"/>
      <c r="ED31"/>
      <c r="EE31"/>
      <c r="EF31"/>
      <c r="EG31"/>
      <c r="EH31"/>
      <c r="EI31"/>
      <c r="EJ31"/>
      <c r="EK31" s="6"/>
      <c r="EL31" s="15"/>
      <c r="EM31"/>
      <c r="EN31"/>
      <c r="EO31"/>
      <c r="EP31"/>
      <c r="EQ31"/>
      <c r="ER31"/>
      <c r="ES31"/>
      <c r="ET31"/>
      <c r="EU31"/>
      <c r="EV31"/>
      <c r="EW31" s="6"/>
      <c r="EX31" s="16" t="s">
        <v>578</v>
      </c>
      <c r="EY31" s="16">
        <v>187</v>
      </c>
      <c r="EZ31" s="16" t="s">
        <v>578</v>
      </c>
      <c r="FA31" s="154" t="s">
        <v>578</v>
      </c>
      <c r="FB31" s="154" t="s">
        <v>578</v>
      </c>
      <c r="FC31" t="s">
        <v>195</v>
      </c>
      <c r="FD31" s="20" t="s">
        <v>145</v>
      </c>
      <c r="FE31"/>
      <c r="FF31" s="199" t="s">
        <v>197</v>
      </c>
      <c r="FG31"/>
      <c r="FH31" s="206" t="e">
        <f t="shared" ca="1" si="6"/>
        <v>#N/A</v>
      </c>
      <c r="FI31" s="198">
        <f t="shared" si="7"/>
        <v>12.166666666666666</v>
      </c>
      <c r="FJ31"/>
      <c r="FK31" t="str">
        <f t="shared" si="8"/>
        <v>Portfólio</v>
      </c>
      <c r="FL31" s="191">
        <f t="shared" ca="1" si="9"/>
        <v>0</v>
      </c>
      <c r="FM31" s="191">
        <f t="shared" ca="1" si="10"/>
        <v>9001440</v>
      </c>
      <c r="FN31" s="190">
        <f>AB31*AB$2*IF($FC31="V",1,-1)*IF($Q31="Fixo",(CP31-INDEX('Curva Forward'!$C$5:$AN$13,MATCH(CONCATENATE(BD_COMERCIAL!$K31," ",BD_COMERCIAL!$L31),'Curva Forward'!$B$5:$B$13,0),MATCH(FN$4,'Curva Forward'!$C$4:$AN$4,0))),CP31)</f>
        <v>0</v>
      </c>
      <c r="FO31" s="190">
        <f>AC31*AC$2*IF($FC31="V",1,-1)*IF($Q31="Fixo",(CQ31-INDEX('Curva Forward'!$C$5:$AN$13,MATCH(CONCATENATE(BD_COMERCIAL!$K31," ",BD_COMERCIAL!$L31),'Curva Forward'!$B$5:$B$13,0),MATCH(FO$4,'Curva Forward'!$C$4:$AN$4,0))),CQ31)</f>
        <v>0</v>
      </c>
      <c r="FP31" s="190">
        <f>AD31*AD$2*IF($FC31="V",1,-1)*IF($Q31="Fixo",(CR31-INDEX('Curva Forward'!$C$5:$AN$13,MATCH(CONCATENATE(BD_COMERCIAL!$K31," ",BD_COMERCIAL!$L31),'Curva Forward'!$B$5:$B$13,0),MATCH(FP$4,'Curva Forward'!$C$4:$AN$4,0))),CR31)</f>
        <v>0</v>
      </c>
      <c r="FQ31" s="190">
        <f>AE31*AE$2*IF($FC31="V",1,-1)*IF($Q31="Fixo",(CS31-INDEX('Curva Forward'!$C$5:$AN$13,MATCH(CONCATENATE(BD_COMERCIAL!$K31," ",BD_COMERCIAL!$L31),'Curva Forward'!$B$5:$B$13,0),MATCH(FQ$4,'Curva Forward'!$C$4:$AN$4,0))),CS31)</f>
        <v>0</v>
      </c>
      <c r="FR31" s="190">
        <f>AF31*AF$2*IF($FC31="V",1,-1)*IF($Q31="Fixo",(CT31-INDEX('Curva Forward'!$C$5:$AN$13,MATCH(CONCATENATE(BD_COMERCIAL!$K31," ",BD_COMERCIAL!$L31),'Curva Forward'!$B$5:$B$13,0),MATCH(FR$4,'Curva Forward'!$C$4:$AN$4,0))),CT31)</f>
        <v>0</v>
      </c>
      <c r="FS31" s="190">
        <f>AG31*AG$2*IF($FC31="V",1,-1)*IF($Q31="Fixo",(CU31-INDEX('Curva Forward'!$C$5:$AN$13,MATCH(CONCATENATE(BD_COMERCIAL!$K31," ",BD_COMERCIAL!$L31),'Curva Forward'!$B$5:$B$13,0),MATCH(FS$4,'Curva Forward'!$C$4:$AN$4,0))),CU31)</f>
        <v>0</v>
      </c>
      <c r="FT31" s="190">
        <f>AH31*AH$2*IF($FC31="V",1,-1)*IF($Q31="Fixo",(CV31-INDEX('Curva Forward'!$C$5:$AN$13,MATCH(CONCATENATE(BD_COMERCIAL!$K31," ",BD_COMERCIAL!$L31),'Curva Forward'!$B$5:$B$13,0),MATCH(FT$4,'Curva Forward'!$C$4:$AN$4,0))),CV31)</f>
        <v>0</v>
      </c>
      <c r="FU31" s="190">
        <f>AI31*AI$2*IF($FC31="V",1,-1)*IF($Q31="Fixo",(CW31-INDEX('Curva Forward'!$C$5:$AN$13,MATCH(CONCATENATE(BD_COMERCIAL!$K31," ",BD_COMERCIAL!$L31),'Curva Forward'!$B$5:$B$13,0),MATCH(FU$4,'Curva Forward'!$C$4:$AN$4,0))),CW31)</f>
        <v>0</v>
      </c>
      <c r="FV31" s="190">
        <f>AJ31*AJ$2*IF($FC31="V",1,-1)*IF($Q31="Fixo",(CX31-INDEX('Curva Forward'!$C$5:$AN$13,MATCH(CONCATENATE(BD_COMERCIAL!$K31," ",BD_COMERCIAL!$L31),'Curva Forward'!$B$5:$B$13,0),MATCH(FV$4,'Curva Forward'!$C$4:$AN$4,0))),CX31)</f>
        <v>0</v>
      </c>
      <c r="FW31" s="190">
        <f>AK31*AK$2*IF($FC31="V",1,-1)*IF($Q31="Fixo",(CY31-INDEX('Curva Forward'!$C$5:$AN$13,MATCH(CONCATENATE(BD_COMERCIAL!$K31," ",BD_COMERCIAL!$L31),'Curva Forward'!$B$5:$B$13,0),MATCH(FW$4,'Curva Forward'!$C$4:$AN$4,0))),CY31)</f>
        <v>0</v>
      </c>
      <c r="FX31" s="190">
        <f>AL31*AL$2*IF($FC31="V",1,-1)*IF($Q31="Fixo",(CZ31-INDEX('Curva Forward'!$C$5:$AN$13,MATCH(CONCATENATE(BD_COMERCIAL!$K31," ",BD_COMERCIAL!$L31),'Curva Forward'!$B$5:$B$13,0),MATCH(FX$4,'Curva Forward'!$C$4:$AN$4,0))),CZ31)</f>
        <v>0</v>
      </c>
      <c r="FY31" s="190">
        <f>AM31*AM$2*IF($FC31="V",1,-1)*IF($Q31="Fixo",(DA31-INDEX('Curva Forward'!$C$5:$AN$13,MATCH(CONCATENATE(BD_COMERCIAL!$K31," ",BD_COMERCIAL!$L31),'Curva Forward'!$B$5:$B$13,0),MATCH(FY$4,'Curva Forward'!$C$4:$AN$4,0))),DA31)</f>
        <v>0</v>
      </c>
      <c r="FZ31" s="190">
        <f>AN31*AN$2*IF($FC31="V",1,-1)*IF($Q31="Fixo",(DB31-INDEX('Curva Forward'!$C$5:$AN$13,MATCH(CONCATENATE(BD_COMERCIAL!$K31," ",BD_COMERCIAL!$L31),'Curva Forward'!$B$5:$B$13,0),MATCH(FZ$4,'Curva Forward'!$C$4:$AN$4,0))),DB31)</f>
        <v>796080</v>
      </c>
      <c r="GA31" s="190">
        <f>AO31*AO$2*IF($FC31="V",1,-1)*IF($Q31="Fixo",(DC31-INDEX('Curva Forward'!$C$5:$AN$13,MATCH(CONCATENATE(BD_COMERCIAL!$K31," ",BD_COMERCIAL!$L31),'Curva Forward'!$B$5:$B$13,0),MATCH(GA$4,'Curva Forward'!$C$4:$AN$4,0))),DC31)</f>
        <v>744720</v>
      </c>
      <c r="GB31" s="190">
        <f>AP31*AP$2*IF($FC31="V",1,-1)*IF($Q31="Fixo",(DD31-INDEX('Curva Forward'!$C$5:$AN$13,MATCH(CONCATENATE(BD_COMERCIAL!$K31," ",BD_COMERCIAL!$L31),'Curva Forward'!$B$5:$B$13,0),MATCH(GB$4,'Curva Forward'!$C$4:$AN$4,0))),DD31)</f>
        <v>796080</v>
      </c>
      <c r="GC31" s="190">
        <f>AQ31*AQ$2*IF($FC31="V",1,-1)*IF($Q31="Fixo",(DE31-INDEX('Curva Forward'!$C$5:$AN$13,MATCH(CONCATENATE(BD_COMERCIAL!$K31," ",BD_COMERCIAL!$L31),'Curva Forward'!$B$5:$B$13,0),MATCH(GC$4,'Curva Forward'!$C$4:$AN$4,0))),DE31)</f>
        <v>770400</v>
      </c>
      <c r="GD31" s="190">
        <f>AR31*AR$2*IF($FC31="V",1,-1)*IF($Q31="Fixo",(DF31-INDEX('Curva Forward'!$C$5:$AN$13,MATCH(CONCATENATE(BD_COMERCIAL!$K31," ",BD_COMERCIAL!$L31),'Curva Forward'!$B$5:$B$13,0),MATCH(GD$4,'Curva Forward'!$C$4:$AN$4,0))),DF31)</f>
        <v>796080</v>
      </c>
      <c r="GE31" s="190">
        <f>AS31*AS$2*IF($FC31="V",1,-1)*IF($Q31="Fixo",(DG31-INDEX('Curva Forward'!$C$5:$AN$13,MATCH(CONCATENATE(BD_COMERCIAL!$K31," ",BD_COMERCIAL!$L31),'Curva Forward'!$B$5:$B$13,0),MATCH(GE$4,'Curva Forward'!$C$4:$AN$4,0))),DG31)</f>
        <v>770400</v>
      </c>
      <c r="GF31" s="190">
        <f>AT31*AT$2*IF($FC31="V",1,-1)*IF($Q31="Fixo",(DH31-INDEX('Curva Forward'!$C$5:$AN$13,MATCH(CONCATENATE(BD_COMERCIAL!$K31," ",BD_COMERCIAL!$L31),'Curva Forward'!$B$5:$B$13,0),MATCH(GF$4,'Curva Forward'!$C$4:$AN$4,0))),DH31)</f>
        <v>729120</v>
      </c>
      <c r="GG31" s="190">
        <f>AU31*AU$2*IF($FC31="V",1,-1)*IF($Q31="Fixo",(DI31-INDEX('Curva Forward'!$C$5:$AN$13,MATCH(CONCATENATE(BD_COMERCIAL!$K31," ",BD_COMERCIAL!$L31),'Curva Forward'!$B$5:$B$13,0),MATCH(GG$4,'Curva Forward'!$C$4:$AN$4,0))),DI31)</f>
        <v>729120</v>
      </c>
      <c r="GH31" s="190">
        <f>AV31*AV$2*IF($FC31="V",1,-1)*IF($Q31="Fixo",(DJ31-INDEX('Curva Forward'!$C$5:$AN$13,MATCH(CONCATENATE(BD_COMERCIAL!$K31," ",BD_COMERCIAL!$L31),'Curva Forward'!$B$5:$B$13,0),MATCH(GH$4,'Curva Forward'!$C$4:$AN$4,0))),DJ31)</f>
        <v>705600</v>
      </c>
      <c r="GI31" s="190">
        <f>AW31*AW$2*IF($FC31="V",1,-1)*IF($Q31="Fixo",(DK31-INDEX('Curva Forward'!$C$5:$AN$13,MATCH(CONCATENATE(BD_COMERCIAL!$K31," ",BD_COMERCIAL!$L31),'Curva Forward'!$B$5:$B$13,0),MATCH(GI$4,'Curva Forward'!$C$4:$AN$4,0))),DK31)</f>
        <v>729120</v>
      </c>
      <c r="GJ31" s="190">
        <f>AX31*AX$2*IF($FC31="V",1,-1)*IF($Q31="Fixo",(DL31-INDEX('Curva Forward'!$C$5:$AN$13,MATCH(CONCATENATE(BD_COMERCIAL!$K31," ",BD_COMERCIAL!$L31),'Curva Forward'!$B$5:$B$13,0),MATCH(GJ$4,'Curva Forward'!$C$4:$AN$4,0))),DL31)</f>
        <v>705600</v>
      </c>
      <c r="GK31" s="190">
        <f>AY31*AY$2*IF($FC31="V",1,-1)*IF($Q31="Fixo",(DM31-INDEX('Curva Forward'!$C$5:$AN$13,MATCH(CONCATENATE(BD_COMERCIAL!$K31," ",BD_COMERCIAL!$L31),'Curva Forward'!$B$5:$B$13,0),MATCH(GK$4,'Curva Forward'!$C$4:$AN$4,0))),DM31)</f>
        <v>729120</v>
      </c>
      <c r="GL31" s="190">
        <f>IF(EZ31="",0,CL31*CL$2*IF($FC31="V",1,-1)*IF($Q31="Fixo",(EZ31-INDEX('Curva Forward'!$C$5:$AN$13,MATCH(CONCATENATE(BD_COMERCIAL!$K31," ",BD_COMERCIAL!$L31),'Curva Forward'!$B$5:$B$13,0),MATCH(GL$4,'Curva Forward'!$C$4:$AN$4,0))),EZ31))</f>
        <v>0</v>
      </c>
      <c r="GM31" s="190">
        <f>IF(FA31="",0,CM31*CM$2*IF($FC31="V",1,-1)*IF($Q31="Fixo",(FA31-INDEX('Curva Forward'!$C$5:$AN$13,MATCH(CONCATENATE(BD_COMERCIAL!$K31," ",BD_COMERCIAL!$L31),'Curva Forward'!$B$5:$B$13,0),MATCH(GM$4,'Curva Forward'!$C$4:$AN$4,0))),FA31))</f>
        <v>0</v>
      </c>
      <c r="GN31" s="190">
        <f>IF(FB31="",0,CN31*CN$2*IF($FC31="V",1,-1)*IF($Q31="Fixo",(FB31-INDEX('Curva Forward'!$C$5:$AN$13,MATCH(CONCATENATE(BD_COMERCIAL!$K31," ",BD_COMERCIAL!$L31),'Curva Forward'!$B$5:$B$13,0),MATCH(GN$4,'Curva Forward'!$C$4:$AN$4,0))),FB31))</f>
        <v>0</v>
      </c>
      <c r="GO31" s="191">
        <f t="shared" ca="1" si="11"/>
        <v>9001440</v>
      </c>
      <c r="GP31" s="191">
        <f t="shared" ca="1" si="12"/>
        <v>0</v>
      </c>
      <c r="GQ31"/>
      <c r="GR31" s="84"/>
      <c r="GS31"/>
      <c r="GT31" s="206"/>
      <c r="GU31" s="198"/>
      <c r="GV31"/>
      <c r="GW31"/>
      <c r="GX31" s="191"/>
      <c r="GY31" s="191"/>
      <c r="GZ31" s="190"/>
      <c r="HA31" s="190"/>
      <c r="HB31" s="190"/>
      <c r="HC31" s="190"/>
      <c r="HD31" s="190"/>
      <c r="HE31" s="190"/>
      <c r="HF31" s="190"/>
      <c r="HG31" s="190"/>
      <c r="HH31" s="190"/>
      <c r="HI31" s="190"/>
      <c r="HJ31" s="190"/>
      <c r="HK31" s="190"/>
      <c r="HL31" s="190"/>
      <c r="HM31" s="190"/>
      <c r="HN31" s="190"/>
      <c r="HO31" s="190"/>
      <c r="HP31" s="190"/>
      <c r="HQ31" s="190"/>
      <c r="HR31" s="190"/>
      <c r="HS31" s="190"/>
      <c r="HT31" s="190"/>
      <c r="HU31" s="190"/>
      <c r="HV31" s="190"/>
      <c r="HW31" s="190"/>
      <c r="HX31" s="190"/>
      <c r="HY31" s="190"/>
      <c r="HZ31" s="190"/>
      <c r="IA31" s="191"/>
      <c r="IB31" s="191"/>
    </row>
    <row r="32" spans="1:236" s="265" customFormat="1" ht="15" customHeight="1" x14ac:dyDescent="0.35">
      <c r="A32" s="251"/>
      <c r="B32" s="7" t="s">
        <v>353</v>
      </c>
      <c r="C32" s="8">
        <v>44790</v>
      </c>
      <c r="D32" s="9" t="s">
        <v>123</v>
      </c>
      <c r="E32" s="10" t="s">
        <v>124</v>
      </c>
      <c r="F32" s="112" t="s">
        <v>348</v>
      </c>
      <c r="G32" s="10" t="s">
        <v>131</v>
      </c>
      <c r="H32" s="112" t="s">
        <v>354</v>
      </c>
      <c r="I32" s="9" t="s">
        <v>125</v>
      </c>
      <c r="J32" s="158" t="s">
        <v>349</v>
      </c>
      <c r="K32" s="10" t="s">
        <v>126</v>
      </c>
      <c r="L32" s="84" t="s">
        <v>22</v>
      </c>
      <c r="M32" s="11">
        <v>45261</v>
      </c>
      <c r="N32" s="12">
        <v>45291</v>
      </c>
      <c r="O32" s="10">
        <v>12</v>
      </c>
      <c r="P32" s="84">
        <v>163</v>
      </c>
      <c r="Q32" s="84" t="s">
        <v>127</v>
      </c>
      <c r="R32" s="10" t="s">
        <v>128</v>
      </c>
      <c r="S32" s="14" t="s">
        <v>133</v>
      </c>
      <c r="T32" s="11" t="s">
        <v>129</v>
      </c>
      <c r="U32" s="12">
        <v>44790</v>
      </c>
      <c r="V32" s="202" t="e">
        <f ca="1">IF(U32="","",
IF(U32="NA","",
IFERROR(VLOOKUP(EOMONTH(M32,-2)+1,IPCA!$A:$B,2,0),
VLOOKUP(EOMONTH(TODAY(),-2)+1,IPCA!$A:$B,2,0))/
VLOOKUP(EOMONTH(U32,-2)+1,IPCA!$A:$B,2,0)*
P32))</f>
        <v>#N/A</v>
      </c>
      <c r="W32" s="84"/>
      <c r="X32" s="13" t="s">
        <v>132</v>
      </c>
      <c r="Y32" s="158" t="s">
        <v>395</v>
      </c>
      <c r="Z32" s="106"/>
      <c r="AA32" s="107"/>
      <c r="AB32" s="15"/>
      <c r="AC32"/>
      <c r="AD32"/>
      <c r="AE32"/>
      <c r="AF32"/>
      <c r="AG32"/>
      <c r="AH32"/>
      <c r="AI32"/>
      <c r="AJ32"/>
      <c r="AK32"/>
      <c r="AL32"/>
      <c r="AM32" s="6">
        <v>12</v>
      </c>
      <c r="AN32" s="15"/>
      <c r="AO32"/>
      <c r="AP32"/>
      <c r="AQ32"/>
      <c r="AR32"/>
      <c r="AS32"/>
      <c r="AT32"/>
      <c r="AU32"/>
      <c r="AV32"/>
      <c r="AW32"/>
      <c r="AX32"/>
      <c r="AY32" s="6"/>
      <c r="AZ32" s="15"/>
      <c r="BA32"/>
      <c r="BB32"/>
      <c r="BC32"/>
      <c r="BD32"/>
      <c r="BE32"/>
      <c r="BF32"/>
      <c r="BG32"/>
      <c r="BH32"/>
      <c r="BI32"/>
      <c r="BJ32"/>
      <c r="BK32" s="6"/>
      <c r="BL32" s="15"/>
      <c r="BM32"/>
      <c r="BN32"/>
      <c r="BO32"/>
      <c r="BP32"/>
      <c r="BQ32"/>
      <c r="BR32"/>
      <c r="BS32"/>
      <c r="BT32"/>
      <c r="BU32"/>
      <c r="BV32"/>
      <c r="BW32" s="6"/>
      <c r="BX32" s="15"/>
      <c r="BY32"/>
      <c r="BZ32"/>
      <c r="CA32"/>
      <c r="CB32"/>
      <c r="CC32"/>
      <c r="CD32"/>
      <c r="CE32"/>
      <c r="CF32"/>
      <c r="CG32"/>
      <c r="CH32"/>
      <c r="CI32" s="6"/>
      <c r="CJ32" s="16">
        <v>1.0191780821917809</v>
      </c>
      <c r="CK32" s="16" t="s">
        <v>578</v>
      </c>
      <c r="CL32" s="16" t="s">
        <v>578</v>
      </c>
      <c r="CM32" s="16" t="s">
        <v>578</v>
      </c>
      <c r="CN32" s="16" t="s">
        <v>578</v>
      </c>
      <c r="CO32" s="18"/>
      <c r="CP32" s="15"/>
      <c r="CQ32"/>
      <c r="CR32"/>
      <c r="CS32"/>
      <c r="CT32"/>
      <c r="CU32"/>
      <c r="CV32"/>
      <c r="CW32"/>
      <c r="CX32"/>
      <c r="CY32"/>
      <c r="CZ32"/>
      <c r="DA32" s="6">
        <v>163</v>
      </c>
      <c r="DB32" s="15"/>
      <c r="DC32"/>
      <c r="DD32"/>
      <c r="DE32"/>
      <c r="DF32"/>
      <c r="DG32"/>
      <c r="DH32"/>
      <c r="DI32"/>
      <c r="DJ32"/>
      <c r="DK32"/>
      <c r="DL32"/>
      <c r="DM32" s="6"/>
      <c r="DN32" s="15"/>
      <c r="DO32"/>
      <c r="DP32"/>
      <c r="DQ32"/>
      <c r="DR32"/>
      <c r="DS32"/>
      <c r="DT32"/>
      <c r="DU32"/>
      <c r="DV32"/>
      <c r="DW32"/>
      <c r="DX32"/>
      <c r="DY32" s="6"/>
      <c r="DZ32" s="15"/>
      <c r="EA32"/>
      <c r="EB32"/>
      <c r="EC32"/>
      <c r="ED32"/>
      <c r="EE32"/>
      <c r="EF32"/>
      <c r="EG32"/>
      <c r="EH32"/>
      <c r="EI32"/>
      <c r="EJ32"/>
      <c r="EK32" s="6"/>
      <c r="EL32" s="15"/>
      <c r="EM32"/>
      <c r="EN32"/>
      <c r="EO32"/>
      <c r="EP32"/>
      <c r="EQ32"/>
      <c r="ER32"/>
      <c r="ES32"/>
      <c r="ET32"/>
      <c r="EU32"/>
      <c r="EV32"/>
      <c r="EW32" s="6"/>
      <c r="EX32" s="16">
        <v>13.843835616438357</v>
      </c>
      <c r="EY32" s="16" t="s">
        <v>578</v>
      </c>
      <c r="EZ32" s="16" t="s">
        <v>578</v>
      </c>
      <c r="FA32" s="154" t="s">
        <v>578</v>
      </c>
      <c r="FB32" s="154" t="s">
        <v>578</v>
      </c>
      <c r="FC32" t="s">
        <v>195</v>
      </c>
      <c r="FD32" s="20" t="s">
        <v>125</v>
      </c>
      <c r="FE32"/>
      <c r="FF32" s="199" t="s">
        <v>197</v>
      </c>
      <c r="FG32"/>
      <c r="FH32" s="206" t="e">
        <f t="shared" ca="1" si="6"/>
        <v>#N/A</v>
      </c>
      <c r="FI32" s="198">
        <f t="shared" si="7"/>
        <v>1</v>
      </c>
      <c r="FJ32"/>
      <c r="FK32" t="str">
        <f t="shared" si="8"/>
        <v>CPFL Comercialização Brasil S.A.</v>
      </c>
      <c r="FL32" s="191">
        <f t="shared" ca="1" si="9"/>
        <v>0</v>
      </c>
      <c r="FM32" s="191">
        <f t="shared" ca="1" si="10"/>
        <v>785664</v>
      </c>
      <c r="FN32" s="190">
        <f>AB32*AB$2*IF($FC32="V",1,-1)*IF($Q32="Fixo",(CP32-INDEX('Curva Forward'!$C$5:$AN$13,MATCH(CONCATENATE(BD_COMERCIAL!$K32," ",BD_COMERCIAL!$L32),'Curva Forward'!$B$5:$B$13,0),MATCH(FN$4,'Curva Forward'!$C$4:$AN$4,0))),CP32)</f>
        <v>0</v>
      </c>
      <c r="FO32" s="190">
        <f>AC32*AC$2*IF($FC32="V",1,-1)*IF($Q32="Fixo",(CQ32-INDEX('Curva Forward'!$C$5:$AN$13,MATCH(CONCATENATE(BD_COMERCIAL!$K32," ",BD_COMERCIAL!$L32),'Curva Forward'!$B$5:$B$13,0),MATCH(FO$4,'Curva Forward'!$C$4:$AN$4,0))),CQ32)</f>
        <v>0</v>
      </c>
      <c r="FP32" s="190">
        <f>AD32*AD$2*IF($FC32="V",1,-1)*IF($Q32="Fixo",(CR32-INDEX('Curva Forward'!$C$5:$AN$13,MATCH(CONCATENATE(BD_COMERCIAL!$K32," ",BD_COMERCIAL!$L32),'Curva Forward'!$B$5:$B$13,0),MATCH(FP$4,'Curva Forward'!$C$4:$AN$4,0))),CR32)</f>
        <v>0</v>
      </c>
      <c r="FQ32" s="190">
        <f>AE32*AE$2*IF($FC32="V",1,-1)*IF($Q32="Fixo",(CS32-INDEX('Curva Forward'!$C$5:$AN$13,MATCH(CONCATENATE(BD_COMERCIAL!$K32," ",BD_COMERCIAL!$L32),'Curva Forward'!$B$5:$B$13,0),MATCH(FQ$4,'Curva Forward'!$C$4:$AN$4,0))),CS32)</f>
        <v>0</v>
      </c>
      <c r="FR32" s="190">
        <f>AF32*AF$2*IF($FC32="V",1,-1)*IF($Q32="Fixo",(CT32-INDEX('Curva Forward'!$C$5:$AN$13,MATCH(CONCATENATE(BD_COMERCIAL!$K32," ",BD_COMERCIAL!$L32),'Curva Forward'!$B$5:$B$13,0),MATCH(FR$4,'Curva Forward'!$C$4:$AN$4,0))),CT32)</f>
        <v>0</v>
      </c>
      <c r="FS32" s="190">
        <f>AG32*AG$2*IF($FC32="V",1,-1)*IF($Q32="Fixo",(CU32-INDEX('Curva Forward'!$C$5:$AN$13,MATCH(CONCATENATE(BD_COMERCIAL!$K32," ",BD_COMERCIAL!$L32),'Curva Forward'!$B$5:$B$13,0),MATCH(FS$4,'Curva Forward'!$C$4:$AN$4,0))),CU32)</f>
        <v>0</v>
      </c>
      <c r="FT32" s="190">
        <f>AH32*AH$2*IF($FC32="V",1,-1)*IF($Q32="Fixo",(CV32-INDEX('Curva Forward'!$C$5:$AN$13,MATCH(CONCATENATE(BD_COMERCIAL!$K32," ",BD_COMERCIAL!$L32),'Curva Forward'!$B$5:$B$13,0),MATCH(FT$4,'Curva Forward'!$C$4:$AN$4,0))),CV32)</f>
        <v>0</v>
      </c>
      <c r="FU32" s="190">
        <f>AI32*AI$2*IF($FC32="V",1,-1)*IF($Q32="Fixo",(CW32-INDEX('Curva Forward'!$C$5:$AN$13,MATCH(CONCATENATE(BD_COMERCIAL!$K32," ",BD_COMERCIAL!$L32),'Curva Forward'!$B$5:$B$13,0),MATCH(FU$4,'Curva Forward'!$C$4:$AN$4,0))),CW32)</f>
        <v>0</v>
      </c>
      <c r="FV32" s="190">
        <f>AJ32*AJ$2*IF($FC32="V",1,-1)*IF($Q32="Fixo",(CX32-INDEX('Curva Forward'!$C$5:$AN$13,MATCH(CONCATENATE(BD_COMERCIAL!$K32," ",BD_COMERCIAL!$L32),'Curva Forward'!$B$5:$B$13,0),MATCH(FV$4,'Curva Forward'!$C$4:$AN$4,0))),CX32)</f>
        <v>0</v>
      </c>
      <c r="FW32" s="190">
        <f>AK32*AK$2*IF($FC32="V",1,-1)*IF($Q32="Fixo",(CY32-INDEX('Curva Forward'!$C$5:$AN$13,MATCH(CONCATENATE(BD_COMERCIAL!$K32," ",BD_COMERCIAL!$L32),'Curva Forward'!$B$5:$B$13,0),MATCH(FW$4,'Curva Forward'!$C$4:$AN$4,0))),CY32)</f>
        <v>0</v>
      </c>
      <c r="FX32" s="190">
        <f>AL32*AL$2*IF($FC32="V",1,-1)*IF($Q32="Fixo",(CZ32-INDEX('Curva Forward'!$C$5:$AN$13,MATCH(CONCATENATE(BD_COMERCIAL!$K32," ",BD_COMERCIAL!$L32),'Curva Forward'!$B$5:$B$13,0),MATCH(FX$4,'Curva Forward'!$C$4:$AN$4,0))),CZ32)</f>
        <v>0</v>
      </c>
      <c r="FY32" s="190">
        <f>AM32*AM$2*IF($FC32="V",1,-1)*IF($Q32="Fixo",(DA32-INDEX('Curva Forward'!$C$5:$AN$13,MATCH(CONCATENATE(BD_COMERCIAL!$K32," ",BD_COMERCIAL!$L32),'Curva Forward'!$B$5:$B$13,0),MATCH(FY$4,'Curva Forward'!$C$4:$AN$4,0))),DA32)</f>
        <v>785664</v>
      </c>
      <c r="FZ32" s="190">
        <f>AN32*AN$2*IF($FC32="V",1,-1)*IF($Q32="Fixo",(DB32-INDEX('Curva Forward'!$C$5:$AN$13,MATCH(CONCATENATE(BD_COMERCIAL!$K32," ",BD_COMERCIAL!$L32),'Curva Forward'!$B$5:$B$13,0),MATCH(FZ$4,'Curva Forward'!$C$4:$AN$4,0))),DB32)</f>
        <v>0</v>
      </c>
      <c r="GA32" s="190">
        <f>AO32*AO$2*IF($FC32="V",1,-1)*IF($Q32="Fixo",(DC32-INDEX('Curva Forward'!$C$5:$AN$13,MATCH(CONCATENATE(BD_COMERCIAL!$K32," ",BD_COMERCIAL!$L32),'Curva Forward'!$B$5:$B$13,0),MATCH(GA$4,'Curva Forward'!$C$4:$AN$4,0))),DC32)</f>
        <v>0</v>
      </c>
      <c r="GB32" s="190">
        <f>AP32*AP$2*IF($FC32="V",1,-1)*IF($Q32="Fixo",(DD32-INDEX('Curva Forward'!$C$5:$AN$13,MATCH(CONCATENATE(BD_COMERCIAL!$K32," ",BD_COMERCIAL!$L32),'Curva Forward'!$B$5:$B$13,0),MATCH(GB$4,'Curva Forward'!$C$4:$AN$4,0))),DD32)</f>
        <v>0</v>
      </c>
      <c r="GC32" s="190">
        <f>AQ32*AQ$2*IF($FC32="V",1,-1)*IF($Q32="Fixo",(DE32-INDEX('Curva Forward'!$C$5:$AN$13,MATCH(CONCATENATE(BD_COMERCIAL!$K32," ",BD_COMERCIAL!$L32),'Curva Forward'!$B$5:$B$13,0),MATCH(GC$4,'Curva Forward'!$C$4:$AN$4,0))),DE32)</f>
        <v>0</v>
      </c>
      <c r="GD32" s="190">
        <f>AR32*AR$2*IF($FC32="V",1,-1)*IF($Q32="Fixo",(DF32-INDEX('Curva Forward'!$C$5:$AN$13,MATCH(CONCATENATE(BD_COMERCIAL!$K32," ",BD_COMERCIAL!$L32),'Curva Forward'!$B$5:$B$13,0),MATCH(GD$4,'Curva Forward'!$C$4:$AN$4,0))),DF32)</f>
        <v>0</v>
      </c>
      <c r="GE32" s="190">
        <f>AS32*AS$2*IF($FC32="V",1,-1)*IF($Q32="Fixo",(DG32-INDEX('Curva Forward'!$C$5:$AN$13,MATCH(CONCATENATE(BD_COMERCIAL!$K32," ",BD_COMERCIAL!$L32),'Curva Forward'!$B$5:$B$13,0),MATCH(GE$4,'Curva Forward'!$C$4:$AN$4,0))),DG32)</f>
        <v>0</v>
      </c>
      <c r="GF32" s="190">
        <f>AT32*AT$2*IF($FC32="V",1,-1)*IF($Q32="Fixo",(DH32-INDEX('Curva Forward'!$C$5:$AN$13,MATCH(CONCATENATE(BD_COMERCIAL!$K32," ",BD_COMERCIAL!$L32),'Curva Forward'!$B$5:$B$13,0),MATCH(GF$4,'Curva Forward'!$C$4:$AN$4,0))),DH32)</f>
        <v>0</v>
      </c>
      <c r="GG32" s="190">
        <f>AU32*AU$2*IF($FC32="V",1,-1)*IF($Q32="Fixo",(DI32-INDEX('Curva Forward'!$C$5:$AN$13,MATCH(CONCATENATE(BD_COMERCIAL!$K32," ",BD_COMERCIAL!$L32),'Curva Forward'!$B$5:$B$13,0),MATCH(GG$4,'Curva Forward'!$C$4:$AN$4,0))),DI32)</f>
        <v>0</v>
      </c>
      <c r="GH32" s="190">
        <f>AV32*AV$2*IF($FC32="V",1,-1)*IF($Q32="Fixo",(DJ32-INDEX('Curva Forward'!$C$5:$AN$13,MATCH(CONCATENATE(BD_COMERCIAL!$K32," ",BD_COMERCIAL!$L32),'Curva Forward'!$B$5:$B$13,0),MATCH(GH$4,'Curva Forward'!$C$4:$AN$4,0))),DJ32)</f>
        <v>0</v>
      </c>
      <c r="GI32" s="190">
        <f>AW32*AW$2*IF($FC32="V",1,-1)*IF($Q32="Fixo",(DK32-INDEX('Curva Forward'!$C$5:$AN$13,MATCH(CONCATENATE(BD_COMERCIAL!$K32," ",BD_COMERCIAL!$L32),'Curva Forward'!$B$5:$B$13,0),MATCH(GI$4,'Curva Forward'!$C$4:$AN$4,0))),DK32)</f>
        <v>0</v>
      </c>
      <c r="GJ32" s="190">
        <f>AX32*AX$2*IF($FC32="V",1,-1)*IF($Q32="Fixo",(DL32-INDEX('Curva Forward'!$C$5:$AN$13,MATCH(CONCATENATE(BD_COMERCIAL!$K32," ",BD_COMERCIAL!$L32),'Curva Forward'!$B$5:$B$13,0),MATCH(GJ$4,'Curva Forward'!$C$4:$AN$4,0))),DL32)</f>
        <v>0</v>
      </c>
      <c r="GK32" s="190">
        <f>AY32*AY$2*IF($FC32="V",1,-1)*IF($Q32="Fixo",(DM32-INDEX('Curva Forward'!$C$5:$AN$13,MATCH(CONCATENATE(BD_COMERCIAL!$K32," ",BD_COMERCIAL!$L32),'Curva Forward'!$B$5:$B$13,0),MATCH(GK$4,'Curva Forward'!$C$4:$AN$4,0))),DM32)</f>
        <v>0</v>
      </c>
      <c r="GL32" s="190">
        <f>IF(EZ32="",0,CL32*CL$2*IF($FC32="V",1,-1)*IF($Q32="Fixo",(EZ32-INDEX('Curva Forward'!$C$5:$AN$13,MATCH(CONCATENATE(BD_COMERCIAL!$K32," ",BD_COMERCIAL!$L32),'Curva Forward'!$B$5:$B$13,0),MATCH(GL$4,'Curva Forward'!$C$4:$AN$4,0))),EZ32))</f>
        <v>0</v>
      </c>
      <c r="GM32" s="190">
        <f>IF(FA32="",0,CM32*CM$2*IF($FC32="V",1,-1)*IF($Q32="Fixo",(FA32-INDEX('Curva Forward'!$C$5:$AN$13,MATCH(CONCATENATE(BD_COMERCIAL!$K32," ",BD_COMERCIAL!$L32),'Curva Forward'!$B$5:$B$13,0),MATCH(GM$4,'Curva Forward'!$C$4:$AN$4,0))),FA32))</f>
        <v>0</v>
      </c>
      <c r="GN32" s="190">
        <f>IF(FB32="",0,CN32*CN$2*IF($FC32="V",1,-1)*IF($Q32="Fixo",(FB32-INDEX('Curva Forward'!$C$5:$AN$13,MATCH(CONCATENATE(BD_COMERCIAL!$K32," ",BD_COMERCIAL!$L32),'Curva Forward'!$B$5:$B$13,0),MATCH(GN$4,'Curva Forward'!$C$4:$AN$4,0))),FB32))</f>
        <v>0</v>
      </c>
      <c r="GO32" s="191">
        <f t="shared" ca="1" si="11"/>
        <v>785664</v>
      </c>
      <c r="GP32" s="191">
        <f t="shared" ca="1" si="12"/>
        <v>0</v>
      </c>
      <c r="GQ32"/>
      <c r="GR32" s="84"/>
      <c r="GS32"/>
      <c r="GT32" s="206"/>
      <c r="GU32" s="198"/>
      <c r="GV32"/>
      <c r="GW32"/>
      <c r="GX32" s="191"/>
      <c r="GY32" s="191"/>
      <c r="GZ32" s="190"/>
      <c r="HA32" s="190"/>
      <c r="HB32" s="190"/>
      <c r="HC32" s="190"/>
      <c r="HD32" s="190"/>
      <c r="HE32" s="190"/>
      <c r="HF32" s="190"/>
      <c r="HG32" s="190"/>
      <c r="HH32" s="190"/>
      <c r="HI32" s="190"/>
      <c r="HJ32" s="190"/>
      <c r="HK32" s="190"/>
      <c r="HL32" s="190"/>
      <c r="HM32" s="190"/>
      <c r="HN32" s="190"/>
      <c r="HO32" s="190"/>
      <c r="HP32" s="190"/>
      <c r="HQ32" s="190"/>
      <c r="HR32" s="190"/>
      <c r="HS32" s="190"/>
      <c r="HT32" s="190"/>
      <c r="HU32" s="190"/>
      <c r="HV32" s="190"/>
      <c r="HW32" s="190"/>
      <c r="HX32" s="190"/>
      <c r="HY32" s="190"/>
      <c r="HZ32" s="190"/>
      <c r="IA32" s="191"/>
      <c r="IB32" s="191"/>
    </row>
    <row r="33" spans="1:236" s="265" customFormat="1" ht="15" customHeight="1" x14ac:dyDescent="0.35">
      <c r="A33" s="251"/>
      <c r="B33" s="7" t="s">
        <v>355</v>
      </c>
      <c r="C33" s="8">
        <v>44790</v>
      </c>
      <c r="D33" s="9" t="s">
        <v>123</v>
      </c>
      <c r="E33" s="10" t="s">
        <v>124</v>
      </c>
      <c r="F33" s="112" t="s">
        <v>348</v>
      </c>
      <c r="G33" s="10" t="s">
        <v>131</v>
      </c>
      <c r="H33" s="112" t="s">
        <v>354</v>
      </c>
      <c r="I33" s="9" t="s">
        <v>125</v>
      </c>
      <c r="J33" s="158" t="s">
        <v>349</v>
      </c>
      <c r="K33" s="10" t="s">
        <v>126</v>
      </c>
      <c r="L33" s="84" t="s">
        <v>22</v>
      </c>
      <c r="M33" s="11">
        <v>44927</v>
      </c>
      <c r="N33" s="12">
        <v>45016</v>
      </c>
      <c r="O33" s="10">
        <v>16</v>
      </c>
      <c r="P33" s="84">
        <v>147</v>
      </c>
      <c r="Q33" s="84" t="s">
        <v>127</v>
      </c>
      <c r="R33" s="10" t="s">
        <v>128</v>
      </c>
      <c r="S33" s="14" t="s">
        <v>133</v>
      </c>
      <c r="T33" s="11" t="s">
        <v>129</v>
      </c>
      <c r="U33" s="12">
        <v>44790</v>
      </c>
      <c r="V33" s="202">
        <f ca="1">IF(U33="","",
IF(U33="NA","",
IFERROR(VLOOKUP(EOMONTH(M33,-2)+1,IPCA!$A:$B,2,0),
VLOOKUP(EOMONTH(TODAY(),-2)+1,IPCA!$A:$B,2,0))/
VLOOKUP(EOMONTH(U33,-2)+1,IPCA!$A:$B,2,0)*
P33))</f>
        <v>148.42461809589906</v>
      </c>
      <c r="W33" s="84"/>
      <c r="X33" s="13" t="s">
        <v>132</v>
      </c>
      <c r="Y33" s="158"/>
      <c r="Z33" s="106"/>
      <c r="AA33" s="107"/>
      <c r="AB33" s="15">
        <v>16</v>
      </c>
      <c r="AC33">
        <v>16</v>
      </c>
      <c r="AD33">
        <v>16</v>
      </c>
      <c r="AE33"/>
      <c r="AF33"/>
      <c r="AG33"/>
      <c r="AH33"/>
      <c r="AI33"/>
      <c r="AJ33"/>
      <c r="AK33"/>
      <c r="AL33"/>
      <c r="AM33" s="6"/>
      <c r="AN33" s="15"/>
      <c r="AO33"/>
      <c r="AP33"/>
      <c r="AQ33"/>
      <c r="AR33"/>
      <c r="AS33"/>
      <c r="AT33"/>
      <c r="AU33"/>
      <c r="AV33"/>
      <c r="AW33"/>
      <c r="AX33"/>
      <c r="AY33" s="6"/>
      <c r="AZ33" s="15"/>
      <c r="BA33"/>
      <c r="BB33"/>
      <c r="BC33"/>
      <c r="BD33"/>
      <c r="BE33"/>
      <c r="BF33"/>
      <c r="BG33"/>
      <c r="BH33"/>
      <c r="BI33"/>
      <c r="BJ33"/>
      <c r="BK33" s="6"/>
      <c r="BL33" s="15"/>
      <c r="BM33"/>
      <c r="BN33"/>
      <c r="BO33"/>
      <c r="BP33"/>
      <c r="BQ33"/>
      <c r="BR33"/>
      <c r="BS33"/>
      <c r="BT33"/>
      <c r="BU33"/>
      <c r="BV33"/>
      <c r="BW33" s="6"/>
      <c r="BX33" s="15"/>
      <c r="BY33"/>
      <c r="BZ33"/>
      <c r="CA33"/>
      <c r="CB33"/>
      <c r="CC33"/>
      <c r="CD33"/>
      <c r="CE33"/>
      <c r="CF33"/>
      <c r="CG33"/>
      <c r="CH33"/>
      <c r="CI33" s="6"/>
      <c r="CJ33" s="16">
        <v>3.9452054794520546</v>
      </c>
      <c r="CK33" s="16" t="s">
        <v>578</v>
      </c>
      <c r="CL33" s="16" t="s">
        <v>578</v>
      </c>
      <c r="CM33" s="16" t="s">
        <v>578</v>
      </c>
      <c r="CN33" s="16" t="s">
        <v>578</v>
      </c>
      <c r="CO33" s="18"/>
      <c r="CP33" s="15">
        <v>147</v>
      </c>
      <c r="CQ33">
        <v>147</v>
      </c>
      <c r="CR33">
        <v>147</v>
      </c>
      <c r="CS33"/>
      <c r="CT33"/>
      <c r="CU33"/>
      <c r="CV33"/>
      <c r="CW33"/>
      <c r="CX33"/>
      <c r="CY33"/>
      <c r="CZ33"/>
      <c r="DA33" s="6"/>
      <c r="DB33" s="15"/>
      <c r="DC33"/>
      <c r="DD33"/>
      <c r="DE33"/>
      <c r="DF33"/>
      <c r="DG33"/>
      <c r="DH33"/>
      <c r="DI33"/>
      <c r="DJ33"/>
      <c r="DK33"/>
      <c r="DL33"/>
      <c r="DM33" s="6"/>
      <c r="DN33" s="15"/>
      <c r="DO33"/>
      <c r="DP33"/>
      <c r="DQ33"/>
      <c r="DR33"/>
      <c r="DS33"/>
      <c r="DT33"/>
      <c r="DU33"/>
      <c r="DV33"/>
      <c r="DW33"/>
      <c r="DX33"/>
      <c r="DY33" s="6"/>
      <c r="DZ33" s="15"/>
      <c r="EA33"/>
      <c r="EB33"/>
      <c r="EC33"/>
      <c r="ED33"/>
      <c r="EE33"/>
      <c r="EF33"/>
      <c r="EG33"/>
      <c r="EH33"/>
      <c r="EI33"/>
      <c r="EJ33"/>
      <c r="EK33" s="6"/>
      <c r="EL33" s="15"/>
      <c r="EM33"/>
      <c r="EN33"/>
      <c r="EO33"/>
      <c r="EP33"/>
      <c r="EQ33"/>
      <c r="ER33"/>
      <c r="ES33"/>
      <c r="ET33"/>
      <c r="EU33"/>
      <c r="EV33"/>
      <c r="EW33" s="6"/>
      <c r="EX33" s="16">
        <v>36.246575342465754</v>
      </c>
      <c r="EY33" s="16" t="s">
        <v>578</v>
      </c>
      <c r="EZ33" s="16" t="s">
        <v>578</v>
      </c>
      <c r="FA33" s="154" t="s">
        <v>578</v>
      </c>
      <c r="FB33" s="154" t="s">
        <v>578</v>
      </c>
      <c r="FC33" t="s">
        <v>195</v>
      </c>
      <c r="FD33" s="20" t="s">
        <v>125</v>
      </c>
      <c r="FE33"/>
      <c r="FF33" s="199" t="s">
        <v>197</v>
      </c>
      <c r="FG33"/>
      <c r="FH33" s="206">
        <f t="shared" ca="1" si="6"/>
        <v>1.4246180958990635</v>
      </c>
      <c r="FI33" s="198">
        <f t="shared" si="7"/>
        <v>2.9666666666666668</v>
      </c>
      <c r="FJ33"/>
      <c r="FK33" t="str">
        <f t="shared" si="8"/>
        <v>CPFL Comercialização Brasil S.A.</v>
      </c>
      <c r="FL33" s="191">
        <f t="shared" ca="1" si="9"/>
        <v>928512</v>
      </c>
      <c r="FM33" s="191">
        <f t="shared" ca="1" si="10"/>
        <v>1767168</v>
      </c>
      <c r="FN33" s="190">
        <f>AB33*AB$2*IF($FC33="V",1,-1)*IF($Q33="Fixo",(CP33-INDEX('Curva Forward'!$C$5:$AN$13,MATCH(CONCATENATE(BD_COMERCIAL!$K33," ",BD_COMERCIAL!$L33),'Curva Forward'!$B$5:$B$13,0),MATCH(FN$4,'Curva Forward'!$C$4:$AN$4,0))),CP33)</f>
        <v>928512</v>
      </c>
      <c r="FO33" s="190">
        <f>AC33*AC$2*IF($FC33="V",1,-1)*IF($Q33="Fixo",(CQ33-INDEX('Curva Forward'!$C$5:$AN$13,MATCH(CONCATENATE(BD_COMERCIAL!$K33," ",BD_COMERCIAL!$L33),'Curva Forward'!$B$5:$B$13,0),MATCH(FO$4,'Curva Forward'!$C$4:$AN$4,0))),CQ33)</f>
        <v>838656</v>
      </c>
      <c r="FP33" s="190">
        <f>AD33*AD$2*IF($FC33="V",1,-1)*IF($Q33="Fixo",(CR33-INDEX('Curva Forward'!$C$5:$AN$13,MATCH(CONCATENATE(BD_COMERCIAL!$K33," ",BD_COMERCIAL!$L33),'Curva Forward'!$B$5:$B$13,0),MATCH(FP$4,'Curva Forward'!$C$4:$AN$4,0))),CR33)</f>
        <v>928512</v>
      </c>
      <c r="FQ33" s="190">
        <f>AE33*AE$2*IF($FC33="V",1,-1)*IF($Q33="Fixo",(CS33-INDEX('Curva Forward'!$C$5:$AN$13,MATCH(CONCATENATE(BD_COMERCIAL!$K33," ",BD_COMERCIAL!$L33),'Curva Forward'!$B$5:$B$13,0),MATCH(FQ$4,'Curva Forward'!$C$4:$AN$4,0))),CS33)</f>
        <v>0</v>
      </c>
      <c r="FR33" s="190">
        <f>AF33*AF$2*IF($FC33="V",1,-1)*IF($Q33="Fixo",(CT33-INDEX('Curva Forward'!$C$5:$AN$13,MATCH(CONCATENATE(BD_COMERCIAL!$K33," ",BD_COMERCIAL!$L33),'Curva Forward'!$B$5:$B$13,0),MATCH(FR$4,'Curva Forward'!$C$4:$AN$4,0))),CT33)</f>
        <v>0</v>
      </c>
      <c r="FS33" s="190">
        <f>AG33*AG$2*IF($FC33="V",1,-1)*IF($Q33="Fixo",(CU33-INDEX('Curva Forward'!$C$5:$AN$13,MATCH(CONCATENATE(BD_COMERCIAL!$K33," ",BD_COMERCIAL!$L33),'Curva Forward'!$B$5:$B$13,0),MATCH(FS$4,'Curva Forward'!$C$4:$AN$4,0))),CU33)</f>
        <v>0</v>
      </c>
      <c r="FT33" s="190">
        <f>AH33*AH$2*IF($FC33="V",1,-1)*IF($Q33="Fixo",(CV33-INDEX('Curva Forward'!$C$5:$AN$13,MATCH(CONCATENATE(BD_COMERCIAL!$K33," ",BD_COMERCIAL!$L33),'Curva Forward'!$B$5:$B$13,0),MATCH(FT$4,'Curva Forward'!$C$4:$AN$4,0))),CV33)</f>
        <v>0</v>
      </c>
      <c r="FU33" s="190">
        <f>AI33*AI$2*IF($FC33="V",1,-1)*IF($Q33="Fixo",(CW33-INDEX('Curva Forward'!$C$5:$AN$13,MATCH(CONCATENATE(BD_COMERCIAL!$K33," ",BD_COMERCIAL!$L33),'Curva Forward'!$B$5:$B$13,0),MATCH(FU$4,'Curva Forward'!$C$4:$AN$4,0))),CW33)</f>
        <v>0</v>
      </c>
      <c r="FV33" s="190">
        <f>AJ33*AJ$2*IF($FC33="V",1,-1)*IF($Q33="Fixo",(CX33-INDEX('Curva Forward'!$C$5:$AN$13,MATCH(CONCATENATE(BD_COMERCIAL!$K33," ",BD_COMERCIAL!$L33),'Curva Forward'!$B$5:$B$13,0),MATCH(FV$4,'Curva Forward'!$C$4:$AN$4,0))),CX33)</f>
        <v>0</v>
      </c>
      <c r="FW33" s="190">
        <f>AK33*AK$2*IF($FC33="V",1,-1)*IF($Q33="Fixo",(CY33-INDEX('Curva Forward'!$C$5:$AN$13,MATCH(CONCATENATE(BD_COMERCIAL!$K33," ",BD_COMERCIAL!$L33),'Curva Forward'!$B$5:$B$13,0),MATCH(FW$4,'Curva Forward'!$C$4:$AN$4,0))),CY33)</f>
        <v>0</v>
      </c>
      <c r="FX33" s="190">
        <f>AL33*AL$2*IF($FC33="V",1,-1)*IF($Q33="Fixo",(CZ33-INDEX('Curva Forward'!$C$5:$AN$13,MATCH(CONCATENATE(BD_COMERCIAL!$K33," ",BD_COMERCIAL!$L33),'Curva Forward'!$B$5:$B$13,0),MATCH(FX$4,'Curva Forward'!$C$4:$AN$4,0))),CZ33)</f>
        <v>0</v>
      </c>
      <c r="FY33" s="190">
        <f>AM33*AM$2*IF($FC33="V",1,-1)*IF($Q33="Fixo",(DA33-INDEX('Curva Forward'!$C$5:$AN$13,MATCH(CONCATENATE(BD_COMERCIAL!$K33," ",BD_COMERCIAL!$L33),'Curva Forward'!$B$5:$B$13,0),MATCH(FY$4,'Curva Forward'!$C$4:$AN$4,0))),DA33)</f>
        <v>0</v>
      </c>
      <c r="FZ33" s="190">
        <f>AN33*AN$2*IF($FC33="V",1,-1)*IF($Q33="Fixo",(DB33-INDEX('Curva Forward'!$C$5:$AN$13,MATCH(CONCATENATE(BD_COMERCIAL!$K33," ",BD_COMERCIAL!$L33),'Curva Forward'!$B$5:$B$13,0),MATCH(FZ$4,'Curva Forward'!$C$4:$AN$4,0))),DB33)</f>
        <v>0</v>
      </c>
      <c r="GA33" s="190">
        <f>AO33*AO$2*IF($FC33="V",1,-1)*IF($Q33="Fixo",(DC33-INDEX('Curva Forward'!$C$5:$AN$13,MATCH(CONCATENATE(BD_COMERCIAL!$K33," ",BD_COMERCIAL!$L33),'Curva Forward'!$B$5:$B$13,0),MATCH(GA$4,'Curva Forward'!$C$4:$AN$4,0))),DC33)</f>
        <v>0</v>
      </c>
      <c r="GB33" s="190">
        <f>AP33*AP$2*IF($FC33="V",1,-1)*IF($Q33="Fixo",(DD33-INDEX('Curva Forward'!$C$5:$AN$13,MATCH(CONCATENATE(BD_COMERCIAL!$K33," ",BD_COMERCIAL!$L33),'Curva Forward'!$B$5:$B$13,0),MATCH(GB$4,'Curva Forward'!$C$4:$AN$4,0))),DD33)</f>
        <v>0</v>
      </c>
      <c r="GC33" s="190">
        <f>AQ33*AQ$2*IF($FC33="V",1,-1)*IF($Q33="Fixo",(DE33-INDEX('Curva Forward'!$C$5:$AN$13,MATCH(CONCATENATE(BD_COMERCIAL!$K33," ",BD_COMERCIAL!$L33),'Curva Forward'!$B$5:$B$13,0),MATCH(GC$4,'Curva Forward'!$C$4:$AN$4,0))),DE33)</f>
        <v>0</v>
      </c>
      <c r="GD33" s="190">
        <f>AR33*AR$2*IF($FC33="V",1,-1)*IF($Q33="Fixo",(DF33-INDEX('Curva Forward'!$C$5:$AN$13,MATCH(CONCATENATE(BD_COMERCIAL!$K33," ",BD_COMERCIAL!$L33),'Curva Forward'!$B$5:$B$13,0),MATCH(GD$4,'Curva Forward'!$C$4:$AN$4,0))),DF33)</f>
        <v>0</v>
      </c>
      <c r="GE33" s="190">
        <f>AS33*AS$2*IF($FC33="V",1,-1)*IF($Q33="Fixo",(DG33-INDEX('Curva Forward'!$C$5:$AN$13,MATCH(CONCATENATE(BD_COMERCIAL!$K33," ",BD_COMERCIAL!$L33),'Curva Forward'!$B$5:$B$13,0),MATCH(GE$4,'Curva Forward'!$C$4:$AN$4,0))),DG33)</f>
        <v>0</v>
      </c>
      <c r="GF33" s="190">
        <f>AT33*AT$2*IF($FC33="V",1,-1)*IF($Q33="Fixo",(DH33-INDEX('Curva Forward'!$C$5:$AN$13,MATCH(CONCATENATE(BD_COMERCIAL!$K33," ",BD_COMERCIAL!$L33),'Curva Forward'!$B$5:$B$13,0),MATCH(GF$4,'Curva Forward'!$C$4:$AN$4,0))),DH33)</f>
        <v>0</v>
      </c>
      <c r="GG33" s="190">
        <f>AU33*AU$2*IF($FC33="V",1,-1)*IF($Q33="Fixo",(DI33-INDEX('Curva Forward'!$C$5:$AN$13,MATCH(CONCATENATE(BD_COMERCIAL!$K33," ",BD_COMERCIAL!$L33),'Curva Forward'!$B$5:$B$13,0),MATCH(GG$4,'Curva Forward'!$C$4:$AN$4,0))),DI33)</f>
        <v>0</v>
      </c>
      <c r="GH33" s="190">
        <f>AV33*AV$2*IF($FC33="V",1,-1)*IF($Q33="Fixo",(DJ33-INDEX('Curva Forward'!$C$5:$AN$13,MATCH(CONCATENATE(BD_COMERCIAL!$K33," ",BD_COMERCIAL!$L33),'Curva Forward'!$B$5:$B$13,0),MATCH(GH$4,'Curva Forward'!$C$4:$AN$4,0))),DJ33)</f>
        <v>0</v>
      </c>
      <c r="GI33" s="190">
        <f>AW33*AW$2*IF($FC33="V",1,-1)*IF($Q33="Fixo",(DK33-INDEX('Curva Forward'!$C$5:$AN$13,MATCH(CONCATENATE(BD_COMERCIAL!$K33," ",BD_COMERCIAL!$L33),'Curva Forward'!$B$5:$B$13,0),MATCH(GI$4,'Curva Forward'!$C$4:$AN$4,0))),DK33)</f>
        <v>0</v>
      </c>
      <c r="GJ33" s="190">
        <f>AX33*AX$2*IF($FC33="V",1,-1)*IF($Q33="Fixo",(DL33-INDEX('Curva Forward'!$C$5:$AN$13,MATCH(CONCATENATE(BD_COMERCIAL!$K33," ",BD_COMERCIAL!$L33),'Curva Forward'!$B$5:$B$13,0),MATCH(GJ$4,'Curva Forward'!$C$4:$AN$4,0))),DL33)</f>
        <v>0</v>
      </c>
      <c r="GK33" s="190">
        <f>AY33*AY$2*IF($FC33="V",1,-1)*IF($Q33="Fixo",(DM33-INDEX('Curva Forward'!$C$5:$AN$13,MATCH(CONCATENATE(BD_COMERCIAL!$K33," ",BD_COMERCIAL!$L33),'Curva Forward'!$B$5:$B$13,0),MATCH(GK$4,'Curva Forward'!$C$4:$AN$4,0))),DM33)</f>
        <v>0</v>
      </c>
      <c r="GL33" s="190">
        <f>IF(EZ33="",0,CL33*CL$2*IF($FC33="V",1,-1)*IF($Q33="Fixo",(EZ33-INDEX('Curva Forward'!$C$5:$AN$13,MATCH(CONCATENATE(BD_COMERCIAL!$K33," ",BD_COMERCIAL!$L33),'Curva Forward'!$B$5:$B$13,0),MATCH(GL$4,'Curva Forward'!$C$4:$AN$4,0))),EZ33))</f>
        <v>0</v>
      </c>
      <c r="GM33" s="190">
        <f>IF(FA33="",0,CM33*CM$2*IF($FC33="V",1,-1)*IF($Q33="Fixo",(FA33-INDEX('Curva Forward'!$C$5:$AN$13,MATCH(CONCATENATE(BD_COMERCIAL!$K33," ",BD_COMERCIAL!$L33),'Curva Forward'!$B$5:$B$13,0),MATCH(GM$4,'Curva Forward'!$C$4:$AN$4,0))),FA33))</f>
        <v>0</v>
      </c>
      <c r="GN33" s="190">
        <f>IF(FB33="",0,CN33*CN$2*IF($FC33="V",1,-1)*IF($Q33="Fixo",(FB33-INDEX('Curva Forward'!$C$5:$AN$13,MATCH(CONCATENATE(BD_COMERCIAL!$K33," ",BD_COMERCIAL!$L33),'Curva Forward'!$B$5:$B$13,0),MATCH(GN$4,'Curva Forward'!$C$4:$AN$4,0))),FB33))</f>
        <v>0</v>
      </c>
      <c r="GO33" s="191">
        <f t="shared" ca="1" si="11"/>
        <v>1767168</v>
      </c>
      <c r="GP33" s="191">
        <f t="shared" ca="1" si="12"/>
        <v>0</v>
      </c>
      <c r="GQ33"/>
      <c r="GR33" s="84"/>
      <c r="GS33"/>
      <c r="GT33" s="206"/>
      <c r="GU33" s="198"/>
      <c r="GV33"/>
      <c r="GW33"/>
      <c r="GX33" s="191"/>
      <c r="GY33" s="191"/>
      <c r="GZ33" s="190"/>
      <c r="HA33" s="190"/>
      <c r="HB33" s="190"/>
      <c r="HC33" s="190"/>
      <c r="HD33" s="190"/>
      <c r="HE33" s="190"/>
      <c r="HF33" s="190"/>
      <c r="HG33" s="190"/>
      <c r="HH33" s="190"/>
      <c r="HI33" s="190"/>
      <c r="HJ33" s="190"/>
      <c r="HK33" s="190"/>
      <c r="HL33" s="190"/>
      <c r="HM33" s="190"/>
      <c r="HN33" s="190"/>
      <c r="HO33" s="190"/>
      <c r="HP33" s="190"/>
      <c r="HQ33" s="190"/>
      <c r="HR33" s="190"/>
      <c r="HS33" s="190"/>
      <c r="HT33" s="190"/>
      <c r="HU33" s="190"/>
      <c r="HV33" s="190"/>
      <c r="HW33" s="190"/>
      <c r="HX33" s="190"/>
      <c r="HY33" s="190"/>
      <c r="HZ33" s="190"/>
      <c r="IA33" s="191"/>
      <c r="IB33" s="191"/>
    </row>
    <row r="34" spans="1:236" s="265" customFormat="1" ht="15" customHeight="1" x14ac:dyDescent="0.35">
      <c r="A34" s="251"/>
      <c r="B34" s="7" t="s">
        <v>356</v>
      </c>
      <c r="C34" s="8">
        <v>44790</v>
      </c>
      <c r="D34" s="9" t="s">
        <v>123</v>
      </c>
      <c r="E34" s="10" t="s">
        <v>124</v>
      </c>
      <c r="F34" s="112" t="s">
        <v>348</v>
      </c>
      <c r="G34" s="10" t="s">
        <v>193</v>
      </c>
      <c r="H34" s="112" t="s">
        <v>357</v>
      </c>
      <c r="I34" s="9" t="s">
        <v>125</v>
      </c>
      <c r="J34" s="158" t="s">
        <v>349</v>
      </c>
      <c r="K34" s="10" t="s">
        <v>126</v>
      </c>
      <c r="L34" s="84" t="s">
        <v>22</v>
      </c>
      <c r="M34" s="11">
        <v>44927</v>
      </c>
      <c r="N34" s="12">
        <v>45016</v>
      </c>
      <c r="O34" s="10">
        <v>3</v>
      </c>
      <c r="P34" s="84">
        <v>146</v>
      </c>
      <c r="Q34" s="84" t="s">
        <v>127</v>
      </c>
      <c r="R34" s="10" t="s">
        <v>128</v>
      </c>
      <c r="S34" s="14" t="s">
        <v>133</v>
      </c>
      <c r="T34" s="11" t="s">
        <v>129</v>
      </c>
      <c r="U34" s="12">
        <v>44790</v>
      </c>
      <c r="V34" s="202">
        <f ca="1">IF(U34="","",
IF(U34="NA","",
IFERROR(VLOOKUP(EOMONTH(M34,-2)+1,IPCA!$A:$B,2,0),
VLOOKUP(EOMONTH(TODAY(),-2)+1,IPCA!$A:$B,2,0))/
VLOOKUP(EOMONTH(U34,-2)+1,IPCA!$A:$B,2,0)*
P34))</f>
        <v>147.41492681633514</v>
      </c>
      <c r="W34" s="84"/>
      <c r="X34" s="13" t="s">
        <v>132</v>
      </c>
      <c r="Y34" s="158"/>
      <c r="Z34" s="106"/>
      <c r="AA34" s="107"/>
      <c r="AB34" s="15">
        <v>3</v>
      </c>
      <c r="AC34">
        <v>3</v>
      </c>
      <c r="AD34">
        <v>3</v>
      </c>
      <c r="AE34"/>
      <c r="AF34"/>
      <c r="AG34"/>
      <c r="AH34"/>
      <c r="AI34"/>
      <c r="AJ34"/>
      <c r="AK34"/>
      <c r="AL34"/>
      <c r="AM34" s="6"/>
      <c r="AN34" s="15"/>
      <c r="AO34"/>
      <c r="AP34"/>
      <c r="AQ34"/>
      <c r="AR34"/>
      <c r="AS34"/>
      <c r="AT34"/>
      <c r="AU34"/>
      <c r="AV34"/>
      <c r="AW34"/>
      <c r="AX34"/>
      <c r="AY34" s="6"/>
      <c r="AZ34" s="15"/>
      <c r="BA34"/>
      <c r="BB34"/>
      <c r="BC34"/>
      <c r="BD34"/>
      <c r="BE34"/>
      <c r="BF34"/>
      <c r="BG34"/>
      <c r="BH34"/>
      <c r="BI34"/>
      <c r="BJ34"/>
      <c r="BK34" s="6"/>
      <c r="BL34" s="15"/>
      <c r="BM34"/>
      <c r="BN34"/>
      <c r="BO34"/>
      <c r="BP34"/>
      <c r="BQ34"/>
      <c r="BR34"/>
      <c r="BS34"/>
      <c r="BT34"/>
      <c r="BU34"/>
      <c r="BV34"/>
      <c r="BW34" s="6"/>
      <c r="BX34" s="15"/>
      <c r="BY34"/>
      <c r="BZ34"/>
      <c r="CA34"/>
      <c r="CB34"/>
      <c r="CC34"/>
      <c r="CD34"/>
      <c r="CE34"/>
      <c r="CF34"/>
      <c r="CG34"/>
      <c r="CH34"/>
      <c r="CI34" s="6"/>
      <c r="CJ34" s="16">
        <v>0.73972602739726023</v>
      </c>
      <c r="CK34" s="16" t="s">
        <v>578</v>
      </c>
      <c r="CL34" s="16" t="s">
        <v>578</v>
      </c>
      <c r="CM34" s="16" t="s">
        <v>578</v>
      </c>
      <c r="CN34" s="16" t="s">
        <v>578</v>
      </c>
      <c r="CO34" s="18"/>
      <c r="CP34" s="15">
        <v>146</v>
      </c>
      <c r="CQ34">
        <v>146</v>
      </c>
      <c r="CR34">
        <v>146</v>
      </c>
      <c r="CS34"/>
      <c r="CT34"/>
      <c r="CU34"/>
      <c r="CV34"/>
      <c r="CW34"/>
      <c r="CX34"/>
      <c r="CY34"/>
      <c r="CZ34"/>
      <c r="DA34" s="6"/>
      <c r="DB34" s="15"/>
      <c r="DC34"/>
      <c r="DD34"/>
      <c r="DE34"/>
      <c r="DF34"/>
      <c r="DG34"/>
      <c r="DH34"/>
      <c r="DI34"/>
      <c r="DJ34"/>
      <c r="DK34"/>
      <c r="DL34"/>
      <c r="DM34" s="6"/>
      <c r="DN34" s="15"/>
      <c r="DO34"/>
      <c r="DP34"/>
      <c r="DQ34"/>
      <c r="DR34"/>
      <c r="DS34"/>
      <c r="DT34"/>
      <c r="DU34"/>
      <c r="DV34"/>
      <c r="DW34"/>
      <c r="DX34"/>
      <c r="DY34" s="6"/>
      <c r="DZ34" s="15"/>
      <c r="EA34"/>
      <c r="EB34"/>
      <c r="EC34"/>
      <c r="ED34"/>
      <c r="EE34"/>
      <c r="EF34"/>
      <c r="EG34"/>
      <c r="EH34"/>
      <c r="EI34"/>
      <c r="EJ34"/>
      <c r="EK34" s="6"/>
      <c r="EL34" s="15"/>
      <c r="EM34"/>
      <c r="EN34"/>
      <c r="EO34"/>
      <c r="EP34"/>
      <c r="EQ34"/>
      <c r="ER34"/>
      <c r="ES34"/>
      <c r="ET34"/>
      <c r="EU34"/>
      <c r="EV34"/>
      <c r="EW34" s="6"/>
      <c r="EX34" s="16">
        <v>36</v>
      </c>
      <c r="EY34" s="16" t="s">
        <v>578</v>
      </c>
      <c r="EZ34" s="16" t="s">
        <v>578</v>
      </c>
      <c r="FA34" s="154" t="s">
        <v>578</v>
      </c>
      <c r="FB34" s="154" t="s">
        <v>578</v>
      </c>
      <c r="FC34" t="s">
        <v>195</v>
      </c>
      <c r="FD34" s="20" t="s">
        <v>125</v>
      </c>
      <c r="FE34"/>
      <c r="FF34" s="199" t="s">
        <v>197</v>
      </c>
      <c r="FG34"/>
      <c r="FH34" s="206">
        <f t="shared" ca="1" si="6"/>
        <v>1.4149268163351394</v>
      </c>
      <c r="FI34" s="198">
        <f t="shared" si="7"/>
        <v>2.9666666666666668</v>
      </c>
      <c r="FJ34"/>
      <c r="FK34" t="str">
        <f t="shared" si="8"/>
        <v>Genial Energy Comercializadora de Energia Elétrica Ltda</v>
      </c>
      <c r="FL34" s="191">
        <f t="shared" ca="1" si="9"/>
        <v>171864</v>
      </c>
      <c r="FM34" s="191">
        <f t="shared" ca="1" si="10"/>
        <v>327096</v>
      </c>
      <c r="FN34" s="190">
        <f>AB34*AB$2*IF($FC34="V",1,-1)*IF($Q34="Fixo",(CP34-INDEX('Curva Forward'!$C$5:$AN$13,MATCH(CONCATENATE(BD_COMERCIAL!$K34," ",BD_COMERCIAL!$L34),'Curva Forward'!$B$5:$B$13,0),MATCH(FN$4,'Curva Forward'!$C$4:$AN$4,0))),CP34)</f>
        <v>171864</v>
      </c>
      <c r="FO34" s="190">
        <f>AC34*AC$2*IF($FC34="V",1,-1)*IF($Q34="Fixo",(CQ34-INDEX('Curva Forward'!$C$5:$AN$13,MATCH(CONCATENATE(BD_COMERCIAL!$K34," ",BD_COMERCIAL!$L34),'Curva Forward'!$B$5:$B$13,0),MATCH(FO$4,'Curva Forward'!$C$4:$AN$4,0))),CQ34)</f>
        <v>155232</v>
      </c>
      <c r="FP34" s="190">
        <f>AD34*AD$2*IF($FC34="V",1,-1)*IF($Q34="Fixo",(CR34-INDEX('Curva Forward'!$C$5:$AN$13,MATCH(CONCATENATE(BD_COMERCIAL!$K34," ",BD_COMERCIAL!$L34),'Curva Forward'!$B$5:$B$13,0),MATCH(FP$4,'Curva Forward'!$C$4:$AN$4,0))),CR34)</f>
        <v>171864</v>
      </c>
      <c r="FQ34" s="190">
        <f>AE34*AE$2*IF($FC34="V",1,-1)*IF($Q34="Fixo",(CS34-INDEX('Curva Forward'!$C$5:$AN$13,MATCH(CONCATENATE(BD_COMERCIAL!$K34," ",BD_COMERCIAL!$L34),'Curva Forward'!$B$5:$B$13,0),MATCH(FQ$4,'Curva Forward'!$C$4:$AN$4,0))),CS34)</f>
        <v>0</v>
      </c>
      <c r="FR34" s="190">
        <f>AF34*AF$2*IF($FC34="V",1,-1)*IF($Q34="Fixo",(CT34-INDEX('Curva Forward'!$C$5:$AN$13,MATCH(CONCATENATE(BD_COMERCIAL!$K34," ",BD_COMERCIAL!$L34),'Curva Forward'!$B$5:$B$13,0),MATCH(FR$4,'Curva Forward'!$C$4:$AN$4,0))),CT34)</f>
        <v>0</v>
      </c>
      <c r="FS34" s="190">
        <f>AG34*AG$2*IF($FC34="V",1,-1)*IF($Q34="Fixo",(CU34-INDEX('Curva Forward'!$C$5:$AN$13,MATCH(CONCATENATE(BD_COMERCIAL!$K34," ",BD_COMERCIAL!$L34),'Curva Forward'!$B$5:$B$13,0),MATCH(FS$4,'Curva Forward'!$C$4:$AN$4,0))),CU34)</f>
        <v>0</v>
      </c>
      <c r="FT34" s="190">
        <f>AH34*AH$2*IF($FC34="V",1,-1)*IF($Q34="Fixo",(CV34-INDEX('Curva Forward'!$C$5:$AN$13,MATCH(CONCATENATE(BD_COMERCIAL!$K34," ",BD_COMERCIAL!$L34),'Curva Forward'!$B$5:$B$13,0),MATCH(FT$4,'Curva Forward'!$C$4:$AN$4,0))),CV34)</f>
        <v>0</v>
      </c>
      <c r="FU34" s="190">
        <f>AI34*AI$2*IF($FC34="V",1,-1)*IF($Q34="Fixo",(CW34-INDEX('Curva Forward'!$C$5:$AN$13,MATCH(CONCATENATE(BD_COMERCIAL!$K34," ",BD_COMERCIAL!$L34),'Curva Forward'!$B$5:$B$13,0),MATCH(FU$4,'Curva Forward'!$C$4:$AN$4,0))),CW34)</f>
        <v>0</v>
      </c>
      <c r="FV34" s="190">
        <f>AJ34*AJ$2*IF($FC34="V",1,-1)*IF($Q34="Fixo",(CX34-INDEX('Curva Forward'!$C$5:$AN$13,MATCH(CONCATENATE(BD_COMERCIAL!$K34," ",BD_COMERCIAL!$L34),'Curva Forward'!$B$5:$B$13,0),MATCH(FV$4,'Curva Forward'!$C$4:$AN$4,0))),CX34)</f>
        <v>0</v>
      </c>
      <c r="FW34" s="190">
        <f>AK34*AK$2*IF($FC34="V",1,-1)*IF($Q34="Fixo",(CY34-INDEX('Curva Forward'!$C$5:$AN$13,MATCH(CONCATENATE(BD_COMERCIAL!$K34," ",BD_COMERCIAL!$L34),'Curva Forward'!$B$5:$B$13,0),MATCH(FW$4,'Curva Forward'!$C$4:$AN$4,0))),CY34)</f>
        <v>0</v>
      </c>
      <c r="FX34" s="190">
        <f>AL34*AL$2*IF($FC34="V",1,-1)*IF($Q34="Fixo",(CZ34-INDEX('Curva Forward'!$C$5:$AN$13,MATCH(CONCATENATE(BD_COMERCIAL!$K34," ",BD_COMERCIAL!$L34),'Curva Forward'!$B$5:$B$13,0),MATCH(FX$4,'Curva Forward'!$C$4:$AN$4,0))),CZ34)</f>
        <v>0</v>
      </c>
      <c r="FY34" s="190">
        <f>AM34*AM$2*IF($FC34="V",1,-1)*IF($Q34="Fixo",(DA34-INDEX('Curva Forward'!$C$5:$AN$13,MATCH(CONCATENATE(BD_COMERCIAL!$K34," ",BD_COMERCIAL!$L34),'Curva Forward'!$B$5:$B$13,0),MATCH(FY$4,'Curva Forward'!$C$4:$AN$4,0))),DA34)</f>
        <v>0</v>
      </c>
      <c r="FZ34" s="190">
        <f>AN34*AN$2*IF($FC34="V",1,-1)*IF($Q34="Fixo",(DB34-INDEX('Curva Forward'!$C$5:$AN$13,MATCH(CONCATENATE(BD_COMERCIAL!$K34," ",BD_COMERCIAL!$L34),'Curva Forward'!$B$5:$B$13,0),MATCH(FZ$4,'Curva Forward'!$C$4:$AN$4,0))),DB34)</f>
        <v>0</v>
      </c>
      <c r="GA34" s="190">
        <f>AO34*AO$2*IF($FC34="V",1,-1)*IF($Q34="Fixo",(DC34-INDEX('Curva Forward'!$C$5:$AN$13,MATCH(CONCATENATE(BD_COMERCIAL!$K34," ",BD_COMERCIAL!$L34),'Curva Forward'!$B$5:$B$13,0),MATCH(GA$4,'Curva Forward'!$C$4:$AN$4,0))),DC34)</f>
        <v>0</v>
      </c>
      <c r="GB34" s="190">
        <f>AP34*AP$2*IF($FC34="V",1,-1)*IF($Q34="Fixo",(DD34-INDEX('Curva Forward'!$C$5:$AN$13,MATCH(CONCATENATE(BD_COMERCIAL!$K34," ",BD_COMERCIAL!$L34),'Curva Forward'!$B$5:$B$13,0),MATCH(GB$4,'Curva Forward'!$C$4:$AN$4,0))),DD34)</f>
        <v>0</v>
      </c>
      <c r="GC34" s="190">
        <f>AQ34*AQ$2*IF($FC34="V",1,-1)*IF($Q34="Fixo",(DE34-INDEX('Curva Forward'!$C$5:$AN$13,MATCH(CONCATENATE(BD_COMERCIAL!$K34," ",BD_COMERCIAL!$L34),'Curva Forward'!$B$5:$B$13,0),MATCH(GC$4,'Curva Forward'!$C$4:$AN$4,0))),DE34)</f>
        <v>0</v>
      </c>
      <c r="GD34" s="190">
        <f>AR34*AR$2*IF($FC34="V",1,-1)*IF($Q34="Fixo",(DF34-INDEX('Curva Forward'!$C$5:$AN$13,MATCH(CONCATENATE(BD_COMERCIAL!$K34," ",BD_COMERCIAL!$L34),'Curva Forward'!$B$5:$B$13,0),MATCH(GD$4,'Curva Forward'!$C$4:$AN$4,0))),DF34)</f>
        <v>0</v>
      </c>
      <c r="GE34" s="190">
        <f>AS34*AS$2*IF($FC34="V",1,-1)*IF($Q34="Fixo",(DG34-INDEX('Curva Forward'!$C$5:$AN$13,MATCH(CONCATENATE(BD_COMERCIAL!$K34," ",BD_COMERCIAL!$L34),'Curva Forward'!$B$5:$B$13,0),MATCH(GE$4,'Curva Forward'!$C$4:$AN$4,0))),DG34)</f>
        <v>0</v>
      </c>
      <c r="GF34" s="190">
        <f>AT34*AT$2*IF($FC34="V",1,-1)*IF($Q34="Fixo",(DH34-INDEX('Curva Forward'!$C$5:$AN$13,MATCH(CONCATENATE(BD_COMERCIAL!$K34," ",BD_COMERCIAL!$L34),'Curva Forward'!$B$5:$B$13,0),MATCH(GF$4,'Curva Forward'!$C$4:$AN$4,0))),DH34)</f>
        <v>0</v>
      </c>
      <c r="GG34" s="190">
        <f>AU34*AU$2*IF($FC34="V",1,-1)*IF($Q34="Fixo",(DI34-INDEX('Curva Forward'!$C$5:$AN$13,MATCH(CONCATENATE(BD_COMERCIAL!$K34," ",BD_COMERCIAL!$L34),'Curva Forward'!$B$5:$B$13,0),MATCH(GG$4,'Curva Forward'!$C$4:$AN$4,0))),DI34)</f>
        <v>0</v>
      </c>
      <c r="GH34" s="190">
        <f>AV34*AV$2*IF($FC34="V",1,-1)*IF($Q34="Fixo",(DJ34-INDEX('Curva Forward'!$C$5:$AN$13,MATCH(CONCATENATE(BD_COMERCIAL!$K34," ",BD_COMERCIAL!$L34),'Curva Forward'!$B$5:$B$13,0),MATCH(GH$4,'Curva Forward'!$C$4:$AN$4,0))),DJ34)</f>
        <v>0</v>
      </c>
      <c r="GI34" s="190">
        <f>AW34*AW$2*IF($FC34="V",1,-1)*IF($Q34="Fixo",(DK34-INDEX('Curva Forward'!$C$5:$AN$13,MATCH(CONCATENATE(BD_COMERCIAL!$K34," ",BD_COMERCIAL!$L34),'Curva Forward'!$B$5:$B$13,0),MATCH(GI$4,'Curva Forward'!$C$4:$AN$4,0))),DK34)</f>
        <v>0</v>
      </c>
      <c r="GJ34" s="190">
        <f>AX34*AX$2*IF($FC34="V",1,-1)*IF($Q34="Fixo",(DL34-INDEX('Curva Forward'!$C$5:$AN$13,MATCH(CONCATENATE(BD_COMERCIAL!$K34," ",BD_COMERCIAL!$L34),'Curva Forward'!$B$5:$B$13,0),MATCH(GJ$4,'Curva Forward'!$C$4:$AN$4,0))),DL34)</f>
        <v>0</v>
      </c>
      <c r="GK34" s="190">
        <f>AY34*AY$2*IF($FC34="V",1,-1)*IF($Q34="Fixo",(DM34-INDEX('Curva Forward'!$C$5:$AN$13,MATCH(CONCATENATE(BD_COMERCIAL!$K34," ",BD_COMERCIAL!$L34),'Curva Forward'!$B$5:$B$13,0),MATCH(GK$4,'Curva Forward'!$C$4:$AN$4,0))),DM34)</f>
        <v>0</v>
      </c>
      <c r="GL34" s="190">
        <f>IF(EZ34="",0,CL34*CL$2*IF($FC34="V",1,-1)*IF($Q34="Fixo",(EZ34-INDEX('Curva Forward'!$C$5:$AN$13,MATCH(CONCATENATE(BD_COMERCIAL!$K34," ",BD_COMERCIAL!$L34),'Curva Forward'!$B$5:$B$13,0),MATCH(GL$4,'Curva Forward'!$C$4:$AN$4,0))),EZ34))</f>
        <v>0</v>
      </c>
      <c r="GM34" s="190">
        <f>IF(FA34="",0,CM34*CM$2*IF($FC34="V",1,-1)*IF($Q34="Fixo",(FA34-INDEX('Curva Forward'!$C$5:$AN$13,MATCH(CONCATENATE(BD_COMERCIAL!$K34," ",BD_COMERCIAL!$L34),'Curva Forward'!$B$5:$B$13,0),MATCH(GM$4,'Curva Forward'!$C$4:$AN$4,0))),FA34))</f>
        <v>0</v>
      </c>
      <c r="GN34" s="190">
        <f>IF(FB34="",0,CN34*CN$2*IF($FC34="V",1,-1)*IF($Q34="Fixo",(FB34-INDEX('Curva Forward'!$C$5:$AN$13,MATCH(CONCATENATE(BD_COMERCIAL!$K34," ",BD_COMERCIAL!$L34),'Curva Forward'!$B$5:$B$13,0),MATCH(GN$4,'Curva Forward'!$C$4:$AN$4,0))),FB34))</f>
        <v>0</v>
      </c>
      <c r="GO34" s="191">
        <f t="shared" ca="1" si="11"/>
        <v>327096</v>
      </c>
      <c r="GP34" s="191">
        <f t="shared" ca="1" si="12"/>
        <v>0</v>
      </c>
      <c r="GQ34"/>
      <c r="GR34" s="84"/>
      <c r="GS34"/>
      <c r="GT34" s="206"/>
      <c r="GU34" s="198"/>
      <c r="GV34"/>
      <c r="GW34"/>
      <c r="GX34" s="191"/>
      <c r="GY34" s="191"/>
      <c r="GZ34" s="190"/>
      <c r="HA34" s="190"/>
      <c r="HB34" s="190"/>
      <c r="HC34" s="190"/>
      <c r="HD34" s="190"/>
      <c r="HE34" s="190"/>
      <c r="HF34" s="190"/>
      <c r="HG34" s="190"/>
      <c r="HH34" s="190"/>
      <c r="HI34" s="190"/>
      <c r="HJ34" s="190"/>
      <c r="HK34" s="190"/>
      <c r="HL34" s="190"/>
      <c r="HM34" s="190"/>
      <c r="HN34" s="190"/>
      <c r="HO34" s="190"/>
      <c r="HP34" s="190"/>
      <c r="HQ34" s="190"/>
      <c r="HR34" s="190"/>
      <c r="HS34" s="190"/>
      <c r="HT34" s="190"/>
      <c r="HU34" s="190"/>
      <c r="HV34" s="190"/>
      <c r="HW34" s="190"/>
      <c r="HX34" s="190"/>
      <c r="HY34" s="190"/>
      <c r="HZ34" s="190"/>
      <c r="IA34" s="191"/>
      <c r="IB34" s="191"/>
    </row>
    <row r="35" spans="1:236" s="265" customFormat="1" ht="15" customHeight="1" x14ac:dyDescent="0.35">
      <c r="A35" s="251"/>
      <c r="B35" s="7" t="s">
        <v>358</v>
      </c>
      <c r="C35" s="8">
        <v>44790</v>
      </c>
      <c r="D35" s="9" t="s">
        <v>123</v>
      </c>
      <c r="E35" s="10" t="s">
        <v>124</v>
      </c>
      <c r="F35" s="112" t="s">
        <v>348</v>
      </c>
      <c r="G35" s="10" t="s">
        <v>359</v>
      </c>
      <c r="H35" s="112" t="s">
        <v>360</v>
      </c>
      <c r="I35" s="9" t="s">
        <v>125</v>
      </c>
      <c r="J35" s="158" t="s">
        <v>349</v>
      </c>
      <c r="K35" s="10" t="s">
        <v>126</v>
      </c>
      <c r="L35" s="84" t="s">
        <v>22</v>
      </c>
      <c r="M35" s="11">
        <v>44927</v>
      </c>
      <c r="N35" s="12">
        <v>45016</v>
      </c>
      <c r="O35" s="10">
        <v>20</v>
      </c>
      <c r="P35" s="84">
        <v>145.5</v>
      </c>
      <c r="Q35" s="84" t="s">
        <v>127</v>
      </c>
      <c r="R35" s="10" t="s">
        <v>128</v>
      </c>
      <c r="S35" s="14" t="s">
        <v>133</v>
      </c>
      <c r="T35" s="11" t="s">
        <v>129</v>
      </c>
      <c r="U35" s="12">
        <v>44790</v>
      </c>
      <c r="V35" s="202">
        <f ca="1">IF(U35="","",
IF(U35="NA","",
IFERROR(VLOOKUP(EOMONTH(M35,-2)+1,IPCA!$A:$B,2,0),
VLOOKUP(EOMONTH(TODAY(),-2)+1,IPCA!$A:$B,2,0))/
VLOOKUP(EOMONTH(U35,-2)+1,IPCA!$A:$B,2,0)*
P35))</f>
        <v>146.91008117655315</v>
      </c>
      <c r="W35" s="84"/>
      <c r="X35" s="13" t="s">
        <v>132</v>
      </c>
      <c r="Y35" s="158"/>
      <c r="Z35" s="106"/>
      <c r="AA35" s="107"/>
      <c r="AB35" s="15">
        <v>20</v>
      </c>
      <c r="AC35">
        <v>20</v>
      </c>
      <c r="AD35">
        <v>20</v>
      </c>
      <c r="AE35"/>
      <c r="AF35"/>
      <c r="AG35"/>
      <c r="AH35"/>
      <c r="AI35"/>
      <c r="AJ35"/>
      <c r="AK35"/>
      <c r="AL35"/>
      <c r="AM35" s="6"/>
      <c r="AN35" s="15"/>
      <c r="AO35"/>
      <c r="AP35"/>
      <c r="AQ35"/>
      <c r="AR35"/>
      <c r="AS35"/>
      <c r="AT35"/>
      <c r="AU35"/>
      <c r="AV35"/>
      <c r="AW35"/>
      <c r="AX35"/>
      <c r="AY35" s="6"/>
      <c r="AZ35" s="15"/>
      <c r="BA35"/>
      <c r="BB35"/>
      <c r="BC35"/>
      <c r="BD35"/>
      <c r="BE35"/>
      <c r="BF35"/>
      <c r="BG35"/>
      <c r="BH35"/>
      <c r="BI35"/>
      <c r="BJ35"/>
      <c r="BK35" s="6"/>
      <c r="BL35" s="15"/>
      <c r="BM35"/>
      <c r="BN35"/>
      <c r="BO35"/>
      <c r="BP35"/>
      <c r="BQ35"/>
      <c r="BR35"/>
      <c r="BS35"/>
      <c r="BT35"/>
      <c r="BU35"/>
      <c r="BV35"/>
      <c r="BW35" s="6"/>
      <c r="BX35" s="15"/>
      <c r="BY35"/>
      <c r="BZ35"/>
      <c r="CA35"/>
      <c r="CB35"/>
      <c r="CC35"/>
      <c r="CD35"/>
      <c r="CE35"/>
      <c r="CF35"/>
      <c r="CG35"/>
      <c r="CH35"/>
      <c r="CI35" s="6"/>
      <c r="CJ35" s="16">
        <v>4.9315068493150687</v>
      </c>
      <c r="CK35" s="16" t="s">
        <v>578</v>
      </c>
      <c r="CL35" s="16" t="s">
        <v>578</v>
      </c>
      <c r="CM35" s="16" t="s">
        <v>578</v>
      </c>
      <c r="CN35" s="16" t="s">
        <v>578</v>
      </c>
      <c r="CO35" s="18"/>
      <c r="CP35" s="15">
        <v>145.5</v>
      </c>
      <c r="CQ35">
        <v>145.5</v>
      </c>
      <c r="CR35">
        <v>145.5</v>
      </c>
      <c r="CS35"/>
      <c r="CT35"/>
      <c r="CU35"/>
      <c r="CV35"/>
      <c r="CW35"/>
      <c r="CX35"/>
      <c r="CY35"/>
      <c r="CZ35"/>
      <c r="DA35" s="6"/>
      <c r="DB35" s="15"/>
      <c r="DC35"/>
      <c r="DD35"/>
      <c r="DE35"/>
      <c r="DF35"/>
      <c r="DG35"/>
      <c r="DH35"/>
      <c r="DI35"/>
      <c r="DJ35"/>
      <c r="DK35"/>
      <c r="DL35"/>
      <c r="DM35" s="6"/>
      <c r="DN35" s="15"/>
      <c r="DO35"/>
      <c r="DP35"/>
      <c r="DQ35"/>
      <c r="DR35"/>
      <c r="DS35"/>
      <c r="DT35"/>
      <c r="DU35"/>
      <c r="DV35"/>
      <c r="DW35"/>
      <c r="DX35"/>
      <c r="DY35" s="6"/>
      <c r="DZ35" s="15"/>
      <c r="EA35"/>
      <c r="EB35"/>
      <c r="EC35"/>
      <c r="ED35"/>
      <c r="EE35"/>
      <c r="EF35"/>
      <c r="EG35"/>
      <c r="EH35"/>
      <c r="EI35"/>
      <c r="EJ35"/>
      <c r="EK35" s="6"/>
      <c r="EL35" s="15"/>
      <c r="EM35"/>
      <c r="EN35"/>
      <c r="EO35"/>
      <c r="EP35"/>
      <c r="EQ35"/>
      <c r="ER35"/>
      <c r="ES35"/>
      <c r="ET35"/>
      <c r="EU35"/>
      <c r="EV35"/>
      <c r="EW35" s="6"/>
      <c r="EX35" s="16">
        <v>35.876712328767127</v>
      </c>
      <c r="EY35" s="16" t="s">
        <v>578</v>
      </c>
      <c r="EZ35" s="16" t="s">
        <v>578</v>
      </c>
      <c r="FA35" s="154" t="s">
        <v>578</v>
      </c>
      <c r="FB35" s="154" t="s">
        <v>578</v>
      </c>
      <c r="FC35" t="s">
        <v>195</v>
      </c>
      <c r="FD35" s="20" t="s">
        <v>125</v>
      </c>
      <c r="FE35"/>
      <c r="FF35" s="199" t="s">
        <v>197</v>
      </c>
      <c r="FG35"/>
      <c r="FH35" s="206">
        <f t="shared" ca="1" si="6"/>
        <v>1.4100811765531489</v>
      </c>
      <c r="FI35" s="198">
        <f t="shared" si="7"/>
        <v>2.9666666666666668</v>
      </c>
      <c r="FJ35"/>
      <c r="FK35" t="str">
        <f t="shared" si="8"/>
        <v>Auren Comercializadora de Energia Ltda</v>
      </c>
      <c r="FL35" s="191">
        <f t="shared" ca="1" si="9"/>
        <v>1138320</v>
      </c>
      <c r="FM35" s="191">
        <f t="shared" ca="1" si="10"/>
        <v>2166480</v>
      </c>
      <c r="FN35" s="190">
        <f>AB35*AB$2*IF($FC35="V",1,-1)*IF($Q35="Fixo",(CP35-INDEX('Curva Forward'!$C$5:$AN$13,MATCH(CONCATENATE(BD_COMERCIAL!$K35," ",BD_COMERCIAL!$L35),'Curva Forward'!$B$5:$B$13,0),MATCH(FN$4,'Curva Forward'!$C$4:$AN$4,0))),CP35)</f>
        <v>1138320</v>
      </c>
      <c r="FO35" s="190">
        <f>AC35*AC$2*IF($FC35="V",1,-1)*IF($Q35="Fixo",(CQ35-INDEX('Curva Forward'!$C$5:$AN$13,MATCH(CONCATENATE(BD_COMERCIAL!$K35," ",BD_COMERCIAL!$L35),'Curva Forward'!$B$5:$B$13,0),MATCH(FO$4,'Curva Forward'!$C$4:$AN$4,0))),CQ35)</f>
        <v>1028160</v>
      </c>
      <c r="FP35" s="190">
        <f>AD35*AD$2*IF($FC35="V",1,-1)*IF($Q35="Fixo",(CR35-INDEX('Curva Forward'!$C$5:$AN$13,MATCH(CONCATENATE(BD_COMERCIAL!$K35," ",BD_COMERCIAL!$L35),'Curva Forward'!$B$5:$B$13,0),MATCH(FP$4,'Curva Forward'!$C$4:$AN$4,0))),CR35)</f>
        <v>1138320</v>
      </c>
      <c r="FQ35" s="190">
        <f>AE35*AE$2*IF($FC35="V",1,-1)*IF($Q35="Fixo",(CS35-INDEX('Curva Forward'!$C$5:$AN$13,MATCH(CONCATENATE(BD_COMERCIAL!$K35," ",BD_COMERCIAL!$L35),'Curva Forward'!$B$5:$B$13,0),MATCH(FQ$4,'Curva Forward'!$C$4:$AN$4,0))),CS35)</f>
        <v>0</v>
      </c>
      <c r="FR35" s="190">
        <f>AF35*AF$2*IF($FC35="V",1,-1)*IF($Q35="Fixo",(CT35-INDEX('Curva Forward'!$C$5:$AN$13,MATCH(CONCATENATE(BD_COMERCIAL!$K35," ",BD_COMERCIAL!$L35),'Curva Forward'!$B$5:$B$13,0),MATCH(FR$4,'Curva Forward'!$C$4:$AN$4,0))),CT35)</f>
        <v>0</v>
      </c>
      <c r="FS35" s="190">
        <f>AG35*AG$2*IF($FC35="V",1,-1)*IF($Q35="Fixo",(CU35-INDEX('Curva Forward'!$C$5:$AN$13,MATCH(CONCATENATE(BD_COMERCIAL!$K35," ",BD_COMERCIAL!$L35),'Curva Forward'!$B$5:$B$13,0),MATCH(FS$4,'Curva Forward'!$C$4:$AN$4,0))),CU35)</f>
        <v>0</v>
      </c>
      <c r="FT35" s="190">
        <f>AH35*AH$2*IF($FC35="V",1,-1)*IF($Q35="Fixo",(CV35-INDEX('Curva Forward'!$C$5:$AN$13,MATCH(CONCATENATE(BD_COMERCIAL!$K35," ",BD_COMERCIAL!$L35),'Curva Forward'!$B$5:$B$13,0),MATCH(FT$4,'Curva Forward'!$C$4:$AN$4,0))),CV35)</f>
        <v>0</v>
      </c>
      <c r="FU35" s="190">
        <f>AI35*AI$2*IF($FC35="V",1,-1)*IF($Q35="Fixo",(CW35-INDEX('Curva Forward'!$C$5:$AN$13,MATCH(CONCATENATE(BD_COMERCIAL!$K35," ",BD_COMERCIAL!$L35),'Curva Forward'!$B$5:$B$13,0),MATCH(FU$4,'Curva Forward'!$C$4:$AN$4,0))),CW35)</f>
        <v>0</v>
      </c>
      <c r="FV35" s="190">
        <f>AJ35*AJ$2*IF($FC35="V",1,-1)*IF($Q35="Fixo",(CX35-INDEX('Curva Forward'!$C$5:$AN$13,MATCH(CONCATENATE(BD_COMERCIAL!$K35," ",BD_COMERCIAL!$L35),'Curva Forward'!$B$5:$B$13,0),MATCH(FV$4,'Curva Forward'!$C$4:$AN$4,0))),CX35)</f>
        <v>0</v>
      </c>
      <c r="FW35" s="190">
        <f>AK35*AK$2*IF($FC35="V",1,-1)*IF($Q35="Fixo",(CY35-INDEX('Curva Forward'!$C$5:$AN$13,MATCH(CONCATENATE(BD_COMERCIAL!$K35," ",BD_COMERCIAL!$L35),'Curva Forward'!$B$5:$B$13,0),MATCH(FW$4,'Curva Forward'!$C$4:$AN$4,0))),CY35)</f>
        <v>0</v>
      </c>
      <c r="FX35" s="190">
        <f>AL35*AL$2*IF($FC35="V",1,-1)*IF($Q35="Fixo",(CZ35-INDEX('Curva Forward'!$C$5:$AN$13,MATCH(CONCATENATE(BD_COMERCIAL!$K35," ",BD_COMERCIAL!$L35),'Curva Forward'!$B$5:$B$13,0),MATCH(FX$4,'Curva Forward'!$C$4:$AN$4,0))),CZ35)</f>
        <v>0</v>
      </c>
      <c r="FY35" s="190">
        <f>AM35*AM$2*IF($FC35="V",1,-1)*IF($Q35="Fixo",(DA35-INDEX('Curva Forward'!$C$5:$AN$13,MATCH(CONCATENATE(BD_COMERCIAL!$K35," ",BD_COMERCIAL!$L35),'Curva Forward'!$B$5:$B$13,0),MATCH(FY$4,'Curva Forward'!$C$4:$AN$4,0))),DA35)</f>
        <v>0</v>
      </c>
      <c r="FZ35" s="190">
        <f>AN35*AN$2*IF($FC35="V",1,-1)*IF($Q35="Fixo",(DB35-INDEX('Curva Forward'!$C$5:$AN$13,MATCH(CONCATENATE(BD_COMERCIAL!$K35," ",BD_COMERCIAL!$L35),'Curva Forward'!$B$5:$B$13,0),MATCH(FZ$4,'Curva Forward'!$C$4:$AN$4,0))),DB35)</f>
        <v>0</v>
      </c>
      <c r="GA35" s="190">
        <f>AO35*AO$2*IF($FC35="V",1,-1)*IF($Q35="Fixo",(DC35-INDEX('Curva Forward'!$C$5:$AN$13,MATCH(CONCATENATE(BD_COMERCIAL!$K35," ",BD_COMERCIAL!$L35),'Curva Forward'!$B$5:$B$13,0),MATCH(GA$4,'Curva Forward'!$C$4:$AN$4,0))),DC35)</f>
        <v>0</v>
      </c>
      <c r="GB35" s="190">
        <f>AP35*AP$2*IF($FC35="V",1,-1)*IF($Q35="Fixo",(DD35-INDEX('Curva Forward'!$C$5:$AN$13,MATCH(CONCATENATE(BD_COMERCIAL!$K35," ",BD_COMERCIAL!$L35),'Curva Forward'!$B$5:$B$13,0),MATCH(GB$4,'Curva Forward'!$C$4:$AN$4,0))),DD35)</f>
        <v>0</v>
      </c>
      <c r="GC35" s="190">
        <f>AQ35*AQ$2*IF($FC35="V",1,-1)*IF($Q35="Fixo",(DE35-INDEX('Curva Forward'!$C$5:$AN$13,MATCH(CONCATENATE(BD_COMERCIAL!$K35," ",BD_COMERCIAL!$L35),'Curva Forward'!$B$5:$B$13,0),MATCH(GC$4,'Curva Forward'!$C$4:$AN$4,0))),DE35)</f>
        <v>0</v>
      </c>
      <c r="GD35" s="190">
        <f>AR35*AR$2*IF($FC35="V",1,-1)*IF($Q35="Fixo",(DF35-INDEX('Curva Forward'!$C$5:$AN$13,MATCH(CONCATENATE(BD_COMERCIAL!$K35," ",BD_COMERCIAL!$L35),'Curva Forward'!$B$5:$B$13,0),MATCH(GD$4,'Curva Forward'!$C$4:$AN$4,0))),DF35)</f>
        <v>0</v>
      </c>
      <c r="GE35" s="190">
        <f>AS35*AS$2*IF($FC35="V",1,-1)*IF($Q35="Fixo",(DG35-INDEX('Curva Forward'!$C$5:$AN$13,MATCH(CONCATENATE(BD_COMERCIAL!$K35," ",BD_COMERCIAL!$L35),'Curva Forward'!$B$5:$B$13,0),MATCH(GE$4,'Curva Forward'!$C$4:$AN$4,0))),DG35)</f>
        <v>0</v>
      </c>
      <c r="GF35" s="190">
        <f>AT35*AT$2*IF($FC35="V",1,-1)*IF($Q35="Fixo",(DH35-INDEX('Curva Forward'!$C$5:$AN$13,MATCH(CONCATENATE(BD_COMERCIAL!$K35," ",BD_COMERCIAL!$L35),'Curva Forward'!$B$5:$B$13,0),MATCH(GF$4,'Curva Forward'!$C$4:$AN$4,0))),DH35)</f>
        <v>0</v>
      </c>
      <c r="GG35" s="190">
        <f>AU35*AU$2*IF($FC35="V",1,-1)*IF($Q35="Fixo",(DI35-INDEX('Curva Forward'!$C$5:$AN$13,MATCH(CONCATENATE(BD_COMERCIAL!$K35," ",BD_COMERCIAL!$L35),'Curva Forward'!$B$5:$B$13,0),MATCH(GG$4,'Curva Forward'!$C$4:$AN$4,0))),DI35)</f>
        <v>0</v>
      </c>
      <c r="GH35" s="190">
        <f>AV35*AV$2*IF($FC35="V",1,-1)*IF($Q35="Fixo",(DJ35-INDEX('Curva Forward'!$C$5:$AN$13,MATCH(CONCATENATE(BD_COMERCIAL!$K35," ",BD_COMERCIAL!$L35),'Curva Forward'!$B$5:$B$13,0),MATCH(GH$4,'Curva Forward'!$C$4:$AN$4,0))),DJ35)</f>
        <v>0</v>
      </c>
      <c r="GI35" s="190">
        <f>AW35*AW$2*IF($FC35="V",1,-1)*IF($Q35="Fixo",(DK35-INDEX('Curva Forward'!$C$5:$AN$13,MATCH(CONCATENATE(BD_COMERCIAL!$K35," ",BD_COMERCIAL!$L35),'Curva Forward'!$B$5:$B$13,0),MATCH(GI$4,'Curva Forward'!$C$4:$AN$4,0))),DK35)</f>
        <v>0</v>
      </c>
      <c r="GJ35" s="190">
        <f>AX35*AX$2*IF($FC35="V",1,-1)*IF($Q35="Fixo",(DL35-INDEX('Curva Forward'!$C$5:$AN$13,MATCH(CONCATENATE(BD_COMERCIAL!$K35," ",BD_COMERCIAL!$L35),'Curva Forward'!$B$5:$B$13,0),MATCH(GJ$4,'Curva Forward'!$C$4:$AN$4,0))),DL35)</f>
        <v>0</v>
      </c>
      <c r="GK35" s="190">
        <f>AY35*AY$2*IF($FC35="V",1,-1)*IF($Q35="Fixo",(DM35-INDEX('Curva Forward'!$C$5:$AN$13,MATCH(CONCATENATE(BD_COMERCIAL!$K35," ",BD_COMERCIAL!$L35),'Curva Forward'!$B$5:$B$13,0),MATCH(GK$4,'Curva Forward'!$C$4:$AN$4,0))),DM35)</f>
        <v>0</v>
      </c>
      <c r="GL35" s="190">
        <f>IF(EZ35="",0,CL35*CL$2*IF($FC35="V",1,-1)*IF($Q35="Fixo",(EZ35-INDEX('Curva Forward'!$C$5:$AN$13,MATCH(CONCATENATE(BD_COMERCIAL!$K35," ",BD_COMERCIAL!$L35),'Curva Forward'!$B$5:$B$13,0),MATCH(GL$4,'Curva Forward'!$C$4:$AN$4,0))),EZ35))</f>
        <v>0</v>
      </c>
      <c r="GM35" s="190">
        <f>IF(FA35="",0,CM35*CM$2*IF($FC35="V",1,-1)*IF($Q35="Fixo",(FA35-INDEX('Curva Forward'!$C$5:$AN$13,MATCH(CONCATENATE(BD_COMERCIAL!$K35," ",BD_COMERCIAL!$L35),'Curva Forward'!$B$5:$B$13,0),MATCH(GM$4,'Curva Forward'!$C$4:$AN$4,0))),FA35))</f>
        <v>0</v>
      </c>
      <c r="GN35" s="190">
        <f>IF(FB35="",0,CN35*CN$2*IF($FC35="V",1,-1)*IF($Q35="Fixo",(FB35-INDEX('Curva Forward'!$C$5:$AN$13,MATCH(CONCATENATE(BD_COMERCIAL!$K35," ",BD_COMERCIAL!$L35),'Curva Forward'!$B$5:$B$13,0),MATCH(GN$4,'Curva Forward'!$C$4:$AN$4,0))),FB35))</f>
        <v>0</v>
      </c>
      <c r="GO35" s="191">
        <f t="shared" ca="1" si="11"/>
        <v>2166480</v>
      </c>
      <c r="GP35" s="191">
        <f t="shared" ca="1" si="12"/>
        <v>0</v>
      </c>
      <c r="GQ35" s="115"/>
      <c r="GR35" s="250"/>
      <c r="GS35"/>
      <c r="GT35" s="6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</row>
    <row r="36" spans="1:236" s="265" customFormat="1" ht="15" customHeight="1" x14ac:dyDescent="0.35">
      <c r="A36" s="251"/>
      <c r="B36" s="7" t="s">
        <v>362</v>
      </c>
      <c r="C36" s="8">
        <v>44792</v>
      </c>
      <c r="D36" s="9" t="s">
        <v>123</v>
      </c>
      <c r="E36" s="10" t="s">
        <v>124</v>
      </c>
      <c r="F36" s="112" t="s">
        <v>348</v>
      </c>
      <c r="G36" s="10" t="s">
        <v>153</v>
      </c>
      <c r="H36" s="112" t="s">
        <v>363</v>
      </c>
      <c r="I36" s="9" t="s">
        <v>137</v>
      </c>
      <c r="J36" s="158"/>
      <c r="K36" s="10" t="s">
        <v>126</v>
      </c>
      <c r="L36" s="84" t="s">
        <v>22</v>
      </c>
      <c r="M36" s="11">
        <v>44927</v>
      </c>
      <c r="N36" s="12">
        <v>45107</v>
      </c>
      <c r="O36" s="10">
        <v>5</v>
      </c>
      <c r="P36" s="84">
        <v>131</v>
      </c>
      <c r="Q36" s="84" t="s">
        <v>127</v>
      </c>
      <c r="R36" s="10" t="s">
        <v>128</v>
      </c>
      <c r="S36" s="14" t="s">
        <v>133</v>
      </c>
      <c r="T36" s="11" t="s">
        <v>129</v>
      </c>
      <c r="U36" s="12">
        <v>44792</v>
      </c>
      <c r="V36" s="202">
        <f ca="1">IF(U36="","",
IF(U36="NA","",
IFERROR(VLOOKUP(EOMONTH(M36,-2)+1,IPCA!$A:$B,2,0),
VLOOKUP(EOMONTH(TODAY(),-2)+1,IPCA!$A:$B,2,0))/
VLOOKUP(EOMONTH(U36,-2)+1,IPCA!$A:$B,2,0)*
P36))</f>
        <v>132.26955762287605</v>
      </c>
      <c r="W36" s="84"/>
      <c r="X36" s="13" t="s">
        <v>132</v>
      </c>
      <c r="Y36" s="158"/>
      <c r="Z36" s="106"/>
      <c r="AA36" s="107"/>
      <c r="AB36" s="15">
        <v>5</v>
      </c>
      <c r="AC36">
        <v>5</v>
      </c>
      <c r="AD36">
        <v>5</v>
      </c>
      <c r="AE36">
        <v>5</v>
      </c>
      <c r="AF36">
        <v>5</v>
      </c>
      <c r="AG36">
        <v>5</v>
      </c>
      <c r="AH36"/>
      <c r="AI36"/>
      <c r="AJ36"/>
      <c r="AK36"/>
      <c r="AL36"/>
      <c r="AM36" s="6"/>
      <c r="AN36" s="15"/>
      <c r="AO36"/>
      <c r="AP36"/>
      <c r="AQ36"/>
      <c r="AR36"/>
      <c r="AS36"/>
      <c r="AT36"/>
      <c r="AU36"/>
      <c r="AV36"/>
      <c r="AW36"/>
      <c r="AX36"/>
      <c r="AY36" s="6"/>
      <c r="AZ36" s="15"/>
      <c r="BA36"/>
      <c r="BB36"/>
      <c r="BC36"/>
      <c r="BD36"/>
      <c r="BE36"/>
      <c r="BF36"/>
      <c r="BG36"/>
      <c r="BH36"/>
      <c r="BI36"/>
      <c r="BJ36"/>
      <c r="BK36" s="6"/>
      <c r="BL36" s="15"/>
      <c r="BM36"/>
      <c r="BN36"/>
      <c r="BO36"/>
      <c r="BP36"/>
      <c r="BQ36"/>
      <c r="BR36"/>
      <c r="BS36"/>
      <c r="BT36"/>
      <c r="BU36"/>
      <c r="BV36"/>
      <c r="BW36" s="6"/>
      <c r="BX36" s="15"/>
      <c r="BY36"/>
      <c r="BZ36"/>
      <c r="CA36"/>
      <c r="CB36"/>
      <c r="CC36"/>
      <c r="CD36"/>
      <c r="CE36"/>
      <c r="CF36"/>
      <c r="CG36"/>
      <c r="CH36"/>
      <c r="CI36" s="6"/>
      <c r="CJ36" s="16">
        <v>2.4794520547945207</v>
      </c>
      <c r="CK36" s="16" t="s">
        <v>578</v>
      </c>
      <c r="CL36" s="16" t="s">
        <v>578</v>
      </c>
      <c r="CM36" s="16" t="s">
        <v>578</v>
      </c>
      <c r="CN36" s="16" t="s">
        <v>578</v>
      </c>
      <c r="CO36" s="18"/>
      <c r="CP36" s="15">
        <v>131</v>
      </c>
      <c r="CQ36">
        <v>131</v>
      </c>
      <c r="CR36">
        <v>131</v>
      </c>
      <c r="CS36">
        <v>131</v>
      </c>
      <c r="CT36">
        <v>131</v>
      </c>
      <c r="CU36">
        <v>131</v>
      </c>
      <c r="CV36"/>
      <c r="CW36"/>
      <c r="CX36"/>
      <c r="CY36"/>
      <c r="CZ36"/>
      <c r="DA36" s="6"/>
      <c r="DB36" s="15"/>
      <c r="DC36"/>
      <c r="DD36"/>
      <c r="DE36"/>
      <c r="DF36"/>
      <c r="DG36"/>
      <c r="DH36"/>
      <c r="DI36"/>
      <c r="DJ36"/>
      <c r="DK36"/>
      <c r="DL36"/>
      <c r="DM36" s="6"/>
      <c r="DN36" s="15"/>
      <c r="DO36"/>
      <c r="DP36"/>
      <c r="DQ36"/>
      <c r="DR36"/>
      <c r="DS36"/>
      <c r="DT36"/>
      <c r="DU36"/>
      <c r="DV36"/>
      <c r="DW36"/>
      <c r="DX36"/>
      <c r="DY36" s="6"/>
      <c r="DZ36" s="15"/>
      <c r="EA36"/>
      <c r="EB36"/>
      <c r="EC36"/>
      <c r="ED36"/>
      <c r="EE36"/>
      <c r="EF36"/>
      <c r="EG36"/>
      <c r="EH36"/>
      <c r="EI36"/>
      <c r="EJ36"/>
      <c r="EK36" s="6"/>
      <c r="EL36" s="15"/>
      <c r="EM36"/>
      <c r="EN36"/>
      <c r="EO36"/>
      <c r="EP36"/>
      <c r="EQ36"/>
      <c r="ER36"/>
      <c r="ES36"/>
      <c r="ET36"/>
      <c r="EU36"/>
      <c r="EV36"/>
      <c r="EW36" s="6"/>
      <c r="EX36" s="16">
        <v>64.961643835616442</v>
      </c>
      <c r="EY36" s="16" t="s">
        <v>578</v>
      </c>
      <c r="EZ36" s="16" t="s">
        <v>578</v>
      </c>
      <c r="FA36" s="154" t="s">
        <v>578</v>
      </c>
      <c r="FB36" s="154" t="s">
        <v>578</v>
      </c>
      <c r="FC36" t="s">
        <v>195</v>
      </c>
      <c r="FD36" s="20" t="s">
        <v>137</v>
      </c>
      <c r="FE36"/>
      <c r="FF36" s="199" t="s">
        <v>197</v>
      </c>
      <c r="FG36"/>
      <c r="FH36" s="206">
        <f t="shared" ca="1" si="6"/>
        <v>1.2695576228760501</v>
      </c>
      <c r="FI36" s="198">
        <f t="shared" si="7"/>
        <v>6</v>
      </c>
      <c r="FJ36"/>
      <c r="FK36" t="str">
        <f t="shared" si="8"/>
        <v>BC Comercializadora de Energia Ltda</v>
      </c>
      <c r="FL36" s="191">
        <f t="shared" ca="1" si="9"/>
        <v>230640</v>
      </c>
      <c r="FM36" s="191">
        <f t="shared" ca="1" si="10"/>
        <v>1108680</v>
      </c>
      <c r="FN36" s="190">
        <f>AB36*AB$2*IF($FC36="V",1,-1)*IF($Q36="Fixo",(CP36-INDEX('Curva Forward'!$C$5:$AN$13,MATCH(CONCATENATE(BD_COMERCIAL!$K36," ",BD_COMERCIAL!$L36),'Curva Forward'!$B$5:$B$13,0),MATCH(FN$4,'Curva Forward'!$C$4:$AN$4,0))),CP36)</f>
        <v>230640</v>
      </c>
      <c r="FO36" s="190">
        <f>AC36*AC$2*IF($FC36="V",1,-1)*IF($Q36="Fixo",(CQ36-INDEX('Curva Forward'!$C$5:$AN$13,MATCH(CONCATENATE(BD_COMERCIAL!$K36," ",BD_COMERCIAL!$L36),'Curva Forward'!$B$5:$B$13,0),MATCH(FO$4,'Curva Forward'!$C$4:$AN$4,0))),CQ36)</f>
        <v>208320</v>
      </c>
      <c r="FP36" s="190">
        <f>AD36*AD$2*IF($FC36="V",1,-1)*IF($Q36="Fixo",(CR36-INDEX('Curva Forward'!$C$5:$AN$13,MATCH(CONCATENATE(BD_COMERCIAL!$K36," ",BD_COMERCIAL!$L36),'Curva Forward'!$B$5:$B$13,0),MATCH(FP$4,'Curva Forward'!$C$4:$AN$4,0))),CR36)</f>
        <v>230640</v>
      </c>
      <c r="FQ36" s="190">
        <f>AE36*AE$2*IF($FC36="V",1,-1)*IF($Q36="Fixo",(CS36-INDEX('Curva Forward'!$C$5:$AN$13,MATCH(CONCATENATE(BD_COMERCIAL!$K36," ",BD_COMERCIAL!$L36),'Curva Forward'!$B$5:$B$13,0),MATCH(FQ$4,'Curva Forward'!$C$4:$AN$4,0))),CS36)</f>
        <v>223200</v>
      </c>
      <c r="FR36" s="190">
        <f>AF36*AF$2*IF($FC36="V",1,-1)*IF($Q36="Fixo",(CT36-INDEX('Curva Forward'!$C$5:$AN$13,MATCH(CONCATENATE(BD_COMERCIAL!$K36," ",BD_COMERCIAL!$L36),'Curva Forward'!$B$5:$B$13,0),MATCH(FR$4,'Curva Forward'!$C$4:$AN$4,0))),CT36)</f>
        <v>226920</v>
      </c>
      <c r="FS36" s="190">
        <f>AG36*AG$2*IF($FC36="V",1,-1)*IF($Q36="Fixo",(CU36-INDEX('Curva Forward'!$C$5:$AN$13,MATCH(CONCATENATE(BD_COMERCIAL!$K36," ",BD_COMERCIAL!$L36),'Curva Forward'!$B$5:$B$13,0),MATCH(FS$4,'Curva Forward'!$C$4:$AN$4,0))),CU36)</f>
        <v>219600</v>
      </c>
      <c r="FT36" s="190">
        <f>AH36*AH$2*IF($FC36="V",1,-1)*IF($Q36="Fixo",(CV36-INDEX('Curva Forward'!$C$5:$AN$13,MATCH(CONCATENATE(BD_COMERCIAL!$K36," ",BD_COMERCIAL!$L36),'Curva Forward'!$B$5:$B$13,0),MATCH(FT$4,'Curva Forward'!$C$4:$AN$4,0))),CV36)</f>
        <v>0</v>
      </c>
      <c r="FU36" s="190">
        <f>AI36*AI$2*IF($FC36="V",1,-1)*IF($Q36="Fixo",(CW36-INDEX('Curva Forward'!$C$5:$AN$13,MATCH(CONCATENATE(BD_COMERCIAL!$K36," ",BD_COMERCIAL!$L36),'Curva Forward'!$B$5:$B$13,0),MATCH(FU$4,'Curva Forward'!$C$4:$AN$4,0))),CW36)</f>
        <v>0</v>
      </c>
      <c r="FV36" s="190">
        <f>AJ36*AJ$2*IF($FC36="V",1,-1)*IF($Q36="Fixo",(CX36-INDEX('Curva Forward'!$C$5:$AN$13,MATCH(CONCATENATE(BD_COMERCIAL!$K36," ",BD_COMERCIAL!$L36),'Curva Forward'!$B$5:$B$13,0),MATCH(FV$4,'Curva Forward'!$C$4:$AN$4,0))),CX36)</f>
        <v>0</v>
      </c>
      <c r="FW36" s="190">
        <f>AK36*AK$2*IF($FC36="V",1,-1)*IF($Q36="Fixo",(CY36-INDEX('Curva Forward'!$C$5:$AN$13,MATCH(CONCATENATE(BD_COMERCIAL!$K36," ",BD_COMERCIAL!$L36),'Curva Forward'!$B$5:$B$13,0),MATCH(FW$4,'Curva Forward'!$C$4:$AN$4,0))),CY36)</f>
        <v>0</v>
      </c>
      <c r="FX36" s="190">
        <f>AL36*AL$2*IF($FC36="V",1,-1)*IF($Q36="Fixo",(CZ36-INDEX('Curva Forward'!$C$5:$AN$13,MATCH(CONCATENATE(BD_COMERCIAL!$K36," ",BD_COMERCIAL!$L36),'Curva Forward'!$B$5:$B$13,0),MATCH(FX$4,'Curva Forward'!$C$4:$AN$4,0))),CZ36)</f>
        <v>0</v>
      </c>
      <c r="FY36" s="190">
        <f>AM36*AM$2*IF($FC36="V",1,-1)*IF($Q36="Fixo",(DA36-INDEX('Curva Forward'!$C$5:$AN$13,MATCH(CONCATENATE(BD_COMERCIAL!$K36," ",BD_COMERCIAL!$L36),'Curva Forward'!$B$5:$B$13,0),MATCH(FY$4,'Curva Forward'!$C$4:$AN$4,0))),DA36)</f>
        <v>0</v>
      </c>
      <c r="FZ36" s="190">
        <f>AN36*AN$2*IF($FC36="V",1,-1)*IF($Q36="Fixo",(DB36-INDEX('Curva Forward'!$C$5:$AN$13,MATCH(CONCATENATE(BD_COMERCIAL!$K36," ",BD_COMERCIAL!$L36),'Curva Forward'!$B$5:$B$13,0),MATCH(FZ$4,'Curva Forward'!$C$4:$AN$4,0))),DB36)</f>
        <v>0</v>
      </c>
      <c r="GA36" s="190">
        <f>AO36*AO$2*IF($FC36="V",1,-1)*IF($Q36="Fixo",(DC36-INDEX('Curva Forward'!$C$5:$AN$13,MATCH(CONCATENATE(BD_COMERCIAL!$K36," ",BD_COMERCIAL!$L36),'Curva Forward'!$B$5:$B$13,0),MATCH(GA$4,'Curva Forward'!$C$4:$AN$4,0))),DC36)</f>
        <v>0</v>
      </c>
      <c r="GB36" s="190">
        <f>AP36*AP$2*IF($FC36="V",1,-1)*IF($Q36="Fixo",(DD36-INDEX('Curva Forward'!$C$5:$AN$13,MATCH(CONCATENATE(BD_COMERCIAL!$K36," ",BD_COMERCIAL!$L36),'Curva Forward'!$B$5:$B$13,0),MATCH(GB$4,'Curva Forward'!$C$4:$AN$4,0))),DD36)</f>
        <v>0</v>
      </c>
      <c r="GC36" s="190">
        <f>AQ36*AQ$2*IF($FC36="V",1,-1)*IF($Q36="Fixo",(DE36-INDEX('Curva Forward'!$C$5:$AN$13,MATCH(CONCATENATE(BD_COMERCIAL!$K36," ",BD_COMERCIAL!$L36),'Curva Forward'!$B$5:$B$13,0),MATCH(GC$4,'Curva Forward'!$C$4:$AN$4,0))),DE36)</f>
        <v>0</v>
      </c>
      <c r="GD36" s="190">
        <f>AR36*AR$2*IF($FC36="V",1,-1)*IF($Q36="Fixo",(DF36-INDEX('Curva Forward'!$C$5:$AN$13,MATCH(CONCATENATE(BD_COMERCIAL!$K36," ",BD_COMERCIAL!$L36),'Curva Forward'!$B$5:$B$13,0),MATCH(GD$4,'Curva Forward'!$C$4:$AN$4,0))),DF36)</f>
        <v>0</v>
      </c>
      <c r="GE36" s="190">
        <f>AS36*AS$2*IF($FC36="V",1,-1)*IF($Q36="Fixo",(DG36-INDEX('Curva Forward'!$C$5:$AN$13,MATCH(CONCATENATE(BD_COMERCIAL!$K36," ",BD_COMERCIAL!$L36),'Curva Forward'!$B$5:$B$13,0),MATCH(GE$4,'Curva Forward'!$C$4:$AN$4,0))),DG36)</f>
        <v>0</v>
      </c>
      <c r="GF36" s="190">
        <f>AT36*AT$2*IF($FC36="V",1,-1)*IF($Q36="Fixo",(DH36-INDEX('Curva Forward'!$C$5:$AN$13,MATCH(CONCATENATE(BD_COMERCIAL!$K36," ",BD_COMERCIAL!$L36),'Curva Forward'!$B$5:$B$13,0),MATCH(GF$4,'Curva Forward'!$C$4:$AN$4,0))),DH36)</f>
        <v>0</v>
      </c>
      <c r="GG36" s="190">
        <f>AU36*AU$2*IF($FC36="V",1,-1)*IF($Q36="Fixo",(DI36-INDEX('Curva Forward'!$C$5:$AN$13,MATCH(CONCATENATE(BD_COMERCIAL!$K36," ",BD_COMERCIAL!$L36),'Curva Forward'!$B$5:$B$13,0),MATCH(GG$4,'Curva Forward'!$C$4:$AN$4,0))),DI36)</f>
        <v>0</v>
      </c>
      <c r="GH36" s="190">
        <f>AV36*AV$2*IF($FC36="V",1,-1)*IF($Q36="Fixo",(DJ36-INDEX('Curva Forward'!$C$5:$AN$13,MATCH(CONCATENATE(BD_COMERCIAL!$K36," ",BD_COMERCIAL!$L36),'Curva Forward'!$B$5:$B$13,0),MATCH(GH$4,'Curva Forward'!$C$4:$AN$4,0))),DJ36)</f>
        <v>0</v>
      </c>
      <c r="GI36" s="190">
        <f>AW36*AW$2*IF($FC36="V",1,-1)*IF($Q36="Fixo",(DK36-INDEX('Curva Forward'!$C$5:$AN$13,MATCH(CONCATENATE(BD_COMERCIAL!$K36," ",BD_COMERCIAL!$L36),'Curva Forward'!$B$5:$B$13,0),MATCH(GI$4,'Curva Forward'!$C$4:$AN$4,0))),DK36)</f>
        <v>0</v>
      </c>
      <c r="GJ36" s="190">
        <f>AX36*AX$2*IF($FC36="V",1,-1)*IF($Q36="Fixo",(DL36-INDEX('Curva Forward'!$C$5:$AN$13,MATCH(CONCATENATE(BD_COMERCIAL!$K36," ",BD_COMERCIAL!$L36),'Curva Forward'!$B$5:$B$13,0),MATCH(GJ$4,'Curva Forward'!$C$4:$AN$4,0))),DL36)</f>
        <v>0</v>
      </c>
      <c r="GK36" s="190">
        <f>AY36*AY$2*IF($FC36="V",1,-1)*IF($Q36="Fixo",(DM36-INDEX('Curva Forward'!$C$5:$AN$13,MATCH(CONCATENATE(BD_COMERCIAL!$K36," ",BD_COMERCIAL!$L36),'Curva Forward'!$B$5:$B$13,0),MATCH(GK$4,'Curva Forward'!$C$4:$AN$4,0))),DM36)</f>
        <v>0</v>
      </c>
      <c r="GL36" s="190">
        <f>IF(EZ36="",0,CL36*CL$2*IF($FC36="V",1,-1)*IF($Q36="Fixo",(EZ36-INDEX('Curva Forward'!$C$5:$AN$13,MATCH(CONCATENATE(BD_COMERCIAL!$K36," ",BD_COMERCIAL!$L36),'Curva Forward'!$B$5:$B$13,0),MATCH(GL$4,'Curva Forward'!$C$4:$AN$4,0))),EZ36))</f>
        <v>0</v>
      </c>
      <c r="GM36" s="190">
        <f>IF(FA36="",0,CM36*CM$2*IF($FC36="V",1,-1)*IF($Q36="Fixo",(FA36-INDEX('Curva Forward'!$C$5:$AN$13,MATCH(CONCATENATE(BD_COMERCIAL!$K36," ",BD_COMERCIAL!$L36),'Curva Forward'!$B$5:$B$13,0),MATCH(GM$4,'Curva Forward'!$C$4:$AN$4,0))),FA36))</f>
        <v>0</v>
      </c>
      <c r="GN36" s="190">
        <f>IF(FB36="",0,CN36*CN$2*IF($FC36="V",1,-1)*IF($Q36="Fixo",(FB36-INDEX('Curva Forward'!$C$5:$AN$13,MATCH(CONCATENATE(BD_COMERCIAL!$K36," ",BD_COMERCIAL!$L36),'Curva Forward'!$B$5:$B$13,0),MATCH(GN$4,'Curva Forward'!$C$4:$AN$4,0))),FB36))</f>
        <v>0</v>
      </c>
      <c r="GO36" s="191">
        <f t="shared" ca="1" si="11"/>
        <v>1108680</v>
      </c>
      <c r="GP36" s="191">
        <f t="shared" ca="1" si="12"/>
        <v>0</v>
      </c>
      <c r="GQ36" s="115"/>
      <c r="GR36" s="115"/>
      <c r="GS36"/>
      <c r="GT36" s="65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</row>
    <row r="37" spans="1:236" s="265" customFormat="1" ht="15" customHeight="1" x14ac:dyDescent="0.35">
      <c r="A37" s="251"/>
      <c r="B37" s="7" t="s">
        <v>366</v>
      </c>
      <c r="C37" s="8">
        <v>44795</v>
      </c>
      <c r="D37" s="9" t="s">
        <v>123</v>
      </c>
      <c r="E37" s="10" t="s">
        <v>124</v>
      </c>
      <c r="F37" s="112" t="s">
        <v>348</v>
      </c>
      <c r="G37" s="10" t="s">
        <v>304</v>
      </c>
      <c r="H37" s="112" t="s">
        <v>351</v>
      </c>
      <c r="I37" s="9" t="s">
        <v>125</v>
      </c>
      <c r="J37" s="158" t="s">
        <v>349</v>
      </c>
      <c r="K37" s="10" t="s">
        <v>126</v>
      </c>
      <c r="L37" s="84" t="s">
        <v>22</v>
      </c>
      <c r="M37" s="11">
        <v>45017</v>
      </c>
      <c r="N37" s="12">
        <v>45107</v>
      </c>
      <c r="O37" s="10">
        <v>5</v>
      </c>
      <c r="P37" s="84">
        <v>121</v>
      </c>
      <c r="Q37" s="84" t="s">
        <v>127</v>
      </c>
      <c r="R37" s="10" t="s">
        <v>128</v>
      </c>
      <c r="S37" s="14" t="s">
        <v>133</v>
      </c>
      <c r="T37" s="11" t="s">
        <v>129</v>
      </c>
      <c r="U37" s="12">
        <v>44795</v>
      </c>
      <c r="V37" s="202" t="e">
        <f ca="1">IF(U37="","",
IF(U37="NA","",
IFERROR(VLOOKUP(EOMONTH(M37,-2)+1,IPCA!$A:$B,2,0),
VLOOKUP(EOMONTH(TODAY(),-2)+1,IPCA!$A:$B,2,0))/
VLOOKUP(EOMONTH(U37,-2)+1,IPCA!$A:$B,2,0)*
P37))</f>
        <v>#N/A</v>
      </c>
      <c r="W37" s="84"/>
      <c r="X37" s="13" t="s">
        <v>132</v>
      </c>
      <c r="Y37" s="158"/>
      <c r="Z37" s="106"/>
      <c r="AA37" s="107"/>
      <c r="AB37" s="15"/>
      <c r="AC37"/>
      <c r="AD37"/>
      <c r="AE37">
        <v>5</v>
      </c>
      <c r="AF37">
        <v>5</v>
      </c>
      <c r="AG37">
        <v>5</v>
      </c>
      <c r="AH37"/>
      <c r="AI37"/>
      <c r="AJ37"/>
      <c r="AK37"/>
      <c r="AL37"/>
      <c r="AM37" s="6"/>
      <c r="AN37" s="15"/>
      <c r="AO37"/>
      <c r="AP37"/>
      <c r="AQ37"/>
      <c r="AR37"/>
      <c r="AS37"/>
      <c r="AT37"/>
      <c r="AU37"/>
      <c r="AV37"/>
      <c r="AW37"/>
      <c r="AX37"/>
      <c r="AY37" s="6"/>
      <c r="AZ37" s="15"/>
      <c r="BA37"/>
      <c r="BB37"/>
      <c r="BC37"/>
      <c r="BD37"/>
      <c r="BE37"/>
      <c r="BF37"/>
      <c r="BG37"/>
      <c r="BH37"/>
      <c r="BI37"/>
      <c r="BJ37"/>
      <c r="BK37" s="6"/>
      <c r="BL37" s="15"/>
      <c r="BM37"/>
      <c r="BN37"/>
      <c r="BO37"/>
      <c r="BP37"/>
      <c r="BQ37"/>
      <c r="BR37"/>
      <c r="BS37"/>
      <c r="BT37"/>
      <c r="BU37"/>
      <c r="BV37"/>
      <c r="BW37" s="6"/>
      <c r="BX37" s="15"/>
      <c r="BY37"/>
      <c r="BZ37"/>
      <c r="CA37"/>
      <c r="CB37"/>
      <c r="CC37"/>
      <c r="CD37"/>
      <c r="CE37"/>
      <c r="CF37"/>
      <c r="CG37"/>
      <c r="CH37"/>
      <c r="CI37" s="6"/>
      <c r="CJ37" s="16">
        <v>1.2465753424657535</v>
      </c>
      <c r="CK37" s="16" t="s">
        <v>578</v>
      </c>
      <c r="CL37" s="16" t="s">
        <v>578</v>
      </c>
      <c r="CM37" s="16" t="s">
        <v>578</v>
      </c>
      <c r="CN37" s="16" t="s">
        <v>578</v>
      </c>
      <c r="CO37" s="18"/>
      <c r="CP37" s="15"/>
      <c r="CQ37"/>
      <c r="CR37"/>
      <c r="CS37">
        <v>121</v>
      </c>
      <c r="CT37">
        <v>121</v>
      </c>
      <c r="CU37">
        <v>121</v>
      </c>
      <c r="CV37"/>
      <c r="CW37"/>
      <c r="CX37"/>
      <c r="CY37"/>
      <c r="CZ37"/>
      <c r="DA37" s="6"/>
      <c r="DB37" s="15"/>
      <c r="DC37"/>
      <c r="DD37"/>
      <c r="DE37"/>
      <c r="DF37"/>
      <c r="DG37"/>
      <c r="DH37"/>
      <c r="DI37"/>
      <c r="DJ37"/>
      <c r="DK37"/>
      <c r="DL37"/>
      <c r="DM37" s="6"/>
      <c r="DN37" s="15"/>
      <c r="DO37"/>
      <c r="DP37"/>
      <c r="DQ37"/>
      <c r="DR37"/>
      <c r="DS37"/>
      <c r="DT37"/>
      <c r="DU37"/>
      <c r="DV37"/>
      <c r="DW37"/>
      <c r="DX37"/>
      <c r="DY37" s="6"/>
      <c r="DZ37" s="15"/>
      <c r="EA37"/>
      <c r="EB37"/>
      <c r="EC37"/>
      <c r="ED37"/>
      <c r="EE37"/>
      <c r="EF37"/>
      <c r="EG37"/>
      <c r="EH37"/>
      <c r="EI37"/>
      <c r="EJ37"/>
      <c r="EK37" s="6"/>
      <c r="EL37" s="15"/>
      <c r="EM37"/>
      <c r="EN37"/>
      <c r="EO37"/>
      <c r="EP37"/>
      <c r="EQ37"/>
      <c r="ER37"/>
      <c r="ES37"/>
      <c r="ET37"/>
      <c r="EU37"/>
      <c r="EV37"/>
      <c r="EW37" s="6"/>
      <c r="EX37" s="16">
        <v>30.167123287671235</v>
      </c>
      <c r="EY37" s="16" t="s">
        <v>578</v>
      </c>
      <c r="EZ37" s="16" t="s">
        <v>578</v>
      </c>
      <c r="FA37" s="154" t="s">
        <v>578</v>
      </c>
      <c r="FB37" s="154" t="s">
        <v>578</v>
      </c>
      <c r="FC37" t="s">
        <v>195</v>
      </c>
      <c r="FD37" s="20" t="s">
        <v>125</v>
      </c>
      <c r="FE37"/>
      <c r="FF37" s="199" t="s">
        <v>197</v>
      </c>
      <c r="FG37"/>
      <c r="FH37" s="206" t="e">
        <f t="shared" ca="1" si="6"/>
        <v>#N/A</v>
      </c>
      <c r="FI37" s="198">
        <f t="shared" si="7"/>
        <v>3</v>
      </c>
      <c r="FJ37"/>
      <c r="FK37" t="str">
        <f t="shared" si="8"/>
        <v>GERDAU AÇOS LONGOS S.A. - Filial</v>
      </c>
      <c r="FL37" s="191">
        <f t="shared" ca="1" si="9"/>
        <v>0</v>
      </c>
      <c r="FM37" s="191">
        <f t="shared" ca="1" si="10"/>
        <v>560520</v>
      </c>
      <c r="FN37" s="190">
        <f>AB37*AB$2*IF($FC37="V",1,-1)*IF($Q37="Fixo",(CP37-INDEX('Curva Forward'!$C$5:$AN$13,MATCH(CONCATENATE(BD_COMERCIAL!$K37," ",BD_COMERCIAL!$L37),'Curva Forward'!$B$5:$B$13,0),MATCH(FN$4,'Curva Forward'!$C$4:$AN$4,0))),CP37)</f>
        <v>0</v>
      </c>
      <c r="FO37" s="190">
        <f>AC37*AC$2*IF($FC37="V",1,-1)*IF($Q37="Fixo",(CQ37-INDEX('Curva Forward'!$C$5:$AN$13,MATCH(CONCATENATE(BD_COMERCIAL!$K37," ",BD_COMERCIAL!$L37),'Curva Forward'!$B$5:$B$13,0),MATCH(FO$4,'Curva Forward'!$C$4:$AN$4,0))),CQ37)</f>
        <v>0</v>
      </c>
      <c r="FP37" s="190">
        <f>AD37*AD$2*IF($FC37="V",1,-1)*IF($Q37="Fixo",(CR37-INDEX('Curva Forward'!$C$5:$AN$13,MATCH(CONCATENATE(BD_COMERCIAL!$K37," ",BD_COMERCIAL!$L37),'Curva Forward'!$B$5:$B$13,0),MATCH(FP$4,'Curva Forward'!$C$4:$AN$4,0))),CR37)</f>
        <v>0</v>
      </c>
      <c r="FQ37" s="190">
        <f>AE37*AE$2*IF($FC37="V",1,-1)*IF($Q37="Fixo",(CS37-INDEX('Curva Forward'!$C$5:$AN$13,MATCH(CONCATENATE(BD_COMERCIAL!$K37," ",BD_COMERCIAL!$L37),'Curva Forward'!$B$5:$B$13,0),MATCH(FQ$4,'Curva Forward'!$C$4:$AN$4,0))),CS37)</f>
        <v>187200</v>
      </c>
      <c r="FR37" s="190">
        <f>AF37*AF$2*IF($FC37="V",1,-1)*IF($Q37="Fixo",(CT37-INDEX('Curva Forward'!$C$5:$AN$13,MATCH(CONCATENATE(BD_COMERCIAL!$K37," ",BD_COMERCIAL!$L37),'Curva Forward'!$B$5:$B$13,0),MATCH(FR$4,'Curva Forward'!$C$4:$AN$4,0))),CT37)</f>
        <v>189720</v>
      </c>
      <c r="FS37" s="190">
        <f>AG37*AG$2*IF($FC37="V",1,-1)*IF($Q37="Fixo",(CU37-INDEX('Curva Forward'!$C$5:$AN$13,MATCH(CONCATENATE(BD_COMERCIAL!$K37," ",BD_COMERCIAL!$L37),'Curva Forward'!$B$5:$B$13,0),MATCH(FS$4,'Curva Forward'!$C$4:$AN$4,0))),CU37)</f>
        <v>183600</v>
      </c>
      <c r="FT37" s="190">
        <f>AH37*AH$2*IF($FC37="V",1,-1)*IF($Q37="Fixo",(CV37-INDEX('Curva Forward'!$C$5:$AN$13,MATCH(CONCATENATE(BD_COMERCIAL!$K37," ",BD_COMERCIAL!$L37),'Curva Forward'!$B$5:$B$13,0),MATCH(FT$4,'Curva Forward'!$C$4:$AN$4,0))),CV37)</f>
        <v>0</v>
      </c>
      <c r="FU37" s="190">
        <f>AI37*AI$2*IF($FC37="V",1,-1)*IF($Q37="Fixo",(CW37-INDEX('Curva Forward'!$C$5:$AN$13,MATCH(CONCATENATE(BD_COMERCIAL!$K37," ",BD_COMERCIAL!$L37),'Curva Forward'!$B$5:$B$13,0),MATCH(FU$4,'Curva Forward'!$C$4:$AN$4,0))),CW37)</f>
        <v>0</v>
      </c>
      <c r="FV37" s="190">
        <f>AJ37*AJ$2*IF($FC37="V",1,-1)*IF($Q37="Fixo",(CX37-INDEX('Curva Forward'!$C$5:$AN$13,MATCH(CONCATENATE(BD_COMERCIAL!$K37," ",BD_COMERCIAL!$L37),'Curva Forward'!$B$5:$B$13,0),MATCH(FV$4,'Curva Forward'!$C$4:$AN$4,0))),CX37)</f>
        <v>0</v>
      </c>
      <c r="FW37" s="190">
        <f>AK37*AK$2*IF($FC37="V",1,-1)*IF($Q37="Fixo",(CY37-INDEX('Curva Forward'!$C$5:$AN$13,MATCH(CONCATENATE(BD_COMERCIAL!$K37," ",BD_COMERCIAL!$L37),'Curva Forward'!$B$5:$B$13,0),MATCH(FW$4,'Curva Forward'!$C$4:$AN$4,0))),CY37)</f>
        <v>0</v>
      </c>
      <c r="FX37" s="190">
        <f>AL37*AL$2*IF($FC37="V",1,-1)*IF($Q37="Fixo",(CZ37-INDEX('Curva Forward'!$C$5:$AN$13,MATCH(CONCATENATE(BD_COMERCIAL!$K37," ",BD_COMERCIAL!$L37),'Curva Forward'!$B$5:$B$13,0),MATCH(FX$4,'Curva Forward'!$C$4:$AN$4,0))),CZ37)</f>
        <v>0</v>
      </c>
      <c r="FY37" s="190">
        <f>AM37*AM$2*IF($FC37="V",1,-1)*IF($Q37="Fixo",(DA37-INDEX('Curva Forward'!$C$5:$AN$13,MATCH(CONCATENATE(BD_COMERCIAL!$K37," ",BD_COMERCIAL!$L37),'Curva Forward'!$B$5:$B$13,0),MATCH(FY$4,'Curva Forward'!$C$4:$AN$4,0))),DA37)</f>
        <v>0</v>
      </c>
      <c r="FZ37" s="190">
        <f>AN37*AN$2*IF($FC37="V",1,-1)*IF($Q37="Fixo",(DB37-INDEX('Curva Forward'!$C$5:$AN$13,MATCH(CONCATENATE(BD_COMERCIAL!$K37," ",BD_COMERCIAL!$L37),'Curva Forward'!$B$5:$B$13,0),MATCH(FZ$4,'Curva Forward'!$C$4:$AN$4,0))),DB37)</f>
        <v>0</v>
      </c>
      <c r="GA37" s="190">
        <f>AO37*AO$2*IF($FC37="V",1,-1)*IF($Q37="Fixo",(DC37-INDEX('Curva Forward'!$C$5:$AN$13,MATCH(CONCATENATE(BD_COMERCIAL!$K37," ",BD_COMERCIAL!$L37),'Curva Forward'!$B$5:$B$13,0),MATCH(GA$4,'Curva Forward'!$C$4:$AN$4,0))),DC37)</f>
        <v>0</v>
      </c>
      <c r="GB37" s="190">
        <f>AP37*AP$2*IF($FC37="V",1,-1)*IF($Q37="Fixo",(DD37-INDEX('Curva Forward'!$C$5:$AN$13,MATCH(CONCATENATE(BD_COMERCIAL!$K37," ",BD_COMERCIAL!$L37),'Curva Forward'!$B$5:$B$13,0),MATCH(GB$4,'Curva Forward'!$C$4:$AN$4,0))),DD37)</f>
        <v>0</v>
      </c>
      <c r="GC37" s="190">
        <f>AQ37*AQ$2*IF($FC37="V",1,-1)*IF($Q37="Fixo",(DE37-INDEX('Curva Forward'!$C$5:$AN$13,MATCH(CONCATENATE(BD_COMERCIAL!$K37," ",BD_COMERCIAL!$L37),'Curva Forward'!$B$5:$B$13,0),MATCH(GC$4,'Curva Forward'!$C$4:$AN$4,0))),DE37)</f>
        <v>0</v>
      </c>
      <c r="GD37" s="190">
        <f>AR37*AR$2*IF($FC37="V",1,-1)*IF($Q37="Fixo",(DF37-INDEX('Curva Forward'!$C$5:$AN$13,MATCH(CONCATENATE(BD_COMERCIAL!$K37," ",BD_COMERCIAL!$L37),'Curva Forward'!$B$5:$B$13,0),MATCH(GD$4,'Curva Forward'!$C$4:$AN$4,0))),DF37)</f>
        <v>0</v>
      </c>
      <c r="GE37" s="190">
        <f>AS37*AS$2*IF($FC37="V",1,-1)*IF($Q37="Fixo",(DG37-INDEX('Curva Forward'!$C$5:$AN$13,MATCH(CONCATENATE(BD_COMERCIAL!$K37," ",BD_COMERCIAL!$L37),'Curva Forward'!$B$5:$B$13,0),MATCH(GE$4,'Curva Forward'!$C$4:$AN$4,0))),DG37)</f>
        <v>0</v>
      </c>
      <c r="GF37" s="190">
        <f>AT37*AT$2*IF($FC37="V",1,-1)*IF($Q37="Fixo",(DH37-INDEX('Curva Forward'!$C$5:$AN$13,MATCH(CONCATENATE(BD_COMERCIAL!$K37," ",BD_COMERCIAL!$L37),'Curva Forward'!$B$5:$B$13,0),MATCH(GF$4,'Curva Forward'!$C$4:$AN$4,0))),DH37)</f>
        <v>0</v>
      </c>
      <c r="GG37" s="190">
        <f>AU37*AU$2*IF($FC37="V",1,-1)*IF($Q37="Fixo",(DI37-INDEX('Curva Forward'!$C$5:$AN$13,MATCH(CONCATENATE(BD_COMERCIAL!$K37," ",BD_COMERCIAL!$L37),'Curva Forward'!$B$5:$B$13,0),MATCH(GG$4,'Curva Forward'!$C$4:$AN$4,0))),DI37)</f>
        <v>0</v>
      </c>
      <c r="GH37" s="190">
        <f>AV37*AV$2*IF($FC37="V",1,-1)*IF($Q37="Fixo",(DJ37-INDEX('Curva Forward'!$C$5:$AN$13,MATCH(CONCATENATE(BD_COMERCIAL!$K37," ",BD_COMERCIAL!$L37),'Curva Forward'!$B$5:$B$13,0),MATCH(GH$4,'Curva Forward'!$C$4:$AN$4,0))),DJ37)</f>
        <v>0</v>
      </c>
      <c r="GI37" s="190">
        <f>AW37*AW$2*IF($FC37="V",1,-1)*IF($Q37="Fixo",(DK37-INDEX('Curva Forward'!$C$5:$AN$13,MATCH(CONCATENATE(BD_COMERCIAL!$K37," ",BD_COMERCIAL!$L37),'Curva Forward'!$B$5:$B$13,0),MATCH(GI$4,'Curva Forward'!$C$4:$AN$4,0))),DK37)</f>
        <v>0</v>
      </c>
      <c r="GJ37" s="190">
        <f>AX37*AX$2*IF($FC37="V",1,-1)*IF($Q37="Fixo",(DL37-INDEX('Curva Forward'!$C$5:$AN$13,MATCH(CONCATENATE(BD_COMERCIAL!$K37," ",BD_COMERCIAL!$L37),'Curva Forward'!$B$5:$B$13,0),MATCH(GJ$4,'Curva Forward'!$C$4:$AN$4,0))),DL37)</f>
        <v>0</v>
      </c>
      <c r="GK37" s="190">
        <f>AY37*AY$2*IF($FC37="V",1,-1)*IF($Q37="Fixo",(DM37-INDEX('Curva Forward'!$C$5:$AN$13,MATCH(CONCATENATE(BD_COMERCIAL!$K37," ",BD_COMERCIAL!$L37),'Curva Forward'!$B$5:$B$13,0),MATCH(GK$4,'Curva Forward'!$C$4:$AN$4,0))),DM37)</f>
        <v>0</v>
      </c>
      <c r="GL37" s="190">
        <f>IF(EZ37="",0,CL37*CL$2*IF($FC37="V",1,-1)*IF($Q37="Fixo",(EZ37-INDEX('Curva Forward'!$C$5:$AN$13,MATCH(CONCATENATE(BD_COMERCIAL!$K37," ",BD_COMERCIAL!$L37),'Curva Forward'!$B$5:$B$13,0),MATCH(GL$4,'Curva Forward'!$C$4:$AN$4,0))),EZ37))</f>
        <v>0</v>
      </c>
      <c r="GM37" s="190">
        <f>IF(FA37="",0,CM37*CM$2*IF($FC37="V",1,-1)*IF($Q37="Fixo",(FA37-INDEX('Curva Forward'!$C$5:$AN$13,MATCH(CONCATENATE(BD_COMERCIAL!$K37," ",BD_COMERCIAL!$L37),'Curva Forward'!$B$5:$B$13,0),MATCH(GM$4,'Curva Forward'!$C$4:$AN$4,0))),FA37))</f>
        <v>0</v>
      </c>
      <c r="GN37" s="190">
        <f>IF(FB37="",0,CN37*CN$2*IF($FC37="V",1,-1)*IF($Q37="Fixo",(FB37-INDEX('Curva Forward'!$C$5:$AN$13,MATCH(CONCATENATE(BD_COMERCIAL!$K37," ",BD_COMERCIAL!$L37),'Curva Forward'!$B$5:$B$13,0),MATCH(GN$4,'Curva Forward'!$C$4:$AN$4,0))),FB37))</f>
        <v>0</v>
      </c>
      <c r="GO37" s="191">
        <f t="shared" ca="1" si="11"/>
        <v>560520</v>
      </c>
      <c r="GP37" s="191">
        <f t="shared" ca="1" si="12"/>
        <v>0</v>
      </c>
      <c r="GQ37" s="115"/>
      <c r="GR37" s="115"/>
      <c r="GS37"/>
      <c r="GT37" s="65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</row>
    <row r="38" spans="1:236" s="265" customFormat="1" ht="15" customHeight="1" x14ac:dyDescent="0.35">
      <c r="A38" s="251"/>
      <c r="B38" s="7" t="s">
        <v>367</v>
      </c>
      <c r="C38" s="8">
        <v>44795</v>
      </c>
      <c r="D38" s="9" t="s">
        <v>123</v>
      </c>
      <c r="E38" s="10" t="s">
        <v>124</v>
      </c>
      <c r="F38" s="112" t="s">
        <v>348</v>
      </c>
      <c r="G38" s="10" t="s">
        <v>220</v>
      </c>
      <c r="H38" s="112" t="s">
        <v>368</v>
      </c>
      <c r="I38" s="9" t="s">
        <v>125</v>
      </c>
      <c r="J38" s="158" t="s">
        <v>349</v>
      </c>
      <c r="K38" s="10" t="s">
        <v>126</v>
      </c>
      <c r="L38" s="84" t="s">
        <v>22</v>
      </c>
      <c r="M38" s="11">
        <v>45017</v>
      </c>
      <c r="N38" s="12">
        <v>45107</v>
      </c>
      <c r="O38" s="10">
        <v>3</v>
      </c>
      <c r="P38" s="84">
        <v>120</v>
      </c>
      <c r="Q38" s="84" t="s">
        <v>127</v>
      </c>
      <c r="R38" s="10" t="s">
        <v>128</v>
      </c>
      <c r="S38" s="14" t="s">
        <v>133</v>
      </c>
      <c r="T38" s="11" t="s">
        <v>129</v>
      </c>
      <c r="U38" s="12">
        <v>44795</v>
      </c>
      <c r="V38" s="202" t="e">
        <f ca="1">IF(U38="","",
IF(U38="NA","",
IFERROR(VLOOKUP(EOMONTH(M38,-2)+1,IPCA!$A:$B,2,0),
VLOOKUP(EOMONTH(TODAY(),-2)+1,IPCA!$A:$B,2,0))/
VLOOKUP(EOMONTH(U38,-2)+1,IPCA!$A:$B,2,0)*
P38))</f>
        <v>#N/A</v>
      </c>
      <c r="W38" s="84"/>
      <c r="X38" s="13" t="s">
        <v>132</v>
      </c>
      <c r="Y38" s="158"/>
      <c r="Z38" s="106"/>
      <c r="AA38" s="107"/>
      <c r="AB38" s="15"/>
      <c r="AC38"/>
      <c r="AD38"/>
      <c r="AE38">
        <v>3</v>
      </c>
      <c r="AF38">
        <v>3</v>
      </c>
      <c r="AG38">
        <v>3</v>
      </c>
      <c r="AH38"/>
      <c r="AI38"/>
      <c r="AJ38"/>
      <c r="AK38"/>
      <c r="AL38"/>
      <c r="AM38" s="6"/>
      <c r="AN38" s="15"/>
      <c r="AO38"/>
      <c r="AP38"/>
      <c r="AQ38"/>
      <c r="AR38"/>
      <c r="AS38"/>
      <c r="AT38"/>
      <c r="AU38"/>
      <c r="AV38"/>
      <c r="AW38"/>
      <c r="AX38"/>
      <c r="AY38" s="6"/>
      <c r="AZ38" s="15"/>
      <c r="BA38"/>
      <c r="BB38"/>
      <c r="BC38"/>
      <c r="BD38"/>
      <c r="BE38"/>
      <c r="BF38"/>
      <c r="BG38"/>
      <c r="BH38"/>
      <c r="BI38"/>
      <c r="BJ38"/>
      <c r="BK38" s="6"/>
      <c r="BL38" s="15"/>
      <c r="BM38"/>
      <c r="BN38"/>
      <c r="BO38"/>
      <c r="BP38"/>
      <c r="BQ38"/>
      <c r="BR38"/>
      <c r="BS38"/>
      <c r="BT38"/>
      <c r="BU38"/>
      <c r="BV38"/>
      <c r="BW38" s="6"/>
      <c r="BX38" s="15"/>
      <c r="BY38"/>
      <c r="BZ38"/>
      <c r="CA38"/>
      <c r="CB38"/>
      <c r="CC38"/>
      <c r="CD38"/>
      <c r="CE38"/>
      <c r="CF38"/>
      <c r="CG38"/>
      <c r="CH38"/>
      <c r="CI38" s="6"/>
      <c r="CJ38" s="16">
        <v>0.74794520547945209</v>
      </c>
      <c r="CK38" s="16" t="s">
        <v>578</v>
      </c>
      <c r="CL38" s="16" t="s">
        <v>578</v>
      </c>
      <c r="CM38" s="16" t="s">
        <v>578</v>
      </c>
      <c r="CN38" s="16" t="s">
        <v>578</v>
      </c>
      <c r="CO38" s="18"/>
      <c r="CP38" s="15"/>
      <c r="CQ38"/>
      <c r="CR38"/>
      <c r="CS38">
        <v>120</v>
      </c>
      <c r="CT38">
        <v>120</v>
      </c>
      <c r="CU38">
        <v>120</v>
      </c>
      <c r="CV38"/>
      <c r="CW38"/>
      <c r="CX38"/>
      <c r="CY38"/>
      <c r="CZ38"/>
      <c r="DA38" s="6"/>
      <c r="DB38" s="15"/>
      <c r="DC38"/>
      <c r="DD38"/>
      <c r="DE38"/>
      <c r="DF38"/>
      <c r="DG38"/>
      <c r="DH38"/>
      <c r="DI38"/>
      <c r="DJ38"/>
      <c r="DK38"/>
      <c r="DL38"/>
      <c r="DM38" s="6"/>
      <c r="DN38" s="15"/>
      <c r="DO38"/>
      <c r="DP38"/>
      <c r="DQ38"/>
      <c r="DR38"/>
      <c r="DS38"/>
      <c r="DT38"/>
      <c r="DU38"/>
      <c r="DV38"/>
      <c r="DW38"/>
      <c r="DX38"/>
      <c r="DY38" s="6"/>
      <c r="DZ38" s="15"/>
      <c r="EA38"/>
      <c r="EB38"/>
      <c r="EC38"/>
      <c r="ED38"/>
      <c r="EE38"/>
      <c r="EF38"/>
      <c r="EG38"/>
      <c r="EH38"/>
      <c r="EI38"/>
      <c r="EJ38"/>
      <c r="EK38" s="6"/>
      <c r="EL38" s="15"/>
      <c r="EM38"/>
      <c r="EN38"/>
      <c r="EO38"/>
      <c r="EP38"/>
      <c r="EQ38"/>
      <c r="ER38"/>
      <c r="ES38"/>
      <c r="ET38"/>
      <c r="EU38"/>
      <c r="EV38"/>
      <c r="EW38" s="6"/>
      <c r="EX38" s="16">
        <v>29.917808219178081</v>
      </c>
      <c r="EY38" s="16" t="s">
        <v>578</v>
      </c>
      <c r="EZ38" s="16" t="s">
        <v>578</v>
      </c>
      <c r="FA38" s="154" t="s">
        <v>578</v>
      </c>
      <c r="FB38" s="154" t="s">
        <v>578</v>
      </c>
      <c r="FC38" t="s">
        <v>195</v>
      </c>
      <c r="FD38" s="20" t="s">
        <v>125</v>
      </c>
      <c r="FE38"/>
      <c r="FF38" s="199" t="s">
        <v>197</v>
      </c>
      <c r="FG38"/>
      <c r="FH38" s="206" t="e">
        <f t="shared" ca="1" si="6"/>
        <v>#N/A</v>
      </c>
      <c r="FI38" s="198">
        <f t="shared" si="7"/>
        <v>3</v>
      </c>
      <c r="FJ38"/>
      <c r="FK38" t="str">
        <f t="shared" si="8"/>
        <v>2W Energia S.A</v>
      </c>
      <c r="FL38" s="191">
        <f t="shared" ca="1" si="9"/>
        <v>0</v>
      </c>
      <c r="FM38" s="191">
        <f t="shared" ca="1" si="10"/>
        <v>329760</v>
      </c>
      <c r="FN38" s="190">
        <f>AB38*AB$2*IF($FC38="V",1,-1)*IF($Q38="Fixo",(CP38-INDEX('Curva Forward'!$C$5:$AN$13,MATCH(CONCATENATE(BD_COMERCIAL!$K38," ",BD_COMERCIAL!$L38),'Curva Forward'!$B$5:$B$13,0),MATCH(FN$4,'Curva Forward'!$C$4:$AN$4,0))),CP38)</f>
        <v>0</v>
      </c>
      <c r="FO38" s="190">
        <f>AC38*AC$2*IF($FC38="V",1,-1)*IF($Q38="Fixo",(CQ38-INDEX('Curva Forward'!$C$5:$AN$13,MATCH(CONCATENATE(BD_COMERCIAL!$K38," ",BD_COMERCIAL!$L38),'Curva Forward'!$B$5:$B$13,0),MATCH(FO$4,'Curva Forward'!$C$4:$AN$4,0))),CQ38)</f>
        <v>0</v>
      </c>
      <c r="FP38" s="190">
        <f>AD38*AD$2*IF($FC38="V",1,-1)*IF($Q38="Fixo",(CR38-INDEX('Curva Forward'!$C$5:$AN$13,MATCH(CONCATENATE(BD_COMERCIAL!$K38," ",BD_COMERCIAL!$L38),'Curva Forward'!$B$5:$B$13,0),MATCH(FP$4,'Curva Forward'!$C$4:$AN$4,0))),CR38)</f>
        <v>0</v>
      </c>
      <c r="FQ38" s="190">
        <f>AE38*AE$2*IF($FC38="V",1,-1)*IF($Q38="Fixo",(CS38-INDEX('Curva Forward'!$C$5:$AN$13,MATCH(CONCATENATE(BD_COMERCIAL!$K38," ",BD_COMERCIAL!$L38),'Curva Forward'!$B$5:$B$13,0),MATCH(FQ$4,'Curva Forward'!$C$4:$AN$4,0))),CS38)</f>
        <v>110160</v>
      </c>
      <c r="FR38" s="190">
        <f>AF38*AF$2*IF($FC38="V",1,-1)*IF($Q38="Fixo",(CT38-INDEX('Curva Forward'!$C$5:$AN$13,MATCH(CONCATENATE(BD_COMERCIAL!$K38," ",BD_COMERCIAL!$L38),'Curva Forward'!$B$5:$B$13,0),MATCH(FR$4,'Curva Forward'!$C$4:$AN$4,0))),CT38)</f>
        <v>111600</v>
      </c>
      <c r="FS38" s="190">
        <f>AG38*AG$2*IF($FC38="V",1,-1)*IF($Q38="Fixo",(CU38-INDEX('Curva Forward'!$C$5:$AN$13,MATCH(CONCATENATE(BD_COMERCIAL!$K38," ",BD_COMERCIAL!$L38),'Curva Forward'!$B$5:$B$13,0),MATCH(FS$4,'Curva Forward'!$C$4:$AN$4,0))),CU38)</f>
        <v>108000</v>
      </c>
      <c r="FT38" s="190">
        <f>AH38*AH$2*IF($FC38="V",1,-1)*IF($Q38="Fixo",(CV38-INDEX('Curva Forward'!$C$5:$AN$13,MATCH(CONCATENATE(BD_COMERCIAL!$K38," ",BD_COMERCIAL!$L38),'Curva Forward'!$B$5:$B$13,0),MATCH(FT$4,'Curva Forward'!$C$4:$AN$4,0))),CV38)</f>
        <v>0</v>
      </c>
      <c r="FU38" s="190">
        <f>AI38*AI$2*IF($FC38="V",1,-1)*IF($Q38="Fixo",(CW38-INDEX('Curva Forward'!$C$5:$AN$13,MATCH(CONCATENATE(BD_COMERCIAL!$K38," ",BD_COMERCIAL!$L38),'Curva Forward'!$B$5:$B$13,0),MATCH(FU$4,'Curva Forward'!$C$4:$AN$4,0))),CW38)</f>
        <v>0</v>
      </c>
      <c r="FV38" s="190">
        <f>AJ38*AJ$2*IF($FC38="V",1,-1)*IF($Q38="Fixo",(CX38-INDEX('Curva Forward'!$C$5:$AN$13,MATCH(CONCATENATE(BD_COMERCIAL!$K38," ",BD_COMERCIAL!$L38),'Curva Forward'!$B$5:$B$13,0),MATCH(FV$4,'Curva Forward'!$C$4:$AN$4,0))),CX38)</f>
        <v>0</v>
      </c>
      <c r="FW38" s="190">
        <f>AK38*AK$2*IF($FC38="V",1,-1)*IF($Q38="Fixo",(CY38-INDEX('Curva Forward'!$C$5:$AN$13,MATCH(CONCATENATE(BD_COMERCIAL!$K38," ",BD_COMERCIAL!$L38),'Curva Forward'!$B$5:$B$13,0),MATCH(FW$4,'Curva Forward'!$C$4:$AN$4,0))),CY38)</f>
        <v>0</v>
      </c>
      <c r="FX38" s="190">
        <f>AL38*AL$2*IF($FC38="V",1,-1)*IF($Q38="Fixo",(CZ38-INDEX('Curva Forward'!$C$5:$AN$13,MATCH(CONCATENATE(BD_COMERCIAL!$K38," ",BD_COMERCIAL!$L38),'Curva Forward'!$B$5:$B$13,0),MATCH(FX$4,'Curva Forward'!$C$4:$AN$4,0))),CZ38)</f>
        <v>0</v>
      </c>
      <c r="FY38" s="190">
        <f>AM38*AM$2*IF($FC38="V",1,-1)*IF($Q38="Fixo",(DA38-INDEX('Curva Forward'!$C$5:$AN$13,MATCH(CONCATENATE(BD_COMERCIAL!$K38," ",BD_COMERCIAL!$L38),'Curva Forward'!$B$5:$B$13,0),MATCH(FY$4,'Curva Forward'!$C$4:$AN$4,0))),DA38)</f>
        <v>0</v>
      </c>
      <c r="FZ38" s="190">
        <f>AN38*AN$2*IF($FC38="V",1,-1)*IF($Q38="Fixo",(DB38-INDEX('Curva Forward'!$C$5:$AN$13,MATCH(CONCATENATE(BD_COMERCIAL!$K38," ",BD_COMERCIAL!$L38),'Curva Forward'!$B$5:$B$13,0),MATCH(FZ$4,'Curva Forward'!$C$4:$AN$4,0))),DB38)</f>
        <v>0</v>
      </c>
      <c r="GA38" s="190">
        <f>AO38*AO$2*IF($FC38="V",1,-1)*IF($Q38="Fixo",(DC38-INDEX('Curva Forward'!$C$5:$AN$13,MATCH(CONCATENATE(BD_COMERCIAL!$K38," ",BD_COMERCIAL!$L38),'Curva Forward'!$B$5:$B$13,0),MATCH(GA$4,'Curva Forward'!$C$4:$AN$4,0))),DC38)</f>
        <v>0</v>
      </c>
      <c r="GB38" s="190">
        <f>AP38*AP$2*IF($FC38="V",1,-1)*IF($Q38="Fixo",(DD38-INDEX('Curva Forward'!$C$5:$AN$13,MATCH(CONCATENATE(BD_COMERCIAL!$K38," ",BD_COMERCIAL!$L38),'Curva Forward'!$B$5:$B$13,0),MATCH(GB$4,'Curva Forward'!$C$4:$AN$4,0))),DD38)</f>
        <v>0</v>
      </c>
      <c r="GC38" s="190">
        <f>AQ38*AQ$2*IF($FC38="V",1,-1)*IF($Q38="Fixo",(DE38-INDEX('Curva Forward'!$C$5:$AN$13,MATCH(CONCATENATE(BD_COMERCIAL!$K38," ",BD_COMERCIAL!$L38),'Curva Forward'!$B$5:$B$13,0),MATCH(GC$4,'Curva Forward'!$C$4:$AN$4,0))),DE38)</f>
        <v>0</v>
      </c>
      <c r="GD38" s="190">
        <f>AR38*AR$2*IF($FC38="V",1,-1)*IF($Q38="Fixo",(DF38-INDEX('Curva Forward'!$C$5:$AN$13,MATCH(CONCATENATE(BD_COMERCIAL!$K38," ",BD_COMERCIAL!$L38),'Curva Forward'!$B$5:$B$13,0),MATCH(GD$4,'Curva Forward'!$C$4:$AN$4,0))),DF38)</f>
        <v>0</v>
      </c>
      <c r="GE38" s="190">
        <f>AS38*AS$2*IF($FC38="V",1,-1)*IF($Q38="Fixo",(DG38-INDEX('Curva Forward'!$C$5:$AN$13,MATCH(CONCATENATE(BD_COMERCIAL!$K38," ",BD_COMERCIAL!$L38),'Curva Forward'!$B$5:$B$13,0),MATCH(GE$4,'Curva Forward'!$C$4:$AN$4,0))),DG38)</f>
        <v>0</v>
      </c>
      <c r="GF38" s="190">
        <f>AT38*AT$2*IF($FC38="V",1,-1)*IF($Q38="Fixo",(DH38-INDEX('Curva Forward'!$C$5:$AN$13,MATCH(CONCATENATE(BD_COMERCIAL!$K38," ",BD_COMERCIAL!$L38),'Curva Forward'!$B$5:$B$13,0),MATCH(GF$4,'Curva Forward'!$C$4:$AN$4,0))),DH38)</f>
        <v>0</v>
      </c>
      <c r="GG38" s="190">
        <f>AU38*AU$2*IF($FC38="V",1,-1)*IF($Q38="Fixo",(DI38-INDEX('Curva Forward'!$C$5:$AN$13,MATCH(CONCATENATE(BD_COMERCIAL!$K38," ",BD_COMERCIAL!$L38),'Curva Forward'!$B$5:$B$13,0),MATCH(GG$4,'Curva Forward'!$C$4:$AN$4,0))),DI38)</f>
        <v>0</v>
      </c>
      <c r="GH38" s="190">
        <f>AV38*AV$2*IF($FC38="V",1,-1)*IF($Q38="Fixo",(DJ38-INDEX('Curva Forward'!$C$5:$AN$13,MATCH(CONCATENATE(BD_COMERCIAL!$K38," ",BD_COMERCIAL!$L38),'Curva Forward'!$B$5:$B$13,0),MATCH(GH$4,'Curva Forward'!$C$4:$AN$4,0))),DJ38)</f>
        <v>0</v>
      </c>
      <c r="GI38" s="190">
        <f>AW38*AW$2*IF($FC38="V",1,-1)*IF($Q38="Fixo",(DK38-INDEX('Curva Forward'!$C$5:$AN$13,MATCH(CONCATENATE(BD_COMERCIAL!$K38," ",BD_COMERCIAL!$L38),'Curva Forward'!$B$5:$B$13,0),MATCH(GI$4,'Curva Forward'!$C$4:$AN$4,0))),DK38)</f>
        <v>0</v>
      </c>
      <c r="GJ38" s="190">
        <f>AX38*AX$2*IF($FC38="V",1,-1)*IF($Q38="Fixo",(DL38-INDEX('Curva Forward'!$C$5:$AN$13,MATCH(CONCATENATE(BD_COMERCIAL!$K38," ",BD_COMERCIAL!$L38),'Curva Forward'!$B$5:$B$13,0),MATCH(GJ$4,'Curva Forward'!$C$4:$AN$4,0))),DL38)</f>
        <v>0</v>
      </c>
      <c r="GK38" s="190">
        <f>AY38*AY$2*IF($FC38="V",1,-1)*IF($Q38="Fixo",(DM38-INDEX('Curva Forward'!$C$5:$AN$13,MATCH(CONCATENATE(BD_COMERCIAL!$K38," ",BD_COMERCIAL!$L38),'Curva Forward'!$B$5:$B$13,0),MATCH(GK$4,'Curva Forward'!$C$4:$AN$4,0))),DM38)</f>
        <v>0</v>
      </c>
      <c r="GL38" s="190">
        <f>IF(EZ38="",0,CL38*CL$2*IF($FC38="V",1,-1)*IF($Q38="Fixo",(EZ38-INDEX('Curva Forward'!$C$5:$AN$13,MATCH(CONCATENATE(BD_COMERCIAL!$K38," ",BD_COMERCIAL!$L38),'Curva Forward'!$B$5:$B$13,0),MATCH(GL$4,'Curva Forward'!$C$4:$AN$4,0))),EZ38))</f>
        <v>0</v>
      </c>
      <c r="GM38" s="190">
        <f>IF(FA38="",0,CM38*CM$2*IF($FC38="V",1,-1)*IF($Q38="Fixo",(FA38-INDEX('Curva Forward'!$C$5:$AN$13,MATCH(CONCATENATE(BD_COMERCIAL!$K38," ",BD_COMERCIAL!$L38),'Curva Forward'!$B$5:$B$13,0),MATCH(GM$4,'Curva Forward'!$C$4:$AN$4,0))),FA38))</f>
        <v>0</v>
      </c>
      <c r="GN38" s="190">
        <f>IF(FB38="",0,CN38*CN$2*IF($FC38="V",1,-1)*IF($Q38="Fixo",(FB38-INDEX('Curva Forward'!$C$5:$AN$13,MATCH(CONCATENATE(BD_COMERCIAL!$K38," ",BD_COMERCIAL!$L38),'Curva Forward'!$B$5:$B$13,0),MATCH(GN$4,'Curva Forward'!$C$4:$AN$4,0))),FB38))</f>
        <v>0</v>
      </c>
      <c r="GO38" s="191">
        <f t="shared" ca="1" si="11"/>
        <v>329760</v>
      </c>
      <c r="GP38" s="191">
        <f t="shared" ca="1" si="12"/>
        <v>0</v>
      </c>
      <c r="GQ38" s="115"/>
      <c r="GR38" s="115"/>
      <c r="GS38"/>
      <c r="GT38" s="65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</row>
    <row r="39" spans="1:236" s="265" customFormat="1" ht="15" customHeight="1" x14ac:dyDescent="0.35">
      <c r="A39" s="251"/>
      <c r="B39" s="7" t="s">
        <v>369</v>
      </c>
      <c r="C39" s="8">
        <v>44795</v>
      </c>
      <c r="D39" s="9" t="s">
        <v>123</v>
      </c>
      <c r="E39" s="10" t="s">
        <v>124</v>
      </c>
      <c r="F39" s="112" t="s">
        <v>348</v>
      </c>
      <c r="G39" s="10" t="s">
        <v>165</v>
      </c>
      <c r="H39" s="112" t="s">
        <v>370</v>
      </c>
      <c r="I39" s="9" t="s">
        <v>125</v>
      </c>
      <c r="J39" s="158" t="s">
        <v>377</v>
      </c>
      <c r="K39" s="10" t="s">
        <v>126</v>
      </c>
      <c r="L39" s="84" t="s">
        <v>22</v>
      </c>
      <c r="M39" s="11">
        <v>44927</v>
      </c>
      <c r="N39" s="12">
        <v>45016</v>
      </c>
      <c r="O39" s="10">
        <v>5</v>
      </c>
      <c r="P39" s="84">
        <v>140</v>
      </c>
      <c r="Q39" s="84" t="s">
        <v>127</v>
      </c>
      <c r="R39" s="10" t="s">
        <v>128</v>
      </c>
      <c r="S39" s="14" t="s">
        <v>133</v>
      </c>
      <c r="T39" s="11" t="s">
        <v>129</v>
      </c>
      <c r="U39" s="12">
        <v>44795</v>
      </c>
      <c r="V39" s="202">
        <f ca="1">IF(U39="","",
IF(U39="NA","",
IFERROR(VLOOKUP(EOMONTH(M39,-2)+1,IPCA!$A:$B,2,0),
VLOOKUP(EOMONTH(TODAY(),-2)+1,IPCA!$A:$B,2,0))/
VLOOKUP(EOMONTH(U39,-2)+1,IPCA!$A:$B,2,0)*
P39))</f>
        <v>141.35677913895148</v>
      </c>
      <c r="W39" s="84"/>
      <c r="X39" s="13" t="s">
        <v>132</v>
      </c>
      <c r="Y39" s="158"/>
      <c r="Z39" s="106"/>
      <c r="AA39" s="107"/>
      <c r="AB39" s="15">
        <v>5</v>
      </c>
      <c r="AC39">
        <v>5</v>
      </c>
      <c r="AD39">
        <v>5</v>
      </c>
      <c r="AE39"/>
      <c r="AF39"/>
      <c r="AG39"/>
      <c r="AH39"/>
      <c r="AI39"/>
      <c r="AJ39"/>
      <c r="AK39"/>
      <c r="AL39"/>
      <c r="AM39" s="6"/>
      <c r="AN39" s="15"/>
      <c r="AO39"/>
      <c r="AP39"/>
      <c r="AQ39"/>
      <c r="AR39"/>
      <c r="AS39"/>
      <c r="AT39"/>
      <c r="AU39"/>
      <c r="AV39"/>
      <c r="AW39"/>
      <c r="AX39"/>
      <c r="AY39" s="6"/>
      <c r="AZ39" s="15"/>
      <c r="BA39"/>
      <c r="BB39"/>
      <c r="BC39"/>
      <c r="BD39"/>
      <c r="BE39"/>
      <c r="BF39"/>
      <c r="BG39"/>
      <c r="BH39"/>
      <c r="BI39"/>
      <c r="BJ39"/>
      <c r="BK39" s="6"/>
      <c r="BL39" s="15"/>
      <c r="BM39"/>
      <c r="BN39"/>
      <c r="BO39"/>
      <c r="BP39"/>
      <c r="BQ39"/>
      <c r="BR39"/>
      <c r="BS39"/>
      <c r="BT39"/>
      <c r="BU39"/>
      <c r="BV39"/>
      <c r="BW39" s="6"/>
      <c r="BX39" s="15"/>
      <c r="BY39"/>
      <c r="BZ39"/>
      <c r="CA39"/>
      <c r="CB39"/>
      <c r="CC39"/>
      <c r="CD39"/>
      <c r="CE39"/>
      <c r="CF39"/>
      <c r="CG39"/>
      <c r="CH39"/>
      <c r="CI39" s="6"/>
      <c r="CJ39" s="16">
        <v>1.2328767123287672</v>
      </c>
      <c r="CK39" s="16" t="s">
        <v>578</v>
      </c>
      <c r="CL39" s="16" t="s">
        <v>578</v>
      </c>
      <c r="CM39" s="16" t="s">
        <v>578</v>
      </c>
      <c r="CN39" s="16" t="s">
        <v>578</v>
      </c>
      <c r="CO39" s="18"/>
      <c r="CP39" s="15">
        <v>140</v>
      </c>
      <c r="CQ39">
        <v>140</v>
      </c>
      <c r="CR39">
        <v>140</v>
      </c>
      <c r="CS39"/>
      <c r="CT39"/>
      <c r="CU39"/>
      <c r="CV39"/>
      <c r="CW39"/>
      <c r="CX39"/>
      <c r="CY39"/>
      <c r="CZ39"/>
      <c r="DA39" s="6"/>
      <c r="DB39" s="15"/>
      <c r="DC39"/>
      <c r="DD39"/>
      <c r="DE39"/>
      <c r="DF39"/>
      <c r="DG39"/>
      <c r="DH39"/>
      <c r="DI39"/>
      <c r="DJ39"/>
      <c r="DK39"/>
      <c r="DL39"/>
      <c r="DM39" s="6"/>
      <c r="DN39" s="15"/>
      <c r="DO39"/>
      <c r="DP39"/>
      <c r="DQ39"/>
      <c r="DR39"/>
      <c r="DS39"/>
      <c r="DT39"/>
      <c r="DU39"/>
      <c r="DV39"/>
      <c r="DW39"/>
      <c r="DX39"/>
      <c r="DY39" s="6"/>
      <c r="DZ39" s="15"/>
      <c r="EA39"/>
      <c r="EB39"/>
      <c r="EC39"/>
      <c r="ED39"/>
      <c r="EE39"/>
      <c r="EF39"/>
      <c r="EG39"/>
      <c r="EH39"/>
      <c r="EI39"/>
      <c r="EJ39"/>
      <c r="EK39" s="6"/>
      <c r="EL39" s="15"/>
      <c r="EM39"/>
      <c r="EN39"/>
      <c r="EO39"/>
      <c r="EP39"/>
      <c r="EQ39"/>
      <c r="ER39"/>
      <c r="ES39"/>
      <c r="ET39"/>
      <c r="EU39"/>
      <c r="EV39"/>
      <c r="EW39" s="6"/>
      <c r="EX39" s="16">
        <v>34.520547945205479</v>
      </c>
      <c r="EY39" s="16" t="s">
        <v>578</v>
      </c>
      <c r="EZ39" s="16" t="s">
        <v>578</v>
      </c>
      <c r="FA39" s="154" t="s">
        <v>578</v>
      </c>
      <c r="FB39" s="154" t="s">
        <v>578</v>
      </c>
      <c r="FC39" t="s">
        <v>195</v>
      </c>
      <c r="FD39" s="20" t="s">
        <v>125</v>
      </c>
      <c r="FE39"/>
      <c r="FF39" s="199" t="s">
        <v>197</v>
      </c>
      <c r="FG39"/>
      <c r="FH39" s="206">
        <f t="shared" ca="1" si="6"/>
        <v>1.3567791389514809</v>
      </c>
      <c r="FI39" s="198">
        <f t="shared" si="7"/>
        <v>2.9666666666666668</v>
      </c>
      <c r="FJ39"/>
      <c r="FK39" t="str">
        <f t="shared" si="8"/>
        <v>Tempo Energia S.A</v>
      </c>
      <c r="FL39" s="191">
        <f t="shared" ca="1" si="9"/>
        <v>264120</v>
      </c>
      <c r="FM39" s="191">
        <f t="shared" ca="1" si="10"/>
        <v>502680</v>
      </c>
      <c r="FN39" s="190">
        <f>AB39*AB$2*IF($FC39="V",1,-1)*IF($Q39="Fixo",(CP39-INDEX('Curva Forward'!$C$5:$AN$13,MATCH(CONCATENATE(BD_COMERCIAL!$K39," ",BD_COMERCIAL!$L39),'Curva Forward'!$B$5:$B$13,0),MATCH(FN$4,'Curva Forward'!$C$4:$AN$4,0))),CP39)</f>
        <v>264120</v>
      </c>
      <c r="FO39" s="190">
        <f>AC39*AC$2*IF($FC39="V",1,-1)*IF($Q39="Fixo",(CQ39-INDEX('Curva Forward'!$C$5:$AN$13,MATCH(CONCATENATE(BD_COMERCIAL!$K39," ",BD_COMERCIAL!$L39),'Curva Forward'!$B$5:$B$13,0),MATCH(FO$4,'Curva Forward'!$C$4:$AN$4,0))),CQ39)</f>
        <v>238560</v>
      </c>
      <c r="FP39" s="190">
        <f>AD39*AD$2*IF($FC39="V",1,-1)*IF($Q39="Fixo",(CR39-INDEX('Curva Forward'!$C$5:$AN$13,MATCH(CONCATENATE(BD_COMERCIAL!$K39," ",BD_COMERCIAL!$L39),'Curva Forward'!$B$5:$B$13,0),MATCH(FP$4,'Curva Forward'!$C$4:$AN$4,0))),CR39)</f>
        <v>264120</v>
      </c>
      <c r="FQ39" s="190">
        <f>AE39*AE$2*IF($FC39="V",1,-1)*IF($Q39="Fixo",(CS39-INDEX('Curva Forward'!$C$5:$AN$13,MATCH(CONCATENATE(BD_COMERCIAL!$K39," ",BD_COMERCIAL!$L39),'Curva Forward'!$B$5:$B$13,0),MATCH(FQ$4,'Curva Forward'!$C$4:$AN$4,0))),CS39)</f>
        <v>0</v>
      </c>
      <c r="FR39" s="190">
        <f>AF39*AF$2*IF($FC39="V",1,-1)*IF($Q39="Fixo",(CT39-INDEX('Curva Forward'!$C$5:$AN$13,MATCH(CONCATENATE(BD_COMERCIAL!$K39," ",BD_COMERCIAL!$L39),'Curva Forward'!$B$5:$B$13,0),MATCH(FR$4,'Curva Forward'!$C$4:$AN$4,0))),CT39)</f>
        <v>0</v>
      </c>
      <c r="FS39" s="190">
        <f>AG39*AG$2*IF($FC39="V",1,-1)*IF($Q39="Fixo",(CU39-INDEX('Curva Forward'!$C$5:$AN$13,MATCH(CONCATENATE(BD_COMERCIAL!$K39," ",BD_COMERCIAL!$L39),'Curva Forward'!$B$5:$B$13,0),MATCH(FS$4,'Curva Forward'!$C$4:$AN$4,0))),CU39)</f>
        <v>0</v>
      </c>
      <c r="FT39" s="190">
        <f>AH39*AH$2*IF($FC39="V",1,-1)*IF($Q39="Fixo",(CV39-INDEX('Curva Forward'!$C$5:$AN$13,MATCH(CONCATENATE(BD_COMERCIAL!$K39," ",BD_COMERCIAL!$L39),'Curva Forward'!$B$5:$B$13,0),MATCH(FT$4,'Curva Forward'!$C$4:$AN$4,0))),CV39)</f>
        <v>0</v>
      </c>
      <c r="FU39" s="190">
        <f>AI39*AI$2*IF($FC39="V",1,-1)*IF($Q39="Fixo",(CW39-INDEX('Curva Forward'!$C$5:$AN$13,MATCH(CONCATENATE(BD_COMERCIAL!$K39," ",BD_COMERCIAL!$L39),'Curva Forward'!$B$5:$B$13,0),MATCH(FU$4,'Curva Forward'!$C$4:$AN$4,0))),CW39)</f>
        <v>0</v>
      </c>
      <c r="FV39" s="190">
        <f>AJ39*AJ$2*IF($FC39="V",1,-1)*IF($Q39="Fixo",(CX39-INDEX('Curva Forward'!$C$5:$AN$13,MATCH(CONCATENATE(BD_COMERCIAL!$K39," ",BD_COMERCIAL!$L39),'Curva Forward'!$B$5:$B$13,0),MATCH(FV$4,'Curva Forward'!$C$4:$AN$4,0))),CX39)</f>
        <v>0</v>
      </c>
      <c r="FW39" s="190">
        <f>AK39*AK$2*IF($FC39="V",1,-1)*IF($Q39="Fixo",(CY39-INDEX('Curva Forward'!$C$5:$AN$13,MATCH(CONCATENATE(BD_COMERCIAL!$K39," ",BD_COMERCIAL!$L39),'Curva Forward'!$B$5:$B$13,0),MATCH(FW$4,'Curva Forward'!$C$4:$AN$4,0))),CY39)</f>
        <v>0</v>
      </c>
      <c r="FX39" s="190">
        <f>AL39*AL$2*IF($FC39="V",1,-1)*IF($Q39="Fixo",(CZ39-INDEX('Curva Forward'!$C$5:$AN$13,MATCH(CONCATENATE(BD_COMERCIAL!$K39," ",BD_COMERCIAL!$L39),'Curva Forward'!$B$5:$B$13,0),MATCH(FX$4,'Curva Forward'!$C$4:$AN$4,0))),CZ39)</f>
        <v>0</v>
      </c>
      <c r="FY39" s="190">
        <f>AM39*AM$2*IF($FC39="V",1,-1)*IF($Q39="Fixo",(DA39-INDEX('Curva Forward'!$C$5:$AN$13,MATCH(CONCATENATE(BD_COMERCIAL!$K39," ",BD_COMERCIAL!$L39),'Curva Forward'!$B$5:$B$13,0),MATCH(FY$4,'Curva Forward'!$C$4:$AN$4,0))),DA39)</f>
        <v>0</v>
      </c>
      <c r="FZ39" s="190">
        <f>AN39*AN$2*IF($FC39="V",1,-1)*IF($Q39="Fixo",(DB39-INDEX('Curva Forward'!$C$5:$AN$13,MATCH(CONCATENATE(BD_COMERCIAL!$K39," ",BD_COMERCIAL!$L39),'Curva Forward'!$B$5:$B$13,0),MATCH(FZ$4,'Curva Forward'!$C$4:$AN$4,0))),DB39)</f>
        <v>0</v>
      </c>
      <c r="GA39" s="190">
        <f>AO39*AO$2*IF($FC39="V",1,-1)*IF($Q39="Fixo",(DC39-INDEX('Curva Forward'!$C$5:$AN$13,MATCH(CONCATENATE(BD_COMERCIAL!$K39," ",BD_COMERCIAL!$L39),'Curva Forward'!$B$5:$B$13,0),MATCH(GA$4,'Curva Forward'!$C$4:$AN$4,0))),DC39)</f>
        <v>0</v>
      </c>
      <c r="GB39" s="190">
        <f>AP39*AP$2*IF($FC39="V",1,-1)*IF($Q39="Fixo",(DD39-INDEX('Curva Forward'!$C$5:$AN$13,MATCH(CONCATENATE(BD_COMERCIAL!$K39," ",BD_COMERCIAL!$L39),'Curva Forward'!$B$5:$B$13,0),MATCH(GB$4,'Curva Forward'!$C$4:$AN$4,0))),DD39)</f>
        <v>0</v>
      </c>
      <c r="GC39" s="190">
        <f>AQ39*AQ$2*IF($FC39="V",1,-1)*IF($Q39="Fixo",(DE39-INDEX('Curva Forward'!$C$5:$AN$13,MATCH(CONCATENATE(BD_COMERCIAL!$K39," ",BD_COMERCIAL!$L39),'Curva Forward'!$B$5:$B$13,0),MATCH(GC$4,'Curva Forward'!$C$4:$AN$4,0))),DE39)</f>
        <v>0</v>
      </c>
      <c r="GD39" s="190">
        <f>AR39*AR$2*IF($FC39="V",1,-1)*IF($Q39="Fixo",(DF39-INDEX('Curva Forward'!$C$5:$AN$13,MATCH(CONCATENATE(BD_COMERCIAL!$K39," ",BD_COMERCIAL!$L39),'Curva Forward'!$B$5:$B$13,0),MATCH(GD$4,'Curva Forward'!$C$4:$AN$4,0))),DF39)</f>
        <v>0</v>
      </c>
      <c r="GE39" s="190">
        <f>AS39*AS$2*IF($FC39="V",1,-1)*IF($Q39="Fixo",(DG39-INDEX('Curva Forward'!$C$5:$AN$13,MATCH(CONCATENATE(BD_COMERCIAL!$K39," ",BD_COMERCIAL!$L39),'Curva Forward'!$B$5:$B$13,0),MATCH(GE$4,'Curva Forward'!$C$4:$AN$4,0))),DG39)</f>
        <v>0</v>
      </c>
      <c r="GF39" s="190">
        <f>AT39*AT$2*IF($FC39="V",1,-1)*IF($Q39="Fixo",(DH39-INDEX('Curva Forward'!$C$5:$AN$13,MATCH(CONCATENATE(BD_COMERCIAL!$K39," ",BD_COMERCIAL!$L39),'Curva Forward'!$B$5:$B$13,0),MATCH(GF$4,'Curva Forward'!$C$4:$AN$4,0))),DH39)</f>
        <v>0</v>
      </c>
      <c r="GG39" s="190">
        <f>AU39*AU$2*IF($FC39="V",1,-1)*IF($Q39="Fixo",(DI39-INDEX('Curva Forward'!$C$5:$AN$13,MATCH(CONCATENATE(BD_COMERCIAL!$K39," ",BD_COMERCIAL!$L39),'Curva Forward'!$B$5:$B$13,0),MATCH(GG$4,'Curva Forward'!$C$4:$AN$4,0))),DI39)</f>
        <v>0</v>
      </c>
      <c r="GH39" s="190">
        <f>AV39*AV$2*IF($FC39="V",1,-1)*IF($Q39="Fixo",(DJ39-INDEX('Curva Forward'!$C$5:$AN$13,MATCH(CONCATENATE(BD_COMERCIAL!$K39," ",BD_COMERCIAL!$L39),'Curva Forward'!$B$5:$B$13,0),MATCH(GH$4,'Curva Forward'!$C$4:$AN$4,0))),DJ39)</f>
        <v>0</v>
      </c>
      <c r="GI39" s="190">
        <f>AW39*AW$2*IF($FC39="V",1,-1)*IF($Q39="Fixo",(DK39-INDEX('Curva Forward'!$C$5:$AN$13,MATCH(CONCATENATE(BD_COMERCIAL!$K39," ",BD_COMERCIAL!$L39),'Curva Forward'!$B$5:$B$13,0),MATCH(GI$4,'Curva Forward'!$C$4:$AN$4,0))),DK39)</f>
        <v>0</v>
      </c>
      <c r="GJ39" s="190">
        <f>AX39*AX$2*IF($FC39="V",1,-1)*IF($Q39="Fixo",(DL39-INDEX('Curva Forward'!$C$5:$AN$13,MATCH(CONCATENATE(BD_COMERCIAL!$K39," ",BD_COMERCIAL!$L39),'Curva Forward'!$B$5:$B$13,0),MATCH(GJ$4,'Curva Forward'!$C$4:$AN$4,0))),DL39)</f>
        <v>0</v>
      </c>
      <c r="GK39" s="190">
        <f>AY39*AY$2*IF($FC39="V",1,-1)*IF($Q39="Fixo",(DM39-INDEX('Curva Forward'!$C$5:$AN$13,MATCH(CONCATENATE(BD_COMERCIAL!$K39," ",BD_COMERCIAL!$L39),'Curva Forward'!$B$5:$B$13,0),MATCH(GK$4,'Curva Forward'!$C$4:$AN$4,0))),DM39)</f>
        <v>0</v>
      </c>
      <c r="GL39" s="190">
        <f>IF(EZ39="",0,CL39*CL$2*IF($FC39="V",1,-1)*IF($Q39="Fixo",(EZ39-INDEX('Curva Forward'!$C$5:$AN$13,MATCH(CONCATENATE(BD_COMERCIAL!$K39," ",BD_COMERCIAL!$L39),'Curva Forward'!$B$5:$B$13,0),MATCH(GL$4,'Curva Forward'!$C$4:$AN$4,0))),EZ39))</f>
        <v>0</v>
      </c>
      <c r="GM39" s="190">
        <f>IF(FA39="",0,CM39*CM$2*IF($FC39="V",1,-1)*IF($Q39="Fixo",(FA39-INDEX('Curva Forward'!$C$5:$AN$13,MATCH(CONCATENATE(BD_COMERCIAL!$K39," ",BD_COMERCIAL!$L39),'Curva Forward'!$B$5:$B$13,0),MATCH(GM$4,'Curva Forward'!$C$4:$AN$4,0))),FA39))</f>
        <v>0</v>
      </c>
      <c r="GN39" s="190">
        <f>IF(FB39="",0,CN39*CN$2*IF($FC39="V",1,-1)*IF($Q39="Fixo",(FB39-INDEX('Curva Forward'!$C$5:$AN$13,MATCH(CONCATENATE(BD_COMERCIAL!$K39," ",BD_COMERCIAL!$L39),'Curva Forward'!$B$5:$B$13,0),MATCH(GN$4,'Curva Forward'!$C$4:$AN$4,0))),FB39))</f>
        <v>0</v>
      </c>
      <c r="GO39" s="191">
        <f t="shared" ca="1" si="11"/>
        <v>502680</v>
      </c>
      <c r="GP39" s="191">
        <f t="shared" ca="1" si="12"/>
        <v>0</v>
      </c>
      <c r="GQ39" s="115"/>
      <c r="GR39" s="115"/>
      <c r="GS39"/>
      <c r="GT39" s="65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</row>
    <row r="40" spans="1:236" s="265" customFormat="1" ht="15" customHeight="1" x14ac:dyDescent="0.35">
      <c r="A40" s="251"/>
      <c r="B40" s="7" t="s">
        <v>371</v>
      </c>
      <c r="C40" s="8">
        <v>44797</v>
      </c>
      <c r="D40" s="9" t="s">
        <v>123</v>
      </c>
      <c r="E40" s="9" t="s">
        <v>124</v>
      </c>
      <c r="F40" s="112" t="s">
        <v>348</v>
      </c>
      <c r="G40" s="10" t="s">
        <v>212</v>
      </c>
      <c r="H40" s="112" t="s">
        <v>372</v>
      </c>
      <c r="I40" s="9" t="s">
        <v>137</v>
      </c>
      <c r="J40" s="158"/>
      <c r="K40" s="10" t="s">
        <v>126</v>
      </c>
      <c r="L40" s="84" t="s">
        <v>22</v>
      </c>
      <c r="M40" s="11">
        <v>45108</v>
      </c>
      <c r="N40" s="12">
        <v>45291</v>
      </c>
      <c r="O40" s="10">
        <v>5</v>
      </c>
      <c r="P40" s="84">
        <v>173.25</v>
      </c>
      <c r="Q40" s="84" t="s">
        <v>127</v>
      </c>
      <c r="R40" s="10" t="s">
        <v>128</v>
      </c>
      <c r="S40" s="14" t="s">
        <v>133</v>
      </c>
      <c r="T40" s="11" t="s">
        <v>129</v>
      </c>
      <c r="U40" s="12">
        <v>44805</v>
      </c>
      <c r="V40" s="202" t="e">
        <f ca="1">IF(U40="","",
IF(U40="NA","",
IFERROR(VLOOKUP(EOMONTH(M40,-2)+1,IPCA!$A:$B,2,0),
VLOOKUP(EOMONTH(TODAY(),-2)+1,IPCA!$A:$B,2,0))/
VLOOKUP(EOMONTH(U40,-2)+1,IPCA!$A:$B,2,0)*
P40))</f>
        <v>#N/A</v>
      </c>
      <c r="W40" s="84"/>
      <c r="X40" s="13" t="s">
        <v>132</v>
      </c>
      <c r="Y40" s="158" t="s">
        <v>394</v>
      </c>
      <c r="Z40" s="106"/>
      <c r="AA40" s="107"/>
      <c r="AB40" s="15"/>
      <c r="AC40"/>
      <c r="AD40"/>
      <c r="AE40"/>
      <c r="AF40"/>
      <c r="AG40"/>
      <c r="AH40">
        <v>5</v>
      </c>
      <c r="AI40">
        <v>5</v>
      </c>
      <c r="AJ40">
        <v>5</v>
      </c>
      <c r="AK40">
        <v>5</v>
      </c>
      <c r="AL40">
        <v>5</v>
      </c>
      <c r="AM40" s="6">
        <v>5</v>
      </c>
      <c r="AN40" s="15"/>
      <c r="AO40"/>
      <c r="AP40"/>
      <c r="AQ40"/>
      <c r="AR40"/>
      <c r="AS40"/>
      <c r="AT40"/>
      <c r="AU40"/>
      <c r="AV40"/>
      <c r="AW40"/>
      <c r="AX40"/>
      <c r="AY40" s="6"/>
      <c r="AZ40" s="15"/>
      <c r="BA40"/>
      <c r="BB40"/>
      <c r="BC40"/>
      <c r="BD40"/>
      <c r="BE40"/>
      <c r="BF40"/>
      <c r="BG40"/>
      <c r="BH40"/>
      <c r="BI40"/>
      <c r="BJ40"/>
      <c r="BK40" s="6"/>
      <c r="BL40" s="15"/>
      <c r="BM40"/>
      <c r="BN40"/>
      <c r="BO40"/>
      <c r="BP40"/>
      <c r="BQ40"/>
      <c r="BR40"/>
      <c r="BS40"/>
      <c r="BT40"/>
      <c r="BU40"/>
      <c r="BV40"/>
      <c r="BW40" s="6"/>
      <c r="BX40" s="15"/>
      <c r="BY40"/>
      <c r="BZ40"/>
      <c r="CA40"/>
      <c r="CB40"/>
      <c r="CC40"/>
      <c r="CD40"/>
      <c r="CE40"/>
      <c r="CF40"/>
      <c r="CG40"/>
      <c r="CH40"/>
      <c r="CI40" s="6"/>
      <c r="CJ40" s="16">
        <v>2.5205479452054793</v>
      </c>
      <c r="CK40" s="16" t="s">
        <v>578</v>
      </c>
      <c r="CL40" s="16" t="s">
        <v>578</v>
      </c>
      <c r="CM40" s="16" t="s">
        <v>578</v>
      </c>
      <c r="CN40" s="16" t="s">
        <v>578</v>
      </c>
      <c r="CO40" s="18"/>
      <c r="CP40" s="15"/>
      <c r="CQ40"/>
      <c r="CR40"/>
      <c r="CS40"/>
      <c r="CT40"/>
      <c r="CU40"/>
      <c r="CV40">
        <v>173.25</v>
      </c>
      <c r="CW40">
        <v>173.25</v>
      </c>
      <c r="CX40">
        <v>173.25</v>
      </c>
      <c r="CY40">
        <v>173.25</v>
      </c>
      <c r="CZ40">
        <v>173.25</v>
      </c>
      <c r="DA40" s="6">
        <v>173.25</v>
      </c>
      <c r="DB40" s="15"/>
      <c r="DC40"/>
      <c r="DD40"/>
      <c r="DE40"/>
      <c r="DF40"/>
      <c r="DG40"/>
      <c r="DH40"/>
      <c r="DI40"/>
      <c r="DJ40"/>
      <c r="DK40"/>
      <c r="DL40"/>
      <c r="DM40" s="6"/>
      <c r="DN40" s="15"/>
      <c r="DO40"/>
      <c r="DP40"/>
      <c r="DQ40"/>
      <c r="DR40"/>
      <c r="DS40"/>
      <c r="DT40"/>
      <c r="DU40"/>
      <c r="DV40"/>
      <c r="DW40"/>
      <c r="DX40"/>
      <c r="DY40" s="6"/>
      <c r="DZ40" s="15"/>
      <c r="EA40"/>
      <c r="EB40"/>
      <c r="EC40"/>
      <c r="ED40"/>
      <c r="EE40"/>
      <c r="EF40"/>
      <c r="EG40"/>
      <c r="EH40"/>
      <c r="EI40"/>
      <c r="EJ40"/>
      <c r="EK40" s="6"/>
      <c r="EL40" s="15"/>
      <c r="EM40"/>
      <c r="EN40"/>
      <c r="EO40"/>
      <c r="EP40"/>
      <c r="EQ40"/>
      <c r="ER40"/>
      <c r="ES40"/>
      <c r="ET40"/>
      <c r="EU40"/>
      <c r="EV40"/>
      <c r="EW40" s="6"/>
      <c r="EX40" s="16">
        <v>87.336986301369862</v>
      </c>
      <c r="EY40" s="16" t="s">
        <v>578</v>
      </c>
      <c r="EZ40" s="16" t="s">
        <v>578</v>
      </c>
      <c r="FA40" s="154" t="s">
        <v>578</v>
      </c>
      <c r="FB40" s="154" t="s">
        <v>578</v>
      </c>
      <c r="FC40" t="s">
        <v>195</v>
      </c>
      <c r="FD40" s="20" t="s">
        <v>137</v>
      </c>
      <c r="FE40"/>
      <c r="FF40" s="199" t="s">
        <v>197</v>
      </c>
      <c r="FG40"/>
      <c r="FH40" s="206" t="e">
        <f t="shared" ca="1" si="6"/>
        <v>#N/A</v>
      </c>
      <c r="FI40" s="198">
        <f t="shared" si="7"/>
        <v>6.1</v>
      </c>
      <c r="FJ40"/>
      <c r="FK40" t="str">
        <f t="shared" si="8"/>
        <v>Eneva Comercializadora de Energia Ltda</v>
      </c>
      <c r="FL40" s="191">
        <f t="shared" ca="1" si="9"/>
        <v>0</v>
      </c>
      <c r="FM40" s="191">
        <f t="shared" ca="1" si="10"/>
        <v>2191440</v>
      </c>
      <c r="FN40" s="190">
        <f>AB40*AB$2*IF($FC40="V",1,-1)*IF($Q40="Fixo",(CP40-INDEX('Curva Forward'!$C$5:$AN$13,MATCH(CONCATENATE(BD_COMERCIAL!$K40," ",BD_COMERCIAL!$L40),'Curva Forward'!$B$5:$B$13,0),MATCH(FN$4,'Curva Forward'!$C$4:$AN$4,0))),CP40)</f>
        <v>0</v>
      </c>
      <c r="FO40" s="190">
        <f>AC40*AC$2*IF($FC40="V",1,-1)*IF($Q40="Fixo",(CQ40-INDEX('Curva Forward'!$C$5:$AN$13,MATCH(CONCATENATE(BD_COMERCIAL!$K40," ",BD_COMERCIAL!$L40),'Curva Forward'!$B$5:$B$13,0),MATCH(FO$4,'Curva Forward'!$C$4:$AN$4,0))),CQ40)</f>
        <v>0</v>
      </c>
      <c r="FP40" s="190">
        <f>AD40*AD$2*IF($FC40="V",1,-1)*IF($Q40="Fixo",(CR40-INDEX('Curva Forward'!$C$5:$AN$13,MATCH(CONCATENATE(BD_COMERCIAL!$K40," ",BD_COMERCIAL!$L40),'Curva Forward'!$B$5:$B$13,0),MATCH(FP$4,'Curva Forward'!$C$4:$AN$4,0))),CR40)</f>
        <v>0</v>
      </c>
      <c r="FQ40" s="190">
        <f>AE40*AE$2*IF($FC40="V",1,-1)*IF($Q40="Fixo",(CS40-INDEX('Curva Forward'!$C$5:$AN$13,MATCH(CONCATENATE(BD_COMERCIAL!$K40," ",BD_COMERCIAL!$L40),'Curva Forward'!$B$5:$B$13,0),MATCH(FQ$4,'Curva Forward'!$C$4:$AN$4,0))),CS40)</f>
        <v>0</v>
      </c>
      <c r="FR40" s="190">
        <f>AF40*AF$2*IF($FC40="V",1,-1)*IF($Q40="Fixo",(CT40-INDEX('Curva Forward'!$C$5:$AN$13,MATCH(CONCATENATE(BD_COMERCIAL!$K40," ",BD_COMERCIAL!$L40),'Curva Forward'!$B$5:$B$13,0),MATCH(FR$4,'Curva Forward'!$C$4:$AN$4,0))),CT40)</f>
        <v>0</v>
      </c>
      <c r="FS40" s="190">
        <f>AG40*AG$2*IF($FC40="V",1,-1)*IF($Q40="Fixo",(CU40-INDEX('Curva Forward'!$C$5:$AN$13,MATCH(CONCATENATE(BD_COMERCIAL!$K40," ",BD_COMERCIAL!$L40),'Curva Forward'!$B$5:$B$13,0),MATCH(FS$4,'Curva Forward'!$C$4:$AN$4,0))),CU40)</f>
        <v>0</v>
      </c>
      <c r="FT40" s="190">
        <f>AH40*AH$2*IF($FC40="V",1,-1)*IF($Q40="Fixo",(CV40-INDEX('Curva Forward'!$C$5:$AN$13,MATCH(CONCATENATE(BD_COMERCIAL!$K40," ",BD_COMERCIAL!$L40),'Curva Forward'!$B$5:$B$13,0),MATCH(FT$4,'Curva Forward'!$C$4:$AN$4,0))),CV40)</f>
        <v>372930</v>
      </c>
      <c r="FU40" s="190">
        <f>AI40*AI$2*IF($FC40="V",1,-1)*IF($Q40="Fixo",(CW40-INDEX('Curva Forward'!$C$5:$AN$13,MATCH(CONCATENATE(BD_COMERCIAL!$K40," ",BD_COMERCIAL!$L40),'Curva Forward'!$B$5:$B$13,0),MATCH(FU$4,'Curva Forward'!$C$4:$AN$4,0))),CW40)</f>
        <v>372930</v>
      </c>
      <c r="FV40" s="190">
        <f>AJ40*AJ$2*IF($FC40="V",1,-1)*IF($Q40="Fixo",(CX40-INDEX('Curva Forward'!$C$5:$AN$13,MATCH(CONCATENATE(BD_COMERCIAL!$K40," ",BD_COMERCIAL!$L40),'Curva Forward'!$B$5:$B$13,0),MATCH(FV$4,'Curva Forward'!$C$4:$AN$4,0))),CX40)</f>
        <v>360900</v>
      </c>
      <c r="FW40" s="190">
        <f>AK40*AK$2*IF($FC40="V",1,-1)*IF($Q40="Fixo",(CY40-INDEX('Curva Forward'!$C$5:$AN$13,MATCH(CONCATENATE(BD_COMERCIAL!$K40," ",BD_COMERCIAL!$L40),'Curva Forward'!$B$5:$B$13,0),MATCH(FW$4,'Curva Forward'!$C$4:$AN$4,0))),CY40)</f>
        <v>365490</v>
      </c>
      <c r="FX40" s="190">
        <f>AL40*AL$2*IF($FC40="V",1,-1)*IF($Q40="Fixo",(CZ40-INDEX('Curva Forward'!$C$5:$AN$13,MATCH(CONCATENATE(BD_COMERCIAL!$K40," ",BD_COMERCIAL!$L40),'Curva Forward'!$B$5:$B$13,0),MATCH(FX$4,'Curva Forward'!$C$4:$AN$4,0))),CZ40)</f>
        <v>353700</v>
      </c>
      <c r="FY40" s="190">
        <f>AM40*AM$2*IF($FC40="V",1,-1)*IF($Q40="Fixo",(DA40-INDEX('Curva Forward'!$C$5:$AN$13,MATCH(CONCATENATE(BD_COMERCIAL!$K40," ",BD_COMERCIAL!$L40),'Curva Forward'!$B$5:$B$13,0),MATCH(FY$4,'Curva Forward'!$C$4:$AN$4,0))),DA40)</f>
        <v>365490</v>
      </c>
      <c r="FZ40" s="190">
        <f>AN40*AN$2*IF($FC40="V",1,-1)*IF($Q40="Fixo",(DB40-INDEX('Curva Forward'!$C$5:$AN$13,MATCH(CONCATENATE(BD_COMERCIAL!$K40," ",BD_COMERCIAL!$L40),'Curva Forward'!$B$5:$B$13,0),MATCH(FZ$4,'Curva Forward'!$C$4:$AN$4,0))),DB40)</f>
        <v>0</v>
      </c>
      <c r="GA40" s="190">
        <f>AO40*AO$2*IF($FC40="V",1,-1)*IF($Q40="Fixo",(DC40-INDEX('Curva Forward'!$C$5:$AN$13,MATCH(CONCATENATE(BD_COMERCIAL!$K40," ",BD_COMERCIAL!$L40),'Curva Forward'!$B$5:$B$13,0),MATCH(GA$4,'Curva Forward'!$C$4:$AN$4,0))),DC40)</f>
        <v>0</v>
      </c>
      <c r="GB40" s="190">
        <f>AP40*AP$2*IF($FC40="V",1,-1)*IF($Q40="Fixo",(DD40-INDEX('Curva Forward'!$C$5:$AN$13,MATCH(CONCATENATE(BD_COMERCIAL!$K40," ",BD_COMERCIAL!$L40),'Curva Forward'!$B$5:$B$13,0),MATCH(GB$4,'Curva Forward'!$C$4:$AN$4,0))),DD40)</f>
        <v>0</v>
      </c>
      <c r="GC40" s="190">
        <f>AQ40*AQ$2*IF($FC40="V",1,-1)*IF($Q40="Fixo",(DE40-INDEX('Curva Forward'!$C$5:$AN$13,MATCH(CONCATENATE(BD_COMERCIAL!$K40," ",BD_COMERCIAL!$L40),'Curva Forward'!$B$5:$B$13,0),MATCH(GC$4,'Curva Forward'!$C$4:$AN$4,0))),DE40)</f>
        <v>0</v>
      </c>
      <c r="GD40" s="190">
        <f>AR40*AR$2*IF($FC40="V",1,-1)*IF($Q40="Fixo",(DF40-INDEX('Curva Forward'!$C$5:$AN$13,MATCH(CONCATENATE(BD_COMERCIAL!$K40," ",BD_COMERCIAL!$L40),'Curva Forward'!$B$5:$B$13,0),MATCH(GD$4,'Curva Forward'!$C$4:$AN$4,0))),DF40)</f>
        <v>0</v>
      </c>
      <c r="GE40" s="190">
        <f>AS40*AS$2*IF($FC40="V",1,-1)*IF($Q40="Fixo",(DG40-INDEX('Curva Forward'!$C$5:$AN$13,MATCH(CONCATENATE(BD_COMERCIAL!$K40," ",BD_COMERCIAL!$L40),'Curva Forward'!$B$5:$B$13,0),MATCH(GE$4,'Curva Forward'!$C$4:$AN$4,0))),DG40)</f>
        <v>0</v>
      </c>
      <c r="GF40" s="190">
        <f>AT40*AT$2*IF($FC40="V",1,-1)*IF($Q40="Fixo",(DH40-INDEX('Curva Forward'!$C$5:$AN$13,MATCH(CONCATENATE(BD_COMERCIAL!$K40," ",BD_COMERCIAL!$L40),'Curva Forward'!$B$5:$B$13,0),MATCH(GF$4,'Curva Forward'!$C$4:$AN$4,0))),DH40)</f>
        <v>0</v>
      </c>
      <c r="GG40" s="190">
        <f>AU40*AU$2*IF($FC40="V",1,-1)*IF($Q40="Fixo",(DI40-INDEX('Curva Forward'!$C$5:$AN$13,MATCH(CONCATENATE(BD_COMERCIAL!$K40," ",BD_COMERCIAL!$L40),'Curva Forward'!$B$5:$B$13,0),MATCH(GG$4,'Curva Forward'!$C$4:$AN$4,0))),DI40)</f>
        <v>0</v>
      </c>
      <c r="GH40" s="190">
        <f>AV40*AV$2*IF($FC40="V",1,-1)*IF($Q40="Fixo",(DJ40-INDEX('Curva Forward'!$C$5:$AN$13,MATCH(CONCATENATE(BD_COMERCIAL!$K40," ",BD_COMERCIAL!$L40),'Curva Forward'!$B$5:$B$13,0),MATCH(GH$4,'Curva Forward'!$C$4:$AN$4,0))),DJ40)</f>
        <v>0</v>
      </c>
      <c r="GI40" s="190">
        <f>AW40*AW$2*IF($FC40="V",1,-1)*IF($Q40="Fixo",(DK40-INDEX('Curva Forward'!$C$5:$AN$13,MATCH(CONCATENATE(BD_COMERCIAL!$K40," ",BD_COMERCIAL!$L40),'Curva Forward'!$B$5:$B$13,0),MATCH(GI$4,'Curva Forward'!$C$4:$AN$4,0))),DK40)</f>
        <v>0</v>
      </c>
      <c r="GJ40" s="190">
        <f>AX40*AX$2*IF($FC40="V",1,-1)*IF($Q40="Fixo",(DL40-INDEX('Curva Forward'!$C$5:$AN$13,MATCH(CONCATENATE(BD_COMERCIAL!$K40," ",BD_COMERCIAL!$L40),'Curva Forward'!$B$5:$B$13,0),MATCH(GJ$4,'Curva Forward'!$C$4:$AN$4,0))),DL40)</f>
        <v>0</v>
      </c>
      <c r="GK40" s="190">
        <f>AY40*AY$2*IF($FC40="V",1,-1)*IF($Q40="Fixo",(DM40-INDEX('Curva Forward'!$C$5:$AN$13,MATCH(CONCATENATE(BD_COMERCIAL!$K40," ",BD_COMERCIAL!$L40),'Curva Forward'!$B$5:$B$13,0),MATCH(GK$4,'Curva Forward'!$C$4:$AN$4,0))),DM40)</f>
        <v>0</v>
      </c>
      <c r="GL40" s="190">
        <f>IF(EZ40="",0,CL40*CL$2*IF($FC40="V",1,-1)*IF($Q40="Fixo",(EZ40-INDEX('Curva Forward'!$C$5:$AN$13,MATCH(CONCATENATE(BD_COMERCIAL!$K40," ",BD_COMERCIAL!$L40),'Curva Forward'!$B$5:$B$13,0),MATCH(GL$4,'Curva Forward'!$C$4:$AN$4,0))),EZ40))</f>
        <v>0</v>
      </c>
      <c r="GM40" s="190">
        <f>IF(FA40="",0,CM40*CM$2*IF($FC40="V",1,-1)*IF($Q40="Fixo",(FA40-INDEX('Curva Forward'!$C$5:$AN$13,MATCH(CONCATENATE(BD_COMERCIAL!$K40," ",BD_COMERCIAL!$L40),'Curva Forward'!$B$5:$B$13,0),MATCH(GM$4,'Curva Forward'!$C$4:$AN$4,0))),FA40))</f>
        <v>0</v>
      </c>
      <c r="GN40" s="190">
        <f>IF(FB40="",0,CN40*CN$2*IF($FC40="V",1,-1)*IF($Q40="Fixo",(FB40-INDEX('Curva Forward'!$C$5:$AN$13,MATCH(CONCATENATE(BD_COMERCIAL!$K40," ",BD_COMERCIAL!$L40),'Curva Forward'!$B$5:$B$13,0),MATCH(GN$4,'Curva Forward'!$C$4:$AN$4,0))),FB40))</f>
        <v>0</v>
      </c>
      <c r="GO40" s="191">
        <f t="shared" ca="1" si="11"/>
        <v>2191440</v>
      </c>
      <c r="GP40" s="191">
        <f t="shared" ca="1" si="12"/>
        <v>0</v>
      </c>
      <c r="GQ40" s="115"/>
      <c r="GR40" s="115"/>
      <c r="GS40"/>
      <c r="GT40" s="65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</row>
    <row r="41" spans="1:236" s="265" customFormat="1" ht="15" customHeight="1" x14ac:dyDescent="0.35">
      <c r="A41" s="251"/>
      <c r="B41" s="7" t="s">
        <v>373</v>
      </c>
      <c r="C41" s="8">
        <v>44798</v>
      </c>
      <c r="D41" s="9" t="s">
        <v>123</v>
      </c>
      <c r="E41" s="9" t="s">
        <v>124</v>
      </c>
      <c r="F41" s="112" t="s">
        <v>348</v>
      </c>
      <c r="G41" s="10" t="s">
        <v>205</v>
      </c>
      <c r="H41" s="112" t="s">
        <v>347</v>
      </c>
      <c r="I41" s="9" t="s">
        <v>125</v>
      </c>
      <c r="J41" s="158" t="s">
        <v>349</v>
      </c>
      <c r="K41" s="10" t="s">
        <v>126</v>
      </c>
      <c r="L41" s="84" t="s">
        <v>22</v>
      </c>
      <c r="M41" s="11">
        <v>45017</v>
      </c>
      <c r="N41" s="12">
        <v>45107</v>
      </c>
      <c r="O41" s="10">
        <v>12</v>
      </c>
      <c r="P41" s="84">
        <v>120</v>
      </c>
      <c r="Q41" s="84" t="s">
        <v>127</v>
      </c>
      <c r="R41" s="10" t="s">
        <v>128</v>
      </c>
      <c r="S41" s="14" t="s">
        <v>133</v>
      </c>
      <c r="T41" s="11" t="s">
        <v>129</v>
      </c>
      <c r="U41" s="12">
        <v>44798</v>
      </c>
      <c r="V41" s="202" t="e">
        <f ca="1">IF(U41="","",
IF(U41="NA","",
IFERROR(VLOOKUP(EOMONTH(M41,-2)+1,IPCA!$A:$B,2,0),
VLOOKUP(EOMONTH(TODAY(),-2)+1,IPCA!$A:$B,2,0))/
VLOOKUP(EOMONTH(U41,-2)+1,IPCA!$A:$B,2,0)*
P41))</f>
        <v>#N/A</v>
      </c>
      <c r="W41" s="84"/>
      <c r="X41" s="13" t="s">
        <v>132</v>
      </c>
      <c r="Y41" s="158"/>
      <c r="Z41" s="106"/>
      <c r="AA41" s="107"/>
      <c r="AB41" s="15"/>
      <c r="AC41"/>
      <c r="AD41"/>
      <c r="AE41">
        <v>12</v>
      </c>
      <c r="AF41">
        <v>12</v>
      </c>
      <c r="AG41">
        <v>12</v>
      </c>
      <c r="AH41"/>
      <c r="AI41"/>
      <c r="AJ41"/>
      <c r="AK41"/>
      <c r="AL41"/>
      <c r="AM41" s="6"/>
      <c r="AN41" s="15"/>
      <c r="AO41"/>
      <c r="AP41"/>
      <c r="AQ41"/>
      <c r="AR41"/>
      <c r="AS41"/>
      <c r="AT41"/>
      <c r="AU41"/>
      <c r="AV41"/>
      <c r="AW41"/>
      <c r="AX41"/>
      <c r="AY41" s="6"/>
      <c r="AZ41" s="15"/>
      <c r="BA41"/>
      <c r="BB41"/>
      <c r="BC41"/>
      <c r="BD41"/>
      <c r="BE41"/>
      <c r="BF41"/>
      <c r="BG41"/>
      <c r="BH41"/>
      <c r="BI41"/>
      <c r="BJ41"/>
      <c r="BK41" s="6"/>
      <c r="BL41" s="15"/>
      <c r="BM41"/>
      <c r="BN41"/>
      <c r="BO41"/>
      <c r="BP41"/>
      <c r="BQ41"/>
      <c r="BR41"/>
      <c r="BS41"/>
      <c r="BT41"/>
      <c r="BU41"/>
      <c r="BV41"/>
      <c r="BW41" s="6"/>
      <c r="BX41" s="15"/>
      <c r="BY41"/>
      <c r="BZ41"/>
      <c r="CA41"/>
      <c r="CB41"/>
      <c r="CC41"/>
      <c r="CD41"/>
      <c r="CE41"/>
      <c r="CF41"/>
      <c r="CG41"/>
      <c r="CH41"/>
      <c r="CI41" s="6"/>
      <c r="CJ41" s="16">
        <v>2.9917808219178084</v>
      </c>
      <c r="CK41" s="16" t="s">
        <v>578</v>
      </c>
      <c r="CL41" s="16" t="s">
        <v>578</v>
      </c>
      <c r="CM41" s="16" t="s">
        <v>578</v>
      </c>
      <c r="CN41" s="16" t="s">
        <v>578</v>
      </c>
      <c r="CO41" s="18"/>
      <c r="CP41" s="15"/>
      <c r="CQ41"/>
      <c r="CR41"/>
      <c r="CS41">
        <v>120</v>
      </c>
      <c r="CT41">
        <v>120</v>
      </c>
      <c r="CU41">
        <v>120</v>
      </c>
      <c r="CV41"/>
      <c r="CW41"/>
      <c r="CX41"/>
      <c r="CY41"/>
      <c r="CZ41"/>
      <c r="DA41" s="6"/>
      <c r="DB41" s="15"/>
      <c r="DC41"/>
      <c r="DD41"/>
      <c r="DE41"/>
      <c r="DF41"/>
      <c r="DG41"/>
      <c r="DH41"/>
      <c r="DI41"/>
      <c r="DJ41"/>
      <c r="DK41"/>
      <c r="DL41"/>
      <c r="DM41" s="6"/>
      <c r="DN41" s="15"/>
      <c r="DO41"/>
      <c r="DP41"/>
      <c r="DQ41"/>
      <c r="DR41"/>
      <c r="DS41"/>
      <c r="DT41"/>
      <c r="DU41"/>
      <c r="DV41"/>
      <c r="DW41"/>
      <c r="DX41"/>
      <c r="DY41" s="6"/>
      <c r="DZ41" s="15"/>
      <c r="EA41"/>
      <c r="EB41"/>
      <c r="EC41"/>
      <c r="ED41"/>
      <c r="EE41"/>
      <c r="EF41"/>
      <c r="EG41"/>
      <c r="EH41"/>
      <c r="EI41"/>
      <c r="EJ41"/>
      <c r="EK41" s="6"/>
      <c r="EL41" s="15"/>
      <c r="EM41"/>
      <c r="EN41"/>
      <c r="EO41"/>
      <c r="EP41"/>
      <c r="EQ41"/>
      <c r="ER41"/>
      <c r="ES41"/>
      <c r="ET41"/>
      <c r="EU41"/>
      <c r="EV41"/>
      <c r="EW41" s="6"/>
      <c r="EX41" s="16">
        <v>29.917808219178081</v>
      </c>
      <c r="EY41" s="16" t="s">
        <v>578</v>
      </c>
      <c r="EZ41" s="16" t="s">
        <v>578</v>
      </c>
      <c r="FA41" s="154" t="s">
        <v>578</v>
      </c>
      <c r="FB41" s="154" t="s">
        <v>578</v>
      </c>
      <c r="FC41" t="s">
        <v>195</v>
      </c>
      <c r="FD41" s="20" t="s">
        <v>125</v>
      </c>
      <c r="FE41"/>
      <c r="FF41" s="199" t="s">
        <v>197</v>
      </c>
      <c r="FG41"/>
      <c r="FH41" s="206" t="e">
        <f t="shared" ca="1" si="6"/>
        <v>#N/A</v>
      </c>
      <c r="FI41" s="198">
        <f t="shared" si="7"/>
        <v>3</v>
      </c>
      <c r="FJ41"/>
      <c r="FK41" t="str">
        <f t="shared" si="8"/>
        <v>True Comercializadora de Energia LTDA</v>
      </c>
      <c r="FL41" s="191">
        <f t="shared" ca="1" si="9"/>
        <v>0</v>
      </c>
      <c r="FM41" s="191">
        <f t="shared" ca="1" si="10"/>
        <v>1319040</v>
      </c>
      <c r="FN41" s="190">
        <f>AB41*AB$2*IF($FC41="V",1,-1)*IF($Q41="Fixo",(CP41-INDEX('Curva Forward'!$C$5:$AN$13,MATCH(CONCATENATE(BD_COMERCIAL!$K41," ",BD_COMERCIAL!$L41),'Curva Forward'!$B$5:$B$13,0),MATCH(FN$4,'Curva Forward'!$C$4:$AN$4,0))),CP41)</f>
        <v>0</v>
      </c>
      <c r="FO41" s="190">
        <f>AC41*AC$2*IF($FC41="V",1,-1)*IF($Q41="Fixo",(CQ41-INDEX('Curva Forward'!$C$5:$AN$13,MATCH(CONCATENATE(BD_COMERCIAL!$K41," ",BD_COMERCIAL!$L41),'Curva Forward'!$B$5:$B$13,0),MATCH(FO$4,'Curva Forward'!$C$4:$AN$4,0))),CQ41)</f>
        <v>0</v>
      </c>
      <c r="FP41" s="190">
        <f>AD41*AD$2*IF($FC41="V",1,-1)*IF($Q41="Fixo",(CR41-INDEX('Curva Forward'!$C$5:$AN$13,MATCH(CONCATENATE(BD_COMERCIAL!$K41," ",BD_COMERCIAL!$L41),'Curva Forward'!$B$5:$B$13,0),MATCH(FP$4,'Curva Forward'!$C$4:$AN$4,0))),CR41)</f>
        <v>0</v>
      </c>
      <c r="FQ41" s="190">
        <f>AE41*AE$2*IF($FC41="V",1,-1)*IF($Q41="Fixo",(CS41-INDEX('Curva Forward'!$C$5:$AN$13,MATCH(CONCATENATE(BD_COMERCIAL!$K41," ",BD_COMERCIAL!$L41),'Curva Forward'!$B$5:$B$13,0),MATCH(FQ$4,'Curva Forward'!$C$4:$AN$4,0))),CS41)</f>
        <v>440640</v>
      </c>
      <c r="FR41" s="190">
        <f>AF41*AF$2*IF($FC41="V",1,-1)*IF($Q41="Fixo",(CT41-INDEX('Curva Forward'!$C$5:$AN$13,MATCH(CONCATENATE(BD_COMERCIAL!$K41," ",BD_COMERCIAL!$L41),'Curva Forward'!$B$5:$B$13,0),MATCH(FR$4,'Curva Forward'!$C$4:$AN$4,0))),CT41)</f>
        <v>446400</v>
      </c>
      <c r="FS41" s="190">
        <f>AG41*AG$2*IF($FC41="V",1,-1)*IF($Q41="Fixo",(CU41-INDEX('Curva Forward'!$C$5:$AN$13,MATCH(CONCATENATE(BD_COMERCIAL!$K41," ",BD_COMERCIAL!$L41),'Curva Forward'!$B$5:$B$13,0),MATCH(FS$4,'Curva Forward'!$C$4:$AN$4,0))),CU41)</f>
        <v>432000</v>
      </c>
      <c r="FT41" s="190">
        <f>AH41*AH$2*IF($FC41="V",1,-1)*IF($Q41="Fixo",(CV41-INDEX('Curva Forward'!$C$5:$AN$13,MATCH(CONCATENATE(BD_COMERCIAL!$K41," ",BD_COMERCIAL!$L41),'Curva Forward'!$B$5:$B$13,0),MATCH(FT$4,'Curva Forward'!$C$4:$AN$4,0))),CV41)</f>
        <v>0</v>
      </c>
      <c r="FU41" s="190">
        <f>AI41*AI$2*IF($FC41="V",1,-1)*IF($Q41="Fixo",(CW41-INDEX('Curva Forward'!$C$5:$AN$13,MATCH(CONCATENATE(BD_COMERCIAL!$K41," ",BD_COMERCIAL!$L41),'Curva Forward'!$B$5:$B$13,0),MATCH(FU$4,'Curva Forward'!$C$4:$AN$4,0))),CW41)</f>
        <v>0</v>
      </c>
      <c r="FV41" s="190">
        <f>AJ41*AJ$2*IF($FC41="V",1,-1)*IF($Q41="Fixo",(CX41-INDEX('Curva Forward'!$C$5:$AN$13,MATCH(CONCATENATE(BD_COMERCIAL!$K41," ",BD_COMERCIAL!$L41),'Curva Forward'!$B$5:$B$13,0),MATCH(FV$4,'Curva Forward'!$C$4:$AN$4,0))),CX41)</f>
        <v>0</v>
      </c>
      <c r="FW41" s="190">
        <f>AK41*AK$2*IF($FC41="V",1,-1)*IF($Q41="Fixo",(CY41-INDEX('Curva Forward'!$C$5:$AN$13,MATCH(CONCATENATE(BD_COMERCIAL!$K41," ",BD_COMERCIAL!$L41),'Curva Forward'!$B$5:$B$13,0),MATCH(FW$4,'Curva Forward'!$C$4:$AN$4,0))),CY41)</f>
        <v>0</v>
      </c>
      <c r="FX41" s="190">
        <f>AL41*AL$2*IF($FC41="V",1,-1)*IF($Q41="Fixo",(CZ41-INDEX('Curva Forward'!$C$5:$AN$13,MATCH(CONCATENATE(BD_COMERCIAL!$K41," ",BD_COMERCIAL!$L41),'Curva Forward'!$B$5:$B$13,0),MATCH(FX$4,'Curva Forward'!$C$4:$AN$4,0))),CZ41)</f>
        <v>0</v>
      </c>
      <c r="FY41" s="190">
        <f>AM41*AM$2*IF($FC41="V",1,-1)*IF($Q41="Fixo",(DA41-INDEX('Curva Forward'!$C$5:$AN$13,MATCH(CONCATENATE(BD_COMERCIAL!$K41," ",BD_COMERCIAL!$L41),'Curva Forward'!$B$5:$B$13,0),MATCH(FY$4,'Curva Forward'!$C$4:$AN$4,0))),DA41)</f>
        <v>0</v>
      </c>
      <c r="FZ41" s="190">
        <f>AN41*AN$2*IF($FC41="V",1,-1)*IF($Q41="Fixo",(DB41-INDEX('Curva Forward'!$C$5:$AN$13,MATCH(CONCATENATE(BD_COMERCIAL!$K41," ",BD_COMERCIAL!$L41),'Curva Forward'!$B$5:$B$13,0),MATCH(FZ$4,'Curva Forward'!$C$4:$AN$4,0))),DB41)</f>
        <v>0</v>
      </c>
      <c r="GA41" s="190">
        <f>AO41*AO$2*IF($FC41="V",1,-1)*IF($Q41="Fixo",(DC41-INDEX('Curva Forward'!$C$5:$AN$13,MATCH(CONCATENATE(BD_COMERCIAL!$K41," ",BD_COMERCIAL!$L41),'Curva Forward'!$B$5:$B$13,0),MATCH(GA$4,'Curva Forward'!$C$4:$AN$4,0))),DC41)</f>
        <v>0</v>
      </c>
      <c r="GB41" s="190">
        <f>AP41*AP$2*IF($FC41="V",1,-1)*IF($Q41="Fixo",(DD41-INDEX('Curva Forward'!$C$5:$AN$13,MATCH(CONCATENATE(BD_COMERCIAL!$K41," ",BD_COMERCIAL!$L41),'Curva Forward'!$B$5:$B$13,0),MATCH(GB$4,'Curva Forward'!$C$4:$AN$4,0))),DD41)</f>
        <v>0</v>
      </c>
      <c r="GC41" s="190">
        <f>AQ41*AQ$2*IF($FC41="V",1,-1)*IF($Q41="Fixo",(DE41-INDEX('Curva Forward'!$C$5:$AN$13,MATCH(CONCATENATE(BD_COMERCIAL!$K41," ",BD_COMERCIAL!$L41),'Curva Forward'!$B$5:$B$13,0),MATCH(GC$4,'Curva Forward'!$C$4:$AN$4,0))),DE41)</f>
        <v>0</v>
      </c>
      <c r="GD41" s="190">
        <f>AR41*AR$2*IF($FC41="V",1,-1)*IF($Q41="Fixo",(DF41-INDEX('Curva Forward'!$C$5:$AN$13,MATCH(CONCATENATE(BD_COMERCIAL!$K41," ",BD_COMERCIAL!$L41),'Curva Forward'!$B$5:$B$13,0),MATCH(GD$4,'Curva Forward'!$C$4:$AN$4,0))),DF41)</f>
        <v>0</v>
      </c>
      <c r="GE41" s="190">
        <f>AS41*AS$2*IF($FC41="V",1,-1)*IF($Q41="Fixo",(DG41-INDEX('Curva Forward'!$C$5:$AN$13,MATCH(CONCATENATE(BD_COMERCIAL!$K41," ",BD_COMERCIAL!$L41),'Curva Forward'!$B$5:$B$13,0),MATCH(GE$4,'Curva Forward'!$C$4:$AN$4,0))),DG41)</f>
        <v>0</v>
      </c>
      <c r="GF41" s="190">
        <f>AT41*AT$2*IF($FC41="V",1,-1)*IF($Q41="Fixo",(DH41-INDEX('Curva Forward'!$C$5:$AN$13,MATCH(CONCATENATE(BD_COMERCIAL!$K41," ",BD_COMERCIAL!$L41),'Curva Forward'!$B$5:$B$13,0),MATCH(GF$4,'Curva Forward'!$C$4:$AN$4,0))),DH41)</f>
        <v>0</v>
      </c>
      <c r="GG41" s="190">
        <f>AU41*AU$2*IF($FC41="V",1,-1)*IF($Q41="Fixo",(DI41-INDEX('Curva Forward'!$C$5:$AN$13,MATCH(CONCATENATE(BD_COMERCIAL!$K41," ",BD_COMERCIAL!$L41),'Curva Forward'!$B$5:$B$13,0),MATCH(GG$4,'Curva Forward'!$C$4:$AN$4,0))),DI41)</f>
        <v>0</v>
      </c>
      <c r="GH41" s="190">
        <f>AV41*AV$2*IF($FC41="V",1,-1)*IF($Q41="Fixo",(DJ41-INDEX('Curva Forward'!$C$5:$AN$13,MATCH(CONCATENATE(BD_COMERCIAL!$K41," ",BD_COMERCIAL!$L41),'Curva Forward'!$B$5:$B$13,0),MATCH(GH$4,'Curva Forward'!$C$4:$AN$4,0))),DJ41)</f>
        <v>0</v>
      </c>
      <c r="GI41" s="190">
        <f>AW41*AW$2*IF($FC41="V",1,-1)*IF($Q41="Fixo",(DK41-INDEX('Curva Forward'!$C$5:$AN$13,MATCH(CONCATENATE(BD_COMERCIAL!$K41," ",BD_COMERCIAL!$L41),'Curva Forward'!$B$5:$B$13,0),MATCH(GI$4,'Curva Forward'!$C$4:$AN$4,0))),DK41)</f>
        <v>0</v>
      </c>
      <c r="GJ41" s="190">
        <f>AX41*AX$2*IF($FC41="V",1,-1)*IF($Q41="Fixo",(DL41-INDEX('Curva Forward'!$C$5:$AN$13,MATCH(CONCATENATE(BD_COMERCIAL!$K41," ",BD_COMERCIAL!$L41),'Curva Forward'!$B$5:$B$13,0),MATCH(GJ$4,'Curva Forward'!$C$4:$AN$4,0))),DL41)</f>
        <v>0</v>
      </c>
      <c r="GK41" s="190">
        <f>AY41*AY$2*IF($FC41="V",1,-1)*IF($Q41="Fixo",(DM41-INDEX('Curva Forward'!$C$5:$AN$13,MATCH(CONCATENATE(BD_COMERCIAL!$K41," ",BD_COMERCIAL!$L41),'Curva Forward'!$B$5:$B$13,0),MATCH(GK$4,'Curva Forward'!$C$4:$AN$4,0))),DM41)</f>
        <v>0</v>
      </c>
      <c r="GL41" s="190">
        <f>IF(EZ41="",0,CL41*CL$2*IF($FC41="V",1,-1)*IF($Q41="Fixo",(EZ41-INDEX('Curva Forward'!$C$5:$AN$13,MATCH(CONCATENATE(BD_COMERCIAL!$K41," ",BD_COMERCIAL!$L41),'Curva Forward'!$B$5:$B$13,0),MATCH(GL$4,'Curva Forward'!$C$4:$AN$4,0))),EZ41))</f>
        <v>0</v>
      </c>
      <c r="GM41" s="190">
        <f>IF(FA41="",0,CM41*CM$2*IF($FC41="V",1,-1)*IF($Q41="Fixo",(FA41-INDEX('Curva Forward'!$C$5:$AN$13,MATCH(CONCATENATE(BD_COMERCIAL!$K41," ",BD_COMERCIAL!$L41),'Curva Forward'!$B$5:$B$13,0),MATCH(GM$4,'Curva Forward'!$C$4:$AN$4,0))),FA41))</f>
        <v>0</v>
      </c>
      <c r="GN41" s="190">
        <f>IF(FB41="",0,CN41*CN$2*IF($FC41="V",1,-1)*IF($Q41="Fixo",(FB41-INDEX('Curva Forward'!$C$5:$AN$13,MATCH(CONCATENATE(BD_COMERCIAL!$K41," ",BD_COMERCIAL!$L41),'Curva Forward'!$B$5:$B$13,0),MATCH(GN$4,'Curva Forward'!$C$4:$AN$4,0))),FB41))</f>
        <v>0</v>
      </c>
      <c r="GO41" s="191">
        <f t="shared" ca="1" si="11"/>
        <v>1319040</v>
      </c>
      <c r="GP41" s="191">
        <f t="shared" ca="1" si="12"/>
        <v>0</v>
      </c>
      <c r="GQ41" s="115"/>
      <c r="GR41" s="115"/>
      <c r="GS41"/>
      <c r="GT41" s="65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</row>
    <row r="42" spans="1:236" s="265" customFormat="1" ht="15" customHeight="1" x14ac:dyDescent="0.35">
      <c r="A42" s="251"/>
      <c r="B42" s="7" t="s">
        <v>374</v>
      </c>
      <c r="C42" s="8">
        <v>44798</v>
      </c>
      <c r="D42" s="9" t="s">
        <v>123</v>
      </c>
      <c r="E42" s="9" t="s">
        <v>124</v>
      </c>
      <c r="F42" s="112" t="s">
        <v>348</v>
      </c>
      <c r="G42" s="10" t="s">
        <v>375</v>
      </c>
      <c r="H42" s="112" t="s">
        <v>376</v>
      </c>
      <c r="I42" s="9" t="s">
        <v>125</v>
      </c>
      <c r="J42" s="158" t="s">
        <v>349</v>
      </c>
      <c r="K42" s="10" t="s">
        <v>126</v>
      </c>
      <c r="L42" s="84" t="s">
        <v>22</v>
      </c>
      <c r="M42" s="11">
        <v>45017</v>
      </c>
      <c r="N42" s="12">
        <v>45077</v>
      </c>
      <c r="O42" s="10">
        <v>5</v>
      </c>
      <c r="P42" s="84">
        <v>111.5</v>
      </c>
      <c r="Q42" s="84" t="s">
        <v>127</v>
      </c>
      <c r="R42" s="10" t="s">
        <v>128</v>
      </c>
      <c r="S42" s="14" t="s">
        <v>133</v>
      </c>
      <c r="T42" s="11" t="s">
        <v>129</v>
      </c>
      <c r="U42" s="12">
        <v>44798</v>
      </c>
      <c r="V42" s="202" t="e">
        <f ca="1">IF(U42="","",
IF(U42="NA","",
IFERROR(VLOOKUP(EOMONTH(M42,-2)+1,IPCA!$A:$B,2,0),
VLOOKUP(EOMONTH(TODAY(),-2)+1,IPCA!$A:$B,2,0))/
VLOOKUP(EOMONTH(U42,-2)+1,IPCA!$A:$B,2,0)*
P42))</f>
        <v>#N/A</v>
      </c>
      <c r="W42" s="84"/>
      <c r="X42" s="13" t="s">
        <v>132</v>
      </c>
      <c r="Y42" s="158"/>
      <c r="Z42" s="106"/>
      <c r="AA42" s="107"/>
      <c r="AB42" s="15"/>
      <c r="AC42"/>
      <c r="AD42"/>
      <c r="AE42">
        <v>5</v>
      </c>
      <c r="AF42">
        <v>5</v>
      </c>
      <c r="AG42"/>
      <c r="AH42"/>
      <c r="AI42"/>
      <c r="AJ42"/>
      <c r="AK42"/>
      <c r="AL42"/>
      <c r="AM42" s="6"/>
      <c r="AN42" s="15"/>
      <c r="AO42"/>
      <c r="AP42"/>
      <c r="AQ42"/>
      <c r="AR42"/>
      <c r="AS42"/>
      <c r="AT42"/>
      <c r="AU42"/>
      <c r="AV42"/>
      <c r="AW42"/>
      <c r="AX42"/>
      <c r="AY42" s="6"/>
      <c r="AZ42" s="15"/>
      <c r="BA42"/>
      <c r="BB42"/>
      <c r="BC42"/>
      <c r="BD42"/>
      <c r="BE42"/>
      <c r="BF42"/>
      <c r="BG42"/>
      <c r="BH42"/>
      <c r="BI42"/>
      <c r="BJ42"/>
      <c r="BK42" s="6"/>
      <c r="BL42" s="15"/>
      <c r="BM42"/>
      <c r="BN42"/>
      <c r="BO42"/>
      <c r="BP42"/>
      <c r="BQ42"/>
      <c r="BR42"/>
      <c r="BS42"/>
      <c r="BT42"/>
      <c r="BU42"/>
      <c r="BV42"/>
      <c r="BW42" s="6"/>
      <c r="BX42" s="15"/>
      <c r="BY42"/>
      <c r="BZ42"/>
      <c r="CA42"/>
      <c r="CB42"/>
      <c r="CC42"/>
      <c r="CD42"/>
      <c r="CE42"/>
      <c r="CF42"/>
      <c r="CG42"/>
      <c r="CH42"/>
      <c r="CI42" s="6"/>
      <c r="CJ42" s="16">
        <v>0.83561643835616439</v>
      </c>
      <c r="CK42" s="16" t="s">
        <v>578</v>
      </c>
      <c r="CL42" s="16" t="s">
        <v>578</v>
      </c>
      <c r="CM42" s="16" t="s">
        <v>578</v>
      </c>
      <c r="CN42" s="16" t="s">
        <v>578</v>
      </c>
      <c r="CO42" s="18"/>
      <c r="CP42" s="15"/>
      <c r="CQ42"/>
      <c r="CR42"/>
      <c r="CS42">
        <v>111.5</v>
      </c>
      <c r="CT42">
        <v>111.5</v>
      </c>
      <c r="CU42"/>
      <c r="CV42"/>
      <c r="CW42"/>
      <c r="CX42"/>
      <c r="CY42"/>
      <c r="CZ42"/>
      <c r="DA42" s="6"/>
      <c r="DB42" s="15"/>
      <c r="DC42"/>
      <c r="DD42"/>
      <c r="DE42"/>
      <c r="DF42"/>
      <c r="DG42"/>
      <c r="DH42"/>
      <c r="DI42"/>
      <c r="DJ42"/>
      <c r="DK42"/>
      <c r="DL42"/>
      <c r="DM42" s="6"/>
      <c r="DN42" s="15"/>
      <c r="DO42"/>
      <c r="DP42"/>
      <c r="DQ42"/>
      <c r="DR42"/>
      <c r="DS42"/>
      <c r="DT42"/>
      <c r="DU42"/>
      <c r="DV42"/>
      <c r="DW42"/>
      <c r="DX42"/>
      <c r="DY42" s="6"/>
      <c r="DZ42" s="15"/>
      <c r="EA42"/>
      <c r="EB42"/>
      <c r="EC42"/>
      <c r="ED42"/>
      <c r="EE42"/>
      <c r="EF42"/>
      <c r="EG42"/>
      <c r="EH42"/>
      <c r="EI42"/>
      <c r="EJ42"/>
      <c r="EK42" s="6"/>
      <c r="EL42" s="15"/>
      <c r="EM42"/>
      <c r="EN42"/>
      <c r="EO42"/>
      <c r="EP42"/>
      <c r="EQ42"/>
      <c r="ER42"/>
      <c r="ES42"/>
      <c r="ET42"/>
      <c r="EU42"/>
      <c r="EV42"/>
      <c r="EW42" s="6"/>
      <c r="EX42" s="16">
        <v>18.634246575342466</v>
      </c>
      <c r="EY42" s="16" t="s">
        <v>578</v>
      </c>
      <c r="EZ42" s="16" t="s">
        <v>578</v>
      </c>
      <c r="FA42" s="154" t="s">
        <v>578</v>
      </c>
      <c r="FB42" s="154" t="s">
        <v>578</v>
      </c>
      <c r="FC42" t="s">
        <v>195</v>
      </c>
      <c r="FD42" s="20" t="s">
        <v>125</v>
      </c>
      <c r="FE42"/>
      <c r="FF42" s="199" t="s">
        <v>197</v>
      </c>
      <c r="FG42"/>
      <c r="FH42" s="206" t="e">
        <f t="shared" ca="1" si="6"/>
        <v>#N/A</v>
      </c>
      <c r="FI42" s="198">
        <f t="shared" si="7"/>
        <v>2</v>
      </c>
      <c r="FJ42"/>
      <c r="FK42" t="str">
        <f t="shared" si="8"/>
        <v>SAFIRA VAREJO COMERCIALIZACAO DE ENERGIA LTDA</v>
      </c>
      <c r="FL42" s="191">
        <f t="shared" ca="1" si="9"/>
        <v>0</v>
      </c>
      <c r="FM42" s="191">
        <f t="shared" ca="1" si="10"/>
        <v>307380</v>
      </c>
      <c r="FN42" s="190">
        <f>AB42*AB$2*IF($FC42="V",1,-1)*IF($Q42="Fixo",(CP42-INDEX('Curva Forward'!$C$5:$AN$13,MATCH(CONCATENATE(BD_COMERCIAL!$K42," ",BD_COMERCIAL!$L42),'Curva Forward'!$B$5:$B$13,0),MATCH(FN$4,'Curva Forward'!$C$4:$AN$4,0))),CP42)</f>
        <v>0</v>
      </c>
      <c r="FO42" s="190">
        <f>AC42*AC$2*IF($FC42="V",1,-1)*IF($Q42="Fixo",(CQ42-INDEX('Curva Forward'!$C$5:$AN$13,MATCH(CONCATENATE(BD_COMERCIAL!$K42," ",BD_COMERCIAL!$L42),'Curva Forward'!$B$5:$B$13,0),MATCH(FO$4,'Curva Forward'!$C$4:$AN$4,0))),CQ42)</f>
        <v>0</v>
      </c>
      <c r="FP42" s="190">
        <f>AD42*AD$2*IF($FC42="V",1,-1)*IF($Q42="Fixo",(CR42-INDEX('Curva Forward'!$C$5:$AN$13,MATCH(CONCATENATE(BD_COMERCIAL!$K42," ",BD_COMERCIAL!$L42),'Curva Forward'!$B$5:$B$13,0),MATCH(FP$4,'Curva Forward'!$C$4:$AN$4,0))),CR42)</f>
        <v>0</v>
      </c>
      <c r="FQ42" s="190">
        <f>AE42*AE$2*IF($FC42="V",1,-1)*IF($Q42="Fixo",(CS42-INDEX('Curva Forward'!$C$5:$AN$13,MATCH(CONCATENATE(BD_COMERCIAL!$K42," ",BD_COMERCIAL!$L42),'Curva Forward'!$B$5:$B$13,0),MATCH(FQ$4,'Curva Forward'!$C$4:$AN$4,0))),CS42)</f>
        <v>153000</v>
      </c>
      <c r="FR42" s="190">
        <f>AF42*AF$2*IF($FC42="V",1,-1)*IF($Q42="Fixo",(CT42-INDEX('Curva Forward'!$C$5:$AN$13,MATCH(CONCATENATE(BD_COMERCIAL!$K42," ",BD_COMERCIAL!$L42),'Curva Forward'!$B$5:$B$13,0),MATCH(FR$4,'Curva Forward'!$C$4:$AN$4,0))),CT42)</f>
        <v>154380</v>
      </c>
      <c r="FS42" s="190">
        <f>AG42*AG$2*IF($FC42="V",1,-1)*IF($Q42="Fixo",(CU42-INDEX('Curva Forward'!$C$5:$AN$13,MATCH(CONCATENATE(BD_COMERCIAL!$K42," ",BD_COMERCIAL!$L42),'Curva Forward'!$B$5:$B$13,0),MATCH(FS$4,'Curva Forward'!$C$4:$AN$4,0))),CU42)</f>
        <v>0</v>
      </c>
      <c r="FT42" s="190">
        <f>AH42*AH$2*IF($FC42="V",1,-1)*IF($Q42="Fixo",(CV42-INDEX('Curva Forward'!$C$5:$AN$13,MATCH(CONCATENATE(BD_COMERCIAL!$K42," ",BD_COMERCIAL!$L42),'Curva Forward'!$B$5:$B$13,0),MATCH(FT$4,'Curva Forward'!$C$4:$AN$4,0))),CV42)</f>
        <v>0</v>
      </c>
      <c r="FU42" s="190">
        <f>AI42*AI$2*IF($FC42="V",1,-1)*IF($Q42="Fixo",(CW42-INDEX('Curva Forward'!$C$5:$AN$13,MATCH(CONCATENATE(BD_COMERCIAL!$K42," ",BD_COMERCIAL!$L42),'Curva Forward'!$B$5:$B$13,0),MATCH(FU$4,'Curva Forward'!$C$4:$AN$4,0))),CW42)</f>
        <v>0</v>
      </c>
      <c r="FV42" s="190">
        <f>AJ42*AJ$2*IF($FC42="V",1,-1)*IF($Q42="Fixo",(CX42-INDEX('Curva Forward'!$C$5:$AN$13,MATCH(CONCATENATE(BD_COMERCIAL!$K42," ",BD_COMERCIAL!$L42),'Curva Forward'!$B$5:$B$13,0),MATCH(FV$4,'Curva Forward'!$C$4:$AN$4,0))),CX42)</f>
        <v>0</v>
      </c>
      <c r="FW42" s="190">
        <f>AK42*AK$2*IF($FC42="V",1,-1)*IF($Q42="Fixo",(CY42-INDEX('Curva Forward'!$C$5:$AN$13,MATCH(CONCATENATE(BD_COMERCIAL!$K42," ",BD_COMERCIAL!$L42),'Curva Forward'!$B$5:$B$13,0),MATCH(FW$4,'Curva Forward'!$C$4:$AN$4,0))),CY42)</f>
        <v>0</v>
      </c>
      <c r="FX42" s="190">
        <f>AL42*AL$2*IF($FC42="V",1,-1)*IF($Q42="Fixo",(CZ42-INDEX('Curva Forward'!$C$5:$AN$13,MATCH(CONCATENATE(BD_COMERCIAL!$K42," ",BD_COMERCIAL!$L42),'Curva Forward'!$B$5:$B$13,0),MATCH(FX$4,'Curva Forward'!$C$4:$AN$4,0))),CZ42)</f>
        <v>0</v>
      </c>
      <c r="FY42" s="190">
        <f>AM42*AM$2*IF($FC42="V",1,-1)*IF($Q42="Fixo",(DA42-INDEX('Curva Forward'!$C$5:$AN$13,MATCH(CONCATENATE(BD_COMERCIAL!$K42," ",BD_COMERCIAL!$L42),'Curva Forward'!$B$5:$B$13,0),MATCH(FY$4,'Curva Forward'!$C$4:$AN$4,0))),DA42)</f>
        <v>0</v>
      </c>
      <c r="FZ42" s="190">
        <f>AN42*AN$2*IF($FC42="V",1,-1)*IF($Q42="Fixo",(DB42-INDEX('Curva Forward'!$C$5:$AN$13,MATCH(CONCATENATE(BD_COMERCIAL!$K42," ",BD_COMERCIAL!$L42),'Curva Forward'!$B$5:$B$13,0),MATCH(FZ$4,'Curva Forward'!$C$4:$AN$4,0))),DB42)</f>
        <v>0</v>
      </c>
      <c r="GA42" s="190">
        <f>AO42*AO$2*IF($FC42="V",1,-1)*IF($Q42="Fixo",(DC42-INDEX('Curva Forward'!$C$5:$AN$13,MATCH(CONCATENATE(BD_COMERCIAL!$K42," ",BD_COMERCIAL!$L42),'Curva Forward'!$B$5:$B$13,0),MATCH(GA$4,'Curva Forward'!$C$4:$AN$4,0))),DC42)</f>
        <v>0</v>
      </c>
      <c r="GB42" s="190">
        <f>AP42*AP$2*IF($FC42="V",1,-1)*IF($Q42="Fixo",(DD42-INDEX('Curva Forward'!$C$5:$AN$13,MATCH(CONCATENATE(BD_COMERCIAL!$K42," ",BD_COMERCIAL!$L42),'Curva Forward'!$B$5:$B$13,0),MATCH(GB$4,'Curva Forward'!$C$4:$AN$4,0))),DD42)</f>
        <v>0</v>
      </c>
      <c r="GC42" s="190">
        <f>AQ42*AQ$2*IF($FC42="V",1,-1)*IF($Q42="Fixo",(DE42-INDEX('Curva Forward'!$C$5:$AN$13,MATCH(CONCATENATE(BD_COMERCIAL!$K42," ",BD_COMERCIAL!$L42),'Curva Forward'!$B$5:$B$13,0),MATCH(GC$4,'Curva Forward'!$C$4:$AN$4,0))),DE42)</f>
        <v>0</v>
      </c>
      <c r="GD42" s="190">
        <f>AR42*AR$2*IF($FC42="V",1,-1)*IF($Q42="Fixo",(DF42-INDEX('Curva Forward'!$C$5:$AN$13,MATCH(CONCATENATE(BD_COMERCIAL!$K42," ",BD_COMERCIAL!$L42),'Curva Forward'!$B$5:$B$13,0),MATCH(GD$4,'Curva Forward'!$C$4:$AN$4,0))),DF42)</f>
        <v>0</v>
      </c>
      <c r="GE42" s="190">
        <f>AS42*AS$2*IF($FC42="V",1,-1)*IF($Q42="Fixo",(DG42-INDEX('Curva Forward'!$C$5:$AN$13,MATCH(CONCATENATE(BD_COMERCIAL!$K42," ",BD_COMERCIAL!$L42),'Curva Forward'!$B$5:$B$13,0),MATCH(GE$4,'Curva Forward'!$C$4:$AN$4,0))),DG42)</f>
        <v>0</v>
      </c>
      <c r="GF42" s="190">
        <f>AT42*AT$2*IF($FC42="V",1,-1)*IF($Q42="Fixo",(DH42-INDEX('Curva Forward'!$C$5:$AN$13,MATCH(CONCATENATE(BD_COMERCIAL!$K42," ",BD_COMERCIAL!$L42),'Curva Forward'!$B$5:$B$13,0),MATCH(GF$4,'Curva Forward'!$C$4:$AN$4,0))),DH42)</f>
        <v>0</v>
      </c>
      <c r="GG42" s="190">
        <f>AU42*AU$2*IF($FC42="V",1,-1)*IF($Q42="Fixo",(DI42-INDEX('Curva Forward'!$C$5:$AN$13,MATCH(CONCATENATE(BD_COMERCIAL!$K42," ",BD_COMERCIAL!$L42),'Curva Forward'!$B$5:$B$13,0),MATCH(GG$4,'Curva Forward'!$C$4:$AN$4,0))),DI42)</f>
        <v>0</v>
      </c>
      <c r="GH42" s="190">
        <f>AV42*AV$2*IF($FC42="V",1,-1)*IF($Q42="Fixo",(DJ42-INDEX('Curva Forward'!$C$5:$AN$13,MATCH(CONCATENATE(BD_COMERCIAL!$K42," ",BD_COMERCIAL!$L42),'Curva Forward'!$B$5:$B$13,0),MATCH(GH$4,'Curva Forward'!$C$4:$AN$4,0))),DJ42)</f>
        <v>0</v>
      </c>
      <c r="GI42" s="190">
        <f>AW42*AW$2*IF($FC42="V",1,-1)*IF($Q42="Fixo",(DK42-INDEX('Curva Forward'!$C$5:$AN$13,MATCH(CONCATENATE(BD_COMERCIAL!$K42," ",BD_COMERCIAL!$L42),'Curva Forward'!$B$5:$B$13,0),MATCH(GI$4,'Curva Forward'!$C$4:$AN$4,0))),DK42)</f>
        <v>0</v>
      </c>
      <c r="GJ42" s="190">
        <f>AX42*AX$2*IF($FC42="V",1,-1)*IF($Q42="Fixo",(DL42-INDEX('Curva Forward'!$C$5:$AN$13,MATCH(CONCATENATE(BD_COMERCIAL!$K42," ",BD_COMERCIAL!$L42),'Curva Forward'!$B$5:$B$13,0),MATCH(GJ$4,'Curva Forward'!$C$4:$AN$4,0))),DL42)</f>
        <v>0</v>
      </c>
      <c r="GK42" s="190">
        <f>AY42*AY$2*IF($FC42="V",1,-1)*IF($Q42="Fixo",(DM42-INDEX('Curva Forward'!$C$5:$AN$13,MATCH(CONCATENATE(BD_COMERCIAL!$K42," ",BD_COMERCIAL!$L42),'Curva Forward'!$B$5:$B$13,0),MATCH(GK$4,'Curva Forward'!$C$4:$AN$4,0))),DM42)</f>
        <v>0</v>
      </c>
      <c r="GL42" s="190">
        <f>IF(EZ42="",0,CL42*CL$2*IF($FC42="V",1,-1)*IF($Q42="Fixo",(EZ42-INDEX('Curva Forward'!$C$5:$AN$13,MATCH(CONCATENATE(BD_COMERCIAL!$K42," ",BD_COMERCIAL!$L42),'Curva Forward'!$B$5:$B$13,0),MATCH(GL$4,'Curva Forward'!$C$4:$AN$4,0))),EZ42))</f>
        <v>0</v>
      </c>
      <c r="GM42" s="190">
        <f>IF(FA42="",0,CM42*CM$2*IF($FC42="V",1,-1)*IF($Q42="Fixo",(FA42-INDEX('Curva Forward'!$C$5:$AN$13,MATCH(CONCATENATE(BD_COMERCIAL!$K42," ",BD_COMERCIAL!$L42),'Curva Forward'!$B$5:$B$13,0),MATCH(GM$4,'Curva Forward'!$C$4:$AN$4,0))),FA42))</f>
        <v>0</v>
      </c>
      <c r="GN42" s="190">
        <f>IF(FB42="",0,CN42*CN$2*IF($FC42="V",1,-1)*IF($Q42="Fixo",(FB42-INDEX('Curva Forward'!$C$5:$AN$13,MATCH(CONCATENATE(BD_COMERCIAL!$K42," ",BD_COMERCIAL!$L42),'Curva Forward'!$B$5:$B$13,0),MATCH(GN$4,'Curva Forward'!$C$4:$AN$4,0))),FB42))</f>
        <v>0</v>
      </c>
      <c r="GO42" s="191">
        <f t="shared" ca="1" si="11"/>
        <v>307380</v>
      </c>
      <c r="GP42" s="191">
        <f t="shared" ca="1" si="12"/>
        <v>0</v>
      </c>
      <c r="GQ42" s="115"/>
      <c r="GR42" s="115"/>
      <c r="GS42"/>
      <c r="GT42" s="65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</row>
    <row r="43" spans="1:236" s="265" customFormat="1" ht="15" customHeight="1" x14ac:dyDescent="0.35">
      <c r="A43" s="251"/>
      <c r="B43" s="7" t="s">
        <v>385</v>
      </c>
      <c r="C43" s="8">
        <v>44809</v>
      </c>
      <c r="D43" s="9" t="s">
        <v>123</v>
      </c>
      <c r="E43" s="9" t="s">
        <v>381</v>
      </c>
      <c r="F43" s="112" t="s">
        <v>348</v>
      </c>
      <c r="G43" s="10" t="s">
        <v>382</v>
      </c>
      <c r="H43" s="112" t="s">
        <v>383</v>
      </c>
      <c r="I43" s="9" t="s">
        <v>137</v>
      </c>
      <c r="J43" s="158"/>
      <c r="K43" s="10" t="s">
        <v>126</v>
      </c>
      <c r="L43" s="84" t="s">
        <v>22</v>
      </c>
      <c r="M43" s="11">
        <v>45047</v>
      </c>
      <c r="N43" s="12">
        <v>45077</v>
      </c>
      <c r="O43" s="10">
        <v>15</v>
      </c>
      <c r="P43" s="84">
        <v>109</v>
      </c>
      <c r="Q43" s="84" t="s">
        <v>127</v>
      </c>
      <c r="R43" s="10" t="s">
        <v>128</v>
      </c>
      <c r="S43" s="14" t="s">
        <v>133</v>
      </c>
      <c r="T43" s="11" t="s">
        <v>129</v>
      </c>
      <c r="U43" s="12">
        <v>44809</v>
      </c>
      <c r="V43" s="202" t="e">
        <f ca="1">IF(U43="","",
IF(U43="NA","",
IFERROR(VLOOKUP(EOMONTH(M43,-2)+1,IPCA!$A:$B,2,0),
VLOOKUP(EOMONTH(TODAY(),-2)+1,IPCA!$A:$B,2,0))/
VLOOKUP(EOMONTH(U43,-2)+1,IPCA!$A:$B,2,0)*
P43))</f>
        <v>#N/A</v>
      </c>
      <c r="W43" s="84"/>
      <c r="X43" s="13" t="s">
        <v>132</v>
      </c>
      <c r="Y43" s="158" t="s">
        <v>393</v>
      </c>
      <c r="Z43" s="106"/>
      <c r="AA43" s="107"/>
      <c r="AB43" s="15"/>
      <c r="AC43"/>
      <c r="AD43"/>
      <c r="AE43"/>
      <c r="AF43">
        <v>15</v>
      </c>
      <c r="AG43"/>
      <c r="AH43"/>
      <c r="AI43"/>
      <c r="AJ43"/>
      <c r="AK43"/>
      <c r="AL43"/>
      <c r="AM43" s="6"/>
      <c r="AN43" s="15"/>
      <c r="AO43"/>
      <c r="AP43"/>
      <c r="AQ43"/>
      <c r="AR43"/>
      <c r="AS43"/>
      <c r="AT43"/>
      <c r="AU43"/>
      <c r="AV43"/>
      <c r="AW43"/>
      <c r="AX43"/>
      <c r="AY43" s="6"/>
      <c r="AZ43" s="15"/>
      <c r="BA43"/>
      <c r="BB43"/>
      <c r="BC43"/>
      <c r="BD43"/>
      <c r="BE43"/>
      <c r="BF43"/>
      <c r="BG43"/>
      <c r="BH43"/>
      <c r="BI43"/>
      <c r="BJ43"/>
      <c r="BK43" s="6"/>
      <c r="BL43" s="15"/>
      <c r="BM43"/>
      <c r="BN43"/>
      <c r="BO43"/>
      <c r="BP43"/>
      <c r="BQ43"/>
      <c r="BR43"/>
      <c r="BS43"/>
      <c r="BT43"/>
      <c r="BU43"/>
      <c r="BV43"/>
      <c r="BW43" s="6"/>
      <c r="BX43" s="15"/>
      <c r="BY43"/>
      <c r="BZ43"/>
      <c r="CA43"/>
      <c r="CB43"/>
      <c r="CC43"/>
      <c r="CD43"/>
      <c r="CE43"/>
      <c r="CF43"/>
      <c r="CG43"/>
      <c r="CH43"/>
      <c r="CI43" s="6"/>
      <c r="CJ43" s="16">
        <v>1.273972602739726</v>
      </c>
      <c r="CK43" s="16" t="s">
        <v>578</v>
      </c>
      <c r="CL43" s="16" t="s">
        <v>578</v>
      </c>
      <c r="CM43" s="16" t="s">
        <v>578</v>
      </c>
      <c r="CN43" s="16" t="s">
        <v>578</v>
      </c>
      <c r="CO43" s="18"/>
      <c r="CP43" s="15"/>
      <c r="CQ43"/>
      <c r="CR43"/>
      <c r="CS43"/>
      <c r="CT43">
        <v>109</v>
      </c>
      <c r="CU43"/>
      <c r="CV43"/>
      <c r="CW43"/>
      <c r="CX43"/>
      <c r="CY43"/>
      <c r="CZ43"/>
      <c r="DA43" s="6"/>
      <c r="DB43" s="15"/>
      <c r="DC43"/>
      <c r="DD43"/>
      <c r="DE43"/>
      <c r="DF43"/>
      <c r="DG43"/>
      <c r="DH43"/>
      <c r="DI43"/>
      <c r="DJ43"/>
      <c r="DK43"/>
      <c r="DL43"/>
      <c r="DM43" s="6"/>
      <c r="DN43" s="15"/>
      <c r="DO43"/>
      <c r="DP43"/>
      <c r="DQ43"/>
      <c r="DR43"/>
      <c r="DS43"/>
      <c r="DT43"/>
      <c r="DU43"/>
      <c r="DV43"/>
      <c r="DW43"/>
      <c r="DX43"/>
      <c r="DY43" s="6"/>
      <c r="DZ43" s="15"/>
      <c r="EA43"/>
      <c r="EB43"/>
      <c r="EC43"/>
      <c r="ED43"/>
      <c r="EE43"/>
      <c r="EF43"/>
      <c r="EG43"/>
      <c r="EH43"/>
      <c r="EI43"/>
      <c r="EJ43"/>
      <c r="EK43" s="6"/>
      <c r="EL43" s="15"/>
      <c r="EM43"/>
      <c r="EN43"/>
      <c r="EO43"/>
      <c r="EP43"/>
      <c r="EQ43"/>
      <c r="ER43"/>
      <c r="ES43"/>
      <c r="ET43"/>
      <c r="EU43"/>
      <c r="EV43"/>
      <c r="EW43" s="6"/>
      <c r="EX43" s="16">
        <v>9.257534246575343</v>
      </c>
      <c r="EY43" s="16" t="s">
        <v>578</v>
      </c>
      <c r="EZ43" s="16" t="s">
        <v>578</v>
      </c>
      <c r="FA43" s="154" t="s">
        <v>578</v>
      </c>
      <c r="FB43" s="154" t="s">
        <v>578</v>
      </c>
      <c r="FC43" t="s">
        <v>195</v>
      </c>
      <c r="FD43" s="20" t="s">
        <v>137</v>
      </c>
      <c r="FE43"/>
      <c r="FF43" s="199" t="s">
        <v>197</v>
      </c>
      <c r="FG43"/>
      <c r="FH43" s="206" t="e">
        <f t="shared" ca="1" si="6"/>
        <v>#N/A</v>
      </c>
      <c r="FI43" s="198">
        <f t="shared" si="7"/>
        <v>1</v>
      </c>
      <c r="FJ43"/>
      <c r="FK43" t="str">
        <f t="shared" si="8"/>
        <v>SAFIRA ADMINISTRACAO E COMERCIALIZACAO DE ENERGIA S.A.</v>
      </c>
      <c r="FL43" s="191">
        <f t="shared" ca="1" si="9"/>
        <v>0</v>
      </c>
      <c r="FM43" s="191">
        <f t="shared" ca="1" si="10"/>
        <v>435240</v>
      </c>
      <c r="FN43" s="190">
        <f>AB43*AB$2*IF($FC43="V",1,-1)*IF($Q43="Fixo",(CP43-INDEX('Curva Forward'!$C$5:$AN$13,MATCH(CONCATENATE(BD_COMERCIAL!$K43," ",BD_COMERCIAL!$L43),'Curva Forward'!$B$5:$B$13,0),MATCH(FN$4,'Curva Forward'!$C$4:$AN$4,0))),CP43)</f>
        <v>0</v>
      </c>
      <c r="FO43" s="190">
        <f>AC43*AC$2*IF($FC43="V",1,-1)*IF($Q43="Fixo",(CQ43-INDEX('Curva Forward'!$C$5:$AN$13,MATCH(CONCATENATE(BD_COMERCIAL!$K43," ",BD_COMERCIAL!$L43),'Curva Forward'!$B$5:$B$13,0),MATCH(FO$4,'Curva Forward'!$C$4:$AN$4,0))),CQ43)</f>
        <v>0</v>
      </c>
      <c r="FP43" s="190">
        <f>AD43*AD$2*IF($FC43="V",1,-1)*IF($Q43="Fixo",(CR43-INDEX('Curva Forward'!$C$5:$AN$13,MATCH(CONCATENATE(BD_COMERCIAL!$K43," ",BD_COMERCIAL!$L43),'Curva Forward'!$B$5:$B$13,0),MATCH(FP$4,'Curva Forward'!$C$4:$AN$4,0))),CR43)</f>
        <v>0</v>
      </c>
      <c r="FQ43" s="190">
        <f>AE43*AE$2*IF($FC43="V",1,-1)*IF($Q43="Fixo",(CS43-INDEX('Curva Forward'!$C$5:$AN$13,MATCH(CONCATENATE(BD_COMERCIAL!$K43," ",BD_COMERCIAL!$L43),'Curva Forward'!$B$5:$B$13,0),MATCH(FQ$4,'Curva Forward'!$C$4:$AN$4,0))),CS43)</f>
        <v>0</v>
      </c>
      <c r="FR43" s="190">
        <f>AF43*AF$2*IF($FC43="V",1,-1)*IF($Q43="Fixo",(CT43-INDEX('Curva Forward'!$C$5:$AN$13,MATCH(CONCATENATE(BD_COMERCIAL!$K43," ",BD_COMERCIAL!$L43),'Curva Forward'!$B$5:$B$13,0),MATCH(FR$4,'Curva Forward'!$C$4:$AN$4,0))),CT43)</f>
        <v>435240</v>
      </c>
      <c r="FS43" s="190">
        <f>AG43*AG$2*IF($FC43="V",1,-1)*IF($Q43="Fixo",(CU43-INDEX('Curva Forward'!$C$5:$AN$13,MATCH(CONCATENATE(BD_COMERCIAL!$K43," ",BD_COMERCIAL!$L43),'Curva Forward'!$B$5:$B$13,0),MATCH(FS$4,'Curva Forward'!$C$4:$AN$4,0))),CU43)</f>
        <v>0</v>
      </c>
      <c r="FT43" s="190">
        <f>AH43*AH$2*IF($FC43="V",1,-1)*IF($Q43="Fixo",(CV43-INDEX('Curva Forward'!$C$5:$AN$13,MATCH(CONCATENATE(BD_COMERCIAL!$K43," ",BD_COMERCIAL!$L43),'Curva Forward'!$B$5:$B$13,0),MATCH(FT$4,'Curva Forward'!$C$4:$AN$4,0))),CV43)</f>
        <v>0</v>
      </c>
      <c r="FU43" s="190">
        <f>AI43*AI$2*IF($FC43="V",1,-1)*IF($Q43="Fixo",(CW43-INDEX('Curva Forward'!$C$5:$AN$13,MATCH(CONCATENATE(BD_COMERCIAL!$K43," ",BD_COMERCIAL!$L43),'Curva Forward'!$B$5:$B$13,0),MATCH(FU$4,'Curva Forward'!$C$4:$AN$4,0))),CW43)</f>
        <v>0</v>
      </c>
      <c r="FV43" s="190">
        <f>AJ43*AJ$2*IF($FC43="V",1,-1)*IF($Q43="Fixo",(CX43-INDEX('Curva Forward'!$C$5:$AN$13,MATCH(CONCATENATE(BD_COMERCIAL!$K43," ",BD_COMERCIAL!$L43),'Curva Forward'!$B$5:$B$13,0),MATCH(FV$4,'Curva Forward'!$C$4:$AN$4,0))),CX43)</f>
        <v>0</v>
      </c>
      <c r="FW43" s="190">
        <f>AK43*AK$2*IF($FC43="V",1,-1)*IF($Q43="Fixo",(CY43-INDEX('Curva Forward'!$C$5:$AN$13,MATCH(CONCATENATE(BD_COMERCIAL!$K43," ",BD_COMERCIAL!$L43),'Curva Forward'!$B$5:$B$13,0),MATCH(FW$4,'Curva Forward'!$C$4:$AN$4,0))),CY43)</f>
        <v>0</v>
      </c>
      <c r="FX43" s="190">
        <f>AL43*AL$2*IF($FC43="V",1,-1)*IF($Q43="Fixo",(CZ43-INDEX('Curva Forward'!$C$5:$AN$13,MATCH(CONCATENATE(BD_COMERCIAL!$K43," ",BD_COMERCIAL!$L43),'Curva Forward'!$B$5:$B$13,0),MATCH(FX$4,'Curva Forward'!$C$4:$AN$4,0))),CZ43)</f>
        <v>0</v>
      </c>
      <c r="FY43" s="190">
        <f>AM43*AM$2*IF($FC43="V",1,-1)*IF($Q43="Fixo",(DA43-INDEX('Curva Forward'!$C$5:$AN$13,MATCH(CONCATENATE(BD_COMERCIAL!$K43," ",BD_COMERCIAL!$L43),'Curva Forward'!$B$5:$B$13,0),MATCH(FY$4,'Curva Forward'!$C$4:$AN$4,0))),DA43)</f>
        <v>0</v>
      </c>
      <c r="FZ43" s="190">
        <f>AN43*AN$2*IF($FC43="V",1,-1)*IF($Q43="Fixo",(DB43-INDEX('Curva Forward'!$C$5:$AN$13,MATCH(CONCATENATE(BD_COMERCIAL!$K43," ",BD_COMERCIAL!$L43),'Curva Forward'!$B$5:$B$13,0),MATCH(FZ$4,'Curva Forward'!$C$4:$AN$4,0))),DB43)</f>
        <v>0</v>
      </c>
      <c r="GA43" s="190">
        <f>AO43*AO$2*IF($FC43="V",1,-1)*IF($Q43="Fixo",(DC43-INDEX('Curva Forward'!$C$5:$AN$13,MATCH(CONCATENATE(BD_COMERCIAL!$K43," ",BD_COMERCIAL!$L43),'Curva Forward'!$B$5:$B$13,0),MATCH(GA$4,'Curva Forward'!$C$4:$AN$4,0))),DC43)</f>
        <v>0</v>
      </c>
      <c r="GB43" s="190">
        <f>AP43*AP$2*IF($FC43="V",1,-1)*IF($Q43="Fixo",(DD43-INDEX('Curva Forward'!$C$5:$AN$13,MATCH(CONCATENATE(BD_COMERCIAL!$K43," ",BD_COMERCIAL!$L43),'Curva Forward'!$B$5:$B$13,0),MATCH(GB$4,'Curva Forward'!$C$4:$AN$4,0))),DD43)</f>
        <v>0</v>
      </c>
      <c r="GC43" s="190">
        <f>AQ43*AQ$2*IF($FC43="V",1,-1)*IF($Q43="Fixo",(DE43-INDEX('Curva Forward'!$C$5:$AN$13,MATCH(CONCATENATE(BD_COMERCIAL!$K43," ",BD_COMERCIAL!$L43),'Curva Forward'!$B$5:$B$13,0),MATCH(GC$4,'Curva Forward'!$C$4:$AN$4,0))),DE43)</f>
        <v>0</v>
      </c>
      <c r="GD43" s="190">
        <f>AR43*AR$2*IF($FC43="V",1,-1)*IF($Q43="Fixo",(DF43-INDEX('Curva Forward'!$C$5:$AN$13,MATCH(CONCATENATE(BD_COMERCIAL!$K43," ",BD_COMERCIAL!$L43),'Curva Forward'!$B$5:$B$13,0),MATCH(GD$4,'Curva Forward'!$C$4:$AN$4,0))),DF43)</f>
        <v>0</v>
      </c>
      <c r="GE43" s="190">
        <f>AS43*AS$2*IF($FC43="V",1,-1)*IF($Q43="Fixo",(DG43-INDEX('Curva Forward'!$C$5:$AN$13,MATCH(CONCATENATE(BD_COMERCIAL!$K43," ",BD_COMERCIAL!$L43),'Curva Forward'!$B$5:$B$13,0),MATCH(GE$4,'Curva Forward'!$C$4:$AN$4,0))),DG43)</f>
        <v>0</v>
      </c>
      <c r="GF43" s="190">
        <f>AT43*AT$2*IF($FC43="V",1,-1)*IF($Q43="Fixo",(DH43-INDEX('Curva Forward'!$C$5:$AN$13,MATCH(CONCATENATE(BD_COMERCIAL!$K43," ",BD_COMERCIAL!$L43),'Curva Forward'!$B$5:$B$13,0),MATCH(GF$4,'Curva Forward'!$C$4:$AN$4,0))),DH43)</f>
        <v>0</v>
      </c>
      <c r="GG43" s="190">
        <f>AU43*AU$2*IF($FC43="V",1,-1)*IF($Q43="Fixo",(DI43-INDEX('Curva Forward'!$C$5:$AN$13,MATCH(CONCATENATE(BD_COMERCIAL!$K43," ",BD_COMERCIAL!$L43),'Curva Forward'!$B$5:$B$13,0),MATCH(GG$4,'Curva Forward'!$C$4:$AN$4,0))),DI43)</f>
        <v>0</v>
      </c>
      <c r="GH43" s="190">
        <f>AV43*AV$2*IF($FC43="V",1,-1)*IF($Q43="Fixo",(DJ43-INDEX('Curva Forward'!$C$5:$AN$13,MATCH(CONCATENATE(BD_COMERCIAL!$K43," ",BD_COMERCIAL!$L43),'Curva Forward'!$B$5:$B$13,0),MATCH(GH$4,'Curva Forward'!$C$4:$AN$4,0))),DJ43)</f>
        <v>0</v>
      </c>
      <c r="GI43" s="190">
        <f>AW43*AW$2*IF($FC43="V",1,-1)*IF($Q43="Fixo",(DK43-INDEX('Curva Forward'!$C$5:$AN$13,MATCH(CONCATENATE(BD_COMERCIAL!$K43," ",BD_COMERCIAL!$L43),'Curva Forward'!$B$5:$B$13,0),MATCH(GI$4,'Curva Forward'!$C$4:$AN$4,0))),DK43)</f>
        <v>0</v>
      </c>
      <c r="GJ43" s="190">
        <f>AX43*AX$2*IF($FC43="V",1,-1)*IF($Q43="Fixo",(DL43-INDEX('Curva Forward'!$C$5:$AN$13,MATCH(CONCATENATE(BD_COMERCIAL!$K43," ",BD_COMERCIAL!$L43),'Curva Forward'!$B$5:$B$13,0),MATCH(GJ$4,'Curva Forward'!$C$4:$AN$4,0))),DL43)</f>
        <v>0</v>
      </c>
      <c r="GK43" s="190">
        <f>AY43*AY$2*IF($FC43="V",1,-1)*IF($Q43="Fixo",(DM43-INDEX('Curva Forward'!$C$5:$AN$13,MATCH(CONCATENATE(BD_COMERCIAL!$K43," ",BD_COMERCIAL!$L43),'Curva Forward'!$B$5:$B$13,0),MATCH(GK$4,'Curva Forward'!$C$4:$AN$4,0))),DM43)</f>
        <v>0</v>
      </c>
      <c r="GL43" s="190">
        <f>IF(EZ43="",0,CL43*CL$2*IF($FC43="V",1,-1)*IF($Q43="Fixo",(EZ43-INDEX('Curva Forward'!$C$5:$AN$13,MATCH(CONCATENATE(BD_COMERCIAL!$K43," ",BD_COMERCIAL!$L43),'Curva Forward'!$B$5:$B$13,0),MATCH(GL$4,'Curva Forward'!$C$4:$AN$4,0))),EZ43))</f>
        <v>0</v>
      </c>
      <c r="GM43" s="190">
        <f>IF(FA43="",0,CM43*CM$2*IF($FC43="V",1,-1)*IF($Q43="Fixo",(FA43-INDEX('Curva Forward'!$C$5:$AN$13,MATCH(CONCATENATE(BD_COMERCIAL!$K43," ",BD_COMERCIAL!$L43),'Curva Forward'!$B$5:$B$13,0),MATCH(GM$4,'Curva Forward'!$C$4:$AN$4,0))),FA43))</f>
        <v>0</v>
      </c>
      <c r="GN43" s="190">
        <f>IF(FB43="",0,CN43*CN$2*IF($FC43="V",1,-1)*IF($Q43="Fixo",(FB43-INDEX('Curva Forward'!$C$5:$AN$13,MATCH(CONCATENATE(BD_COMERCIAL!$K43," ",BD_COMERCIAL!$L43),'Curva Forward'!$B$5:$B$13,0),MATCH(GN$4,'Curva Forward'!$C$4:$AN$4,0))),FB43))</f>
        <v>0</v>
      </c>
      <c r="GO43" s="191">
        <f t="shared" ca="1" si="11"/>
        <v>435240</v>
      </c>
      <c r="GP43" s="191">
        <f t="shared" ca="1" si="12"/>
        <v>0</v>
      </c>
      <c r="GQ43" s="115"/>
      <c r="GR43" s="115"/>
      <c r="GS43"/>
      <c r="GT43" s="65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</row>
    <row r="44" spans="1:236" s="265" customFormat="1" ht="15" customHeight="1" x14ac:dyDescent="0.35">
      <c r="A44" s="251"/>
      <c r="B44" s="207" t="s">
        <v>403</v>
      </c>
      <c r="C44" s="8">
        <v>44809</v>
      </c>
      <c r="D44" s="9" t="s">
        <v>130</v>
      </c>
      <c r="E44" s="9" t="s">
        <v>145</v>
      </c>
      <c r="F44" s="112">
        <v>0</v>
      </c>
      <c r="G44" s="10" t="s">
        <v>381</v>
      </c>
      <c r="H44" s="112" t="s">
        <v>348</v>
      </c>
      <c r="I44" s="9" t="s">
        <v>137</v>
      </c>
      <c r="J44" s="158" t="s">
        <v>349</v>
      </c>
      <c r="K44" s="10" t="s">
        <v>126</v>
      </c>
      <c r="L44" s="84" t="s">
        <v>22</v>
      </c>
      <c r="M44" s="11">
        <v>45047</v>
      </c>
      <c r="N44" s="12">
        <v>45077</v>
      </c>
      <c r="O44" s="10">
        <v>11</v>
      </c>
      <c r="P44" s="84">
        <v>109</v>
      </c>
      <c r="Q44" s="84" t="s">
        <v>127</v>
      </c>
      <c r="R44" s="10" t="s">
        <v>128</v>
      </c>
      <c r="S44" s="14" t="s">
        <v>133</v>
      </c>
      <c r="T44" s="11" t="s">
        <v>129</v>
      </c>
      <c r="U44" s="12">
        <v>44809</v>
      </c>
      <c r="V44" s="202" t="e">
        <f ca="1">IF(U44="","",
IF(U44="NA","",
IFERROR(VLOOKUP(EOMONTH(M44,-2)+1,IPCA!$A:$B,2,0),
VLOOKUP(EOMONTH(TODAY(),-2)+1,IPCA!$A:$B,2,0))/
VLOOKUP(EOMONTH(U44,-2)+1,IPCA!$A:$B,2,0)*
P44))</f>
        <v>#N/A</v>
      </c>
      <c r="W44" s="84"/>
      <c r="X44" s="13"/>
      <c r="Y44" s="158"/>
      <c r="Z44" s="106" t="s">
        <v>146</v>
      </c>
      <c r="AA44" s="107" t="s">
        <v>146</v>
      </c>
      <c r="AB44" s="15"/>
      <c r="AC44"/>
      <c r="AD44"/>
      <c r="AE44"/>
      <c r="AF44">
        <v>11</v>
      </c>
      <c r="AG44"/>
      <c r="AH44"/>
      <c r="AI44"/>
      <c r="AJ44"/>
      <c r="AK44"/>
      <c r="AL44"/>
      <c r="AM44" s="6"/>
      <c r="AN44" s="15"/>
      <c r="AO44"/>
      <c r="AP44"/>
      <c r="AQ44"/>
      <c r="AR44"/>
      <c r="AS44"/>
      <c r="AT44"/>
      <c r="AU44"/>
      <c r="AV44"/>
      <c r="AW44"/>
      <c r="AX44"/>
      <c r="AY44" s="6"/>
      <c r="AZ44" s="15"/>
      <c r="BA44"/>
      <c r="BB44"/>
      <c r="BC44"/>
      <c r="BD44"/>
      <c r="BE44"/>
      <c r="BF44"/>
      <c r="BG44"/>
      <c r="BH44"/>
      <c r="BI44"/>
      <c r="BJ44"/>
      <c r="BK44" s="6"/>
      <c r="BL44" s="15"/>
      <c r="BM44"/>
      <c r="BN44"/>
      <c r="BO44"/>
      <c r="BP44"/>
      <c r="BQ44"/>
      <c r="BR44"/>
      <c r="BS44"/>
      <c r="BT44"/>
      <c r="BU44"/>
      <c r="BV44"/>
      <c r="BW44" s="6"/>
      <c r="BX44" s="15"/>
      <c r="BY44"/>
      <c r="BZ44"/>
      <c r="CA44"/>
      <c r="CB44"/>
      <c r="CC44"/>
      <c r="CD44"/>
      <c r="CE44"/>
      <c r="CF44"/>
      <c r="CG44"/>
      <c r="CH44"/>
      <c r="CI44" s="6"/>
      <c r="CJ44" s="16">
        <v>0.9342465753424658</v>
      </c>
      <c r="CK44" s="16" t="s">
        <v>578</v>
      </c>
      <c r="CL44" s="16" t="s">
        <v>578</v>
      </c>
      <c r="CM44" s="16" t="s">
        <v>578</v>
      </c>
      <c r="CN44" s="16" t="s">
        <v>578</v>
      </c>
      <c r="CO44" s="18"/>
      <c r="CP44" s="15"/>
      <c r="CQ44"/>
      <c r="CR44"/>
      <c r="CS44"/>
      <c r="CT44">
        <v>109</v>
      </c>
      <c r="CU44"/>
      <c r="CV44"/>
      <c r="CW44"/>
      <c r="CX44"/>
      <c r="CY44"/>
      <c r="CZ44"/>
      <c r="DA44" s="6"/>
      <c r="DB44" s="15"/>
      <c r="DC44"/>
      <c r="DD44"/>
      <c r="DE44"/>
      <c r="DF44"/>
      <c r="DG44"/>
      <c r="DH44"/>
      <c r="DI44"/>
      <c r="DJ44"/>
      <c r="DK44"/>
      <c r="DL44"/>
      <c r="DM44" s="6"/>
      <c r="DN44" s="15"/>
      <c r="DO44"/>
      <c r="DP44"/>
      <c r="DQ44"/>
      <c r="DR44"/>
      <c r="DS44"/>
      <c r="DT44"/>
      <c r="DU44"/>
      <c r="DV44"/>
      <c r="DW44"/>
      <c r="DX44"/>
      <c r="DY44" s="6"/>
      <c r="DZ44" s="15"/>
      <c r="EA44"/>
      <c r="EB44"/>
      <c r="EC44"/>
      <c r="ED44"/>
      <c r="EE44"/>
      <c r="EF44"/>
      <c r="EG44"/>
      <c r="EH44"/>
      <c r="EI44"/>
      <c r="EJ44"/>
      <c r="EK44" s="6"/>
      <c r="EL44" s="15"/>
      <c r="EM44"/>
      <c r="EN44"/>
      <c r="EO44"/>
      <c r="EP44"/>
      <c r="EQ44"/>
      <c r="ER44"/>
      <c r="ES44"/>
      <c r="ET44"/>
      <c r="EU44"/>
      <c r="EV44"/>
      <c r="EW44" s="6"/>
      <c r="EX44" s="16">
        <v>9.257534246575343</v>
      </c>
      <c r="EY44" s="16" t="s">
        <v>578</v>
      </c>
      <c r="EZ44" s="16" t="s">
        <v>578</v>
      </c>
      <c r="FA44" s="154" t="s">
        <v>578</v>
      </c>
      <c r="FB44" s="154" t="s">
        <v>578</v>
      </c>
      <c r="FC44" t="s">
        <v>196</v>
      </c>
      <c r="FD44" s="20" t="s">
        <v>145</v>
      </c>
      <c r="FE44"/>
      <c r="FF44" s="199" t="s">
        <v>197</v>
      </c>
      <c r="FG44"/>
      <c r="FH44" s="206" t="e">
        <f t="shared" ca="1" si="6"/>
        <v>#N/A</v>
      </c>
      <c r="FI44" s="198">
        <f t="shared" si="7"/>
        <v>1</v>
      </c>
      <c r="FJ44"/>
      <c r="FK44" t="str">
        <f t="shared" si="8"/>
        <v>Portfólio</v>
      </c>
      <c r="FL44" s="191">
        <f t="shared" ca="1" si="9"/>
        <v>0</v>
      </c>
      <c r="FM44" s="191">
        <f t="shared" ca="1" si="10"/>
        <v>-319176</v>
      </c>
      <c r="FN44" s="190">
        <f>AB44*AB$2*IF($FC44="V",1,-1)*IF($Q44="Fixo",(CP44-INDEX('Curva Forward'!$C$5:$AN$13,MATCH(CONCATENATE(BD_COMERCIAL!$K44," ",BD_COMERCIAL!$L44),'Curva Forward'!$B$5:$B$13,0),MATCH(FN$4,'Curva Forward'!$C$4:$AN$4,0))),CP44)</f>
        <v>0</v>
      </c>
      <c r="FO44" s="190">
        <f>AC44*AC$2*IF($FC44="V",1,-1)*IF($Q44="Fixo",(CQ44-INDEX('Curva Forward'!$C$5:$AN$13,MATCH(CONCATENATE(BD_COMERCIAL!$K44," ",BD_COMERCIAL!$L44),'Curva Forward'!$B$5:$B$13,0),MATCH(FO$4,'Curva Forward'!$C$4:$AN$4,0))),CQ44)</f>
        <v>0</v>
      </c>
      <c r="FP44" s="190">
        <f>AD44*AD$2*IF($FC44="V",1,-1)*IF($Q44="Fixo",(CR44-INDEX('Curva Forward'!$C$5:$AN$13,MATCH(CONCATENATE(BD_COMERCIAL!$K44," ",BD_COMERCIAL!$L44),'Curva Forward'!$B$5:$B$13,0),MATCH(FP$4,'Curva Forward'!$C$4:$AN$4,0))),CR44)</f>
        <v>0</v>
      </c>
      <c r="FQ44" s="190">
        <f>AE44*AE$2*IF($FC44="V",1,-1)*IF($Q44="Fixo",(CS44-INDEX('Curva Forward'!$C$5:$AN$13,MATCH(CONCATENATE(BD_COMERCIAL!$K44," ",BD_COMERCIAL!$L44),'Curva Forward'!$B$5:$B$13,0),MATCH(FQ$4,'Curva Forward'!$C$4:$AN$4,0))),CS44)</f>
        <v>0</v>
      </c>
      <c r="FR44" s="190">
        <f>AF44*AF$2*IF($FC44="V",1,-1)*IF($Q44="Fixo",(CT44-INDEX('Curva Forward'!$C$5:$AN$13,MATCH(CONCATENATE(BD_COMERCIAL!$K44," ",BD_COMERCIAL!$L44),'Curva Forward'!$B$5:$B$13,0),MATCH(FR$4,'Curva Forward'!$C$4:$AN$4,0))),CT44)</f>
        <v>-319176</v>
      </c>
      <c r="FS44" s="190">
        <f>AG44*AG$2*IF($FC44="V",1,-1)*IF($Q44="Fixo",(CU44-INDEX('Curva Forward'!$C$5:$AN$13,MATCH(CONCATENATE(BD_COMERCIAL!$K44," ",BD_COMERCIAL!$L44),'Curva Forward'!$B$5:$B$13,0),MATCH(FS$4,'Curva Forward'!$C$4:$AN$4,0))),CU44)</f>
        <v>0</v>
      </c>
      <c r="FT44" s="190">
        <f>AH44*AH$2*IF($FC44="V",1,-1)*IF($Q44="Fixo",(CV44-INDEX('Curva Forward'!$C$5:$AN$13,MATCH(CONCATENATE(BD_COMERCIAL!$K44," ",BD_COMERCIAL!$L44),'Curva Forward'!$B$5:$B$13,0),MATCH(FT$4,'Curva Forward'!$C$4:$AN$4,0))),CV44)</f>
        <v>0</v>
      </c>
      <c r="FU44" s="190">
        <f>AI44*AI$2*IF($FC44="V",1,-1)*IF($Q44="Fixo",(CW44-INDEX('Curva Forward'!$C$5:$AN$13,MATCH(CONCATENATE(BD_COMERCIAL!$K44," ",BD_COMERCIAL!$L44),'Curva Forward'!$B$5:$B$13,0),MATCH(FU$4,'Curva Forward'!$C$4:$AN$4,0))),CW44)</f>
        <v>0</v>
      </c>
      <c r="FV44" s="190">
        <f>AJ44*AJ$2*IF($FC44="V",1,-1)*IF($Q44="Fixo",(CX44-INDEX('Curva Forward'!$C$5:$AN$13,MATCH(CONCATENATE(BD_COMERCIAL!$K44," ",BD_COMERCIAL!$L44),'Curva Forward'!$B$5:$B$13,0),MATCH(FV$4,'Curva Forward'!$C$4:$AN$4,0))),CX44)</f>
        <v>0</v>
      </c>
      <c r="FW44" s="190">
        <f>AK44*AK$2*IF($FC44="V",1,-1)*IF($Q44="Fixo",(CY44-INDEX('Curva Forward'!$C$5:$AN$13,MATCH(CONCATENATE(BD_COMERCIAL!$K44," ",BD_COMERCIAL!$L44),'Curva Forward'!$B$5:$B$13,0),MATCH(FW$4,'Curva Forward'!$C$4:$AN$4,0))),CY44)</f>
        <v>0</v>
      </c>
      <c r="FX44" s="190">
        <f>AL44*AL$2*IF($FC44="V",1,-1)*IF($Q44="Fixo",(CZ44-INDEX('Curva Forward'!$C$5:$AN$13,MATCH(CONCATENATE(BD_COMERCIAL!$K44," ",BD_COMERCIAL!$L44),'Curva Forward'!$B$5:$B$13,0),MATCH(FX$4,'Curva Forward'!$C$4:$AN$4,0))),CZ44)</f>
        <v>0</v>
      </c>
      <c r="FY44" s="190">
        <f>AM44*AM$2*IF($FC44="V",1,-1)*IF($Q44="Fixo",(DA44-INDEX('Curva Forward'!$C$5:$AN$13,MATCH(CONCATENATE(BD_COMERCIAL!$K44," ",BD_COMERCIAL!$L44),'Curva Forward'!$B$5:$B$13,0),MATCH(FY$4,'Curva Forward'!$C$4:$AN$4,0))),DA44)</f>
        <v>0</v>
      </c>
      <c r="FZ44" s="190">
        <f>AN44*AN$2*IF($FC44="V",1,-1)*IF($Q44="Fixo",(DB44-INDEX('Curva Forward'!$C$5:$AN$13,MATCH(CONCATENATE(BD_COMERCIAL!$K44," ",BD_COMERCIAL!$L44),'Curva Forward'!$B$5:$B$13,0),MATCH(FZ$4,'Curva Forward'!$C$4:$AN$4,0))),DB44)</f>
        <v>0</v>
      </c>
      <c r="GA44" s="190">
        <f>AO44*AO$2*IF($FC44="V",1,-1)*IF($Q44="Fixo",(DC44-INDEX('Curva Forward'!$C$5:$AN$13,MATCH(CONCATENATE(BD_COMERCIAL!$K44," ",BD_COMERCIAL!$L44),'Curva Forward'!$B$5:$B$13,0),MATCH(GA$4,'Curva Forward'!$C$4:$AN$4,0))),DC44)</f>
        <v>0</v>
      </c>
      <c r="GB44" s="190">
        <f>AP44*AP$2*IF($FC44="V",1,-1)*IF($Q44="Fixo",(DD44-INDEX('Curva Forward'!$C$5:$AN$13,MATCH(CONCATENATE(BD_COMERCIAL!$K44," ",BD_COMERCIAL!$L44),'Curva Forward'!$B$5:$B$13,0),MATCH(GB$4,'Curva Forward'!$C$4:$AN$4,0))),DD44)</f>
        <v>0</v>
      </c>
      <c r="GC44" s="190">
        <f>AQ44*AQ$2*IF($FC44="V",1,-1)*IF($Q44="Fixo",(DE44-INDEX('Curva Forward'!$C$5:$AN$13,MATCH(CONCATENATE(BD_COMERCIAL!$K44," ",BD_COMERCIAL!$L44),'Curva Forward'!$B$5:$B$13,0),MATCH(GC$4,'Curva Forward'!$C$4:$AN$4,0))),DE44)</f>
        <v>0</v>
      </c>
      <c r="GD44" s="190">
        <f>AR44*AR$2*IF($FC44="V",1,-1)*IF($Q44="Fixo",(DF44-INDEX('Curva Forward'!$C$5:$AN$13,MATCH(CONCATENATE(BD_COMERCIAL!$K44," ",BD_COMERCIAL!$L44),'Curva Forward'!$B$5:$B$13,0),MATCH(GD$4,'Curva Forward'!$C$4:$AN$4,0))),DF44)</f>
        <v>0</v>
      </c>
      <c r="GE44" s="190">
        <f>AS44*AS$2*IF($FC44="V",1,-1)*IF($Q44="Fixo",(DG44-INDEX('Curva Forward'!$C$5:$AN$13,MATCH(CONCATENATE(BD_COMERCIAL!$K44," ",BD_COMERCIAL!$L44),'Curva Forward'!$B$5:$B$13,0),MATCH(GE$4,'Curva Forward'!$C$4:$AN$4,0))),DG44)</f>
        <v>0</v>
      </c>
      <c r="GF44" s="190">
        <f>AT44*AT$2*IF($FC44="V",1,-1)*IF($Q44="Fixo",(DH44-INDEX('Curva Forward'!$C$5:$AN$13,MATCH(CONCATENATE(BD_COMERCIAL!$K44," ",BD_COMERCIAL!$L44),'Curva Forward'!$B$5:$B$13,0),MATCH(GF$4,'Curva Forward'!$C$4:$AN$4,0))),DH44)</f>
        <v>0</v>
      </c>
      <c r="GG44" s="190">
        <f>AU44*AU$2*IF($FC44="V",1,-1)*IF($Q44="Fixo",(DI44-INDEX('Curva Forward'!$C$5:$AN$13,MATCH(CONCATENATE(BD_COMERCIAL!$K44," ",BD_COMERCIAL!$L44),'Curva Forward'!$B$5:$B$13,0),MATCH(GG$4,'Curva Forward'!$C$4:$AN$4,0))),DI44)</f>
        <v>0</v>
      </c>
      <c r="GH44" s="190">
        <f>AV44*AV$2*IF($FC44="V",1,-1)*IF($Q44="Fixo",(DJ44-INDEX('Curva Forward'!$C$5:$AN$13,MATCH(CONCATENATE(BD_COMERCIAL!$K44," ",BD_COMERCIAL!$L44),'Curva Forward'!$B$5:$B$13,0),MATCH(GH$4,'Curva Forward'!$C$4:$AN$4,0))),DJ44)</f>
        <v>0</v>
      </c>
      <c r="GI44" s="190">
        <f>AW44*AW$2*IF($FC44="V",1,-1)*IF($Q44="Fixo",(DK44-INDEX('Curva Forward'!$C$5:$AN$13,MATCH(CONCATENATE(BD_COMERCIAL!$K44," ",BD_COMERCIAL!$L44),'Curva Forward'!$B$5:$B$13,0),MATCH(GI$4,'Curva Forward'!$C$4:$AN$4,0))),DK44)</f>
        <v>0</v>
      </c>
      <c r="GJ44" s="190">
        <f>AX44*AX$2*IF($FC44="V",1,-1)*IF($Q44="Fixo",(DL44-INDEX('Curva Forward'!$C$5:$AN$13,MATCH(CONCATENATE(BD_COMERCIAL!$K44," ",BD_COMERCIAL!$L44),'Curva Forward'!$B$5:$B$13,0),MATCH(GJ$4,'Curva Forward'!$C$4:$AN$4,0))),DL44)</f>
        <v>0</v>
      </c>
      <c r="GK44" s="190">
        <f>AY44*AY$2*IF($FC44="V",1,-1)*IF($Q44="Fixo",(DM44-INDEX('Curva Forward'!$C$5:$AN$13,MATCH(CONCATENATE(BD_COMERCIAL!$K44," ",BD_COMERCIAL!$L44),'Curva Forward'!$B$5:$B$13,0),MATCH(GK$4,'Curva Forward'!$C$4:$AN$4,0))),DM44)</f>
        <v>0</v>
      </c>
      <c r="GL44" s="190">
        <f>IF(EZ44="",0,CL44*CL$2*IF($FC44="V",1,-1)*IF($Q44="Fixo",(EZ44-INDEX('Curva Forward'!$C$5:$AN$13,MATCH(CONCATENATE(BD_COMERCIAL!$K44," ",BD_COMERCIAL!$L44),'Curva Forward'!$B$5:$B$13,0),MATCH(GL$4,'Curva Forward'!$C$4:$AN$4,0))),EZ44))</f>
        <v>0</v>
      </c>
      <c r="GM44" s="190">
        <f>IF(FA44="",0,CM44*CM$2*IF($FC44="V",1,-1)*IF($Q44="Fixo",(FA44-INDEX('Curva Forward'!$C$5:$AN$13,MATCH(CONCATENATE(BD_COMERCIAL!$K44," ",BD_COMERCIAL!$L44),'Curva Forward'!$B$5:$B$13,0),MATCH(GM$4,'Curva Forward'!$C$4:$AN$4,0))),FA44))</f>
        <v>0</v>
      </c>
      <c r="GN44" s="190">
        <f>IF(FB44="",0,CN44*CN$2*IF($FC44="V",1,-1)*IF($Q44="Fixo",(FB44-INDEX('Curva Forward'!$C$5:$AN$13,MATCH(CONCATENATE(BD_COMERCIAL!$K44," ",BD_COMERCIAL!$L44),'Curva Forward'!$B$5:$B$13,0),MATCH(GN$4,'Curva Forward'!$C$4:$AN$4,0))),FB44))</f>
        <v>0</v>
      </c>
      <c r="GO44" s="191">
        <f t="shared" ca="1" si="11"/>
        <v>0</v>
      </c>
      <c r="GP44" s="191">
        <f t="shared" ca="1" si="12"/>
        <v>-319176</v>
      </c>
      <c r="GQ44" s="115"/>
      <c r="GR44" s="115"/>
      <c r="GS44"/>
      <c r="GT44" s="65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</row>
    <row r="45" spans="1:236" s="265" customFormat="1" ht="15" customHeight="1" x14ac:dyDescent="0.35">
      <c r="A45" s="251"/>
      <c r="B45" s="7" t="s">
        <v>386</v>
      </c>
      <c r="C45" s="8">
        <v>44810</v>
      </c>
      <c r="D45" s="9" t="s">
        <v>123</v>
      </c>
      <c r="E45" s="9" t="s">
        <v>381</v>
      </c>
      <c r="F45" s="112" t="s">
        <v>348</v>
      </c>
      <c r="G45" s="10" t="s">
        <v>220</v>
      </c>
      <c r="H45" s="112" t="s">
        <v>368</v>
      </c>
      <c r="I45" s="9" t="s">
        <v>137</v>
      </c>
      <c r="J45" s="158"/>
      <c r="K45" s="10" t="s">
        <v>126</v>
      </c>
      <c r="L45" s="84" t="s">
        <v>22</v>
      </c>
      <c r="M45" s="11">
        <v>44927</v>
      </c>
      <c r="N45" s="12">
        <v>44957</v>
      </c>
      <c r="O45" s="10">
        <v>3</v>
      </c>
      <c r="P45" s="84">
        <v>120</v>
      </c>
      <c r="Q45" s="84" t="s">
        <v>127</v>
      </c>
      <c r="R45" s="10" t="s">
        <v>128</v>
      </c>
      <c r="S45" s="14" t="s">
        <v>133</v>
      </c>
      <c r="T45" s="11" t="s">
        <v>129</v>
      </c>
      <c r="U45" s="12">
        <v>44810</v>
      </c>
      <c r="V45" s="202">
        <f ca="1">IF(U45="","",
IF(U45="NA","",
IFERROR(VLOOKUP(EOMONTH(M45,-2)+1,IPCA!$A:$B,2,0),
VLOOKUP(EOMONTH(TODAY(),-2)+1,IPCA!$A:$B,2,0))/
VLOOKUP(EOMONTH(U45,-2)+1,IPCA!$A:$B,2,0)*
P45))</f>
        <v>121.60065864542557</v>
      </c>
      <c r="W45" s="84"/>
      <c r="X45" s="13" t="s">
        <v>132</v>
      </c>
      <c r="Y45" s="158"/>
      <c r="Z45" s="106"/>
      <c r="AA45" s="107"/>
      <c r="AB45" s="15">
        <v>3</v>
      </c>
      <c r="AC45"/>
      <c r="AD45"/>
      <c r="AE45"/>
      <c r="AF45"/>
      <c r="AG45"/>
      <c r="AH45"/>
      <c r="AI45"/>
      <c r="AJ45"/>
      <c r="AK45"/>
      <c r="AL45"/>
      <c r="AM45" s="6"/>
      <c r="AN45" s="15"/>
      <c r="AO45"/>
      <c r="AP45"/>
      <c r="AQ45"/>
      <c r="AR45"/>
      <c r="AS45"/>
      <c r="AT45"/>
      <c r="AU45"/>
      <c r="AV45"/>
      <c r="AW45"/>
      <c r="AX45"/>
      <c r="AY45" s="6"/>
      <c r="AZ45" s="15"/>
      <c r="BA45"/>
      <c r="BB45"/>
      <c r="BC45"/>
      <c r="BD45"/>
      <c r="BE45"/>
      <c r="BF45"/>
      <c r="BG45"/>
      <c r="BH45"/>
      <c r="BI45"/>
      <c r="BJ45"/>
      <c r="BK45" s="6"/>
      <c r="BL45" s="15"/>
      <c r="BM45"/>
      <c r="BN45"/>
      <c r="BO45"/>
      <c r="BP45"/>
      <c r="BQ45"/>
      <c r="BR45"/>
      <c r="BS45"/>
      <c r="BT45"/>
      <c r="BU45"/>
      <c r="BV45"/>
      <c r="BW45" s="6"/>
      <c r="BX45" s="15"/>
      <c r="BY45"/>
      <c r="BZ45"/>
      <c r="CA45"/>
      <c r="CB45"/>
      <c r="CC45"/>
      <c r="CD45"/>
      <c r="CE45"/>
      <c r="CF45"/>
      <c r="CG45"/>
      <c r="CH45"/>
      <c r="CI45" s="6"/>
      <c r="CJ45" s="16">
        <v>0.25479452054794521</v>
      </c>
      <c r="CK45" s="16" t="s">
        <v>578</v>
      </c>
      <c r="CL45" s="16" t="s">
        <v>578</v>
      </c>
      <c r="CM45" s="16" t="s">
        <v>578</v>
      </c>
      <c r="CN45" s="16" t="s">
        <v>578</v>
      </c>
      <c r="CO45" s="18"/>
      <c r="CP45" s="15">
        <v>120</v>
      </c>
      <c r="CQ45"/>
      <c r="CR45"/>
      <c r="CS45"/>
      <c r="CT45"/>
      <c r="CU45"/>
      <c r="CV45"/>
      <c r="CW45"/>
      <c r="CX45"/>
      <c r="CY45"/>
      <c r="CZ45"/>
      <c r="DA45" s="6"/>
      <c r="DB45" s="15"/>
      <c r="DC45"/>
      <c r="DD45"/>
      <c r="DE45"/>
      <c r="DF45"/>
      <c r="DG45"/>
      <c r="DH45"/>
      <c r="DI45"/>
      <c r="DJ45"/>
      <c r="DK45"/>
      <c r="DL45"/>
      <c r="DM45" s="6"/>
      <c r="DN45" s="15"/>
      <c r="DO45"/>
      <c r="DP45"/>
      <c r="DQ45"/>
      <c r="DR45"/>
      <c r="DS45"/>
      <c r="DT45"/>
      <c r="DU45"/>
      <c r="DV45"/>
      <c r="DW45"/>
      <c r="DX45"/>
      <c r="DY45" s="6"/>
      <c r="DZ45" s="15"/>
      <c r="EA45"/>
      <c r="EB45"/>
      <c r="EC45"/>
      <c r="ED45"/>
      <c r="EE45"/>
      <c r="EF45"/>
      <c r="EG45"/>
      <c r="EH45"/>
      <c r="EI45"/>
      <c r="EJ45"/>
      <c r="EK45" s="6"/>
      <c r="EL45" s="15"/>
      <c r="EM45"/>
      <c r="EN45"/>
      <c r="EO45"/>
      <c r="EP45"/>
      <c r="EQ45"/>
      <c r="ER45"/>
      <c r="ES45"/>
      <c r="ET45"/>
      <c r="EU45"/>
      <c r="EV45"/>
      <c r="EW45" s="6"/>
      <c r="EX45" s="16">
        <v>10.191780821917808</v>
      </c>
      <c r="EY45" s="16" t="s">
        <v>578</v>
      </c>
      <c r="EZ45" s="16" t="s">
        <v>578</v>
      </c>
      <c r="FA45" s="154" t="s">
        <v>578</v>
      </c>
      <c r="FB45" s="154" t="s">
        <v>578</v>
      </c>
      <c r="FC45" t="s">
        <v>195</v>
      </c>
      <c r="FD45" s="20" t="s">
        <v>137</v>
      </c>
      <c r="FE45"/>
      <c r="FF45" s="199" t="s">
        <v>197</v>
      </c>
      <c r="FG45"/>
      <c r="FH45" s="206">
        <f t="shared" ca="1" si="6"/>
        <v>1.6006586454255682</v>
      </c>
      <c r="FI45" s="198">
        <f t="shared" si="7"/>
        <v>1</v>
      </c>
      <c r="FJ45"/>
      <c r="FK45" t="str">
        <f t="shared" si="8"/>
        <v>2W Energia S.A</v>
      </c>
      <c r="FL45" s="191">
        <f t="shared" ca="1" si="9"/>
        <v>113832</v>
      </c>
      <c r="FM45" s="191">
        <f t="shared" ca="1" si="10"/>
        <v>0</v>
      </c>
      <c r="FN45" s="190">
        <f>AB45*AB$2*IF($FC45="V",1,-1)*IF($Q45="Fixo",(CP45-INDEX('Curva Forward'!$C$5:$AN$13,MATCH(CONCATENATE(BD_COMERCIAL!$K45," ",BD_COMERCIAL!$L45),'Curva Forward'!$B$5:$B$13,0),MATCH(FN$4,'Curva Forward'!$C$4:$AN$4,0))),CP45)</f>
        <v>113832</v>
      </c>
      <c r="FO45" s="190">
        <f>AC45*AC$2*IF($FC45="V",1,-1)*IF($Q45="Fixo",(CQ45-INDEX('Curva Forward'!$C$5:$AN$13,MATCH(CONCATENATE(BD_COMERCIAL!$K45," ",BD_COMERCIAL!$L45),'Curva Forward'!$B$5:$B$13,0),MATCH(FO$4,'Curva Forward'!$C$4:$AN$4,0))),CQ45)</f>
        <v>0</v>
      </c>
      <c r="FP45" s="190">
        <f>AD45*AD$2*IF($FC45="V",1,-1)*IF($Q45="Fixo",(CR45-INDEX('Curva Forward'!$C$5:$AN$13,MATCH(CONCATENATE(BD_COMERCIAL!$K45," ",BD_COMERCIAL!$L45),'Curva Forward'!$B$5:$B$13,0),MATCH(FP$4,'Curva Forward'!$C$4:$AN$4,0))),CR45)</f>
        <v>0</v>
      </c>
      <c r="FQ45" s="190">
        <f>AE45*AE$2*IF($FC45="V",1,-1)*IF($Q45="Fixo",(CS45-INDEX('Curva Forward'!$C$5:$AN$13,MATCH(CONCATENATE(BD_COMERCIAL!$K45," ",BD_COMERCIAL!$L45),'Curva Forward'!$B$5:$B$13,0),MATCH(FQ$4,'Curva Forward'!$C$4:$AN$4,0))),CS45)</f>
        <v>0</v>
      </c>
      <c r="FR45" s="190">
        <f>AF45*AF$2*IF($FC45="V",1,-1)*IF($Q45="Fixo",(CT45-INDEX('Curva Forward'!$C$5:$AN$13,MATCH(CONCATENATE(BD_COMERCIAL!$K45," ",BD_COMERCIAL!$L45),'Curva Forward'!$B$5:$B$13,0),MATCH(FR$4,'Curva Forward'!$C$4:$AN$4,0))),CT45)</f>
        <v>0</v>
      </c>
      <c r="FS45" s="190">
        <f>AG45*AG$2*IF($FC45="V",1,-1)*IF($Q45="Fixo",(CU45-INDEX('Curva Forward'!$C$5:$AN$13,MATCH(CONCATENATE(BD_COMERCIAL!$K45," ",BD_COMERCIAL!$L45),'Curva Forward'!$B$5:$B$13,0),MATCH(FS$4,'Curva Forward'!$C$4:$AN$4,0))),CU45)</f>
        <v>0</v>
      </c>
      <c r="FT45" s="190">
        <f>AH45*AH$2*IF($FC45="V",1,-1)*IF($Q45="Fixo",(CV45-INDEX('Curva Forward'!$C$5:$AN$13,MATCH(CONCATENATE(BD_COMERCIAL!$K45," ",BD_COMERCIAL!$L45),'Curva Forward'!$B$5:$B$13,0),MATCH(FT$4,'Curva Forward'!$C$4:$AN$4,0))),CV45)</f>
        <v>0</v>
      </c>
      <c r="FU45" s="190">
        <f>AI45*AI$2*IF($FC45="V",1,-1)*IF($Q45="Fixo",(CW45-INDEX('Curva Forward'!$C$5:$AN$13,MATCH(CONCATENATE(BD_COMERCIAL!$K45," ",BD_COMERCIAL!$L45),'Curva Forward'!$B$5:$B$13,0),MATCH(FU$4,'Curva Forward'!$C$4:$AN$4,0))),CW45)</f>
        <v>0</v>
      </c>
      <c r="FV45" s="190">
        <f>AJ45*AJ$2*IF($FC45="V",1,-1)*IF($Q45="Fixo",(CX45-INDEX('Curva Forward'!$C$5:$AN$13,MATCH(CONCATENATE(BD_COMERCIAL!$K45," ",BD_COMERCIAL!$L45),'Curva Forward'!$B$5:$B$13,0),MATCH(FV$4,'Curva Forward'!$C$4:$AN$4,0))),CX45)</f>
        <v>0</v>
      </c>
      <c r="FW45" s="190">
        <f>AK45*AK$2*IF($FC45="V",1,-1)*IF($Q45="Fixo",(CY45-INDEX('Curva Forward'!$C$5:$AN$13,MATCH(CONCATENATE(BD_COMERCIAL!$K45," ",BD_COMERCIAL!$L45),'Curva Forward'!$B$5:$B$13,0),MATCH(FW$4,'Curva Forward'!$C$4:$AN$4,0))),CY45)</f>
        <v>0</v>
      </c>
      <c r="FX45" s="190">
        <f>AL45*AL$2*IF($FC45="V",1,-1)*IF($Q45="Fixo",(CZ45-INDEX('Curva Forward'!$C$5:$AN$13,MATCH(CONCATENATE(BD_COMERCIAL!$K45," ",BD_COMERCIAL!$L45),'Curva Forward'!$B$5:$B$13,0),MATCH(FX$4,'Curva Forward'!$C$4:$AN$4,0))),CZ45)</f>
        <v>0</v>
      </c>
      <c r="FY45" s="190">
        <f>AM45*AM$2*IF($FC45="V",1,-1)*IF($Q45="Fixo",(DA45-INDEX('Curva Forward'!$C$5:$AN$13,MATCH(CONCATENATE(BD_COMERCIAL!$K45," ",BD_COMERCIAL!$L45),'Curva Forward'!$B$5:$B$13,0),MATCH(FY$4,'Curva Forward'!$C$4:$AN$4,0))),DA45)</f>
        <v>0</v>
      </c>
      <c r="FZ45" s="190">
        <f>AN45*AN$2*IF($FC45="V",1,-1)*IF($Q45="Fixo",(DB45-INDEX('Curva Forward'!$C$5:$AN$13,MATCH(CONCATENATE(BD_COMERCIAL!$K45," ",BD_COMERCIAL!$L45),'Curva Forward'!$B$5:$B$13,0),MATCH(FZ$4,'Curva Forward'!$C$4:$AN$4,0))),DB45)</f>
        <v>0</v>
      </c>
      <c r="GA45" s="190">
        <f>AO45*AO$2*IF($FC45="V",1,-1)*IF($Q45="Fixo",(DC45-INDEX('Curva Forward'!$C$5:$AN$13,MATCH(CONCATENATE(BD_COMERCIAL!$K45," ",BD_COMERCIAL!$L45),'Curva Forward'!$B$5:$B$13,0),MATCH(GA$4,'Curva Forward'!$C$4:$AN$4,0))),DC45)</f>
        <v>0</v>
      </c>
      <c r="GB45" s="190">
        <f>AP45*AP$2*IF($FC45="V",1,-1)*IF($Q45="Fixo",(DD45-INDEX('Curva Forward'!$C$5:$AN$13,MATCH(CONCATENATE(BD_COMERCIAL!$K45," ",BD_COMERCIAL!$L45),'Curva Forward'!$B$5:$B$13,0),MATCH(GB$4,'Curva Forward'!$C$4:$AN$4,0))),DD45)</f>
        <v>0</v>
      </c>
      <c r="GC45" s="190">
        <f>AQ45*AQ$2*IF($FC45="V",1,-1)*IF($Q45="Fixo",(DE45-INDEX('Curva Forward'!$C$5:$AN$13,MATCH(CONCATENATE(BD_COMERCIAL!$K45," ",BD_COMERCIAL!$L45),'Curva Forward'!$B$5:$B$13,0),MATCH(GC$4,'Curva Forward'!$C$4:$AN$4,0))),DE45)</f>
        <v>0</v>
      </c>
      <c r="GD45" s="190">
        <f>AR45*AR$2*IF($FC45="V",1,-1)*IF($Q45="Fixo",(DF45-INDEX('Curva Forward'!$C$5:$AN$13,MATCH(CONCATENATE(BD_COMERCIAL!$K45," ",BD_COMERCIAL!$L45),'Curva Forward'!$B$5:$B$13,0),MATCH(GD$4,'Curva Forward'!$C$4:$AN$4,0))),DF45)</f>
        <v>0</v>
      </c>
      <c r="GE45" s="190">
        <f>AS45*AS$2*IF($FC45="V",1,-1)*IF($Q45="Fixo",(DG45-INDEX('Curva Forward'!$C$5:$AN$13,MATCH(CONCATENATE(BD_COMERCIAL!$K45," ",BD_COMERCIAL!$L45),'Curva Forward'!$B$5:$B$13,0),MATCH(GE$4,'Curva Forward'!$C$4:$AN$4,0))),DG45)</f>
        <v>0</v>
      </c>
      <c r="GF45" s="190">
        <f>AT45*AT$2*IF($FC45="V",1,-1)*IF($Q45="Fixo",(DH45-INDEX('Curva Forward'!$C$5:$AN$13,MATCH(CONCATENATE(BD_COMERCIAL!$K45," ",BD_COMERCIAL!$L45),'Curva Forward'!$B$5:$B$13,0),MATCH(GF$4,'Curva Forward'!$C$4:$AN$4,0))),DH45)</f>
        <v>0</v>
      </c>
      <c r="GG45" s="190">
        <f>AU45*AU$2*IF($FC45="V",1,-1)*IF($Q45="Fixo",(DI45-INDEX('Curva Forward'!$C$5:$AN$13,MATCH(CONCATENATE(BD_COMERCIAL!$K45," ",BD_COMERCIAL!$L45),'Curva Forward'!$B$5:$B$13,0),MATCH(GG$4,'Curva Forward'!$C$4:$AN$4,0))),DI45)</f>
        <v>0</v>
      </c>
      <c r="GH45" s="190">
        <f>AV45*AV$2*IF($FC45="V",1,-1)*IF($Q45="Fixo",(DJ45-INDEX('Curva Forward'!$C$5:$AN$13,MATCH(CONCATENATE(BD_COMERCIAL!$K45," ",BD_COMERCIAL!$L45),'Curva Forward'!$B$5:$B$13,0),MATCH(GH$4,'Curva Forward'!$C$4:$AN$4,0))),DJ45)</f>
        <v>0</v>
      </c>
      <c r="GI45" s="190">
        <f>AW45*AW$2*IF($FC45="V",1,-1)*IF($Q45="Fixo",(DK45-INDEX('Curva Forward'!$C$5:$AN$13,MATCH(CONCATENATE(BD_COMERCIAL!$K45," ",BD_COMERCIAL!$L45),'Curva Forward'!$B$5:$B$13,0),MATCH(GI$4,'Curva Forward'!$C$4:$AN$4,0))),DK45)</f>
        <v>0</v>
      </c>
      <c r="GJ45" s="190">
        <f>AX45*AX$2*IF($FC45="V",1,-1)*IF($Q45="Fixo",(DL45-INDEX('Curva Forward'!$C$5:$AN$13,MATCH(CONCATENATE(BD_COMERCIAL!$K45," ",BD_COMERCIAL!$L45),'Curva Forward'!$B$5:$B$13,0),MATCH(GJ$4,'Curva Forward'!$C$4:$AN$4,0))),DL45)</f>
        <v>0</v>
      </c>
      <c r="GK45" s="190">
        <f>AY45*AY$2*IF($FC45="V",1,-1)*IF($Q45="Fixo",(DM45-INDEX('Curva Forward'!$C$5:$AN$13,MATCH(CONCATENATE(BD_COMERCIAL!$K45," ",BD_COMERCIAL!$L45),'Curva Forward'!$B$5:$B$13,0),MATCH(GK$4,'Curva Forward'!$C$4:$AN$4,0))),DM45)</f>
        <v>0</v>
      </c>
      <c r="GL45" s="190">
        <f>IF(EZ45="",0,CL45*CL$2*IF($FC45="V",1,-1)*IF($Q45="Fixo",(EZ45-INDEX('Curva Forward'!$C$5:$AN$13,MATCH(CONCATENATE(BD_COMERCIAL!$K45," ",BD_COMERCIAL!$L45),'Curva Forward'!$B$5:$B$13,0),MATCH(GL$4,'Curva Forward'!$C$4:$AN$4,0))),EZ45))</f>
        <v>0</v>
      </c>
      <c r="GM45" s="190">
        <f>IF(FA45="",0,CM45*CM$2*IF($FC45="V",1,-1)*IF($Q45="Fixo",(FA45-INDEX('Curva Forward'!$C$5:$AN$13,MATCH(CONCATENATE(BD_COMERCIAL!$K45," ",BD_COMERCIAL!$L45),'Curva Forward'!$B$5:$B$13,0),MATCH(GM$4,'Curva Forward'!$C$4:$AN$4,0))),FA45))</f>
        <v>0</v>
      </c>
      <c r="GN45" s="190">
        <f>IF(FB45="",0,CN45*CN$2*IF($FC45="V",1,-1)*IF($Q45="Fixo",(FB45-INDEX('Curva Forward'!$C$5:$AN$13,MATCH(CONCATENATE(BD_COMERCIAL!$K45," ",BD_COMERCIAL!$L45),'Curva Forward'!$B$5:$B$13,0),MATCH(GN$4,'Curva Forward'!$C$4:$AN$4,0))),FB45))</f>
        <v>0</v>
      </c>
      <c r="GO45" s="191">
        <f t="shared" ca="1" si="11"/>
        <v>0</v>
      </c>
      <c r="GP45" s="191">
        <f t="shared" ca="1" si="12"/>
        <v>0</v>
      </c>
      <c r="GQ45" s="115"/>
      <c r="GR45" s="115"/>
      <c r="GS45"/>
      <c r="GT45" s="6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</row>
    <row r="46" spans="1:236" s="265" customFormat="1" ht="15" customHeight="1" x14ac:dyDescent="0.35">
      <c r="A46" s="251"/>
      <c r="B46" s="7" t="s">
        <v>387</v>
      </c>
      <c r="C46" s="8">
        <v>44817</v>
      </c>
      <c r="D46" s="9" t="s">
        <v>123</v>
      </c>
      <c r="E46" s="9" t="s">
        <v>381</v>
      </c>
      <c r="F46" s="112" t="s">
        <v>348</v>
      </c>
      <c r="G46" s="10" t="s">
        <v>382</v>
      </c>
      <c r="H46" s="112" t="s">
        <v>383</v>
      </c>
      <c r="I46" s="9" t="s">
        <v>137</v>
      </c>
      <c r="J46" s="158"/>
      <c r="K46" s="10" t="s">
        <v>126</v>
      </c>
      <c r="L46" s="84" t="s">
        <v>22</v>
      </c>
      <c r="M46" s="11">
        <v>45017</v>
      </c>
      <c r="N46" s="12">
        <v>45046</v>
      </c>
      <c r="O46" s="10">
        <v>10</v>
      </c>
      <c r="P46" s="84">
        <v>104</v>
      </c>
      <c r="Q46" s="84" t="s">
        <v>127</v>
      </c>
      <c r="R46" s="10" t="s">
        <v>128</v>
      </c>
      <c r="S46" s="14" t="s">
        <v>133</v>
      </c>
      <c r="T46" s="11" t="s">
        <v>129</v>
      </c>
      <c r="U46" s="12">
        <v>44817</v>
      </c>
      <c r="V46" s="202" t="e">
        <f ca="1">IF(U46="","",
IF(U46="NA","",
IFERROR(VLOOKUP(EOMONTH(M46,-2)+1,IPCA!$A:$B,2,0),
VLOOKUP(EOMONTH(TODAY(),-2)+1,IPCA!$A:$B,2,0))/
VLOOKUP(EOMONTH(U46,-2)+1,IPCA!$A:$B,2,0)*
P46))</f>
        <v>#N/A</v>
      </c>
      <c r="W46" s="84"/>
      <c r="X46" s="13" t="s">
        <v>132</v>
      </c>
      <c r="Y46" s="158"/>
      <c r="Z46" s="106"/>
      <c r="AA46" s="107"/>
      <c r="AB46" s="15"/>
      <c r="AC46"/>
      <c r="AD46"/>
      <c r="AE46">
        <v>10</v>
      </c>
      <c r="AF46"/>
      <c r="AG46"/>
      <c r="AH46"/>
      <c r="AI46"/>
      <c r="AJ46"/>
      <c r="AK46"/>
      <c r="AL46"/>
      <c r="AM46" s="6"/>
      <c r="AN46" s="15"/>
      <c r="AO46"/>
      <c r="AP46"/>
      <c r="AQ46"/>
      <c r="AR46"/>
      <c r="AS46"/>
      <c r="AT46"/>
      <c r="AU46"/>
      <c r="AV46"/>
      <c r="AW46"/>
      <c r="AX46"/>
      <c r="AY46" s="6"/>
      <c r="AZ46" s="15"/>
      <c r="BA46"/>
      <c r="BB46"/>
      <c r="BC46"/>
      <c r="BD46"/>
      <c r="BE46"/>
      <c r="BF46"/>
      <c r="BG46"/>
      <c r="BH46"/>
      <c r="BI46"/>
      <c r="BJ46"/>
      <c r="BK46" s="6"/>
      <c r="BL46" s="15"/>
      <c r="BM46"/>
      <c r="BN46"/>
      <c r="BO46"/>
      <c r="BP46"/>
      <c r="BQ46"/>
      <c r="BR46"/>
      <c r="BS46"/>
      <c r="BT46"/>
      <c r="BU46"/>
      <c r="BV46"/>
      <c r="BW46" s="6"/>
      <c r="BX46" s="15"/>
      <c r="BY46"/>
      <c r="BZ46"/>
      <c r="CA46"/>
      <c r="CB46"/>
      <c r="CC46"/>
      <c r="CD46"/>
      <c r="CE46"/>
      <c r="CF46"/>
      <c r="CG46"/>
      <c r="CH46"/>
      <c r="CI46" s="6"/>
      <c r="CJ46" s="16">
        <v>0.82191780821917804</v>
      </c>
      <c r="CK46" s="16" t="s">
        <v>578</v>
      </c>
      <c r="CL46" s="16" t="s">
        <v>578</v>
      </c>
      <c r="CM46" s="16" t="s">
        <v>578</v>
      </c>
      <c r="CN46" s="16" t="s">
        <v>578</v>
      </c>
      <c r="CO46" s="18"/>
      <c r="CP46" s="15"/>
      <c r="CQ46"/>
      <c r="CR46"/>
      <c r="CS46">
        <v>104</v>
      </c>
      <c r="CT46"/>
      <c r="CU46"/>
      <c r="CV46"/>
      <c r="CW46"/>
      <c r="CX46"/>
      <c r="CY46"/>
      <c r="CZ46"/>
      <c r="DA46" s="6"/>
      <c r="DB46" s="15"/>
      <c r="DC46"/>
      <c r="DD46"/>
      <c r="DE46"/>
      <c r="DF46"/>
      <c r="DG46"/>
      <c r="DH46"/>
      <c r="DI46"/>
      <c r="DJ46"/>
      <c r="DK46"/>
      <c r="DL46"/>
      <c r="DM46" s="6"/>
      <c r="DN46" s="15"/>
      <c r="DO46"/>
      <c r="DP46"/>
      <c r="DQ46"/>
      <c r="DR46"/>
      <c r="DS46"/>
      <c r="DT46"/>
      <c r="DU46"/>
      <c r="DV46"/>
      <c r="DW46"/>
      <c r="DX46"/>
      <c r="DY46" s="6"/>
      <c r="DZ46" s="15"/>
      <c r="EA46"/>
      <c r="EB46"/>
      <c r="EC46"/>
      <c r="ED46"/>
      <c r="EE46"/>
      <c r="EF46"/>
      <c r="EG46"/>
      <c r="EH46"/>
      <c r="EI46"/>
      <c r="EJ46"/>
      <c r="EK46" s="6"/>
      <c r="EL46" s="15"/>
      <c r="EM46"/>
      <c r="EN46"/>
      <c r="EO46"/>
      <c r="EP46"/>
      <c r="EQ46"/>
      <c r="ER46"/>
      <c r="ES46"/>
      <c r="ET46"/>
      <c r="EU46"/>
      <c r="EV46"/>
      <c r="EW46" s="6"/>
      <c r="EX46" s="16">
        <v>8.5479452054794525</v>
      </c>
      <c r="EY46" s="16" t="s">
        <v>578</v>
      </c>
      <c r="EZ46" s="16" t="s">
        <v>578</v>
      </c>
      <c r="FA46" s="154" t="s">
        <v>578</v>
      </c>
      <c r="FB46" s="154" t="s">
        <v>578</v>
      </c>
      <c r="FC46" t="s">
        <v>195</v>
      </c>
      <c r="FD46" s="20" t="s">
        <v>137</v>
      </c>
      <c r="FE46"/>
      <c r="FF46" s="199" t="s">
        <v>197</v>
      </c>
      <c r="FG46"/>
      <c r="FH46" s="206" t="e">
        <f t="shared" ca="1" si="6"/>
        <v>#N/A</v>
      </c>
      <c r="FI46" s="198">
        <f t="shared" si="7"/>
        <v>0.96666666666666667</v>
      </c>
      <c r="FJ46"/>
      <c r="FK46" t="str">
        <f t="shared" si="8"/>
        <v>SAFIRA ADMINISTRACAO E COMERCIALIZACAO DE ENERGIA S.A.</v>
      </c>
      <c r="FL46" s="191">
        <f t="shared" ca="1" si="9"/>
        <v>0</v>
      </c>
      <c r="FM46" s="191">
        <f t="shared" ca="1" si="10"/>
        <v>252000</v>
      </c>
      <c r="FN46" s="190">
        <f>AB46*AB$2*IF($FC46="V",1,-1)*IF($Q46="Fixo",(CP46-INDEX('Curva Forward'!$C$5:$AN$13,MATCH(CONCATENATE(BD_COMERCIAL!$K46," ",BD_COMERCIAL!$L46),'Curva Forward'!$B$5:$B$13,0),MATCH(FN$4,'Curva Forward'!$C$4:$AN$4,0))),CP46)</f>
        <v>0</v>
      </c>
      <c r="FO46" s="190">
        <f>AC46*AC$2*IF($FC46="V",1,-1)*IF($Q46="Fixo",(CQ46-INDEX('Curva Forward'!$C$5:$AN$13,MATCH(CONCATENATE(BD_COMERCIAL!$K46," ",BD_COMERCIAL!$L46),'Curva Forward'!$B$5:$B$13,0),MATCH(FO$4,'Curva Forward'!$C$4:$AN$4,0))),CQ46)</f>
        <v>0</v>
      </c>
      <c r="FP46" s="190">
        <f>AD46*AD$2*IF($FC46="V",1,-1)*IF($Q46="Fixo",(CR46-INDEX('Curva Forward'!$C$5:$AN$13,MATCH(CONCATENATE(BD_COMERCIAL!$K46," ",BD_COMERCIAL!$L46),'Curva Forward'!$B$5:$B$13,0),MATCH(FP$4,'Curva Forward'!$C$4:$AN$4,0))),CR46)</f>
        <v>0</v>
      </c>
      <c r="FQ46" s="190">
        <f>AE46*AE$2*IF($FC46="V",1,-1)*IF($Q46="Fixo",(CS46-INDEX('Curva Forward'!$C$5:$AN$13,MATCH(CONCATENATE(BD_COMERCIAL!$K46," ",BD_COMERCIAL!$L46),'Curva Forward'!$B$5:$B$13,0),MATCH(FQ$4,'Curva Forward'!$C$4:$AN$4,0))),CS46)</f>
        <v>252000</v>
      </c>
      <c r="FR46" s="190">
        <f>AF46*AF$2*IF($FC46="V",1,-1)*IF($Q46="Fixo",(CT46-INDEX('Curva Forward'!$C$5:$AN$13,MATCH(CONCATENATE(BD_COMERCIAL!$K46," ",BD_COMERCIAL!$L46),'Curva Forward'!$B$5:$B$13,0),MATCH(FR$4,'Curva Forward'!$C$4:$AN$4,0))),CT46)</f>
        <v>0</v>
      </c>
      <c r="FS46" s="190">
        <f>AG46*AG$2*IF($FC46="V",1,-1)*IF($Q46="Fixo",(CU46-INDEX('Curva Forward'!$C$5:$AN$13,MATCH(CONCATENATE(BD_COMERCIAL!$K46," ",BD_COMERCIAL!$L46),'Curva Forward'!$B$5:$B$13,0),MATCH(FS$4,'Curva Forward'!$C$4:$AN$4,0))),CU46)</f>
        <v>0</v>
      </c>
      <c r="FT46" s="190">
        <f>AH46*AH$2*IF($FC46="V",1,-1)*IF($Q46="Fixo",(CV46-INDEX('Curva Forward'!$C$5:$AN$13,MATCH(CONCATENATE(BD_COMERCIAL!$K46," ",BD_COMERCIAL!$L46),'Curva Forward'!$B$5:$B$13,0),MATCH(FT$4,'Curva Forward'!$C$4:$AN$4,0))),CV46)</f>
        <v>0</v>
      </c>
      <c r="FU46" s="190">
        <f>AI46*AI$2*IF($FC46="V",1,-1)*IF($Q46="Fixo",(CW46-INDEX('Curva Forward'!$C$5:$AN$13,MATCH(CONCATENATE(BD_COMERCIAL!$K46," ",BD_COMERCIAL!$L46),'Curva Forward'!$B$5:$B$13,0),MATCH(FU$4,'Curva Forward'!$C$4:$AN$4,0))),CW46)</f>
        <v>0</v>
      </c>
      <c r="FV46" s="190">
        <f>AJ46*AJ$2*IF($FC46="V",1,-1)*IF($Q46="Fixo",(CX46-INDEX('Curva Forward'!$C$5:$AN$13,MATCH(CONCATENATE(BD_COMERCIAL!$K46," ",BD_COMERCIAL!$L46),'Curva Forward'!$B$5:$B$13,0),MATCH(FV$4,'Curva Forward'!$C$4:$AN$4,0))),CX46)</f>
        <v>0</v>
      </c>
      <c r="FW46" s="190">
        <f>AK46*AK$2*IF($FC46="V",1,-1)*IF($Q46="Fixo",(CY46-INDEX('Curva Forward'!$C$5:$AN$13,MATCH(CONCATENATE(BD_COMERCIAL!$K46," ",BD_COMERCIAL!$L46),'Curva Forward'!$B$5:$B$13,0),MATCH(FW$4,'Curva Forward'!$C$4:$AN$4,0))),CY46)</f>
        <v>0</v>
      </c>
      <c r="FX46" s="190">
        <f>AL46*AL$2*IF($FC46="V",1,-1)*IF($Q46="Fixo",(CZ46-INDEX('Curva Forward'!$C$5:$AN$13,MATCH(CONCATENATE(BD_COMERCIAL!$K46," ",BD_COMERCIAL!$L46),'Curva Forward'!$B$5:$B$13,0),MATCH(FX$4,'Curva Forward'!$C$4:$AN$4,0))),CZ46)</f>
        <v>0</v>
      </c>
      <c r="FY46" s="190">
        <f>AM46*AM$2*IF($FC46="V",1,-1)*IF($Q46="Fixo",(DA46-INDEX('Curva Forward'!$C$5:$AN$13,MATCH(CONCATENATE(BD_COMERCIAL!$K46," ",BD_COMERCIAL!$L46),'Curva Forward'!$B$5:$B$13,0),MATCH(FY$4,'Curva Forward'!$C$4:$AN$4,0))),DA46)</f>
        <v>0</v>
      </c>
      <c r="FZ46" s="190">
        <f>AN46*AN$2*IF($FC46="V",1,-1)*IF($Q46="Fixo",(DB46-INDEX('Curva Forward'!$C$5:$AN$13,MATCH(CONCATENATE(BD_COMERCIAL!$K46," ",BD_COMERCIAL!$L46),'Curva Forward'!$B$5:$B$13,0),MATCH(FZ$4,'Curva Forward'!$C$4:$AN$4,0))),DB46)</f>
        <v>0</v>
      </c>
      <c r="GA46" s="190">
        <f>AO46*AO$2*IF($FC46="V",1,-1)*IF($Q46="Fixo",(DC46-INDEX('Curva Forward'!$C$5:$AN$13,MATCH(CONCATENATE(BD_COMERCIAL!$K46," ",BD_COMERCIAL!$L46),'Curva Forward'!$B$5:$B$13,0),MATCH(GA$4,'Curva Forward'!$C$4:$AN$4,0))),DC46)</f>
        <v>0</v>
      </c>
      <c r="GB46" s="190">
        <f>AP46*AP$2*IF($FC46="V",1,-1)*IF($Q46="Fixo",(DD46-INDEX('Curva Forward'!$C$5:$AN$13,MATCH(CONCATENATE(BD_COMERCIAL!$K46," ",BD_COMERCIAL!$L46),'Curva Forward'!$B$5:$B$13,0),MATCH(GB$4,'Curva Forward'!$C$4:$AN$4,0))),DD46)</f>
        <v>0</v>
      </c>
      <c r="GC46" s="190">
        <f>AQ46*AQ$2*IF($FC46="V",1,-1)*IF($Q46="Fixo",(DE46-INDEX('Curva Forward'!$C$5:$AN$13,MATCH(CONCATENATE(BD_COMERCIAL!$K46," ",BD_COMERCIAL!$L46),'Curva Forward'!$B$5:$B$13,0),MATCH(GC$4,'Curva Forward'!$C$4:$AN$4,0))),DE46)</f>
        <v>0</v>
      </c>
      <c r="GD46" s="190">
        <f>AR46*AR$2*IF($FC46="V",1,-1)*IF($Q46="Fixo",(DF46-INDEX('Curva Forward'!$C$5:$AN$13,MATCH(CONCATENATE(BD_COMERCIAL!$K46," ",BD_COMERCIAL!$L46),'Curva Forward'!$B$5:$B$13,0),MATCH(GD$4,'Curva Forward'!$C$4:$AN$4,0))),DF46)</f>
        <v>0</v>
      </c>
      <c r="GE46" s="190">
        <f>AS46*AS$2*IF($FC46="V",1,-1)*IF($Q46="Fixo",(DG46-INDEX('Curva Forward'!$C$5:$AN$13,MATCH(CONCATENATE(BD_COMERCIAL!$K46," ",BD_COMERCIAL!$L46),'Curva Forward'!$B$5:$B$13,0),MATCH(GE$4,'Curva Forward'!$C$4:$AN$4,0))),DG46)</f>
        <v>0</v>
      </c>
      <c r="GF46" s="190">
        <f>AT46*AT$2*IF($FC46="V",1,-1)*IF($Q46="Fixo",(DH46-INDEX('Curva Forward'!$C$5:$AN$13,MATCH(CONCATENATE(BD_COMERCIAL!$K46," ",BD_COMERCIAL!$L46),'Curva Forward'!$B$5:$B$13,0),MATCH(GF$4,'Curva Forward'!$C$4:$AN$4,0))),DH46)</f>
        <v>0</v>
      </c>
      <c r="GG46" s="190">
        <f>AU46*AU$2*IF($FC46="V",1,-1)*IF($Q46="Fixo",(DI46-INDEX('Curva Forward'!$C$5:$AN$13,MATCH(CONCATENATE(BD_COMERCIAL!$K46," ",BD_COMERCIAL!$L46),'Curva Forward'!$B$5:$B$13,0),MATCH(GG$4,'Curva Forward'!$C$4:$AN$4,0))),DI46)</f>
        <v>0</v>
      </c>
      <c r="GH46" s="190">
        <f>AV46*AV$2*IF($FC46="V",1,-1)*IF($Q46="Fixo",(DJ46-INDEX('Curva Forward'!$C$5:$AN$13,MATCH(CONCATENATE(BD_COMERCIAL!$K46," ",BD_COMERCIAL!$L46),'Curva Forward'!$B$5:$B$13,0),MATCH(GH$4,'Curva Forward'!$C$4:$AN$4,0))),DJ46)</f>
        <v>0</v>
      </c>
      <c r="GI46" s="190">
        <f>AW46*AW$2*IF($FC46="V",1,-1)*IF($Q46="Fixo",(DK46-INDEX('Curva Forward'!$C$5:$AN$13,MATCH(CONCATENATE(BD_COMERCIAL!$K46," ",BD_COMERCIAL!$L46),'Curva Forward'!$B$5:$B$13,0),MATCH(GI$4,'Curva Forward'!$C$4:$AN$4,0))),DK46)</f>
        <v>0</v>
      </c>
      <c r="GJ46" s="190">
        <f>AX46*AX$2*IF($FC46="V",1,-1)*IF($Q46="Fixo",(DL46-INDEX('Curva Forward'!$C$5:$AN$13,MATCH(CONCATENATE(BD_COMERCIAL!$K46," ",BD_COMERCIAL!$L46),'Curva Forward'!$B$5:$B$13,0),MATCH(GJ$4,'Curva Forward'!$C$4:$AN$4,0))),DL46)</f>
        <v>0</v>
      </c>
      <c r="GK46" s="190">
        <f>AY46*AY$2*IF($FC46="V",1,-1)*IF($Q46="Fixo",(DM46-INDEX('Curva Forward'!$C$5:$AN$13,MATCH(CONCATENATE(BD_COMERCIAL!$K46," ",BD_COMERCIAL!$L46),'Curva Forward'!$B$5:$B$13,0),MATCH(GK$4,'Curva Forward'!$C$4:$AN$4,0))),DM46)</f>
        <v>0</v>
      </c>
      <c r="GL46" s="190">
        <f>IF(EZ46="",0,CL46*CL$2*IF($FC46="V",1,-1)*IF($Q46="Fixo",(EZ46-INDEX('Curva Forward'!$C$5:$AN$13,MATCH(CONCATENATE(BD_COMERCIAL!$K46," ",BD_COMERCIAL!$L46),'Curva Forward'!$B$5:$B$13,0),MATCH(GL$4,'Curva Forward'!$C$4:$AN$4,0))),EZ46))</f>
        <v>0</v>
      </c>
      <c r="GM46" s="190">
        <f>IF(FA46="",0,CM46*CM$2*IF($FC46="V",1,-1)*IF($Q46="Fixo",(FA46-INDEX('Curva Forward'!$C$5:$AN$13,MATCH(CONCATENATE(BD_COMERCIAL!$K46," ",BD_COMERCIAL!$L46),'Curva Forward'!$B$5:$B$13,0),MATCH(GM$4,'Curva Forward'!$C$4:$AN$4,0))),FA46))</f>
        <v>0</v>
      </c>
      <c r="GN46" s="190">
        <f>IF(FB46="",0,CN46*CN$2*IF($FC46="V",1,-1)*IF($Q46="Fixo",(FB46-INDEX('Curva Forward'!$C$5:$AN$13,MATCH(CONCATENATE(BD_COMERCIAL!$K46," ",BD_COMERCIAL!$L46),'Curva Forward'!$B$5:$B$13,0),MATCH(GN$4,'Curva Forward'!$C$4:$AN$4,0))),FB46))</f>
        <v>0</v>
      </c>
      <c r="GO46" s="191">
        <f t="shared" ca="1" si="11"/>
        <v>252000</v>
      </c>
      <c r="GP46" s="191">
        <f t="shared" ca="1" si="12"/>
        <v>0</v>
      </c>
      <c r="GQ46" s="115"/>
      <c r="GR46" s="115"/>
      <c r="GS46"/>
      <c r="GT46" s="65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</row>
    <row r="47" spans="1:236" s="265" customFormat="1" ht="15" customHeight="1" x14ac:dyDescent="0.35">
      <c r="A47" s="251"/>
      <c r="B47" s="7" t="s">
        <v>388</v>
      </c>
      <c r="C47" s="8">
        <v>44817</v>
      </c>
      <c r="D47" s="9" t="s">
        <v>123</v>
      </c>
      <c r="E47" s="9" t="s">
        <v>381</v>
      </c>
      <c r="F47" s="112" t="s">
        <v>348</v>
      </c>
      <c r="G47" s="10" t="s">
        <v>131</v>
      </c>
      <c r="H47" s="112" t="s">
        <v>354</v>
      </c>
      <c r="I47" s="9" t="s">
        <v>137</v>
      </c>
      <c r="J47" s="158"/>
      <c r="K47" s="10" t="s">
        <v>126</v>
      </c>
      <c r="L47" s="84" t="s">
        <v>22</v>
      </c>
      <c r="M47" s="11">
        <v>45047</v>
      </c>
      <c r="N47" s="12">
        <v>45077</v>
      </c>
      <c r="O47" s="10">
        <v>20</v>
      </c>
      <c r="P47" s="84">
        <v>108</v>
      </c>
      <c r="Q47" s="84" t="s">
        <v>127</v>
      </c>
      <c r="R47" s="10" t="s">
        <v>128</v>
      </c>
      <c r="S47" s="14" t="s">
        <v>133</v>
      </c>
      <c r="T47" s="11" t="s">
        <v>129</v>
      </c>
      <c r="U47" s="12">
        <v>44817</v>
      </c>
      <c r="V47" s="202" t="e">
        <f ca="1">IF(U47="","",
IF(U47="NA","",
IFERROR(VLOOKUP(EOMONTH(M47,-2)+1,IPCA!$A:$B,2,0),
VLOOKUP(EOMONTH(TODAY(),-2)+1,IPCA!$A:$B,2,0))/
VLOOKUP(EOMONTH(U47,-2)+1,IPCA!$A:$B,2,0)*
P47))</f>
        <v>#N/A</v>
      </c>
      <c r="W47" s="84"/>
      <c r="X47" s="13" t="s">
        <v>132</v>
      </c>
      <c r="Y47" s="158"/>
      <c r="Z47" s="106"/>
      <c r="AA47" s="107"/>
      <c r="AB47" s="15"/>
      <c r="AC47"/>
      <c r="AD47"/>
      <c r="AE47"/>
      <c r="AF47">
        <v>20</v>
      </c>
      <c r="AG47"/>
      <c r="AH47"/>
      <c r="AI47"/>
      <c r="AJ47"/>
      <c r="AK47"/>
      <c r="AL47"/>
      <c r="AM47" s="6"/>
      <c r="AN47" s="15"/>
      <c r="AO47"/>
      <c r="AP47"/>
      <c r="AQ47"/>
      <c r="AR47"/>
      <c r="AS47"/>
      <c r="AT47"/>
      <c r="AU47"/>
      <c r="AV47"/>
      <c r="AW47"/>
      <c r="AX47"/>
      <c r="AY47" s="6"/>
      <c r="AZ47" s="15"/>
      <c r="BA47"/>
      <c r="BB47"/>
      <c r="BC47"/>
      <c r="BD47"/>
      <c r="BE47"/>
      <c r="BF47"/>
      <c r="BG47"/>
      <c r="BH47"/>
      <c r="BI47"/>
      <c r="BJ47"/>
      <c r="BK47" s="6"/>
      <c r="BL47" s="15"/>
      <c r="BM47"/>
      <c r="BN47"/>
      <c r="BO47"/>
      <c r="BP47"/>
      <c r="BQ47"/>
      <c r="BR47"/>
      <c r="BS47"/>
      <c r="BT47"/>
      <c r="BU47"/>
      <c r="BV47"/>
      <c r="BW47" s="6"/>
      <c r="BX47" s="15"/>
      <c r="BY47"/>
      <c r="BZ47"/>
      <c r="CA47"/>
      <c r="CB47"/>
      <c r="CC47"/>
      <c r="CD47"/>
      <c r="CE47"/>
      <c r="CF47"/>
      <c r="CG47"/>
      <c r="CH47"/>
      <c r="CI47" s="6"/>
      <c r="CJ47" s="16">
        <v>1.6986301369863013</v>
      </c>
      <c r="CK47" s="16" t="s">
        <v>578</v>
      </c>
      <c r="CL47" s="16" t="s">
        <v>578</v>
      </c>
      <c r="CM47" s="16" t="s">
        <v>578</v>
      </c>
      <c r="CN47" s="16" t="s">
        <v>578</v>
      </c>
      <c r="CO47" s="18"/>
      <c r="CP47" s="15"/>
      <c r="CQ47"/>
      <c r="CR47"/>
      <c r="CS47"/>
      <c r="CT47">
        <v>108</v>
      </c>
      <c r="CU47"/>
      <c r="CV47"/>
      <c r="CW47"/>
      <c r="CX47"/>
      <c r="CY47"/>
      <c r="CZ47"/>
      <c r="DA47" s="6"/>
      <c r="DB47" s="15"/>
      <c r="DC47"/>
      <c r="DD47"/>
      <c r="DE47"/>
      <c r="DF47"/>
      <c r="DG47"/>
      <c r="DH47"/>
      <c r="DI47"/>
      <c r="DJ47"/>
      <c r="DK47"/>
      <c r="DL47"/>
      <c r="DM47" s="6"/>
      <c r="DN47" s="15"/>
      <c r="DO47"/>
      <c r="DP47"/>
      <c r="DQ47"/>
      <c r="DR47"/>
      <c r="DS47"/>
      <c r="DT47"/>
      <c r="DU47"/>
      <c r="DV47"/>
      <c r="DW47"/>
      <c r="DX47"/>
      <c r="DY47" s="6"/>
      <c r="DZ47" s="15"/>
      <c r="EA47"/>
      <c r="EB47"/>
      <c r="EC47"/>
      <c r="ED47"/>
      <c r="EE47"/>
      <c r="EF47"/>
      <c r="EG47"/>
      <c r="EH47"/>
      <c r="EI47"/>
      <c r="EJ47"/>
      <c r="EK47" s="6"/>
      <c r="EL47" s="15"/>
      <c r="EM47"/>
      <c r="EN47"/>
      <c r="EO47"/>
      <c r="EP47"/>
      <c r="EQ47"/>
      <c r="ER47"/>
      <c r="ES47"/>
      <c r="ET47"/>
      <c r="EU47"/>
      <c r="EV47"/>
      <c r="EW47" s="6"/>
      <c r="EX47" s="16">
        <v>9.1726027397260275</v>
      </c>
      <c r="EY47" s="16" t="s">
        <v>578</v>
      </c>
      <c r="EZ47" s="16" t="s">
        <v>578</v>
      </c>
      <c r="FA47" s="154" t="s">
        <v>578</v>
      </c>
      <c r="FB47" s="154" t="s">
        <v>578</v>
      </c>
      <c r="FC47" t="s">
        <v>195</v>
      </c>
      <c r="FD47" s="20" t="s">
        <v>137</v>
      </c>
      <c r="FE47"/>
      <c r="FF47" s="199" t="s">
        <v>197</v>
      </c>
      <c r="FG47"/>
      <c r="FH47" s="206" t="e">
        <f t="shared" ca="1" si="6"/>
        <v>#N/A</v>
      </c>
      <c r="FI47" s="198">
        <f t="shared" si="7"/>
        <v>1</v>
      </c>
      <c r="FJ47"/>
      <c r="FK47" t="str">
        <f t="shared" si="8"/>
        <v>CPFL Comercialização Brasil S.A.</v>
      </c>
      <c r="FL47" s="191">
        <f t="shared" ca="1" si="9"/>
        <v>0</v>
      </c>
      <c r="FM47" s="191">
        <f t="shared" ca="1" si="10"/>
        <v>565440</v>
      </c>
      <c r="FN47" s="190">
        <f>AB47*AB$2*IF($FC47="V",1,-1)*IF($Q47="Fixo",(CP47-INDEX('Curva Forward'!$C$5:$AN$13,MATCH(CONCATENATE(BD_COMERCIAL!$K47," ",BD_COMERCIAL!$L47),'Curva Forward'!$B$5:$B$13,0),MATCH(FN$4,'Curva Forward'!$C$4:$AN$4,0))),CP47)</f>
        <v>0</v>
      </c>
      <c r="FO47" s="190">
        <f>AC47*AC$2*IF($FC47="V",1,-1)*IF($Q47="Fixo",(CQ47-INDEX('Curva Forward'!$C$5:$AN$13,MATCH(CONCATENATE(BD_COMERCIAL!$K47," ",BD_COMERCIAL!$L47),'Curva Forward'!$B$5:$B$13,0),MATCH(FO$4,'Curva Forward'!$C$4:$AN$4,0))),CQ47)</f>
        <v>0</v>
      </c>
      <c r="FP47" s="190">
        <f>AD47*AD$2*IF($FC47="V",1,-1)*IF($Q47="Fixo",(CR47-INDEX('Curva Forward'!$C$5:$AN$13,MATCH(CONCATENATE(BD_COMERCIAL!$K47," ",BD_COMERCIAL!$L47),'Curva Forward'!$B$5:$B$13,0),MATCH(FP$4,'Curva Forward'!$C$4:$AN$4,0))),CR47)</f>
        <v>0</v>
      </c>
      <c r="FQ47" s="190">
        <f>AE47*AE$2*IF($FC47="V",1,-1)*IF($Q47="Fixo",(CS47-INDEX('Curva Forward'!$C$5:$AN$13,MATCH(CONCATENATE(BD_COMERCIAL!$K47," ",BD_COMERCIAL!$L47),'Curva Forward'!$B$5:$B$13,0),MATCH(FQ$4,'Curva Forward'!$C$4:$AN$4,0))),CS47)</f>
        <v>0</v>
      </c>
      <c r="FR47" s="190">
        <f>AF47*AF$2*IF($FC47="V",1,-1)*IF($Q47="Fixo",(CT47-INDEX('Curva Forward'!$C$5:$AN$13,MATCH(CONCATENATE(BD_COMERCIAL!$K47," ",BD_COMERCIAL!$L47),'Curva Forward'!$B$5:$B$13,0),MATCH(FR$4,'Curva Forward'!$C$4:$AN$4,0))),CT47)</f>
        <v>565440</v>
      </c>
      <c r="FS47" s="190">
        <f>AG47*AG$2*IF($FC47="V",1,-1)*IF($Q47="Fixo",(CU47-INDEX('Curva Forward'!$C$5:$AN$13,MATCH(CONCATENATE(BD_COMERCIAL!$K47," ",BD_COMERCIAL!$L47),'Curva Forward'!$B$5:$B$13,0),MATCH(FS$4,'Curva Forward'!$C$4:$AN$4,0))),CU47)</f>
        <v>0</v>
      </c>
      <c r="FT47" s="190">
        <f>AH47*AH$2*IF($FC47="V",1,-1)*IF($Q47="Fixo",(CV47-INDEX('Curva Forward'!$C$5:$AN$13,MATCH(CONCATENATE(BD_COMERCIAL!$K47," ",BD_COMERCIAL!$L47),'Curva Forward'!$B$5:$B$13,0),MATCH(FT$4,'Curva Forward'!$C$4:$AN$4,0))),CV47)</f>
        <v>0</v>
      </c>
      <c r="FU47" s="190">
        <f>AI47*AI$2*IF($FC47="V",1,-1)*IF($Q47="Fixo",(CW47-INDEX('Curva Forward'!$C$5:$AN$13,MATCH(CONCATENATE(BD_COMERCIAL!$K47," ",BD_COMERCIAL!$L47),'Curva Forward'!$B$5:$B$13,0),MATCH(FU$4,'Curva Forward'!$C$4:$AN$4,0))),CW47)</f>
        <v>0</v>
      </c>
      <c r="FV47" s="190">
        <f>AJ47*AJ$2*IF($FC47="V",1,-1)*IF($Q47="Fixo",(CX47-INDEX('Curva Forward'!$C$5:$AN$13,MATCH(CONCATENATE(BD_COMERCIAL!$K47," ",BD_COMERCIAL!$L47),'Curva Forward'!$B$5:$B$13,0),MATCH(FV$4,'Curva Forward'!$C$4:$AN$4,0))),CX47)</f>
        <v>0</v>
      </c>
      <c r="FW47" s="190">
        <f>AK47*AK$2*IF($FC47="V",1,-1)*IF($Q47="Fixo",(CY47-INDEX('Curva Forward'!$C$5:$AN$13,MATCH(CONCATENATE(BD_COMERCIAL!$K47," ",BD_COMERCIAL!$L47),'Curva Forward'!$B$5:$B$13,0),MATCH(FW$4,'Curva Forward'!$C$4:$AN$4,0))),CY47)</f>
        <v>0</v>
      </c>
      <c r="FX47" s="190">
        <f>AL47*AL$2*IF($FC47="V",1,-1)*IF($Q47="Fixo",(CZ47-INDEX('Curva Forward'!$C$5:$AN$13,MATCH(CONCATENATE(BD_COMERCIAL!$K47," ",BD_COMERCIAL!$L47),'Curva Forward'!$B$5:$B$13,0),MATCH(FX$4,'Curva Forward'!$C$4:$AN$4,0))),CZ47)</f>
        <v>0</v>
      </c>
      <c r="FY47" s="190">
        <f>AM47*AM$2*IF($FC47="V",1,-1)*IF($Q47="Fixo",(DA47-INDEX('Curva Forward'!$C$5:$AN$13,MATCH(CONCATENATE(BD_COMERCIAL!$K47," ",BD_COMERCIAL!$L47),'Curva Forward'!$B$5:$B$13,0),MATCH(FY$4,'Curva Forward'!$C$4:$AN$4,0))),DA47)</f>
        <v>0</v>
      </c>
      <c r="FZ47" s="190">
        <f>AN47*AN$2*IF($FC47="V",1,-1)*IF($Q47="Fixo",(DB47-INDEX('Curva Forward'!$C$5:$AN$13,MATCH(CONCATENATE(BD_COMERCIAL!$K47," ",BD_COMERCIAL!$L47),'Curva Forward'!$B$5:$B$13,0),MATCH(FZ$4,'Curva Forward'!$C$4:$AN$4,0))),DB47)</f>
        <v>0</v>
      </c>
      <c r="GA47" s="190">
        <f>AO47*AO$2*IF($FC47="V",1,-1)*IF($Q47="Fixo",(DC47-INDEX('Curva Forward'!$C$5:$AN$13,MATCH(CONCATENATE(BD_COMERCIAL!$K47," ",BD_COMERCIAL!$L47),'Curva Forward'!$B$5:$B$13,0),MATCH(GA$4,'Curva Forward'!$C$4:$AN$4,0))),DC47)</f>
        <v>0</v>
      </c>
      <c r="GB47" s="190">
        <f>AP47*AP$2*IF($FC47="V",1,-1)*IF($Q47="Fixo",(DD47-INDEX('Curva Forward'!$C$5:$AN$13,MATCH(CONCATENATE(BD_COMERCIAL!$K47," ",BD_COMERCIAL!$L47),'Curva Forward'!$B$5:$B$13,0),MATCH(GB$4,'Curva Forward'!$C$4:$AN$4,0))),DD47)</f>
        <v>0</v>
      </c>
      <c r="GC47" s="190">
        <f>AQ47*AQ$2*IF($FC47="V",1,-1)*IF($Q47="Fixo",(DE47-INDEX('Curva Forward'!$C$5:$AN$13,MATCH(CONCATENATE(BD_COMERCIAL!$K47," ",BD_COMERCIAL!$L47),'Curva Forward'!$B$5:$B$13,0),MATCH(GC$4,'Curva Forward'!$C$4:$AN$4,0))),DE47)</f>
        <v>0</v>
      </c>
      <c r="GD47" s="190">
        <f>AR47*AR$2*IF($FC47="V",1,-1)*IF($Q47="Fixo",(DF47-INDEX('Curva Forward'!$C$5:$AN$13,MATCH(CONCATENATE(BD_COMERCIAL!$K47," ",BD_COMERCIAL!$L47),'Curva Forward'!$B$5:$B$13,0),MATCH(GD$4,'Curva Forward'!$C$4:$AN$4,0))),DF47)</f>
        <v>0</v>
      </c>
      <c r="GE47" s="190">
        <f>AS47*AS$2*IF($FC47="V",1,-1)*IF($Q47="Fixo",(DG47-INDEX('Curva Forward'!$C$5:$AN$13,MATCH(CONCATENATE(BD_COMERCIAL!$K47," ",BD_COMERCIAL!$L47),'Curva Forward'!$B$5:$B$13,0),MATCH(GE$4,'Curva Forward'!$C$4:$AN$4,0))),DG47)</f>
        <v>0</v>
      </c>
      <c r="GF47" s="190">
        <f>AT47*AT$2*IF($FC47="V",1,-1)*IF($Q47="Fixo",(DH47-INDEX('Curva Forward'!$C$5:$AN$13,MATCH(CONCATENATE(BD_COMERCIAL!$K47," ",BD_COMERCIAL!$L47),'Curva Forward'!$B$5:$B$13,0),MATCH(GF$4,'Curva Forward'!$C$4:$AN$4,0))),DH47)</f>
        <v>0</v>
      </c>
      <c r="GG47" s="190">
        <f>AU47*AU$2*IF($FC47="V",1,-1)*IF($Q47="Fixo",(DI47-INDEX('Curva Forward'!$C$5:$AN$13,MATCH(CONCATENATE(BD_COMERCIAL!$K47," ",BD_COMERCIAL!$L47),'Curva Forward'!$B$5:$B$13,0),MATCH(GG$4,'Curva Forward'!$C$4:$AN$4,0))),DI47)</f>
        <v>0</v>
      </c>
      <c r="GH47" s="190">
        <f>AV47*AV$2*IF($FC47="V",1,-1)*IF($Q47="Fixo",(DJ47-INDEX('Curva Forward'!$C$5:$AN$13,MATCH(CONCATENATE(BD_COMERCIAL!$K47," ",BD_COMERCIAL!$L47),'Curva Forward'!$B$5:$B$13,0),MATCH(GH$4,'Curva Forward'!$C$4:$AN$4,0))),DJ47)</f>
        <v>0</v>
      </c>
      <c r="GI47" s="190">
        <f>AW47*AW$2*IF($FC47="V",1,-1)*IF($Q47="Fixo",(DK47-INDEX('Curva Forward'!$C$5:$AN$13,MATCH(CONCATENATE(BD_COMERCIAL!$K47," ",BD_COMERCIAL!$L47),'Curva Forward'!$B$5:$B$13,0),MATCH(GI$4,'Curva Forward'!$C$4:$AN$4,0))),DK47)</f>
        <v>0</v>
      </c>
      <c r="GJ47" s="190">
        <f>AX47*AX$2*IF($FC47="V",1,-1)*IF($Q47="Fixo",(DL47-INDEX('Curva Forward'!$C$5:$AN$13,MATCH(CONCATENATE(BD_COMERCIAL!$K47," ",BD_COMERCIAL!$L47),'Curva Forward'!$B$5:$B$13,0),MATCH(GJ$4,'Curva Forward'!$C$4:$AN$4,0))),DL47)</f>
        <v>0</v>
      </c>
      <c r="GK47" s="190">
        <f>AY47*AY$2*IF($FC47="V",1,-1)*IF($Q47="Fixo",(DM47-INDEX('Curva Forward'!$C$5:$AN$13,MATCH(CONCATENATE(BD_COMERCIAL!$K47," ",BD_COMERCIAL!$L47),'Curva Forward'!$B$5:$B$13,0),MATCH(GK$4,'Curva Forward'!$C$4:$AN$4,0))),DM47)</f>
        <v>0</v>
      </c>
      <c r="GL47" s="190">
        <f>IF(EZ47="",0,CL47*CL$2*IF($FC47="V",1,-1)*IF($Q47="Fixo",(EZ47-INDEX('Curva Forward'!$C$5:$AN$13,MATCH(CONCATENATE(BD_COMERCIAL!$K47," ",BD_COMERCIAL!$L47),'Curva Forward'!$B$5:$B$13,0),MATCH(GL$4,'Curva Forward'!$C$4:$AN$4,0))),EZ47))</f>
        <v>0</v>
      </c>
      <c r="GM47" s="190">
        <f>IF(FA47="",0,CM47*CM$2*IF($FC47="V",1,-1)*IF($Q47="Fixo",(FA47-INDEX('Curva Forward'!$C$5:$AN$13,MATCH(CONCATENATE(BD_COMERCIAL!$K47," ",BD_COMERCIAL!$L47),'Curva Forward'!$B$5:$B$13,0),MATCH(GM$4,'Curva Forward'!$C$4:$AN$4,0))),FA47))</f>
        <v>0</v>
      </c>
      <c r="GN47" s="190">
        <f>IF(FB47="",0,CN47*CN$2*IF($FC47="V",1,-1)*IF($Q47="Fixo",(FB47-INDEX('Curva Forward'!$C$5:$AN$13,MATCH(CONCATENATE(BD_COMERCIAL!$K47," ",BD_COMERCIAL!$L47),'Curva Forward'!$B$5:$B$13,0),MATCH(GN$4,'Curva Forward'!$C$4:$AN$4,0))),FB47))</f>
        <v>0</v>
      </c>
      <c r="GO47" s="191">
        <f t="shared" ca="1" si="11"/>
        <v>565440</v>
      </c>
      <c r="GP47" s="191">
        <f t="shared" ca="1" si="12"/>
        <v>0</v>
      </c>
      <c r="GQ47" s="115"/>
      <c r="GR47" s="115"/>
      <c r="GS47"/>
      <c r="GT47" s="65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</row>
    <row r="48" spans="1:236" s="265" customFormat="1" ht="15" customHeight="1" x14ac:dyDescent="0.35">
      <c r="A48" s="251"/>
      <c r="B48" s="7" t="s">
        <v>397</v>
      </c>
      <c r="C48" s="8">
        <v>44819</v>
      </c>
      <c r="D48" s="9" t="s">
        <v>130</v>
      </c>
      <c r="E48" s="9" t="s">
        <v>203</v>
      </c>
      <c r="F48" s="112" t="s">
        <v>398</v>
      </c>
      <c r="G48" s="10" t="s">
        <v>381</v>
      </c>
      <c r="H48" s="112" t="s">
        <v>348</v>
      </c>
      <c r="I48" s="9" t="s">
        <v>137</v>
      </c>
      <c r="J48" s="158"/>
      <c r="K48" s="10" t="s">
        <v>126</v>
      </c>
      <c r="L48" s="84" t="s">
        <v>22</v>
      </c>
      <c r="M48" s="11">
        <v>44927</v>
      </c>
      <c r="N48" s="12">
        <v>45016</v>
      </c>
      <c r="O48" s="10">
        <v>1</v>
      </c>
      <c r="P48" s="84">
        <v>118</v>
      </c>
      <c r="Q48" s="84" t="s">
        <v>127</v>
      </c>
      <c r="R48" s="10" t="s">
        <v>128</v>
      </c>
      <c r="S48" s="14" t="s">
        <v>133</v>
      </c>
      <c r="T48" s="11" t="s">
        <v>129</v>
      </c>
      <c r="U48" s="12">
        <v>44819</v>
      </c>
      <c r="V48" s="202">
        <f ca="1">IF(U48="","",
IF(U48="NA","",
IFERROR(VLOOKUP(EOMONTH(M48,-2)+1,IPCA!$A:$B,2,0),
VLOOKUP(EOMONTH(TODAY(),-2)+1,IPCA!$A:$B,2,0))/
VLOOKUP(EOMONTH(U48,-2)+1,IPCA!$A:$B,2,0)*
P48))</f>
        <v>119.57398100133514</v>
      </c>
      <c r="W48" s="84"/>
      <c r="X48" s="13" t="s">
        <v>6</v>
      </c>
      <c r="Y48" s="158"/>
      <c r="Z48" s="106"/>
      <c r="AA48" s="107"/>
      <c r="AB48" s="15">
        <v>1</v>
      </c>
      <c r="AC48">
        <v>1</v>
      </c>
      <c r="AD48">
        <v>1</v>
      </c>
      <c r="AE48"/>
      <c r="AF48"/>
      <c r="AG48"/>
      <c r="AH48"/>
      <c r="AI48"/>
      <c r="AJ48"/>
      <c r="AK48"/>
      <c r="AL48"/>
      <c r="AM48" s="6"/>
      <c r="AN48" s="15"/>
      <c r="AO48"/>
      <c r="AP48"/>
      <c r="AQ48"/>
      <c r="AR48"/>
      <c r="AS48"/>
      <c r="AT48"/>
      <c r="AU48"/>
      <c r="AV48"/>
      <c r="AW48"/>
      <c r="AX48"/>
      <c r="AY48" s="6"/>
      <c r="AZ48" s="15"/>
      <c r="BA48"/>
      <c r="BB48"/>
      <c r="BC48"/>
      <c r="BD48"/>
      <c r="BE48"/>
      <c r="BF48"/>
      <c r="BG48"/>
      <c r="BH48"/>
      <c r="BI48"/>
      <c r="BJ48"/>
      <c r="BK48" s="6"/>
      <c r="BL48" s="15"/>
      <c r="BM48"/>
      <c r="BN48"/>
      <c r="BO48"/>
      <c r="BP48"/>
      <c r="BQ48"/>
      <c r="BR48"/>
      <c r="BS48"/>
      <c r="BT48"/>
      <c r="BU48"/>
      <c r="BV48"/>
      <c r="BW48" s="6"/>
      <c r="BX48" s="15"/>
      <c r="BY48"/>
      <c r="BZ48"/>
      <c r="CA48"/>
      <c r="CB48"/>
      <c r="CC48"/>
      <c r="CD48"/>
      <c r="CE48"/>
      <c r="CF48"/>
      <c r="CG48"/>
      <c r="CH48"/>
      <c r="CI48" s="6"/>
      <c r="CJ48" s="16">
        <v>0.24657534246575341</v>
      </c>
      <c r="CK48" s="16" t="s">
        <v>578</v>
      </c>
      <c r="CL48" s="16" t="s">
        <v>578</v>
      </c>
      <c r="CM48" s="16" t="s">
        <v>578</v>
      </c>
      <c r="CN48" s="16" t="s">
        <v>578</v>
      </c>
      <c r="CO48" s="18"/>
      <c r="CP48" s="15">
        <v>118</v>
      </c>
      <c r="CQ48">
        <v>118</v>
      </c>
      <c r="CR48">
        <v>118</v>
      </c>
      <c r="CS48"/>
      <c r="CT48"/>
      <c r="CU48"/>
      <c r="CV48"/>
      <c r="CW48"/>
      <c r="CX48"/>
      <c r="CY48"/>
      <c r="CZ48"/>
      <c r="DA48" s="6"/>
      <c r="DB48" s="15"/>
      <c r="DC48"/>
      <c r="DD48"/>
      <c r="DE48"/>
      <c r="DF48"/>
      <c r="DG48"/>
      <c r="DH48"/>
      <c r="DI48"/>
      <c r="DJ48"/>
      <c r="DK48"/>
      <c r="DL48"/>
      <c r="DM48" s="6"/>
      <c r="DN48" s="15"/>
      <c r="DO48"/>
      <c r="DP48"/>
      <c r="DQ48"/>
      <c r="DR48"/>
      <c r="DS48"/>
      <c r="DT48"/>
      <c r="DU48"/>
      <c r="DV48"/>
      <c r="DW48"/>
      <c r="DX48"/>
      <c r="DY48" s="6"/>
      <c r="DZ48" s="15"/>
      <c r="EA48"/>
      <c r="EB48"/>
      <c r="EC48"/>
      <c r="ED48"/>
      <c r="EE48"/>
      <c r="EF48"/>
      <c r="EG48"/>
      <c r="EH48"/>
      <c r="EI48"/>
      <c r="EJ48"/>
      <c r="EK48" s="6"/>
      <c r="EL48" s="15"/>
      <c r="EM48"/>
      <c r="EN48"/>
      <c r="EO48"/>
      <c r="EP48"/>
      <c r="EQ48"/>
      <c r="ER48"/>
      <c r="ES48"/>
      <c r="ET48"/>
      <c r="EU48"/>
      <c r="EV48"/>
      <c r="EW48" s="6"/>
      <c r="EX48" s="16">
        <v>29.095890410958905</v>
      </c>
      <c r="EY48" s="16" t="s">
        <v>578</v>
      </c>
      <c r="EZ48" s="16" t="s">
        <v>578</v>
      </c>
      <c r="FA48" s="154" t="s">
        <v>578</v>
      </c>
      <c r="FB48" s="154" t="s">
        <v>578</v>
      </c>
      <c r="FC48" t="s">
        <v>196</v>
      </c>
      <c r="FD48" s="20" t="s">
        <v>137</v>
      </c>
      <c r="FE48"/>
      <c r="FF48" s="199" t="s">
        <v>197</v>
      </c>
      <c r="FG48"/>
      <c r="FH48" s="206">
        <f t="shared" ca="1" si="6"/>
        <v>1.5739810013351416</v>
      </c>
      <c r="FI48" s="198">
        <f t="shared" si="7"/>
        <v>2.9666666666666668</v>
      </c>
      <c r="FJ48"/>
      <c r="FK48" t="str">
        <f t="shared" si="8"/>
        <v>INFINITY TRADING COMERCIALIZADORA DE ENERGIA LTDA</v>
      </c>
      <c r="FL48" s="191">
        <f t="shared" ca="1" si="9"/>
        <v>-36456</v>
      </c>
      <c r="FM48" s="191">
        <f t="shared" ca="1" si="10"/>
        <v>-69384</v>
      </c>
      <c r="FN48" s="190">
        <f>AB48*AB$2*IF($FC48="V",1,-1)*IF($Q48="Fixo",(CP48-INDEX('Curva Forward'!$C$5:$AN$13,MATCH(CONCATENATE(BD_COMERCIAL!$K48," ",BD_COMERCIAL!$L48),'Curva Forward'!$B$5:$B$13,0),MATCH(FN$4,'Curva Forward'!$C$4:$AN$4,0))),CP48)</f>
        <v>-36456</v>
      </c>
      <c r="FO48" s="190">
        <f>AC48*AC$2*IF($FC48="V",1,-1)*IF($Q48="Fixo",(CQ48-INDEX('Curva Forward'!$C$5:$AN$13,MATCH(CONCATENATE(BD_COMERCIAL!$K48," ",BD_COMERCIAL!$L48),'Curva Forward'!$B$5:$B$13,0),MATCH(FO$4,'Curva Forward'!$C$4:$AN$4,0))),CQ48)</f>
        <v>-32928</v>
      </c>
      <c r="FP48" s="190">
        <f>AD48*AD$2*IF($FC48="V",1,-1)*IF($Q48="Fixo",(CR48-INDEX('Curva Forward'!$C$5:$AN$13,MATCH(CONCATENATE(BD_COMERCIAL!$K48," ",BD_COMERCIAL!$L48),'Curva Forward'!$B$5:$B$13,0),MATCH(FP$4,'Curva Forward'!$C$4:$AN$4,0))),CR48)</f>
        <v>-36456</v>
      </c>
      <c r="FQ48" s="190">
        <f>AE48*AE$2*IF($FC48="V",1,-1)*IF($Q48="Fixo",(CS48-INDEX('Curva Forward'!$C$5:$AN$13,MATCH(CONCATENATE(BD_COMERCIAL!$K48," ",BD_COMERCIAL!$L48),'Curva Forward'!$B$5:$B$13,0),MATCH(FQ$4,'Curva Forward'!$C$4:$AN$4,0))),CS48)</f>
        <v>0</v>
      </c>
      <c r="FR48" s="190">
        <f>AF48*AF$2*IF($FC48="V",1,-1)*IF($Q48="Fixo",(CT48-INDEX('Curva Forward'!$C$5:$AN$13,MATCH(CONCATENATE(BD_COMERCIAL!$K48," ",BD_COMERCIAL!$L48),'Curva Forward'!$B$5:$B$13,0),MATCH(FR$4,'Curva Forward'!$C$4:$AN$4,0))),CT48)</f>
        <v>0</v>
      </c>
      <c r="FS48" s="190">
        <f>AG48*AG$2*IF($FC48="V",1,-1)*IF($Q48="Fixo",(CU48-INDEX('Curva Forward'!$C$5:$AN$13,MATCH(CONCATENATE(BD_COMERCIAL!$K48," ",BD_COMERCIAL!$L48),'Curva Forward'!$B$5:$B$13,0),MATCH(FS$4,'Curva Forward'!$C$4:$AN$4,0))),CU48)</f>
        <v>0</v>
      </c>
      <c r="FT48" s="190">
        <f>AH48*AH$2*IF($FC48="V",1,-1)*IF($Q48="Fixo",(CV48-INDEX('Curva Forward'!$C$5:$AN$13,MATCH(CONCATENATE(BD_COMERCIAL!$K48," ",BD_COMERCIAL!$L48),'Curva Forward'!$B$5:$B$13,0),MATCH(FT$4,'Curva Forward'!$C$4:$AN$4,0))),CV48)</f>
        <v>0</v>
      </c>
      <c r="FU48" s="190">
        <f>AI48*AI$2*IF($FC48="V",1,-1)*IF($Q48="Fixo",(CW48-INDEX('Curva Forward'!$C$5:$AN$13,MATCH(CONCATENATE(BD_COMERCIAL!$K48," ",BD_COMERCIAL!$L48),'Curva Forward'!$B$5:$B$13,0),MATCH(FU$4,'Curva Forward'!$C$4:$AN$4,0))),CW48)</f>
        <v>0</v>
      </c>
      <c r="FV48" s="190">
        <f>AJ48*AJ$2*IF($FC48="V",1,-1)*IF($Q48="Fixo",(CX48-INDEX('Curva Forward'!$C$5:$AN$13,MATCH(CONCATENATE(BD_COMERCIAL!$K48," ",BD_COMERCIAL!$L48),'Curva Forward'!$B$5:$B$13,0),MATCH(FV$4,'Curva Forward'!$C$4:$AN$4,0))),CX48)</f>
        <v>0</v>
      </c>
      <c r="FW48" s="190">
        <f>AK48*AK$2*IF($FC48="V",1,-1)*IF($Q48="Fixo",(CY48-INDEX('Curva Forward'!$C$5:$AN$13,MATCH(CONCATENATE(BD_COMERCIAL!$K48," ",BD_COMERCIAL!$L48),'Curva Forward'!$B$5:$B$13,0),MATCH(FW$4,'Curva Forward'!$C$4:$AN$4,0))),CY48)</f>
        <v>0</v>
      </c>
      <c r="FX48" s="190">
        <f>AL48*AL$2*IF($FC48="V",1,-1)*IF($Q48="Fixo",(CZ48-INDEX('Curva Forward'!$C$5:$AN$13,MATCH(CONCATENATE(BD_COMERCIAL!$K48," ",BD_COMERCIAL!$L48),'Curva Forward'!$B$5:$B$13,0),MATCH(FX$4,'Curva Forward'!$C$4:$AN$4,0))),CZ48)</f>
        <v>0</v>
      </c>
      <c r="FY48" s="190">
        <f>AM48*AM$2*IF($FC48="V",1,-1)*IF($Q48="Fixo",(DA48-INDEX('Curva Forward'!$C$5:$AN$13,MATCH(CONCATENATE(BD_COMERCIAL!$K48," ",BD_COMERCIAL!$L48),'Curva Forward'!$B$5:$B$13,0),MATCH(FY$4,'Curva Forward'!$C$4:$AN$4,0))),DA48)</f>
        <v>0</v>
      </c>
      <c r="FZ48" s="190">
        <f>AN48*AN$2*IF($FC48="V",1,-1)*IF($Q48="Fixo",(DB48-INDEX('Curva Forward'!$C$5:$AN$13,MATCH(CONCATENATE(BD_COMERCIAL!$K48," ",BD_COMERCIAL!$L48),'Curva Forward'!$B$5:$B$13,0),MATCH(FZ$4,'Curva Forward'!$C$4:$AN$4,0))),DB48)</f>
        <v>0</v>
      </c>
      <c r="GA48" s="190">
        <f>AO48*AO$2*IF($FC48="V",1,-1)*IF($Q48="Fixo",(DC48-INDEX('Curva Forward'!$C$5:$AN$13,MATCH(CONCATENATE(BD_COMERCIAL!$K48," ",BD_COMERCIAL!$L48),'Curva Forward'!$B$5:$B$13,0),MATCH(GA$4,'Curva Forward'!$C$4:$AN$4,0))),DC48)</f>
        <v>0</v>
      </c>
      <c r="GB48" s="190">
        <f>AP48*AP$2*IF($FC48="V",1,-1)*IF($Q48="Fixo",(DD48-INDEX('Curva Forward'!$C$5:$AN$13,MATCH(CONCATENATE(BD_COMERCIAL!$K48," ",BD_COMERCIAL!$L48),'Curva Forward'!$B$5:$B$13,0),MATCH(GB$4,'Curva Forward'!$C$4:$AN$4,0))),DD48)</f>
        <v>0</v>
      </c>
      <c r="GC48" s="190">
        <f>AQ48*AQ$2*IF($FC48="V",1,-1)*IF($Q48="Fixo",(DE48-INDEX('Curva Forward'!$C$5:$AN$13,MATCH(CONCATENATE(BD_COMERCIAL!$K48," ",BD_COMERCIAL!$L48),'Curva Forward'!$B$5:$B$13,0),MATCH(GC$4,'Curva Forward'!$C$4:$AN$4,0))),DE48)</f>
        <v>0</v>
      </c>
      <c r="GD48" s="190">
        <f>AR48*AR$2*IF($FC48="V",1,-1)*IF($Q48="Fixo",(DF48-INDEX('Curva Forward'!$C$5:$AN$13,MATCH(CONCATENATE(BD_COMERCIAL!$K48," ",BD_COMERCIAL!$L48),'Curva Forward'!$B$5:$B$13,0),MATCH(GD$4,'Curva Forward'!$C$4:$AN$4,0))),DF48)</f>
        <v>0</v>
      </c>
      <c r="GE48" s="190">
        <f>AS48*AS$2*IF($FC48="V",1,-1)*IF($Q48="Fixo",(DG48-INDEX('Curva Forward'!$C$5:$AN$13,MATCH(CONCATENATE(BD_COMERCIAL!$K48," ",BD_COMERCIAL!$L48),'Curva Forward'!$B$5:$B$13,0),MATCH(GE$4,'Curva Forward'!$C$4:$AN$4,0))),DG48)</f>
        <v>0</v>
      </c>
      <c r="GF48" s="190">
        <f>AT48*AT$2*IF($FC48="V",1,-1)*IF($Q48="Fixo",(DH48-INDEX('Curva Forward'!$C$5:$AN$13,MATCH(CONCATENATE(BD_COMERCIAL!$K48," ",BD_COMERCIAL!$L48),'Curva Forward'!$B$5:$B$13,0),MATCH(GF$4,'Curva Forward'!$C$4:$AN$4,0))),DH48)</f>
        <v>0</v>
      </c>
      <c r="GG48" s="190">
        <f>AU48*AU$2*IF($FC48="V",1,-1)*IF($Q48="Fixo",(DI48-INDEX('Curva Forward'!$C$5:$AN$13,MATCH(CONCATENATE(BD_COMERCIAL!$K48," ",BD_COMERCIAL!$L48),'Curva Forward'!$B$5:$B$13,0),MATCH(GG$4,'Curva Forward'!$C$4:$AN$4,0))),DI48)</f>
        <v>0</v>
      </c>
      <c r="GH48" s="190">
        <f>AV48*AV$2*IF($FC48="V",1,-1)*IF($Q48="Fixo",(DJ48-INDEX('Curva Forward'!$C$5:$AN$13,MATCH(CONCATENATE(BD_COMERCIAL!$K48," ",BD_COMERCIAL!$L48),'Curva Forward'!$B$5:$B$13,0),MATCH(GH$4,'Curva Forward'!$C$4:$AN$4,0))),DJ48)</f>
        <v>0</v>
      </c>
      <c r="GI48" s="190">
        <f>AW48*AW$2*IF($FC48="V",1,-1)*IF($Q48="Fixo",(DK48-INDEX('Curva Forward'!$C$5:$AN$13,MATCH(CONCATENATE(BD_COMERCIAL!$K48," ",BD_COMERCIAL!$L48),'Curva Forward'!$B$5:$B$13,0),MATCH(GI$4,'Curva Forward'!$C$4:$AN$4,0))),DK48)</f>
        <v>0</v>
      </c>
      <c r="GJ48" s="190">
        <f>AX48*AX$2*IF($FC48="V",1,-1)*IF($Q48="Fixo",(DL48-INDEX('Curva Forward'!$C$5:$AN$13,MATCH(CONCATENATE(BD_COMERCIAL!$K48," ",BD_COMERCIAL!$L48),'Curva Forward'!$B$5:$B$13,0),MATCH(GJ$4,'Curva Forward'!$C$4:$AN$4,0))),DL48)</f>
        <v>0</v>
      </c>
      <c r="GK48" s="190">
        <f>AY48*AY$2*IF($FC48="V",1,-1)*IF($Q48="Fixo",(DM48-INDEX('Curva Forward'!$C$5:$AN$13,MATCH(CONCATENATE(BD_COMERCIAL!$K48," ",BD_COMERCIAL!$L48),'Curva Forward'!$B$5:$B$13,0),MATCH(GK$4,'Curva Forward'!$C$4:$AN$4,0))),DM48)</f>
        <v>0</v>
      </c>
      <c r="GL48" s="190">
        <f>IF(EZ48="",0,CL48*CL$2*IF($FC48="V",1,-1)*IF($Q48="Fixo",(EZ48-INDEX('Curva Forward'!$C$5:$AN$13,MATCH(CONCATENATE(BD_COMERCIAL!$K48," ",BD_COMERCIAL!$L48),'Curva Forward'!$B$5:$B$13,0),MATCH(GL$4,'Curva Forward'!$C$4:$AN$4,0))),EZ48))</f>
        <v>0</v>
      </c>
      <c r="GM48" s="190">
        <f>IF(FA48="",0,CM48*CM$2*IF($FC48="V",1,-1)*IF($Q48="Fixo",(FA48-INDEX('Curva Forward'!$C$5:$AN$13,MATCH(CONCATENATE(BD_COMERCIAL!$K48," ",BD_COMERCIAL!$L48),'Curva Forward'!$B$5:$B$13,0),MATCH(GM$4,'Curva Forward'!$C$4:$AN$4,0))),FA48))</f>
        <v>0</v>
      </c>
      <c r="GN48" s="190">
        <f>IF(FB48="",0,CN48*CN$2*IF($FC48="V",1,-1)*IF($Q48="Fixo",(FB48-INDEX('Curva Forward'!$C$5:$AN$13,MATCH(CONCATENATE(BD_COMERCIAL!$K48," ",BD_COMERCIAL!$L48),'Curva Forward'!$B$5:$B$13,0),MATCH(GN$4,'Curva Forward'!$C$4:$AN$4,0))),FB48))</f>
        <v>0</v>
      </c>
      <c r="GO48" s="191">
        <f t="shared" ca="1" si="11"/>
        <v>0</v>
      </c>
      <c r="GP48" s="191">
        <f t="shared" ca="1" si="12"/>
        <v>-69384</v>
      </c>
      <c r="GQ48" s="115"/>
      <c r="GR48" s="115"/>
      <c r="GS48"/>
      <c r="GT48" s="65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</row>
    <row r="49" spans="1:236" s="265" customFormat="1" ht="15" customHeight="1" x14ac:dyDescent="0.35">
      <c r="A49" s="251"/>
      <c r="B49" s="7" t="s">
        <v>399</v>
      </c>
      <c r="C49" s="8">
        <v>44819</v>
      </c>
      <c r="D49" s="9" t="s">
        <v>123</v>
      </c>
      <c r="E49" s="9" t="s">
        <v>381</v>
      </c>
      <c r="F49" s="112" t="s">
        <v>348</v>
      </c>
      <c r="G49" s="10" t="s">
        <v>341</v>
      </c>
      <c r="H49" s="112" t="s">
        <v>384</v>
      </c>
      <c r="I49" s="9" t="s">
        <v>137</v>
      </c>
      <c r="J49" s="158"/>
      <c r="K49" s="10" t="s">
        <v>126</v>
      </c>
      <c r="L49" s="84" t="s">
        <v>22</v>
      </c>
      <c r="M49" s="11">
        <v>44927</v>
      </c>
      <c r="N49" s="12">
        <v>44957</v>
      </c>
      <c r="O49" s="10">
        <v>7</v>
      </c>
      <c r="P49" s="84">
        <v>111</v>
      </c>
      <c r="Q49" s="84" t="s">
        <v>127</v>
      </c>
      <c r="R49" s="10" t="s">
        <v>128</v>
      </c>
      <c r="S49" s="14" t="s">
        <v>133</v>
      </c>
      <c r="T49" s="11" t="s">
        <v>129</v>
      </c>
      <c r="U49" s="12">
        <v>44819</v>
      </c>
      <c r="V49" s="202">
        <f ca="1">IF(U49="","",
IF(U49="NA","",
IFERROR(VLOOKUP(EOMONTH(M49,-2)+1,IPCA!$A:$B,2,0),
VLOOKUP(EOMONTH(TODAY(),-2)+1,IPCA!$A:$B,2,0))/
VLOOKUP(EOMONTH(U49,-2)+1,IPCA!$A:$B,2,0)*
P49))</f>
        <v>112.48060924701865</v>
      </c>
      <c r="W49" s="84"/>
      <c r="X49" s="13" t="s">
        <v>132</v>
      </c>
      <c r="Y49" s="158"/>
      <c r="Z49" s="106"/>
      <c r="AA49" s="107"/>
      <c r="AB49" s="15">
        <v>7</v>
      </c>
      <c r="AC49"/>
      <c r="AD49"/>
      <c r="AE49"/>
      <c r="AF49"/>
      <c r="AG49"/>
      <c r="AH49"/>
      <c r="AI49"/>
      <c r="AJ49"/>
      <c r="AK49"/>
      <c r="AL49"/>
      <c r="AM49" s="6"/>
      <c r="AN49" s="15"/>
      <c r="AO49"/>
      <c r="AP49"/>
      <c r="AQ49"/>
      <c r="AR49"/>
      <c r="AS49"/>
      <c r="AT49"/>
      <c r="AU49"/>
      <c r="AV49"/>
      <c r="AW49"/>
      <c r="AX49"/>
      <c r="AY49" s="6"/>
      <c r="AZ49" s="15"/>
      <c r="BA49"/>
      <c r="BB49"/>
      <c r="BC49"/>
      <c r="BD49"/>
      <c r="BE49"/>
      <c r="BF49"/>
      <c r="BG49"/>
      <c r="BH49"/>
      <c r="BI49"/>
      <c r="BJ49"/>
      <c r="BK49" s="6"/>
      <c r="BL49" s="15"/>
      <c r="BM49"/>
      <c r="BN49"/>
      <c r="BO49"/>
      <c r="BP49"/>
      <c r="BQ49"/>
      <c r="BR49"/>
      <c r="BS49"/>
      <c r="BT49"/>
      <c r="BU49"/>
      <c r="BV49"/>
      <c r="BW49" s="6"/>
      <c r="BX49" s="15"/>
      <c r="BY49"/>
      <c r="BZ49"/>
      <c r="CA49"/>
      <c r="CB49"/>
      <c r="CC49"/>
      <c r="CD49"/>
      <c r="CE49"/>
      <c r="CF49"/>
      <c r="CG49"/>
      <c r="CH49"/>
      <c r="CI49" s="6"/>
      <c r="CJ49" s="16">
        <v>0.59452054794520548</v>
      </c>
      <c r="CK49" s="16" t="s">
        <v>578</v>
      </c>
      <c r="CL49" s="16" t="s">
        <v>578</v>
      </c>
      <c r="CM49" s="16" t="s">
        <v>578</v>
      </c>
      <c r="CN49" s="16" t="s">
        <v>578</v>
      </c>
      <c r="CO49" s="18"/>
      <c r="CP49" s="15">
        <v>111</v>
      </c>
      <c r="CQ49"/>
      <c r="CR49"/>
      <c r="CS49"/>
      <c r="CT49"/>
      <c r="CU49"/>
      <c r="CV49"/>
      <c r="CW49"/>
      <c r="CX49"/>
      <c r="CY49"/>
      <c r="CZ49"/>
      <c r="DA49" s="6"/>
      <c r="DB49" s="15"/>
      <c r="DC49"/>
      <c r="DD49"/>
      <c r="DE49"/>
      <c r="DF49"/>
      <c r="DG49"/>
      <c r="DH49"/>
      <c r="DI49"/>
      <c r="DJ49"/>
      <c r="DK49"/>
      <c r="DL49"/>
      <c r="DM49" s="6"/>
      <c r="DN49" s="15"/>
      <c r="DO49"/>
      <c r="DP49"/>
      <c r="DQ49"/>
      <c r="DR49"/>
      <c r="DS49"/>
      <c r="DT49"/>
      <c r="DU49"/>
      <c r="DV49"/>
      <c r="DW49"/>
      <c r="DX49"/>
      <c r="DY49" s="6"/>
      <c r="DZ49" s="15"/>
      <c r="EA49"/>
      <c r="EB49"/>
      <c r="EC49"/>
      <c r="ED49"/>
      <c r="EE49"/>
      <c r="EF49"/>
      <c r="EG49"/>
      <c r="EH49"/>
      <c r="EI49"/>
      <c r="EJ49"/>
      <c r="EK49" s="6"/>
      <c r="EL49" s="15"/>
      <c r="EM49"/>
      <c r="EN49"/>
      <c r="EO49"/>
      <c r="EP49"/>
      <c r="EQ49"/>
      <c r="ER49"/>
      <c r="ES49"/>
      <c r="ET49"/>
      <c r="EU49"/>
      <c r="EV49"/>
      <c r="EW49" s="6"/>
      <c r="EX49" s="16">
        <v>9.4273972602739722</v>
      </c>
      <c r="EY49" s="16" t="s">
        <v>578</v>
      </c>
      <c r="EZ49" s="16" t="s">
        <v>578</v>
      </c>
      <c r="FA49" s="154" t="s">
        <v>578</v>
      </c>
      <c r="FB49" s="154" t="s">
        <v>578</v>
      </c>
      <c r="FC49" t="s">
        <v>195</v>
      </c>
      <c r="FD49" s="20" t="s">
        <v>137</v>
      </c>
      <c r="FE49"/>
      <c r="FF49" s="199" t="s">
        <v>197</v>
      </c>
      <c r="FG49"/>
      <c r="FH49" s="206">
        <f t="shared" ca="1" si="6"/>
        <v>1.4806092470186485</v>
      </c>
      <c r="FI49" s="198">
        <f t="shared" si="7"/>
        <v>1</v>
      </c>
      <c r="FJ49"/>
      <c r="FK49" t="str">
        <f t="shared" si="8"/>
        <v>MEZ COMERCIALIZADORA DE ENERGIA ELETRICA LTDA.</v>
      </c>
      <c r="FL49" s="191">
        <f t="shared" ca="1" si="9"/>
        <v>218736</v>
      </c>
      <c r="FM49" s="191">
        <f t="shared" ca="1" si="10"/>
        <v>0</v>
      </c>
      <c r="FN49" s="190">
        <f>AB49*AB$2*IF($FC49="V",1,-1)*IF($Q49="Fixo",(CP49-INDEX('Curva Forward'!$C$5:$AN$13,MATCH(CONCATENATE(BD_COMERCIAL!$K49," ",BD_COMERCIAL!$L49),'Curva Forward'!$B$5:$B$13,0),MATCH(FN$4,'Curva Forward'!$C$4:$AN$4,0))),CP49)</f>
        <v>218736</v>
      </c>
      <c r="FO49" s="190">
        <f>AC49*AC$2*IF($FC49="V",1,-1)*IF($Q49="Fixo",(CQ49-INDEX('Curva Forward'!$C$5:$AN$13,MATCH(CONCATENATE(BD_COMERCIAL!$K49," ",BD_COMERCIAL!$L49),'Curva Forward'!$B$5:$B$13,0),MATCH(FO$4,'Curva Forward'!$C$4:$AN$4,0))),CQ49)</f>
        <v>0</v>
      </c>
      <c r="FP49" s="190">
        <f>AD49*AD$2*IF($FC49="V",1,-1)*IF($Q49="Fixo",(CR49-INDEX('Curva Forward'!$C$5:$AN$13,MATCH(CONCATENATE(BD_COMERCIAL!$K49," ",BD_COMERCIAL!$L49),'Curva Forward'!$B$5:$B$13,0),MATCH(FP$4,'Curva Forward'!$C$4:$AN$4,0))),CR49)</f>
        <v>0</v>
      </c>
      <c r="FQ49" s="190">
        <f>AE49*AE$2*IF($FC49="V",1,-1)*IF($Q49="Fixo",(CS49-INDEX('Curva Forward'!$C$5:$AN$13,MATCH(CONCATENATE(BD_COMERCIAL!$K49," ",BD_COMERCIAL!$L49),'Curva Forward'!$B$5:$B$13,0),MATCH(FQ$4,'Curva Forward'!$C$4:$AN$4,0))),CS49)</f>
        <v>0</v>
      </c>
      <c r="FR49" s="190">
        <f>AF49*AF$2*IF($FC49="V",1,-1)*IF($Q49="Fixo",(CT49-INDEX('Curva Forward'!$C$5:$AN$13,MATCH(CONCATENATE(BD_COMERCIAL!$K49," ",BD_COMERCIAL!$L49),'Curva Forward'!$B$5:$B$13,0),MATCH(FR$4,'Curva Forward'!$C$4:$AN$4,0))),CT49)</f>
        <v>0</v>
      </c>
      <c r="FS49" s="190">
        <f>AG49*AG$2*IF($FC49="V",1,-1)*IF($Q49="Fixo",(CU49-INDEX('Curva Forward'!$C$5:$AN$13,MATCH(CONCATENATE(BD_COMERCIAL!$K49," ",BD_COMERCIAL!$L49),'Curva Forward'!$B$5:$B$13,0),MATCH(FS$4,'Curva Forward'!$C$4:$AN$4,0))),CU49)</f>
        <v>0</v>
      </c>
      <c r="FT49" s="190">
        <f>AH49*AH$2*IF($FC49="V",1,-1)*IF($Q49="Fixo",(CV49-INDEX('Curva Forward'!$C$5:$AN$13,MATCH(CONCATENATE(BD_COMERCIAL!$K49," ",BD_COMERCIAL!$L49),'Curva Forward'!$B$5:$B$13,0),MATCH(FT$4,'Curva Forward'!$C$4:$AN$4,0))),CV49)</f>
        <v>0</v>
      </c>
      <c r="FU49" s="190">
        <f>AI49*AI$2*IF($FC49="V",1,-1)*IF($Q49="Fixo",(CW49-INDEX('Curva Forward'!$C$5:$AN$13,MATCH(CONCATENATE(BD_COMERCIAL!$K49," ",BD_COMERCIAL!$L49),'Curva Forward'!$B$5:$B$13,0),MATCH(FU$4,'Curva Forward'!$C$4:$AN$4,0))),CW49)</f>
        <v>0</v>
      </c>
      <c r="FV49" s="190">
        <f>AJ49*AJ$2*IF($FC49="V",1,-1)*IF($Q49="Fixo",(CX49-INDEX('Curva Forward'!$C$5:$AN$13,MATCH(CONCATENATE(BD_COMERCIAL!$K49," ",BD_COMERCIAL!$L49),'Curva Forward'!$B$5:$B$13,0),MATCH(FV$4,'Curva Forward'!$C$4:$AN$4,0))),CX49)</f>
        <v>0</v>
      </c>
      <c r="FW49" s="190">
        <f>AK49*AK$2*IF($FC49="V",1,-1)*IF($Q49="Fixo",(CY49-INDEX('Curva Forward'!$C$5:$AN$13,MATCH(CONCATENATE(BD_COMERCIAL!$K49," ",BD_COMERCIAL!$L49),'Curva Forward'!$B$5:$B$13,0),MATCH(FW$4,'Curva Forward'!$C$4:$AN$4,0))),CY49)</f>
        <v>0</v>
      </c>
      <c r="FX49" s="190">
        <f>AL49*AL$2*IF($FC49="V",1,-1)*IF($Q49="Fixo",(CZ49-INDEX('Curva Forward'!$C$5:$AN$13,MATCH(CONCATENATE(BD_COMERCIAL!$K49," ",BD_COMERCIAL!$L49),'Curva Forward'!$B$5:$B$13,0),MATCH(FX$4,'Curva Forward'!$C$4:$AN$4,0))),CZ49)</f>
        <v>0</v>
      </c>
      <c r="FY49" s="190">
        <f>AM49*AM$2*IF($FC49="V",1,-1)*IF($Q49="Fixo",(DA49-INDEX('Curva Forward'!$C$5:$AN$13,MATCH(CONCATENATE(BD_COMERCIAL!$K49," ",BD_COMERCIAL!$L49),'Curva Forward'!$B$5:$B$13,0),MATCH(FY$4,'Curva Forward'!$C$4:$AN$4,0))),DA49)</f>
        <v>0</v>
      </c>
      <c r="FZ49" s="190">
        <f>AN49*AN$2*IF($FC49="V",1,-1)*IF($Q49="Fixo",(DB49-INDEX('Curva Forward'!$C$5:$AN$13,MATCH(CONCATENATE(BD_COMERCIAL!$K49," ",BD_COMERCIAL!$L49),'Curva Forward'!$B$5:$B$13,0),MATCH(FZ$4,'Curva Forward'!$C$4:$AN$4,0))),DB49)</f>
        <v>0</v>
      </c>
      <c r="GA49" s="190">
        <f>AO49*AO$2*IF($FC49="V",1,-1)*IF($Q49="Fixo",(DC49-INDEX('Curva Forward'!$C$5:$AN$13,MATCH(CONCATENATE(BD_COMERCIAL!$K49," ",BD_COMERCIAL!$L49),'Curva Forward'!$B$5:$B$13,0),MATCH(GA$4,'Curva Forward'!$C$4:$AN$4,0))),DC49)</f>
        <v>0</v>
      </c>
      <c r="GB49" s="190">
        <f>AP49*AP$2*IF($FC49="V",1,-1)*IF($Q49="Fixo",(DD49-INDEX('Curva Forward'!$C$5:$AN$13,MATCH(CONCATENATE(BD_COMERCIAL!$K49," ",BD_COMERCIAL!$L49),'Curva Forward'!$B$5:$B$13,0),MATCH(GB$4,'Curva Forward'!$C$4:$AN$4,0))),DD49)</f>
        <v>0</v>
      </c>
      <c r="GC49" s="190">
        <f>AQ49*AQ$2*IF($FC49="V",1,-1)*IF($Q49="Fixo",(DE49-INDEX('Curva Forward'!$C$5:$AN$13,MATCH(CONCATENATE(BD_COMERCIAL!$K49," ",BD_COMERCIAL!$L49),'Curva Forward'!$B$5:$B$13,0),MATCH(GC$4,'Curva Forward'!$C$4:$AN$4,0))),DE49)</f>
        <v>0</v>
      </c>
      <c r="GD49" s="190">
        <f>AR49*AR$2*IF($FC49="V",1,-1)*IF($Q49="Fixo",(DF49-INDEX('Curva Forward'!$C$5:$AN$13,MATCH(CONCATENATE(BD_COMERCIAL!$K49," ",BD_COMERCIAL!$L49),'Curva Forward'!$B$5:$B$13,0),MATCH(GD$4,'Curva Forward'!$C$4:$AN$4,0))),DF49)</f>
        <v>0</v>
      </c>
      <c r="GE49" s="190">
        <f>AS49*AS$2*IF($FC49="V",1,-1)*IF($Q49="Fixo",(DG49-INDEX('Curva Forward'!$C$5:$AN$13,MATCH(CONCATENATE(BD_COMERCIAL!$K49," ",BD_COMERCIAL!$L49),'Curva Forward'!$B$5:$B$13,0),MATCH(GE$4,'Curva Forward'!$C$4:$AN$4,0))),DG49)</f>
        <v>0</v>
      </c>
      <c r="GF49" s="190">
        <f>AT49*AT$2*IF($FC49="V",1,-1)*IF($Q49="Fixo",(DH49-INDEX('Curva Forward'!$C$5:$AN$13,MATCH(CONCATENATE(BD_COMERCIAL!$K49," ",BD_COMERCIAL!$L49),'Curva Forward'!$B$5:$B$13,0),MATCH(GF$4,'Curva Forward'!$C$4:$AN$4,0))),DH49)</f>
        <v>0</v>
      </c>
      <c r="GG49" s="190">
        <f>AU49*AU$2*IF($FC49="V",1,-1)*IF($Q49="Fixo",(DI49-INDEX('Curva Forward'!$C$5:$AN$13,MATCH(CONCATENATE(BD_COMERCIAL!$K49," ",BD_COMERCIAL!$L49),'Curva Forward'!$B$5:$B$13,0),MATCH(GG$4,'Curva Forward'!$C$4:$AN$4,0))),DI49)</f>
        <v>0</v>
      </c>
      <c r="GH49" s="190">
        <f>AV49*AV$2*IF($FC49="V",1,-1)*IF($Q49="Fixo",(DJ49-INDEX('Curva Forward'!$C$5:$AN$13,MATCH(CONCATENATE(BD_COMERCIAL!$K49," ",BD_COMERCIAL!$L49),'Curva Forward'!$B$5:$B$13,0),MATCH(GH$4,'Curva Forward'!$C$4:$AN$4,0))),DJ49)</f>
        <v>0</v>
      </c>
      <c r="GI49" s="190">
        <f>AW49*AW$2*IF($FC49="V",1,-1)*IF($Q49="Fixo",(DK49-INDEX('Curva Forward'!$C$5:$AN$13,MATCH(CONCATENATE(BD_COMERCIAL!$K49," ",BD_COMERCIAL!$L49),'Curva Forward'!$B$5:$B$13,0),MATCH(GI$4,'Curva Forward'!$C$4:$AN$4,0))),DK49)</f>
        <v>0</v>
      </c>
      <c r="GJ49" s="190">
        <f>AX49*AX$2*IF($FC49="V",1,-1)*IF($Q49="Fixo",(DL49-INDEX('Curva Forward'!$C$5:$AN$13,MATCH(CONCATENATE(BD_COMERCIAL!$K49," ",BD_COMERCIAL!$L49),'Curva Forward'!$B$5:$B$13,0),MATCH(GJ$4,'Curva Forward'!$C$4:$AN$4,0))),DL49)</f>
        <v>0</v>
      </c>
      <c r="GK49" s="190">
        <f>AY49*AY$2*IF($FC49="V",1,-1)*IF($Q49="Fixo",(DM49-INDEX('Curva Forward'!$C$5:$AN$13,MATCH(CONCATENATE(BD_COMERCIAL!$K49," ",BD_COMERCIAL!$L49),'Curva Forward'!$B$5:$B$13,0),MATCH(GK$4,'Curva Forward'!$C$4:$AN$4,0))),DM49)</f>
        <v>0</v>
      </c>
      <c r="GL49" s="190">
        <f>IF(EZ49="",0,CL49*CL$2*IF($FC49="V",1,-1)*IF($Q49="Fixo",(EZ49-INDEX('Curva Forward'!$C$5:$AN$13,MATCH(CONCATENATE(BD_COMERCIAL!$K49," ",BD_COMERCIAL!$L49),'Curva Forward'!$B$5:$B$13,0),MATCH(GL$4,'Curva Forward'!$C$4:$AN$4,0))),EZ49))</f>
        <v>0</v>
      </c>
      <c r="GM49" s="190">
        <f>IF(FA49="",0,CM49*CM$2*IF($FC49="V",1,-1)*IF($Q49="Fixo",(FA49-INDEX('Curva Forward'!$C$5:$AN$13,MATCH(CONCATENATE(BD_COMERCIAL!$K49," ",BD_COMERCIAL!$L49),'Curva Forward'!$B$5:$B$13,0),MATCH(GM$4,'Curva Forward'!$C$4:$AN$4,0))),FA49))</f>
        <v>0</v>
      </c>
      <c r="GN49" s="190">
        <f>IF(FB49="",0,CN49*CN$2*IF($FC49="V",1,-1)*IF($Q49="Fixo",(FB49-INDEX('Curva Forward'!$C$5:$AN$13,MATCH(CONCATENATE(BD_COMERCIAL!$K49," ",BD_COMERCIAL!$L49),'Curva Forward'!$B$5:$B$13,0),MATCH(GN$4,'Curva Forward'!$C$4:$AN$4,0))),FB49))</f>
        <v>0</v>
      </c>
      <c r="GO49" s="191">
        <f t="shared" ca="1" si="11"/>
        <v>0</v>
      </c>
      <c r="GP49" s="191">
        <f t="shared" ca="1" si="12"/>
        <v>0</v>
      </c>
      <c r="GQ49" s="115"/>
      <c r="GR49" s="115"/>
      <c r="GS49"/>
      <c r="GT49" s="65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</row>
    <row r="50" spans="1:236" s="265" customFormat="1" ht="15" customHeight="1" x14ac:dyDescent="0.35">
      <c r="A50" s="251"/>
      <c r="B50" s="7" t="s">
        <v>389</v>
      </c>
      <c r="C50" s="8">
        <v>44819</v>
      </c>
      <c r="D50" s="9" t="s">
        <v>123</v>
      </c>
      <c r="E50" s="9" t="s">
        <v>381</v>
      </c>
      <c r="F50" s="112" t="s">
        <v>348</v>
      </c>
      <c r="G50" s="10" t="s">
        <v>390</v>
      </c>
      <c r="H50" s="112" t="s">
        <v>391</v>
      </c>
      <c r="I50" s="9" t="s">
        <v>137</v>
      </c>
      <c r="J50" s="158"/>
      <c r="K50" s="10" t="s">
        <v>126</v>
      </c>
      <c r="L50" s="84" t="s">
        <v>22</v>
      </c>
      <c r="M50" s="11">
        <v>44927</v>
      </c>
      <c r="N50" s="12">
        <v>44957</v>
      </c>
      <c r="O50" s="10">
        <v>1.5</v>
      </c>
      <c r="P50" s="84">
        <v>112</v>
      </c>
      <c r="Q50" s="84" t="s">
        <v>127</v>
      </c>
      <c r="R50" s="10" t="s">
        <v>128</v>
      </c>
      <c r="S50" s="14" t="s">
        <v>133</v>
      </c>
      <c r="T50" s="11" t="s">
        <v>129</v>
      </c>
      <c r="U50" s="12">
        <v>44819</v>
      </c>
      <c r="V50" s="202">
        <f ca="1">IF(U50="","",
IF(U50="NA","",
IFERROR(VLOOKUP(EOMONTH(M50,-2)+1,IPCA!$A:$B,2,0),
VLOOKUP(EOMONTH(TODAY(),-2)+1,IPCA!$A:$B,2,0))/
VLOOKUP(EOMONTH(U50,-2)+1,IPCA!$A:$B,2,0)*
P50))</f>
        <v>113.49394806906386</v>
      </c>
      <c r="W50" s="84"/>
      <c r="X50" s="13" t="s">
        <v>132</v>
      </c>
      <c r="Y50" s="158"/>
      <c r="Z50" s="106"/>
      <c r="AA50" s="107"/>
      <c r="AB50" s="15">
        <v>1.5</v>
      </c>
      <c r="AC50"/>
      <c r="AD50"/>
      <c r="AE50"/>
      <c r="AF50"/>
      <c r="AG50"/>
      <c r="AH50"/>
      <c r="AI50"/>
      <c r="AJ50"/>
      <c r="AK50"/>
      <c r="AL50"/>
      <c r="AM50" s="6"/>
      <c r="AN50" s="15"/>
      <c r="AO50"/>
      <c r="AP50"/>
      <c r="AQ50"/>
      <c r="AR50"/>
      <c r="AS50"/>
      <c r="AT50"/>
      <c r="AU50"/>
      <c r="AV50"/>
      <c r="AW50"/>
      <c r="AX50"/>
      <c r="AY50" s="6"/>
      <c r="AZ50" s="15"/>
      <c r="BA50"/>
      <c r="BB50"/>
      <c r="BC50"/>
      <c r="BD50"/>
      <c r="BE50"/>
      <c r="BF50"/>
      <c r="BG50"/>
      <c r="BH50"/>
      <c r="BI50"/>
      <c r="BJ50"/>
      <c r="BK50" s="6"/>
      <c r="BL50" s="15"/>
      <c r="BM50"/>
      <c r="BN50"/>
      <c r="BO50"/>
      <c r="BP50"/>
      <c r="BQ50"/>
      <c r="BR50"/>
      <c r="BS50"/>
      <c r="BT50"/>
      <c r="BU50"/>
      <c r="BV50"/>
      <c r="BW50" s="6"/>
      <c r="BX50" s="15"/>
      <c r="BY50"/>
      <c r="BZ50"/>
      <c r="CA50"/>
      <c r="CB50"/>
      <c r="CC50"/>
      <c r="CD50"/>
      <c r="CE50"/>
      <c r="CF50"/>
      <c r="CG50"/>
      <c r="CH50"/>
      <c r="CI50" s="6"/>
      <c r="CJ50" s="16">
        <v>0.12739726027397261</v>
      </c>
      <c r="CK50" s="16" t="s">
        <v>578</v>
      </c>
      <c r="CL50" s="16" t="s">
        <v>578</v>
      </c>
      <c r="CM50" s="16" t="s">
        <v>578</v>
      </c>
      <c r="CN50" s="16" t="s">
        <v>578</v>
      </c>
      <c r="CO50" s="18"/>
      <c r="CP50" s="15">
        <v>112</v>
      </c>
      <c r="CQ50"/>
      <c r="CR50"/>
      <c r="CS50"/>
      <c r="CT50"/>
      <c r="CU50"/>
      <c r="CV50"/>
      <c r="CW50"/>
      <c r="CX50"/>
      <c r="CY50"/>
      <c r="CZ50"/>
      <c r="DA50" s="6"/>
      <c r="DB50" s="15"/>
      <c r="DC50"/>
      <c r="DD50"/>
      <c r="DE50"/>
      <c r="DF50"/>
      <c r="DG50"/>
      <c r="DH50"/>
      <c r="DI50"/>
      <c r="DJ50"/>
      <c r="DK50"/>
      <c r="DL50"/>
      <c r="DM50" s="6"/>
      <c r="DN50" s="15"/>
      <c r="DO50"/>
      <c r="DP50"/>
      <c r="DQ50"/>
      <c r="DR50"/>
      <c r="DS50"/>
      <c r="DT50"/>
      <c r="DU50"/>
      <c r="DV50"/>
      <c r="DW50"/>
      <c r="DX50"/>
      <c r="DY50" s="6"/>
      <c r="DZ50" s="15"/>
      <c r="EA50"/>
      <c r="EB50"/>
      <c r="EC50"/>
      <c r="ED50"/>
      <c r="EE50"/>
      <c r="EF50"/>
      <c r="EG50"/>
      <c r="EH50"/>
      <c r="EI50"/>
      <c r="EJ50"/>
      <c r="EK50" s="6"/>
      <c r="EL50" s="15"/>
      <c r="EM50"/>
      <c r="EN50"/>
      <c r="EO50"/>
      <c r="EP50"/>
      <c r="EQ50"/>
      <c r="ER50"/>
      <c r="ES50"/>
      <c r="ET50"/>
      <c r="EU50"/>
      <c r="EV50"/>
      <c r="EW50" s="6"/>
      <c r="EX50" s="16">
        <v>9.5123287671232877</v>
      </c>
      <c r="EY50" s="16" t="s">
        <v>578</v>
      </c>
      <c r="EZ50" s="16" t="s">
        <v>578</v>
      </c>
      <c r="FA50" s="154" t="s">
        <v>578</v>
      </c>
      <c r="FB50" s="154" t="s">
        <v>578</v>
      </c>
      <c r="FC50" t="s">
        <v>195</v>
      </c>
      <c r="FD50" s="20" t="s">
        <v>137</v>
      </c>
      <c r="FE50"/>
      <c r="FF50" s="199" t="s">
        <v>197</v>
      </c>
      <c r="FG50"/>
      <c r="FH50" s="206">
        <f t="shared" ca="1" si="6"/>
        <v>1.4939480690638618</v>
      </c>
      <c r="FI50" s="198">
        <f t="shared" si="7"/>
        <v>1</v>
      </c>
      <c r="FJ50"/>
      <c r="FK50" t="str">
        <f t="shared" si="8"/>
        <v>STATKRAFT ENERGIA DO BRASIL LTDA.</v>
      </c>
      <c r="FL50" s="191">
        <f t="shared" ca="1" si="9"/>
        <v>47988</v>
      </c>
      <c r="FM50" s="191">
        <f t="shared" ca="1" si="10"/>
        <v>0</v>
      </c>
      <c r="FN50" s="190">
        <f>AB50*AB$2*IF($FC50="V",1,-1)*IF($Q50="Fixo",(CP50-INDEX('Curva Forward'!$C$5:$AN$13,MATCH(CONCATENATE(BD_COMERCIAL!$K50," ",BD_COMERCIAL!$L50),'Curva Forward'!$B$5:$B$13,0),MATCH(FN$4,'Curva Forward'!$C$4:$AN$4,0))),CP50)</f>
        <v>47988</v>
      </c>
      <c r="FO50" s="190">
        <f>AC50*AC$2*IF($FC50="V",1,-1)*IF($Q50="Fixo",(CQ50-INDEX('Curva Forward'!$C$5:$AN$13,MATCH(CONCATENATE(BD_COMERCIAL!$K50," ",BD_COMERCIAL!$L50),'Curva Forward'!$B$5:$B$13,0),MATCH(FO$4,'Curva Forward'!$C$4:$AN$4,0))),CQ50)</f>
        <v>0</v>
      </c>
      <c r="FP50" s="190">
        <f>AD50*AD$2*IF($FC50="V",1,-1)*IF($Q50="Fixo",(CR50-INDEX('Curva Forward'!$C$5:$AN$13,MATCH(CONCATENATE(BD_COMERCIAL!$K50," ",BD_COMERCIAL!$L50),'Curva Forward'!$B$5:$B$13,0),MATCH(FP$4,'Curva Forward'!$C$4:$AN$4,0))),CR50)</f>
        <v>0</v>
      </c>
      <c r="FQ50" s="190">
        <f>AE50*AE$2*IF($FC50="V",1,-1)*IF($Q50="Fixo",(CS50-INDEX('Curva Forward'!$C$5:$AN$13,MATCH(CONCATENATE(BD_COMERCIAL!$K50," ",BD_COMERCIAL!$L50),'Curva Forward'!$B$5:$B$13,0),MATCH(FQ$4,'Curva Forward'!$C$4:$AN$4,0))),CS50)</f>
        <v>0</v>
      </c>
      <c r="FR50" s="190">
        <f>AF50*AF$2*IF($FC50="V",1,-1)*IF($Q50="Fixo",(CT50-INDEX('Curva Forward'!$C$5:$AN$13,MATCH(CONCATENATE(BD_COMERCIAL!$K50," ",BD_COMERCIAL!$L50),'Curva Forward'!$B$5:$B$13,0),MATCH(FR$4,'Curva Forward'!$C$4:$AN$4,0))),CT50)</f>
        <v>0</v>
      </c>
      <c r="FS50" s="190">
        <f>AG50*AG$2*IF($FC50="V",1,-1)*IF($Q50="Fixo",(CU50-INDEX('Curva Forward'!$C$5:$AN$13,MATCH(CONCATENATE(BD_COMERCIAL!$K50," ",BD_COMERCIAL!$L50),'Curva Forward'!$B$5:$B$13,0),MATCH(FS$4,'Curva Forward'!$C$4:$AN$4,0))),CU50)</f>
        <v>0</v>
      </c>
      <c r="FT50" s="190">
        <f>AH50*AH$2*IF($FC50="V",1,-1)*IF($Q50="Fixo",(CV50-INDEX('Curva Forward'!$C$5:$AN$13,MATCH(CONCATENATE(BD_COMERCIAL!$K50," ",BD_COMERCIAL!$L50),'Curva Forward'!$B$5:$B$13,0),MATCH(FT$4,'Curva Forward'!$C$4:$AN$4,0))),CV50)</f>
        <v>0</v>
      </c>
      <c r="FU50" s="190">
        <f>AI50*AI$2*IF($FC50="V",1,-1)*IF($Q50="Fixo",(CW50-INDEX('Curva Forward'!$C$5:$AN$13,MATCH(CONCATENATE(BD_COMERCIAL!$K50," ",BD_COMERCIAL!$L50),'Curva Forward'!$B$5:$B$13,0),MATCH(FU$4,'Curva Forward'!$C$4:$AN$4,0))),CW50)</f>
        <v>0</v>
      </c>
      <c r="FV50" s="190">
        <f>AJ50*AJ$2*IF($FC50="V",1,-1)*IF($Q50="Fixo",(CX50-INDEX('Curva Forward'!$C$5:$AN$13,MATCH(CONCATENATE(BD_COMERCIAL!$K50," ",BD_COMERCIAL!$L50),'Curva Forward'!$B$5:$B$13,0),MATCH(FV$4,'Curva Forward'!$C$4:$AN$4,0))),CX50)</f>
        <v>0</v>
      </c>
      <c r="FW50" s="190">
        <f>AK50*AK$2*IF($FC50="V",1,-1)*IF($Q50="Fixo",(CY50-INDEX('Curva Forward'!$C$5:$AN$13,MATCH(CONCATENATE(BD_COMERCIAL!$K50," ",BD_COMERCIAL!$L50),'Curva Forward'!$B$5:$B$13,0),MATCH(FW$4,'Curva Forward'!$C$4:$AN$4,0))),CY50)</f>
        <v>0</v>
      </c>
      <c r="FX50" s="190">
        <f>AL50*AL$2*IF($FC50="V",1,-1)*IF($Q50="Fixo",(CZ50-INDEX('Curva Forward'!$C$5:$AN$13,MATCH(CONCATENATE(BD_COMERCIAL!$K50," ",BD_COMERCIAL!$L50),'Curva Forward'!$B$5:$B$13,0),MATCH(FX$4,'Curva Forward'!$C$4:$AN$4,0))),CZ50)</f>
        <v>0</v>
      </c>
      <c r="FY50" s="190">
        <f>AM50*AM$2*IF($FC50="V",1,-1)*IF($Q50="Fixo",(DA50-INDEX('Curva Forward'!$C$5:$AN$13,MATCH(CONCATENATE(BD_COMERCIAL!$K50," ",BD_COMERCIAL!$L50),'Curva Forward'!$B$5:$B$13,0),MATCH(FY$4,'Curva Forward'!$C$4:$AN$4,0))),DA50)</f>
        <v>0</v>
      </c>
      <c r="FZ50" s="190">
        <f>AN50*AN$2*IF($FC50="V",1,-1)*IF($Q50="Fixo",(DB50-INDEX('Curva Forward'!$C$5:$AN$13,MATCH(CONCATENATE(BD_COMERCIAL!$K50," ",BD_COMERCIAL!$L50),'Curva Forward'!$B$5:$B$13,0),MATCH(FZ$4,'Curva Forward'!$C$4:$AN$4,0))),DB50)</f>
        <v>0</v>
      </c>
      <c r="GA50" s="190">
        <f>AO50*AO$2*IF($FC50="V",1,-1)*IF($Q50="Fixo",(DC50-INDEX('Curva Forward'!$C$5:$AN$13,MATCH(CONCATENATE(BD_COMERCIAL!$K50," ",BD_COMERCIAL!$L50),'Curva Forward'!$B$5:$B$13,0),MATCH(GA$4,'Curva Forward'!$C$4:$AN$4,0))),DC50)</f>
        <v>0</v>
      </c>
      <c r="GB50" s="190">
        <f>AP50*AP$2*IF($FC50="V",1,-1)*IF($Q50="Fixo",(DD50-INDEX('Curva Forward'!$C$5:$AN$13,MATCH(CONCATENATE(BD_COMERCIAL!$K50," ",BD_COMERCIAL!$L50),'Curva Forward'!$B$5:$B$13,0),MATCH(GB$4,'Curva Forward'!$C$4:$AN$4,0))),DD50)</f>
        <v>0</v>
      </c>
      <c r="GC50" s="190">
        <f>AQ50*AQ$2*IF($FC50="V",1,-1)*IF($Q50="Fixo",(DE50-INDEX('Curva Forward'!$C$5:$AN$13,MATCH(CONCATENATE(BD_COMERCIAL!$K50," ",BD_COMERCIAL!$L50),'Curva Forward'!$B$5:$B$13,0),MATCH(GC$4,'Curva Forward'!$C$4:$AN$4,0))),DE50)</f>
        <v>0</v>
      </c>
      <c r="GD50" s="190">
        <f>AR50*AR$2*IF($FC50="V",1,-1)*IF($Q50="Fixo",(DF50-INDEX('Curva Forward'!$C$5:$AN$13,MATCH(CONCATENATE(BD_COMERCIAL!$K50," ",BD_COMERCIAL!$L50),'Curva Forward'!$B$5:$B$13,0),MATCH(GD$4,'Curva Forward'!$C$4:$AN$4,0))),DF50)</f>
        <v>0</v>
      </c>
      <c r="GE50" s="190">
        <f>AS50*AS$2*IF($FC50="V",1,-1)*IF($Q50="Fixo",(DG50-INDEX('Curva Forward'!$C$5:$AN$13,MATCH(CONCATENATE(BD_COMERCIAL!$K50," ",BD_COMERCIAL!$L50),'Curva Forward'!$B$5:$B$13,0),MATCH(GE$4,'Curva Forward'!$C$4:$AN$4,0))),DG50)</f>
        <v>0</v>
      </c>
      <c r="GF50" s="190">
        <f>AT50*AT$2*IF($FC50="V",1,-1)*IF($Q50="Fixo",(DH50-INDEX('Curva Forward'!$C$5:$AN$13,MATCH(CONCATENATE(BD_COMERCIAL!$K50," ",BD_COMERCIAL!$L50),'Curva Forward'!$B$5:$B$13,0),MATCH(GF$4,'Curva Forward'!$C$4:$AN$4,0))),DH50)</f>
        <v>0</v>
      </c>
      <c r="GG50" s="190">
        <f>AU50*AU$2*IF($FC50="V",1,-1)*IF($Q50="Fixo",(DI50-INDEX('Curva Forward'!$C$5:$AN$13,MATCH(CONCATENATE(BD_COMERCIAL!$K50," ",BD_COMERCIAL!$L50),'Curva Forward'!$B$5:$B$13,0),MATCH(GG$4,'Curva Forward'!$C$4:$AN$4,0))),DI50)</f>
        <v>0</v>
      </c>
      <c r="GH50" s="190">
        <f>AV50*AV$2*IF($FC50="V",1,-1)*IF($Q50="Fixo",(DJ50-INDEX('Curva Forward'!$C$5:$AN$13,MATCH(CONCATENATE(BD_COMERCIAL!$K50," ",BD_COMERCIAL!$L50),'Curva Forward'!$B$5:$B$13,0),MATCH(GH$4,'Curva Forward'!$C$4:$AN$4,0))),DJ50)</f>
        <v>0</v>
      </c>
      <c r="GI50" s="190">
        <f>AW50*AW$2*IF($FC50="V",1,-1)*IF($Q50="Fixo",(DK50-INDEX('Curva Forward'!$C$5:$AN$13,MATCH(CONCATENATE(BD_COMERCIAL!$K50," ",BD_COMERCIAL!$L50),'Curva Forward'!$B$5:$B$13,0),MATCH(GI$4,'Curva Forward'!$C$4:$AN$4,0))),DK50)</f>
        <v>0</v>
      </c>
      <c r="GJ50" s="190">
        <f>AX50*AX$2*IF($FC50="V",1,-1)*IF($Q50="Fixo",(DL50-INDEX('Curva Forward'!$C$5:$AN$13,MATCH(CONCATENATE(BD_COMERCIAL!$K50," ",BD_COMERCIAL!$L50),'Curva Forward'!$B$5:$B$13,0),MATCH(GJ$4,'Curva Forward'!$C$4:$AN$4,0))),DL50)</f>
        <v>0</v>
      </c>
      <c r="GK50" s="190">
        <f>AY50*AY$2*IF($FC50="V",1,-1)*IF($Q50="Fixo",(DM50-INDEX('Curva Forward'!$C$5:$AN$13,MATCH(CONCATENATE(BD_COMERCIAL!$K50," ",BD_COMERCIAL!$L50),'Curva Forward'!$B$5:$B$13,0),MATCH(GK$4,'Curva Forward'!$C$4:$AN$4,0))),DM50)</f>
        <v>0</v>
      </c>
      <c r="GL50" s="190">
        <f>IF(EZ50="",0,CL50*CL$2*IF($FC50="V",1,-1)*IF($Q50="Fixo",(EZ50-INDEX('Curva Forward'!$C$5:$AN$13,MATCH(CONCATENATE(BD_COMERCIAL!$K50," ",BD_COMERCIAL!$L50),'Curva Forward'!$B$5:$B$13,0),MATCH(GL$4,'Curva Forward'!$C$4:$AN$4,0))),EZ50))</f>
        <v>0</v>
      </c>
      <c r="GM50" s="190">
        <f>IF(FA50="",0,CM50*CM$2*IF($FC50="V",1,-1)*IF($Q50="Fixo",(FA50-INDEX('Curva Forward'!$C$5:$AN$13,MATCH(CONCATENATE(BD_COMERCIAL!$K50," ",BD_COMERCIAL!$L50),'Curva Forward'!$B$5:$B$13,0),MATCH(GM$4,'Curva Forward'!$C$4:$AN$4,0))),FA50))</f>
        <v>0</v>
      </c>
      <c r="GN50" s="190">
        <f>IF(FB50="",0,CN50*CN$2*IF($FC50="V",1,-1)*IF($Q50="Fixo",(FB50-INDEX('Curva Forward'!$C$5:$AN$13,MATCH(CONCATENATE(BD_COMERCIAL!$K50," ",BD_COMERCIAL!$L50),'Curva Forward'!$B$5:$B$13,0),MATCH(GN$4,'Curva Forward'!$C$4:$AN$4,0))),FB50))</f>
        <v>0</v>
      </c>
      <c r="GO50" s="191">
        <f t="shared" ca="1" si="11"/>
        <v>0</v>
      </c>
      <c r="GP50" s="191">
        <f t="shared" ca="1" si="12"/>
        <v>0</v>
      </c>
      <c r="GQ50" s="115"/>
      <c r="GR50" s="115"/>
      <c r="GS50"/>
      <c r="GT50" s="65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</row>
    <row r="51" spans="1:236" s="265" customFormat="1" ht="15" customHeight="1" x14ac:dyDescent="0.35">
      <c r="A51" s="251"/>
      <c r="B51" s="7" t="s">
        <v>392</v>
      </c>
      <c r="C51" s="8">
        <v>44819</v>
      </c>
      <c r="D51" s="9" t="s">
        <v>123</v>
      </c>
      <c r="E51" s="9" t="s">
        <v>381</v>
      </c>
      <c r="F51" s="112" t="s">
        <v>348</v>
      </c>
      <c r="G51" s="10" t="s">
        <v>320</v>
      </c>
      <c r="H51" s="112" t="s">
        <v>332</v>
      </c>
      <c r="I51" s="9" t="s">
        <v>137</v>
      </c>
      <c r="J51" s="158"/>
      <c r="K51" s="10" t="s">
        <v>126</v>
      </c>
      <c r="L51" s="84" t="s">
        <v>22</v>
      </c>
      <c r="M51" s="11">
        <v>44927</v>
      </c>
      <c r="N51" s="12">
        <v>45016</v>
      </c>
      <c r="O51" s="10">
        <v>2</v>
      </c>
      <c r="P51" s="84">
        <v>119</v>
      </c>
      <c r="Q51" s="84" t="s">
        <v>127</v>
      </c>
      <c r="R51" s="10" t="s">
        <v>128</v>
      </c>
      <c r="S51" s="14" t="s">
        <v>133</v>
      </c>
      <c r="T51" s="11" t="s">
        <v>129</v>
      </c>
      <c r="U51" s="12">
        <v>44819</v>
      </c>
      <c r="V51" s="202">
        <f ca="1">IF(U51="","",
IF(U51="NA","",
IFERROR(VLOOKUP(EOMONTH(M51,-2)+1,IPCA!$A:$B,2,0),
VLOOKUP(EOMONTH(TODAY(),-2)+1,IPCA!$A:$B,2,0))/
VLOOKUP(EOMONTH(U51,-2)+1,IPCA!$A:$B,2,0)*
P51))</f>
        <v>120.58731982338035</v>
      </c>
      <c r="W51" s="84"/>
      <c r="X51" s="13" t="s">
        <v>6</v>
      </c>
      <c r="Y51" s="158"/>
      <c r="Z51" s="106"/>
      <c r="AA51" s="107"/>
      <c r="AB51" s="15">
        <v>2</v>
      </c>
      <c r="AC51">
        <v>2</v>
      </c>
      <c r="AD51">
        <v>2</v>
      </c>
      <c r="AE51"/>
      <c r="AF51"/>
      <c r="AG51"/>
      <c r="AH51"/>
      <c r="AI51"/>
      <c r="AJ51"/>
      <c r="AK51"/>
      <c r="AL51"/>
      <c r="AM51" s="6"/>
      <c r="AN51" s="15"/>
      <c r="AO51"/>
      <c r="AP51"/>
      <c r="AQ51"/>
      <c r="AR51"/>
      <c r="AS51"/>
      <c r="AT51"/>
      <c r="AU51"/>
      <c r="AV51"/>
      <c r="AW51"/>
      <c r="AX51"/>
      <c r="AY51" s="6"/>
      <c r="AZ51" s="15"/>
      <c r="BA51"/>
      <c r="BB51"/>
      <c r="BC51"/>
      <c r="BD51"/>
      <c r="BE51"/>
      <c r="BF51"/>
      <c r="BG51"/>
      <c r="BH51"/>
      <c r="BI51"/>
      <c r="BJ51"/>
      <c r="BK51" s="6"/>
      <c r="BL51" s="15"/>
      <c r="BM51"/>
      <c r="BN51"/>
      <c r="BO51"/>
      <c r="BP51"/>
      <c r="BQ51"/>
      <c r="BR51"/>
      <c r="BS51"/>
      <c r="BT51"/>
      <c r="BU51"/>
      <c r="BV51"/>
      <c r="BW51" s="6"/>
      <c r="BX51" s="15"/>
      <c r="BY51"/>
      <c r="BZ51"/>
      <c r="CA51"/>
      <c r="CB51"/>
      <c r="CC51"/>
      <c r="CD51"/>
      <c r="CE51"/>
      <c r="CF51"/>
      <c r="CG51"/>
      <c r="CH51"/>
      <c r="CI51" s="6"/>
      <c r="CJ51" s="16">
        <v>0.49315068493150682</v>
      </c>
      <c r="CK51" s="16" t="s">
        <v>578</v>
      </c>
      <c r="CL51" s="16" t="s">
        <v>578</v>
      </c>
      <c r="CM51" s="16" t="s">
        <v>578</v>
      </c>
      <c r="CN51" s="16" t="s">
        <v>578</v>
      </c>
      <c r="CO51" s="18"/>
      <c r="CP51" s="15">
        <v>119</v>
      </c>
      <c r="CQ51">
        <v>119</v>
      </c>
      <c r="CR51">
        <v>119</v>
      </c>
      <c r="CS51"/>
      <c r="CT51"/>
      <c r="CU51"/>
      <c r="CV51"/>
      <c r="CW51"/>
      <c r="CX51"/>
      <c r="CY51"/>
      <c r="CZ51"/>
      <c r="DA51" s="6"/>
      <c r="DB51" s="15"/>
      <c r="DC51"/>
      <c r="DD51"/>
      <c r="DE51"/>
      <c r="DF51"/>
      <c r="DG51"/>
      <c r="DH51"/>
      <c r="DI51"/>
      <c r="DJ51"/>
      <c r="DK51"/>
      <c r="DL51"/>
      <c r="DM51" s="6"/>
      <c r="DN51" s="15"/>
      <c r="DO51"/>
      <c r="DP51"/>
      <c r="DQ51"/>
      <c r="DR51"/>
      <c r="DS51"/>
      <c r="DT51"/>
      <c r="DU51"/>
      <c r="DV51"/>
      <c r="DW51"/>
      <c r="DX51"/>
      <c r="DY51" s="6"/>
      <c r="DZ51" s="15"/>
      <c r="EA51"/>
      <c r="EB51"/>
      <c r="EC51"/>
      <c r="ED51"/>
      <c r="EE51"/>
      <c r="EF51"/>
      <c r="EG51"/>
      <c r="EH51"/>
      <c r="EI51"/>
      <c r="EJ51"/>
      <c r="EK51" s="6"/>
      <c r="EL51" s="15"/>
      <c r="EM51"/>
      <c r="EN51"/>
      <c r="EO51"/>
      <c r="EP51"/>
      <c r="EQ51"/>
      <c r="ER51"/>
      <c r="ES51"/>
      <c r="ET51"/>
      <c r="EU51"/>
      <c r="EV51"/>
      <c r="EW51" s="6"/>
      <c r="EX51" s="16">
        <v>29.342465753424658</v>
      </c>
      <c r="EY51" s="16" t="s">
        <v>578</v>
      </c>
      <c r="EZ51" s="16" t="s">
        <v>578</v>
      </c>
      <c r="FA51" s="154" t="s">
        <v>578</v>
      </c>
      <c r="FB51" s="154" t="s">
        <v>578</v>
      </c>
      <c r="FC51" t="s">
        <v>195</v>
      </c>
      <c r="FD51" s="20" t="s">
        <v>137</v>
      </c>
      <c r="FE51"/>
      <c r="FF51" s="199" t="s">
        <v>197</v>
      </c>
      <c r="FG51"/>
      <c r="FH51" s="206">
        <f t="shared" ca="1" si="6"/>
        <v>1.5873198233803549</v>
      </c>
      <c r="FI51" s="198">
        <f t="shared" si="7"/>
        <v>2.9666666666666668</v>
      </c>
      <c r="FJ51"/>
      <c r="FK51" t="str">
        <f t="shared" si="8"/>
        <v>XP COMERCIALIZADORA DE ENERGIA S.A.</v>
      </c>
      <c r="FL51" s="191">
        <f t="shared" ca="1" si="9"/>
        <v>74400</v>
      </c>
      <c r="FM51" s="191">
        <f t="shared" ca="1" si="10"/>
        <v>141600</v>
      </c>
      <c r="FN51" s="190">
        <f>AB51*AB$2*IF($FC51="V",1,-1)*IF($Q51="Fixo",(CP51-INDEX('Curva Forward'!$C$5:$AN$13,MATCH(CONCATENATE(BD_COMERCIAL!$K51," ",BD_COMERCIAL!$L51),'Curva Forward'!$B$5:$B$13,0),MATCH(FN$4,'Curva Forward'!$C$4:$AN$4,0))),CP51)</f>
        <v>74400</v>
      </c>
      <c r="FO51" s="190">
        <f>AC51*AC$2*IF($FC51="V",1,-1)*IF($Q51="Fixo",(CQ51-INDEX('Curva Forward'!$C$5:$AN$13,MATCH(CONCATENATE(BD_COMERCIAL!$K51," ",BD_COMERCIAL!$L51),'Curva Forward'!$B$5:$B$13,0),MATCH(FO$4,'Curva Forward'!$C$4:$AN$4,0))),CQ51)</f>
        <v>67200</v>
      </c>
      <c r="FP51" s="190">
        <f>AD51*AD$2*IF($FC51="V",1,-1)*IF($Q51="Fixo",(CR51-INDEX('Curva Forward'!$C$5:$AN$13,MATCH(CONCATENATE(BD_COMERCIAL!$K51," ",BD_COMERCIAL!$L51),'Curva Forward'!$B$5:$B$13,0),MATCH(FP$4,'Curva Forward'!$C$4:$AN$4,0))),CR51)</f>
        <v>74400</v>
      </c>
      <c r="FQ51" s="190">
        <f>AE51*AE$2*IF($FC51="V",1,-1)*IF($Q51="Fixo",(CS51-INDEX('Curva Forward'!$C$5:$AN$13,MATCH(CONCATENATE(BD_COMERCIAL!$K51," ",BD_COMERCIAL!$L51),'Curva Forward'!$B$5:$B$13,0),MATCH(FQ$4,'Curva Forward'!$C$4:$AN$4,0))),CS51)</f>
        <v>0</v>
      </c>
      <c r="FR51" s="190">
        <f>AF51*AF$2*IF($FC51="V",1,-1)*IF($Q51="Fixo",(CT51-INDEX('Curva Forward'!$C$5:$AN$13,MATCH(CONCATENATE(BD_COMERCIAL!$K51," ",BD_COMERCIAL!$L51),'Curva Forward'!$B$5:$B$13,0),MATCH(FR$4,'Curva Forward'!$C$4:$AN$4,0))),CT51)</f>
        <v>0</v>
      </c>
      <c r="FS51" s="190">
        <f>AG51*AG$2*IF($FC51="V",1,-1)*IF($Q51="Fixo",(CU51-INDEX('Curva Forward'!$C$5:$AN$13,MATCH(CONCATENATE(BD_COMERCIAL!$K51," ",BD_COMERCIAL!$L51),'Curva Forward'!$B$5:$B$13,0),MATCH(FS$4,'Curva Forward'!$C$4:$AN$4,0))),CU51)</f>
        <v>0</v>
      </c>
      <c r="FT51" s="190">
        <f>AH51*AH$2*IF($FC51="V",1,-1)*IF($Q51="Fixo",(CV51-INDEX('Curva Forward'!$C$5:$AN$13,MATCH(CONCATENATE(BD_COMERCIAL!$K51," ",BD_COMERCIAL!$L51),'Curva Forward'!$B$5:$B$13,0),MATCH(FT$4,'Curva Forward'!$C$4:$AN$4,0))),CV51)</f>
        <v>0</v>
      </c>
      <c r="FU51" s="190">
        <f>AI51*AI$2*IF($FC51="V",1,-1)*IF($Q51="Fixo",(CW51-INDEX('Curva Forward'!$C$5:$AN$13,MATCH(CONCATENATE(BD_COMERCIAL!$K51," ",BD_COMERCIAL!$L51),'Curva Forward'!$B$5:$B$13,0),MATCH(FU$4,'Curva Forward'!$C$4:$AN$4,0))),CW51)</f>
        <v>0</v>
      </c>
      <c r="FV51" s="190">
        <f>AJ51*AJ$2*IF($FC51="V",1,-1)*IF($Q51="Fixo",(CX51-INDEX('Curva Forward'!$C$5:$AN$13,MATCH(CONCATENATE(BD_COMERCIAL!$K51," ",BD_COMERCIAL!$L51),'Curva Forward'!$B$5:$B$13,0),MATCH(FV$4,'Curva Forward'!$C$4:$AN$4,0))),CX51)</f>
        <v>0</v>
      </c>
      <c r="FW51" s="190">
        <f>AK51*AK$2*IF($FC51="V",1,-1)*IF($Q51="Fixo",(CY51-INDEX('Curva Forward'!$C$5:$AN$13,MATCH(CONCATENATE(BD_COMERCIAL!$K51," ",BD_COMERCIAL!$L51),'Curva Forward'!$B$5:$B$13,0),MATCH(FW$4,'Curva Forward'!$C$4:$AN$4,0))),CY51)</f>
        <v>0</v>
      </c>
      <c r="FX51" s="190">
        <f>AL51*AL$2*IF($FC51="V",1,-1)*IF($Q51="Fixo",(CZ51-INDEX('Curva Forward'!$C$5:$AN$13,MATCH(CONCATENATE(BD_COMERCIAL!$K51," ",BD_COMERCIAL!$L51),'Curva Forward'!$B$5:$B$13,0),MATCH(FX$4,'Curva Forward'!$C$4:$AN$4,0))),CZ51)</f>
        <v>0</v>
      </c>
      <c r="FY51" s="190">
        <f>AM51*AM$2*IF($FC51="V",1,-1)*IF($Q51="Fixo",(DA51-INDEX('Curva Forward'!$C$5:$AN$13,MATCH(CONCATENATE(BD_COMERCIAL!$K51," ",BD_COMERCIAL!$L51),'Curva Forward'!$B$5:$B$13,0),MATCH(FY$4,'Curva Forward'!$C$4:$AN$4,0))),DA51)</f>
        <v>0</v>
      </c>
      <c r="FZ51" s="190">
        <f>AN51*AN$2*IF($FC51="V",1,-1)*IF($Q51="Fixo",(DB51-INDEX('Curva Forward'!$C$5:$AN$13,MATCH(CONCATENATE(BD_COMERCIAL!$K51," ",BD_COMERCIAL!$L51),'Curva Forward'!$B$5:$B$13,0),MATCH(FZ$4,'Curva Forward'!$C$4:$AN$4,0))),DB51)</f>
        <v>0</v>
      </c>
      <c r="GA51" s="190">
        <f>AO51*AO$2*IF($FC51="V",1,-1)*IF($Q51="Fixo",(DC51-INDEX('Curva Forward'!$C$5:$AN$13,MATCH(CONCATENATE(BD_COMERCIAL!$K51," ",BD_COMERCIAL!$L51),'Curva Forward'!$B$5:$B$13,0),MATCH(GA$4,'Curva Forward'!$C$4:$AN$4,0))),DC51)</f>
        <v>0</v>
      </c>
      <c r="GB51" s="190">
        <f>AP51*AP$2*IF($FC51="V",1,-1)*IF($Q51="Fixo",(DD51-INDEX('Curva Forward'!$C$5:$AN$13,MATCH(CONCATENATE(BD_COMERCIAL!$K51," ",BD_COMERCIAL!$L51),'Curva Forward'!$B$5:$B$13,0),MATCH(GB$4,'Curva Forward'!$C$4:$AN$4,0))),DD51)</f>
        <v>0</v>
      </c>
      <c r="GC51" s="190">
        <f>AQ51*AQ$2*IF($FC51="V",1,-1)*IF($Q51="Fixo",(DE51-INDEX('Curva Forward'!$C$5:$AN$13,MATCH(CONCATENATE(BD_COMERCIAL!$K51," ",BD_COMERCIAL!$L51),'Curva Forward'!$B$5:$B$13,0),MATCH(GC$4,'Curva Forward'!$C$4:$AN$4,0))),DE51)</f>
        <v>0</v>
      </c>
      <c r="GD51" s="190">
        <f>AR51*AR$2*IF($FC51="V",1,-1)*IF($Q51="Fixo",(DF51-INDEX('Curva Forward'!$C$5:$AN$13,MATCH(CONCATENATE(BD_COMERCIAL!$K51," ",BD_COMERCIAL!$L51),'Curva Forward'!$B$5:$B$13,0),MATCH(GD$4,'Curva Forward'!$C$4:$AN$4,0))),DF51)</f>
        <v>0</v>
      </c>
      <c r="GE51" s="190">
        <f>AS51*AS$2*IF($FC51="V",1,-1)*IF($Q51="Fixo",(DG51-INDEX('Curva Forward'!$C$5:$AN$13,MATCH(CONCATENATE(BD_COMERCIAL!$K51," ",BD_COMERCIAL!$L51),'Curva Forward'!$B$5:$B$13,0),MATCH(GE$4,'Curva Forward'!$C$4:$AN$4,0))),DG51)</f>
        <v>0</v>
      </c>
      <c r="GF51" s="190">
        <f>AT51*AT$2*IF($FC51="V",1,-1)*IF($Q51="Fixo",(DH51-INDEX('Curva Forward'!$C$5:$AN$13,MATCH(CONCATENATE(BD_COMERCIAL!$K51," ",BD_COMERCIAL!$L51),'Curva Forward'!$B$5:$B$13,0),MATCH(GF$4,'Curva Forward'!$C$4:$AN$4,0))),DH51)</f>
        <v>0</v>
      </c>
      <c r="GG51" s="190">
        <f>AU51*AU$2*IF($FC51="V",1,-1)*IF($Q51="Fixo",(DI51-INDEX('Curva Forward'!$C$5:$AN$13,MATCH(CONCATENATE(BD_COMERCIAL!$K51," ",BD_COMERCIAL!$L51),'Curva Forward'!$B$5:$B$13,0),MATCH(GG$4,'Curva Forward'!$C$4:$AN$4,0))),DI51)</f>
        <v>0</v>
      </c>
      <c r="GH51" s="190">
        <f>AV51*AV$2*IF($FC51="V",1,-1)*IF($Q51="Fixo",(DJ51-INDEX('Curva Forward'!$C$5:$AN$13,MATCH(CONCATENATE(BD_COMERCIAL!$K51," ",BD_COMERCIAL!$L51),'Curva Forward'!$B$5:$B$13,0),MATCH(GH$4,'Curva Forward'!$C$4:$AN$4,0))),DJ51)</f>
        <v>0</v>
      </c>
      <c r="GI51" s="190">
        <f>AW51*AW$2*IF($FC51="V",1,-1)*IF($Q51="Fixo",(DK51-INDEX('Curva Forward'!$C$5:$AN$13,MATCH(CONCATENATE(BD_COMERCIAL!$K51," ",BD_COMERCIAL!$L51),'Curva Forward'!$B$5:$B$13,0),MATCH(GI$4,'Curva Forward'!$C$4:$AN$4,0))),DK51)</f>
        <v>0</v>
      </c>
      <c r="GJ51" s="190">
        <f>AX51*AX$2*IF($FC51="V",1,-1)*IF($Q51="Fixo",(DL51-INDEX('Curva Forward'!$C$5:$AN$13,MATCH(CONCATENATE(BD_COMERCIAL!$K51," ",BD_COMERCIAL!$L51),'Curva Forward'!$B$5:$B$13,0),MATCH(GJ$4,'Curva Forward'!$C$4:$AN$4,0))),DL51)</f>
        <v>0</v>
      </c>
      <c r="GK51" s="190">
        <f>AY51*AY$2*IF($FC51="V",1,-1)*IF($Q51="Fixo",(DM51-INDEX('Curva Forward'!$C$5:$AN$13,MATCH(CONCATENATE(BD_COMERCIAL!$K51," ",BD_COMERCIAL!$L51),'Curva Forward'!$B$5:$B$13,0),MATCH(GK$4,'Curva Forward'!$C$4:$AN$4,0))),DM51)</f>
        <v>0</v>
      </c>
      <c r="GL51" s="190">
        <f>IF(EZ51="",0,CL51*CL$2*IF($FC51="V",1,-1)*IF($Q51="Fixo",(EZ51-INDEX('Curva Forward'!$C$5:$AN$13,MATCH(CONCATENATE(BD_COMERCIAL!$K51," ",BD_COMERCIAL!$L51),'Curva Forward'!$B$5:$B$13,0),MATCH(GL$4,'Curva Forward'!$C$4:$AN$4,0))),EZ51))</f>
        <v>0</v>
      </c>
      <c r="GM51" s="190">
        <f>IF(FA51="",0,CM51*CM$2*IF($FC51="V",1,-1)*IF($Q51="Fixo",(FA51-INDEX('Curva Forward'!$C$5:$AN$13,MATCH(CONCATENATE(BD_COMERCIAL!$K51," ",BD_COMERCIAL!$L51),'Curva Forward'!$B$5:$B$13,0),MATCH(GM$4,'Curva Forward'!$C$4:$AN$4,0))),FA51))</f>
        <v>0</v>
      </c>
      <c r="GN51" s="190">
        <f>IF(FB51="",0,CN51*CN$2*IF($FC51="V",1,-1)*IF($Q51="Fixo",(FB51-INDEX('Curva Forward'!$C$5:$AN$13,MATCH(CONCATENATE(BD_COMERCIAL!$K51," ",BD_COMERCIAL!$L51),'Curva Forward'!$B$5:$B$13,0),MATCH(GN$4,'Curva Forward'!$C$4:$AN$4,0))),FB51))</f>
        <v>0</v>
      </c>
      <c r="GO51" s="191">
        <f t="shared" ca="1" si="11"/>
        <v>141600</v>
      </c>
      <c r="GP51" s="191">
        <f t="shared" ca="1" si="12"/>
        <v>0</v>
      </c>
      <c r="GQ51" s="115"/>
      <c r="GR51" s="115"/>
      <c r="GS51"/>
      <c r="GT51" s="65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</row>
    <row r="52" spans="1:236" s="265" customFormat="1" ht="15" customHeight="1" x14ac:dyDescent="0.35">
      <c r="A52" s="251"/>
      <c r="B52" s="7" t="s">
        <v>404</v>
      </c>
      <c r="C52" s="8">
        <v>44823</v>
      </c>
      <c r="D52" s="9" t="s">
        <v>123</v>
      </c>
      <c r="E52" s="9" t="s">
        <v>381</v>
      </c>
      <c r="F52" s="112" t="s">
        <v>348</v>
      </c>
      <c r="G52" s="10" t="s">
        <v>155</v>
      </c>
      <c r="H52" s="112" t="s">
        <v>405</v>
      </c>
      <c r="I52" s="9" t="s">
        <v>137</v>
      </c>
      <c r="J52" s="158"/>
      <c r="K52" s="10" t="s">
        <v>126</v>
      </c>
      <c r="L52" s="84" t="s">
        <v>22</v>
      </c>
      <c r="M52" s="11">
        <v>45108</v>
      </c>
      <c r="N52" s="12">
        <v>45291</v>
      </c>
      <c r="O52" s="10">
        <v>5</v>
      </c>
      <c r="P52" s="84">
        <v>160</v>
      </c>
      <c r="Q52" s="84" t="s">
        <v>127</v>
      </c>
      <c r="R52" s="10" t="s">
        <v>128</v>
      </c>
      <c r="S52" s="14" t="s">
        <v>133</v>
      </c>
      <c r="T52" s="11" t="s">
        <v>129</v>
      </c>
      <c r="U52" s="12">
        <v>44823</v>
      </c>
      <c r="V52" s="202" t="e">
        <f ca="1">IF(U52="","",
IF(U52="NA","",
IFERROR(VLOOKUP(EOMONTH(M52,-2)+1,IPCA!$A:$B,2,0),
VLOOKUP(EOMONTH(TODAY(),-2)+1,IPCA!$A:$B,2,0))/
VLOOKUP(EOMONTH(U52,-2)+1,IPCA!$A:$B,2,0)*
P52))</f>
        <v>#N/A</v>
      </c>
      <c r="W52" s="84"/>
      <c r="X52" s="13" t="s">
        <v>132</v>
      </c>
      <c r="Y52" s="158"/>
      <c r="Z52" s="106"/>
      <c r="AA52" s="107"/>
      <c r="AB52" s="15"/>
      <c r="AC52"/>
      <c r="AD52"/>
      <c r="AE52"/>
      <c r="AF52"/>
      <c r="AG52"/>
      <c r="AH52">
        <v>5</v>
      </c>
      <c r="AI52">
        <v>5</v>
      </c>
      <c r="AJ52">
        <v>5</v>
      </c>
      <c r="AK52">
        <v>5</v>
      </c>
      <c r="AL52">
        <v>5</v>
      </c>
      <c r="AM52" s="6">
        <v>5</v>
      </c>
      <c r="AN52" s="15"/>
      <c r="AO52"/>
      <c r="AP52"/>
      <c r="AQ52"/>
      <c r="AR52"/>
      <c r="AS52"/>
      <c r="AT52"/>
      <c r="AU52"/>
      <c r="AV52"/>
      <c r="AW52"/>
      <c r="AX52"/>
      <c r="AY52" s="6"/>
      <c r="AZ52" s="15"/>
      <c r="BA52"/>
      <c r="BB52"/>
      <c r="BC52"/>
      <c r="BD52"/>
      <c r="BE52"/>
      <c r="BF52"/>
      <c r="BG52"/>
      <c r="BH52"/>
      <c r="BI52"/>
      <c r="BJ52"/>
      <c r="BK52" s="6"/>
      <c r="BL52" s="15"/>
      <c r="BM52"/>
      <c r="BN52"/>
      <c r="BO52"/>
      <c r="BP52"/>
      <c r="BQ52"/>
      <c r="BR52"/>
      <c r="BS52"/>
      <c r="BT52"/>
      <c r="BU52"/>
      <c r="BV52"/>
      <c r="BW52" s="6"/>
      <c r="BX52" s="15"/>
      <c r="BY52"/>
      <c r="BZ52"/>
      <c r="CA52"/>
      <c r="CB52"/>
      <c r="CC52"/>
      <c r="CD52"/>
      <c r="CE52"/>
      <c r="CF52"/>
      <c r="CG52"/>
      <c r="CH52"/>
      <c r="CI52" s="6"/>
      <c r="CJ52" s="16">
        <v>2.5205479452054793</v>
      </c>
      <c r="CK52" s="16" t="s">
        <v>578</v>
      </c>
      <c r="CL52" s="16" t="s">
        <v>578</v>
      </c>
      <c r="CM52" s="16" t="s">
        <v>578</v>
      </c>
      <c r="CN52" s="16" t="s">
        <v>578</v>
      </c>
      <c r="CO52" s="18"/>
      <c r="CP52" s="15"/>
      <c r="CQ52"/>
      <c r="CR52"/>
      <c r="CS52"/>
      <c r="CT52"/>
      <c r="CU52"/>
      <c r="CV52">
        <v>160</v>
      </c>
      <c r="CW52">
        <v>160</v>
      </c>
      <c r="CX52">
        <v>160</v>
      </c>
      <c r="CY52">
        <v>160</v>
      </c>
      <c r="CZ52">
        <v>160</v>
      </c>
      <c r="DA52" s="6">
        <v>160</v>
      </c>
      <c r="DB52" s="15"/>
      <c r="DC52"/>
      <c r="DD52"/>
      <c r="DE52"/>
      <c r="DF52"/>
      <c r="DG52"/>
      <c r="DH52"/>
      <c r="DI52"/>
      <c r="DJ52"/>
      <c r="DK52"/>
      <c r="DL52"/>
      <c r="DM52" s="6"/>
      <c r="DN52" s="15"/>
      <c r="DO52"/>
      <c r="DP52"/>
      <c r="DQ52"/>
      <c r="DR52"/>
      <c r="DS52"/>
      <c r="DT52"/>
      <c r="DU52"/>
      <c r="DV52"/>
      <c r="DW52"/>
      <c r="DX52"/>
      <c r="DY52" s="6"/>
      <c r="DZ52" s="15"/>
      <c r="EA52"/>
      <c r="EB52"/>
      <c r="EC52"/>
      <c r="ED52"/>
      <c r="EE52"/>
      <c r="EF52"/>
      <c r="EG52"/>
      <c r="EH52"/>
      <c r="EI52"/>
      <c r="EJ52"/>
      <c r="EK52" s="6"/>
      <c r="EL52" s="15"/>
      <c r="EM52"/>
      <c r="EN52"/>
      <c r="EO52"/>
      <c r="EP52"/>
      <c r="EQ52"/>
      <c r="ER52"/>
      <c r="ES52"/>
      <c r="ET52"/>
      <c r="EU52"/>
      <c r="EV52"/>
      <c r="EW52" s="6"/>
      <c r="EX52" s="16">
        <v>80.657534246575338</v>
      </c>
      <c r="EY52" s="16" t="s">
        <v>578</v>
      </c>
      <c r="EZ52" s="16" t="s">
        <v>578</v>
      </c>
      <c r="FA52" s="154" t="s">
        <v>578</v>
      </c>
      <c r="FB52" s="154" t="s">
        <v>578</v>
      </c>
      <c r="FC52" t="s">
        <v>195</v>
      </c>
      <c r="FD52" s="20" t="s">
        <v>137</v>
      </c>
      <c r="FE52"/>
      <c r="FF52" s="199" t="s">
        <v>197</v>
      </c>
      <c r="FG52"/>
      <c r="FH52" s="206" t="e">
        <f t="shared" ca="1" si="6"/>
        <v>#N/A</v>
      </c>
      <c r="FI52" s="198">
        <f t="shared" si="7"/>
        <v>6.1</v>
      </c>
      <c r="FJ52"/>
      <c r="FK52" t="str">
        <f t="shared" si="8"/>
        <v>COMERC Comercializadora de Energia Elétrica Ltda.</v>
      </c>
      <c r="FL52" s="191">
        <f t="shared" ca="1" si="9"/>
        <v>0</v>
      </c>
      <c r="FM52" s="191">
        <f t="shared" ca="1" si="10"/>
        <v>1898880</v>
      </c>
      <c r="FN52" s="190">
        <f>AB52*AB$2*IF($FC52="V",1,-1)*IF($Q52="Fixo",(CP52-INDEX('Curva Forward'!$C$5:$AN$13,MATCH(CONCATENATE(BD_COMERCIAL!$K52," ",BD_COMERCIAL!$L52),'Curva Forward'!$B$5:$B$13,0),MATCH(FN$4,'Curva Forward'!$C$4:$AN$4,0))),CP52)</f>
        <v>0</v>
      </c>
      <c r="FO52" s="190">
        <f>AC52*AC$2*IF($FC52="V",1,-1)*IF($Q52="Fixo",(CQ52-INDEX('Curva Forward'!$C$5:$AN$13,MATCH(CONCATENATE(BD_COMERCIAL!$K52," ",BD_COMERCIAL!$L52),'Curva Forward'!$B$5:$B$13,0),MATCH(FO$4,'Curva Forward'!$C$4:$AN$4,0))),CQ52)</f>
        <v>0</v>
      </c>
      <c r="FP52" s="190">
        <f>AD52*AD$2*IF($FC52="V",1,-1)*IF($Q52="Fixo",(CR52-INDEX('Curva Forward'!$C$5:$AN$13,MATCH(CONCATENATE(BD_COMERCIAL!$K52," ",BD_COMERCIAL!$L52),'Curva Forward'!$B$5:$B$13,0),MATCH(FP$4,'Curva Forward'!$C$4:$AN$4,0))),CR52)</f>
        <v>0</v>
      </c>
      <c r="FQ52" s="190">
        <f>AE52*AE$2*IF($FC52="V",1,-1)*IF($Q52="Fixo",(CS52-INDEX('Curva Forward'!$C$5:$AN$13,MATCH(CONCATENATE(BD_COMERCIAL!$K52," ",BD_COMERCIAL!$L52),'Curva Forward'!$B$5:$B$13,0),MATCH(FQ$4,'Curva Forward'!$C$4:$AN$4,0))),CS52)</f>
        <v>0</v>
      </c>
      <c r="FR52" s="190">
        <f>AF52*AF$2*IF($FC52="V",1,-1)*IF($Q52="Fixo",(CT52-INDEX('Curva Forward'!$C$5:$AN$13,MATCH(CONCATENATE(BD_COMERCIAL!$K52," ",BD_COMERCIAL!$L52),'Curva Forward'!$B$5:$B$13,0),MATCH(FR$4,'Curva Forward'!$C$4:$AN$4,0))),CT52)</f>
        <v>0</v>
      </c>
      <c r="FS52" s="190">
        <f>AG52*AG$2*IF($FC52="V",1,-1)*IF($Q52="Fixo",(CU52-INDEX('Curva Forward'!$C$5:$AN$13,MATCH(CONCATENATE(BD_COMERCIAL!$K52," ",BD_COMERCIAL!$L52),'Curva Forward'!$B$5:$B$13,0),MATCH(FS$4,'Curva Forward'!$C$4:$AN$4,0))),CU52)</f>
        <v>0</v>
      </c>
      <c r="FT52" s="190">
        <f>AH52*AH$2*IF($FC52="V",1,-1)*IF($Q52="Fixo",(CV52-INDEX('Curva Forward'!$C$5:$AN$13,MATCH(CONCATENATE(BD_COMERCIAL!$K52," ",BD_COMERCIAL!$L52),'Curva Forward'!$B$5:$B$13,0),MATCH(FT$4,'Curva Forward'!$C$4:$AN$4,0))),CV52)</f>
        <v>323640</v>
      </c>
      <c r="FU52" s="190">
        <f>AI52*AI$2*IF($FC52="V",1,-1)*IF($Q52="Fixo",(CW52-INDEX('Curva Forward'!$C$5:$AN$13,MATCH(CONCATENATE(BD_COMERCIAL!$K52," ",BD_COMERCIAL!$L52),'Curva Forward'!$B$5:$B$13,0),MATCH(FU$4,'Curva Forward'!$C$4:$AN$4,0))),CW52)</f>
        <v>323640</v>
      </c>
      <c r="FV52" s="190">
        <f>AJ52*AJ$2*IF($FC52="V",1,-1)*IF($Q52="Fixo",(CX52-INDEX('Curva Forward'!$C$5:$AN$13,MATCH(CONCATENATE(BD_COMERCIAL!$K52," ",BD_COMERCIAL!$L52),'Curva Forward'!$B$5:$B$13,0),MATCH(FV$4,'Curva Forward'!$C$4:$AN$4,0))),CX52)</f>
        <v>313200</v>
      </c>
      <c r="FW52" s="190">
        <f>AK52*AK$2*IF($FC52="V",1,-1)*IF($Q52="Fixo",(CY52-INDEX('Curva Forward'!$C$5:$AN$13,MATCH(CONCATENATE(BD_COMERCIAL!$K52," ",BD_COMERCIAL!$L52),'Curva Forward'!$B$5:$B$13,0),MATCH(FW$4,'Curva Forward'!$C$4:$AN$4,0))),CY52)</f>
        <v>316200</v>
      </c>
      <c r="FX52" s="190">
        <f>AL52*AL$2*IF($FC52="V",1,-1)*IF($Q52="Fixo",(CZ52-INDEX('Curva Forward'!$C$5:$AN$13,MATCH(CONCATENATE(BD_COMERCIAL!$K52," ",BD_COMERCIAL!$L52),'Curva Forward'!$B$5:$B$13,0),MATCH(FX$4,'Curva Forward'!$C$4:$AN$4,0))),CZ52)</f>
        <v>306000</v>
      </c>
      <c r="FY52" s="190">
        <f>AM52*AM$2*IF($FC52="V",1,-1)*IF($Q52="Fixo",(DA52-INDEX('Curva Forward'!$C$5:$AN$13,MATCH(CONCATENATE(BD_COMERCIAL!$K52," ",BD_COMERCIAL!$L52),'Curva Forward'!$B$5:$B$13,0),MATCH(FY$4,'Curva Forward'!$C$4:$AN$4,0))),DA52)</f>
        <v>316200</v>
      </c>
      <c r="FZ52" s="190">
        <f>AN52*AN$2*IF($FC52="V",1,-1)*IF($Q52="Fixo",(DB52-INDEX('Curva Forward'!$C$5:$AN$13,MATCH(CONCATENATE(BD_COMERCIAL!$K52," ",BD_COMERCIAL!$L52),'Curva Forward'!$B$5:$B$13,0),MATCH(FZ$4,'Curva Forward'!$C$4:$AN$4,0))),DB52)</f>
        <v>0</v>
      </c>
      <c r="GA52" s="190">
        <f>AO52*AO$2*IF($FC52="V",1,-1)*IF($Q52="Fixo",(DC52-INDEX('Curva Forward'!$C$5:$AN$13,MATCH(CONCATENATE(BD_COMERCIAL!$K52," ",BD_COMERCIAL!$L52),'Curva Forward'!$B$5:$B$13,0),MATCH(GA$4,'Curva Forward'!$C$4:$AN$4,0))),DC52)</f>
        <v>0</v>
      </c>
      <c r="GB52" s="190">
        <f>AP52*AP$2*IF($FC52="V",1,-1)*IF($Q52="Fixo",(DD52-INDEX('Curva Forward'!$C$5:$AN$13,MATCH(CONCATENATE(BD_COMERCIAL!$K52," ",BD_COMERCIAL!$L52),'Curva Forward'!$B$5:$B$13,0),MATCH(GB$4,'Curva Forward'!$C$4:$AN$4,0))),DD52)</f>
        <v>0</v>
      </c>
      <c r="GC52" s="190">
        <f>AQ52*AQ$2*IF($FC52="V",1,-1)*IF($Q52="Fixo",(DE52-INDEX('Curva Forward'!$C$5:$AN$13,MATCH(CONCATENATE(BD_COMERCIAL!$K52," ",BD_COMERCIAL!$L52),'Curva Forward'!$B$5:$B$13,0),MATCH(GC$4,'Curva Forward'!$C$4:$AN$4,0))),DE52)</f>
        <v>0</v>
      </c>
      <c r="GD52" s="190">
        <f>AR52*AR$2*IF($FC52="V",1,-1)*IF($Q52="Fixo",(DF52-INDEX('Curva Forward'!$C$5:$AN$13,MATCH(CONCATENATE(BD_COMERCIAL!$K52," ",BD_COMERCIAL!$L52),'Curva Forward'!$B$5:$B$13,0),MATCH(GD$4,'Curva Forward'!$C$4:$AN$4,0))),DF52)</f>
        <v>0</v>
      </c>
      <c r="GE52" s="190">
        <f>AS52*AS$2*IF($FC52="V",1,-1)*IF($Q52="Fixo",(DG52-INDEX('Curva Forward'!$C$5:$AN$13,MATCH(CONCATENATE(BD_COMERCIAL!$K52," ",BD_COMERCIAL!$L52),'Curva Forward'!$B$5:$B$13,0),MATCH(GE$4,'Curva Forward'!$C$4:$AN$4,0))),DG52)</f>
        <v>0</v>
      </c>
      <c r="GF52" s="190">
        <f>AT52*AT$2*IF($FC52="V",1,-1)*IF($Q52="Fixo",(DH52-INDEX('Curva Forward'!$C$5:$AN$13,MATCH(CONCATENATE(BD_COMERCIAL!$K52," ",BD_COMERCIAL!$L52),'Curva Forward'!$B$5:$B$13,0),MATCH(GF$4,'Curva Forward'!$C$4:$AN$4,0))),DH52)</f>
        <v>0</v>
      </c>
      <c r="GG52" s="190">
        <f>AU52*AU$2*IF($FC52="V",1,-1)*IF($Q52="Fixo",(DI52-INDEX('Curva Forward'!$C$5:$AN$13,MATCH(CONCATENATE(BD_COMERCIAL!$K52," ",BD_COMERCIAL!$L52),'Curva Forward'!$B$5:$B$13,0),MATCH(GG$4,'Curva Forward'!$C$4:$AN$4,0))),DI52)</f>
        <v>0</v>
      </c>
      <c r="GH52" s="190">
        <f>AV52*AV$2*IF($FC52="V",1,-1)*IF($Q52="Fixo",(DJ52-INDEX('Curva Forward'!$C$5:$AN$13,MATCH(CONCATENATE(BD_COMERCIAL!$K52," ",BD_COMERCIAL!$L52),'Curva Forward'!$B$5:$B$13,0),MATCH(GH$4,'Curva Forward'!$C$4:$AN$4,0))),DJ52)</f>
        <v>0</v>
      </c>
      <c r="GI52" s="190">
        <f>AW52*AW$2*IF($FC52="V",1,-1)*IF($Q52="Fixo",(DK52-INDEX('Curva Forward'!$C$5:$AN$13,MATCH(CONCATENATE(BD_COMERCIAL!$K52," ",BD_COMERCIAL!$L52),'Curva Forward'!$B$5:$B$13,0),MATCH(GI$4,'Curva Forward'!$C$4:$AN$4,0))),DK52)</f>
        <v>0</v>
      </c>
      <c r="GJ52" s="190">
        <f>AX52*AX$2*IF($FC52="V",1,-1)*IF($Q52="Fixo",(DL52-INDEX('Curva Forward'!$C$5:$AN$13,MATCH(CONCATENATE(BD_COMERCIAL!$K52," ",BD_COMERCIAL!$L52),'Curva Forward'!$B$5:$B$13,0),MATCH(GJ$4,'Curva Forward'!$C$4:$AN$4,0))),DL52)</f>
        <v>0</v>
      </c>
      <c r="GK52" s="190">
        <f>AY52*AY$2*IF($FC52="V",1,-1)*IF($Q52="Fixo",(DM52-INDEX('Curva Forward'!$C$5:$AN$13,MATCH(CONCATENATE(BD_COMERCIAL!$K52," ",BD_COMERCIAL!$L52),'Curva Forward'!$B$5:$B$13,0),MATCH(GK$4,'Curva Forward'!$C$4:$AN$4,0))),DM52)</f>
        <v>0</v>
      </c>
      <c r="GL52" s="190">
        <f>IF(EZ52="",0,CL52*CL$2*IF($FC52="V",1,-1)*IF($Q52="Fixo",(EZ52-INDEX('Curva Forward'!$C$5:$AN$13,MATCH(CONCATENATE(BD_COMERCIAL!$K52," ",BD_COMERCIAL!$L52),'Curva Forward'!$B$5:$B$13,0),MATCH(GL$4,'Curva Forward'!$C$4:$AN$4,0))),EZ52))</f>
        <v>0</v>
      </c>
      <c r="GM52" s="190">
        <f>IF(FA52="",0,CM52*CM$2*IF($FC52="V",1,-1)*IF($Q52="Fixo",(FA52-INDEX('Curva Forward'!$C$5:$AN$13,MATCH(CONCATENATE(BD_COMERCIAL!$K52," ",BD_COMERCIAL!$L52),'Curva Forward'!$B$5:$B$13,0),MATCH(GM$4,'Curva Forward'!$C$4:$AN$4,0))),FA52))</f>
        <v>0</v>
      </c>
      <c r="GN52" s="190">
        <f>IF(FB52="",0,CN52*CN$2*IF($FC52="V",1,-1)*IF($Q52="Fixo",(FB52-INDEX('Curva Forward'!$C$5:$AN$13,MATCH(CONCATENATE(BD_COMERCIAL!$K52," ",BD_COMERCIAL!$L52),'Curva Forward'!$B$5:$B$13,0),MATCH(GN$4,'Curva Forward'!$C$4:$AN$4,0))),FB52))</f>
        <v>0</v>
      </c>
      <c r="GO52" s="191">
        <f t="shared" ca="1" si="11"/>
        <v>1898880</v>
      </c>
      <c r="GP52" s="191">
        <f t="shared" ca="1" si="12"/>
        <v>0</v>
      </c>
      <c r="GQ52" s="115"/>
      <c r="GR52" s="115"/>
      <c r="GS52"/>
      <c r="GT52" s="65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</row>
    <row r="53" spans="1:236" s="265" customFormat="1" ht="15" customHeight="1" x14ac:dyDescent="0.35">
      <c r="A53" s="251"/>
      <c r="B53" s="7" t="s">
        <v>406</v>
      </c>
      <c r="C53" s="8">
        <v>44823</v>
      </c>
      <c r="D53" s="9" t="s">
        <v>130</v>
      </c>
      <c r="E53" s="9" t="s">
        <v>205</v>
      </c>
      <c r="F53" s="112" t="s">
        <v>347</v>
      </c>
      <c r="G53" s="10" t="s">
        <v>381</v>
      </c>
      <c r="H53" s="112" t="s">
        <v>348</v>
      </c>
      <c r="I53" s="9" t="s">
        <v>137</v>
      </c>
      <c r="J53" s="158"/>
      <c r="K53" s="10" t="s">
        <v>126</v>
      </c>
      <c r="L53" s="84" t="s">
        <v>22</v>
      </c>
      <c r="M53" s="11">
        <v>44927</v>
      </c>
      <c r="N53" s="12">
        <v>44957</v>
      </c>
      <c r="O53" s="10">
        <v>3</v>
      </c>
      <c r="P53" s="84">
        <v>102</v>
      </c>
      <c r="Q53" s="84" t="s">
        <v>127</v>
      </c>
      <c r="R53" s="10" t="s">
        <v>128</v>
      </c>
      <c r="S53" s="14" t="s">
        <v>133</v>
      </c>
      <c r="T53" s="11" t="s">
        <v>129</v>
      </c>
      <c r="U53" s="12">
        <v>44823</v>
      </c>
      <c r="V53" s="202">
        <f ca="1">IF(U53="","",
IF(U53="NA","",
IFERROR(VLOOKUP(EOMONTH(M53,-2)+1,IPCA!$A:$B,2,0),
VLOOKUP(EOMONTH(TODAY(),-2)+1,IPCA!$A:$B,2,0))/
VLOOKUP(EOMONTH(U53,-2)+1,IPCA!$A:$B,2,0)*
P53))</f>
        <v>103.36055984861173</v>
      </c>
      <c r="W53" s="84"/>
      <c r="X53" s="13" t="s">
        <v>132</v>
      </c>
      <c r="Y53" s="158"/>
      <c r="Z53" s="106"/>
      <c r="AA53" s="107"/>
      <c r="AB53" s="15">
        <v>3</v>
      </c>
      <c r="AC53"/>
      <c r="AD53"/>
      <c r="AE53"/>
      <c r="AF53"/>
      <c r="AG53"/>
      <c r="AH53"/>
      <c r="AI53"/>
      <c r="AJ53"/>
      <c r="AK53"/>
      <c r="AL53"/>
      <c r="AM53" s="6"/>
      <c r="AN53" s="15"/>
      <c r="AO53"/>
      <c r="AP53"/>
      <c r="AQ53"/>
      <c r="AR53"/>
      <c r="AS53"/>
      <c r="AT53"/>
      <c r="AU53"/>
      <c r="AV53"/>
      <c r="AW53"/>
      <c r="AX53"/>
      <c r="AY53" s="6"/>
      <c r="AZ53" s="15"/>
      <c r="BA53"/>
      <c r="BB53"/>
      <c r="BC53"/>
      <c r="BD53"/>
      <c r="BE53"/>
      <c r="BF53"/>
      <c r="BG53"/>
      <c r="BH53"/>
      <c r="BI53"/>
      <c r="BJ53"/>
      <c r="BK53" s="6"/>
      <c r="BL53" s="15"/>
      <c r="BM53"/>
      <c r="BN53"/>
      <c r="BO53"/>
      <c r="BP53"/>
      <c r="BQ53"/>
      <c r="BR53"/>
      <c r="BS53"/>
      <c r="BT53"/>
      <c r="BU53"/>
      <c r="BV53"/>
      <c r="BW53" s="6"/>
      <c r="BX53" s="15"/>
      <c r="BY53"/>
      <c r="BZ53"/>
      <c r="CA53"/>
      <c r="CB53"/>
      <c r="CC53"/>
      <c r="CD53"/>
      <c r="CE53"/>
      <c r="CF53"/>
      <c r="CG53"/>
      <c r="CH53"/>
      <c r="CI53" s="6"/>
      <c r="CJ53" s="16">
        <v>0.25479452054794521</v>
      </c>
      <c r="CK53" s="16" t="s">
        <v>578</v>
      </c>
      <c r="CL53" s="16" t="s">
        <v>578</v>
      </c>
      <c r="CM53" s="16" t="s">
        <v>578</v>
      </c>
      <c r="CN53" s="16" t="s">
        <v>578</v>
      </c>
      <c r="CO53" s="18"/>
      <c r="CP53" s="15">
        <v>102</v>
      </c>
      <c r="CQ53"/>
      <c r="CR53"/>
      <c r="CS53"/>
      <c r="CT53"/>
      <c r="CU53"/>
      <c r="CV53"/>
      <c r="CW53"/>
      <c r="CX53"/>
      <c r="CY53"/>
      <c r="CZ53"/>
      <c r="DA53" s="6"/>
      <c r="DB53" s="15"/>
      <c r="DC53"/>
      <c r="DD53"/>
      <c r="DE53"/>
      <c r="DF53"/>
      <c r="DG53"/>
      <c r="DH53"/>
      <c r="DI53"/>
      <c r="DJ53"/>
      <c r="DK53"/>
      <c r="DL53"/>
      <c r="DM53" s="6"/>
      <c r="DN53" s="15"/>
      <c r="DO53"/>
      <c r="DP53"/>
      <c r="DQ53"/>
      <c r="DR53"/>
      <c r="DS53"/>
      <c r="DT53"/>
      <c r="DU53"/>
      <c r="DV53"/>
      <c r="DW53"/>
      <c r="DX53"/>
      <c r="DY53" s="6"/>
      <c r="DZ53" s="15"/>
      <c r="EA53"/>
      <c r="EB53"/>
      <c r="EC53"/>
      <c r="ED53"/>
      <c r="EE53"/>
      <c r="EF53"/>
      <c r="EG53"/>
      <c r="EH53"/>
      <c r="EI53"/>
      <c r="EJ53"/>
      <c r="EK53" s="6"/>
      <c r="EL53" s="15"/>
      <c r="EM53"/>
      <c r="EN53"/>
      <c r="EO53"/>
      <c r="EP53"/>
      <c r="EQ53"/>
      <c r="ER53"/>
      <c r="ES53"/>
      <c r="ET53"/>
      <c r="EU53"/>
      <c r="EV53"/>
      <c r="EW53" s="6"/>
      <c r="EX53" s="16">
        <v>8.6630136986301363</v>
      </c>
      <c r="EY53" s="16" t="s">
        <v>578</v>
      </c>
      <c r="EZ53" s="16" t="s">
        <v>578</v>
      </c>
      <c r="FA53" s="154" t="s">
        <v>578</v>
      </c>
      <c r="FB53" s="154" t="s">
        <v>578</v>
      </c>
      <c r="FC53" t="s">
        <v>196</v>
      </c>
      <c r="FD53" s="20" t="s">
        <v>137</v>
      </c>
      <c r="FE53"/>
      <c r="FF53" s="199" t="s">
        <v>197</v>
      </c>
      <c r="FG53"/>
      <c r="FH53" s="206">
        <f t="shared" ca="1" si="6"/>
        <v>1.3605598486117287</v>
      </c>
      <c r="FI53" s="198">
        <f t="shared" si="7"/>
        <v>1</v>
      </c>
      <c r="FJ53"/>
      <c r="FK53" t="str">
        <f t="shared" si="8"/>
        <v>True Comercializadora de Energia LTDA</v>
      </c>
      <c r="FL53" s="191">
        <f t="shared" ca="1" si="9"/>
        <v>-73656</v>
      </c>
      <c r="FM53" s="191">
        <f t="shared" ca="1" si="10"/>
        <v>0</v>
      </c>
      <c r="FN53" s="190">
        <f>AB53*AB$2*IF($FC53="V",1,-1)*IF($Q53="Fixo",(CP53-INDEX('Curva Forward'!$C$5:$AN$13,MATCH(CONCATENATE(BD_COMERCIAL!$K53," ",BD_COMERCIAL!$L53),'Curva Forward'!$B$5:$B$13,0),MATCH(FN$4,'Curva Forward'!$C$4:$AN$4,0))),CP53)</f>
        <v>-73656</v>
      </c>
      <c r="FO53" s="190">
        <f>AC53*AC$2*IF($FC53="V",1,-1)*IF($Q53="Fixo",(CQ53-INDEX('Curva Forward'!$C$5:$AN$13,MATCH(CONCATENATE(BD_COMERCIAL!$K53," ",BD_COMERCIAL!$L53),'Curva Forward'!$B$5:$B$13,0),MATCH(FO$4,'Curva Forward'!$C$4:$AN$4,0))),CQ53)</f>
        <v>0</v>
      </c>
      <c r="FP53" s="190">
        <f>AD53*AD$2*IF($FC53="V",1,-1)*IF($Q53="Fixo",(CR53-INDEX('Curva Forward'!$C$5:$AN$13,MATCH(CONCATENATE(BD_COMERCIAL!$K53," ",BD_COMERCIAL!$L53),'Curva Forward'!$B$5:$B$13,0),MATCH(FP$4,'Curva Forward'!$C$4:$AN$4,0))),CR53)</f>
        <v>0</v>
      </c>
      <c r="FQ53" s="190">
        <f>AE53*AE$2*IF($FC53="V",1,-1)*IF($Q53="Fixo",(CS53-INDEX('Curva Forward'!$C$5:$AN$13,MATCH(CONCATENATE(BD_COMERCIAL!$K53," ",BD_COMERCIAL!$L53),'Curva Forward'!$B$5:$B$13,0),MATCH(FQ$4,'Curva Forward'!$C$4:$AN$4,0))),CS53)</f>
        <v>0</v>
      </c>
      <c r="FR53" s="190">
        <f>AF53*AF$2*IF($FC53="V",1,-1)*IF($Q53="Fixo",(CT53-INDEX('Curva Forward'!$C$5:$AN$13,MATCH(CONCATENATE(BD_COMERCIAL!$K53," ",BD_COMERCIAL!$L53),'Curva Forward'!$B$5:$B$13,0),MATCH(FR$4,'Curva Forward'!$C$4:$AN$4,0))),CT53)</f>
        <v>0</v>
      </c>
      <c r="FS53" s="190">
        <f>AG53*AG$2*IF($FC53="V",1,-1)*IF($Q53="Fixo",(CU53-INDEX('Curva Forward'!$C$5:$AN$13,MATCH(CONCATENATE(BD_COMERCIAL!$K53," ",BD_COMERCIAL!$L53),'Curva Forward'!$B$5:$B$13,0),MATCH(FS$4,'Curva Forward'!$C$4:$AN$4,0))),CU53)</f>
        <v>0</v>
      </c>
      <c r="FT53" s="190">
        <f>AH53*AH$2*IF($FC53="V",1,-1)*IF($Q53="Fixo",(CV53-INDEX('Curva Forward'!$C$5:$AN$13,MATCH(CONCATENATE(BD_COMERCIAL!$K53," ",BD_COMERCIAL!$L53),'Curva Forward'!$B$5:$B$13,0),MATCH(FT$4,'Curva Forward'!$C$4:$AN$4,0))),CV53)</f>
        <v>0</v>
      </c>
      <c r="FU53" s="190">
        <f>AI53*AI$2*IF($FC53="V",1,-1)*IF($Q53="Fixo",(CW53-INDEX('Curva Forward'!$C$5:$AN$13,MATCH(CONCATENATE(BD_COMERCIAL!$K53," ",BD_COMERCIAL!$L53),'Curva Forward'!$B$5:$B$13,0),MATCH(FU$4,'Curva Forward'!$C$4:$AN$4,0))),CW53)</f>
        <v>0</v>
      </c>
      <c r="FV53" s="190">
        <f>AJ53*AJ$2*IF($FC53="V",1,-1)*IF($Q53="Fixo",(CX53-INDEX('Curva Forward'!$C$5:$AN$13,MATCH(CONCATENATE(BD_COMERCIAL!$K53," ",BD_COMERCIAL!$L53),'Curva Forward'!$B$5:$B$13,0),MATCH(FV$4,'Curva Forward'!$C$4:$AN$4,0))),CX53)</f>
        <v>0</v>
      </c>
      <c r="FW53" s="190">
        <f>AK53*AK$2*IF($FC53="V",1,-1)*IF($Q53="Fixo",(CY53-INDEX('Curva Forward'!$C$5:$AN$13,MATCH(CONCATENATE(BD_COMERCIAL!$K53," ",BD_COMERCIAL!$L53),'Curva Forward'!$B$5:$B$13,0),MATCH(FW$4,'Curva Forward'!$C$4:$AN$4,0))),CY53)</f>
        <v>0</v>
      </c>
      <c r="FX53" s="190">
        <f>AL53*AL$2*IF($FC53="V",1,-1)*IF($Q53="Fixo",(CZ53-INDEX('Curva Forward'!$C$5:$AN$13,MATCH(CONCATENATE(BD_COMERCIAL!$K53," ",BD_COMERCIAL!$L53),'Curva Forward'!$B$5:$B$13,0),MATCH(FX$4,'Curva Forward'!$C$4:$AN$4,0))),CZ53)</f>
        <v>0</v>
      </c>
      <c r="FY53" s="190">
        <f>AM53*AM$2*IF($FC53="V",1,-1)*IF($Q53="Fixo",(DA53-INDEX('Curva Forward'!$C$5:$AN$13,MATCH(CONCATENATE(BD_COMERCIAL!$K53," ",BD_COMERCIAL!$L53),'Curva Forward'!$B$5:$B$13,0),MATCH(FY$4,'Curva Forward'!$C$4:$AN$4,0))),DA53)</f>
        <v>0</v>
      </c>
      <c r="FZ53" s="190">
        <f>AN53*AN$2*IF($FC53="V",1,-1)*IF($Q53="Fixo",(DB53-INDEX('Curva Forward'!$C$5:$AN$13,MATCH(CONCATENATE(BD_COMERCIAL!$K53," ",BD_COMERCIAL!$L53),'Curva Forward'!$B$5:$B$13,0),MATCH(FZ$4,'Curva Forward'!$C$4:$AN$4,0))),DB53)</f>
        <v>0</v>
      </c>
      <c r="GA53" s="190">
        <f>AO53*AO$2*IF($FC53="V",1,-1)*IF($Q53="Fixo",(DC53-INDEX('Curva Forward'!$C$5:$AN$13,MATCH(CONCATENATE(BD_COMERCIAL!$K53," ",BD_COMERCIAL!$L53),'Curva Forward'!$B$5:$B$13,0),MATCH(GA$4,'Curva Forward'!$C$4:$AN$4,0))),DC53)</f>
        <v>0</v>
      </c>
      <c r="GB53" s="190">
        <f>AP53*AP$2*IF($FC53="V",1,-1)*IF($Q53="Fixo",(DD53-INDEX('Curva Forward'!$C$5:$AN$13,MATCH(CONCATENATE(BD_COMERCIAL!$K53," ",BD_COMERCIAL!$L53),'Curva Forward'!$B$5:$B$13,0),MATCH(GB$4,'Curva Forward'!$C$4:$AN$4,0))),DD53)</f>
        <v>0</v>
      </c>
      <c r="GC53" s="190">
        <f>AQ53*AQ$2*IF($FC53="V",1,-1)*IF($Q53="Fixo",(DE53-INDEX('Curva Forward'!$C$5:$AN$13,MATCH(CONCATENATE(BD_COMERCIAL!$K53," ",BD_COMERCIAL!$L53),'Curva Forward'!$B$5:$B$13,0),MATCH(GC$4,'Curva Forward'!$C$4:$AN$4,0))),DE53)</f>
        <v>0</v>
      </c>
      <c r="GD53" s="190">
        <f>AR53*AR$2*IF($FC53="V",1,-1)*IF($Q53="Fixo",(DF53-INDEX('Curva Forward'!$C$5:$AN$13,MATCH(CONCATENATE(BD_COMERCIAL!$K53," ",BD_COMERCIAL!$L53),'Curva Forward'!$B$5:$B$13,0),MATCH(GD$4,'Curva Forward'!$C$4:$AN$4,0))),DF53)</f>
        <v>0</v>
      </c>
      <c r="GE53" s="190">
        <f>AS53*AS$2*IF($FC53="V",1,-1)*IF($Q53="Fixo",(DG53-INDEX('Curva Forward'!$C$5:$AN$13,MATCH(CONCATENATE(BD_COMERCIAL!$K53," ",BD_COMERCIAL!$L53),'Curva Forward'!$B$5:$B$13,0),MATCH(GE$4,'Curva Forward'!$C$4:$AN$4,0))),DG53)</f>
        <v>0</v>
      </c>
      <c r="GF53" s="190">
        <f>AT53*AT$2*IF($FC53="V",1,-1)*IF($Q53="Fixo",(DH53-INDEX('Curva Forward'!$C$5:$AN$13,MATCH(CONCATENATE(BD_COMERCIAL!$K53," ",BD_COMERCIAL!$L53),'Curva Forward'!$B$5:$B$13,0),MATCH(GF$4,'Curva Forward'!$C$4:$AN$4,0))),DH53)</f>
        <v>0</v>
      </c>
      <c r="GG53" s="190">
        <f>AU53*AU$2*IF($FC53="V",1,-1)*IF($Q53="Fixo",(DI53-INDEX('Curva Forward'!$C$5:$AN$13,MATCH(CONCATENATE(BD_COMERCIAL!$K53," ",BD_COMERCIAL!$L53),'Curva Forward'!$B$5:$B$13,0),MATCH(GG$4,'Curva Forward'!$C$4:$AN$4,0))),DI53)</f>
        <v>0</v>
      </c>
      <c r="GH53" s="190">
        <f>AV53*AV$2*IF($FC53="V",1,-1)*IF($Q53="Fixo",(DJ53-INDEX('Curva Forward'!$C$5:$AN$13,MATCH(CONCATENATE(BD_COMERCIAL!$K53," ",BD_COMERCIAL!$L53),'Curva Forward'!$B$5:$B$13,0),MATCH(GH$4,'Curva Forward'!$C$4:$AN$4,0))),DJ53)</f>
        <v>0</v>
      </c>
      <c r="GI53" s="190">
        <f>AW53*AW$2*IF($FC53="V",1,-1)*IF($Q53="Fixo",(DK53-INDEX('Curva Forward'!$C$5:$AN$13,MATCH(CONCATENATE(BD_COMERCIAL!$K53," ",BD_COMERCIAL!$L53),'Curva Forward'!$B$5:$B$13,0),MATCH(GI$4,'Curva Forward'!$C$4:$AN$4,0))),DK53)</f>
        <v>0</v>
      </c>
      <c r="GJ53" s="190">
        <f>AX53*AX$2*IF($FC53="V",1,-1)*IF($Q53="Fixo",(DL53-INDEX('Curva Forward'!$C$5:$AN$13,MATCH(CONCATENATE(BD_COMERCIAL!$K53," ",BD_COMERCIAL!$L53),'Curva Forward'!$B$5:$B$13,0),MATCH(GJ$4,'Curva Forward'!$C$4:$AN$4,0))),DL53)</f>
        <v>0</v>
      </c>
      <c r="GK53" s="190">
        <f>AY53*AY$2*IF($FC53="V",1,-1)*IF($Q53="Fixo",(DM53-INDEX('Curva Forward'!$C$5:$AN$13,MATCH(CONCATENATE(BD_COMERCIAL!$K53," ",BD_COMERCIAL!$L53),'Curva Forward'!$B$5:$B$13,0),MATCH(GK$4,'Curva Forward'!$C$4:$AN$4,0))),DM53)</f>
        <v>0</v>
      </c>
      <c r="GL53" s="190">
        <f>IF(EZ53="",0,CL53*CL$2*IF($FC53="V",1,-1)*IF($Q53="Fixo",(EZ53-INDEX('Curva Forward'!$C$5:$AN$13,MATCH(CONCATENATE(BD_COMERCIAL!$K53," ",BD_COMERCIAL!$L53),'Curva Forward'!$B$5:$B$13,0),MATCH(GL$4,'Curva Forward'!$C$4:$AN$4,0))),EZ53))</f>
        <v>0</v>
      </c>
      <c r="GM53" s="190">
        <f>IF(FA53="",0,CM53*CM$2*IF($FC53="V",1,-1)*IF($Q53="Fixo",(FA53-INDEX('Curva Forward'!$C$5:$AN$13,MATCH(CONCATENATE(BD_COMERCIAL!$K53," ",BD_COMERCIAL!$L53),'Curva Forward'!$B$5:$B$13,0),MATCH(GM$4,'Curva Forward'!$C$4:$AN$4,0))),FA53))</f>
        <v>0</v>
      </c>
      <c r="GN53" s="190">
        <f>IF(FB53="",0,CN53*CN$2*IF($FC53="V",1,-1)*IF($Q53="Fixo",(FB53-INDEX('Curva Forward'!$C$5:$AN$13,MATCH(CONCATENATE(BD_COMERCIAL!$K53," ",BD_COMERCIAL!$L53),'Curva Forward'!$B$5:$B$13,0),MATCH(GN$4,'Curva Forward'!$C$4:$AN$4,0))),FB53))</f>
        <v>0</v>
      </c>
      <c r="GO53" s="191">
        <f t="shared" ca="1" si="11"/>
        <v>0</v>
      </c>
      <c r="GP53" s="191">
        <f t="shared" ca="1" si="12"/>
        <v>0</v>
      </c>
      <c r="GQ53" s="115"/>
      <c r="GR53" s="115"/>
      <c r="GS53"/>
      <c r="GT53" s="65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</row>
    <row r="54" spans="1:236" s="265" customFormat="1" ht="15" customHeight="1" x14ac:dyDescent="0.35">
      <c r="A54" s="251"/>
      <c r="B54" s="7" t="s">
        <v>408</v>
      </c>
      <c r="C54" s="8">
        <v>44827</v>
      </c>
      <c r="D54" s="9" t="s">
        <v>123</v>
      </c>
      <c r="E54" s="9" t="s">
        <v>381</v>
      </c>
      <c r="F54" s="112" t="s">
        <v>348</v>
      </c>
      <c r="G54" s="10" t="s">
        <v>409</v>
      </c>
      <c r="H54" s="112" t="s">
        <v>410</v>
      </c>
      <c r="I54" s="9" t="s">
        <v>137</v>
      </c>
      <c r="J54" s="158"/>
      <c r="K54" s="10" t="s">
        <v>126</v>
      </c>
      <c r="L54" s="84" t="s">
        <v>22</v>
      </c>
      <c r="M54" s="11">
        <v>44927</v>
      </c>
      <c r="N54" s="12">
        <v>44957</v>
      </c>
      <c r="O54" s="10">
        <v>5</v>
      </c>
      <c r="P54" s="84">
        <v>90</v>
      </c>
      <c r="Q54" s="84" t="s">
        <v>127</v>
      </c>
      <c r="R54" s="10" t="s">
        <v>128</v>
      </c>
      <c r="S54" s="14" t="s">
        <v>133</v>
      </c>
      <c r="T54" s="11" t="s">
        <v>129</v>
      </c>
      <c r="U54" s="12">
        <v>44827</v>
      </c>
      <c r="V54" s="202">
        <f ca="1">IF(U54="","",
IF(U54="NA","",
IFERROR(VLOOKUP(EOMONTH(M54,-2)+1,IPCA!$A:$B,2,0),
VLOOKUP(EOMONTH(TODAY(),-2)+1,IPCA!$A:$B,2,0))/
VLOOKUP(EOMONTH(U54,-2)+1,IPCA!$A:$B,2,0)*
P54))</f>
        <v>91.200493984069183</v>
      </c>
      <c r="W54" s="84"/>
      <c r="X54" s="13" t="s">
        <v>132</v>
      </c>
      <c r="Y54" s="158"/>
      <c r="Z54" s="106"/>
      <c r="AA54" s="107"/>
      <c r="AB54" s="15">
        <v>5</v>
      </c>
      <c r="AC54"/>
      <c r="AD54"/>
      <c r="AE54"/>
      <c r="AF54"/>
      <c r="AG54"/>
      <c r="AH54"/>
      <c r="AI54"/>
      <c r="AJ54"/>
      <c r="AK54"/>
      <c r="AL54"/>
      <c r="AM54" s="6"/>
      <c r="AN54" s="15"/>
      <c r="AO54"/>
      <c r="AP54"/>
      <c r="AQ54"/>
      <c r="AR54"/>
      <c r="AS54"/>
      <c r="AT54"/>
      <c r="AU54"/>
      <c r="AV54"/>
      <c r="AW54"/>
      <c r="AX54"/>
      <c r="AY54" s="6"/>
      <c r="AZ54" s="15"/>
      <c r="BA54"/>
      <c r="BB54"/>
      <c r="BC54"/>
      <c r="BD54"/>
      <c r="BE54"/>
      <c r="BF54"/>
      <c r="BG54"/>
      <c r="BH54"/>
      <c r="BI54"/>
      <c r="BJ54"/>
      <c r="BK54" s="6"/>
      <c r="BL54" s="15"/>
      <c r="BM54"/>
      <c r="BN54"/>
      <c r="BO54"/>
      <c r="BP54"/>
      <c r="BQ54"/>
      <c r="BR54"/>
      <c r="BS54"/>
      <c r="BT54"/>
      <c r="BU54"/>
      <c r="BV54"/>
      <c r="BW54" s="6"/>
      <c r="BX54" s="15"/>
      <c r="BY54"/>
      <c r="BZ54"/>
      <c r="CA54"/>
      <c r="CB54"/>
      <c r="CC54"/>
      <c r="CD54"/>
      <c r="CE54"/>
      <c r="CF54"/>
      <c r="CG54"/>
      <c r="CH54"/>
      <c r="CI54" s="6"/>
      <c r="CJ54" s="16">
        <v>0.42465753424657532</v>
      </c>
      <c r="CK54" s="16" t="s">
        <v>578</v>
      </c>
      <c r="CL54" s="16" t="s">
        <v>578</v>
      </c>
      <c r="CM54" s="16" t="s">
        <v>578</v>
      </c>
      <c r="CN54" s="16" t="s">
        <v>578</v>
      </c>
      <c r="CO54" s="18"/>
      <c r="CP54" s="15">
        <v>90</v>
      </c>
      <c r="CQ54"/>
      <c r="CR54"/>
      <c r="CS54"/>
      <c r="CT54"/>
      <c r="CU54"/>
      <c r="CV54"/>
      <c r="CW54"/>
      <c r="CX54"/>
      <c r="CY54"/>
      <c r="CZ54"/>
      <c r="DA54" s="6"/>
      <c r="DB54" s="15"/>
      <c r="DC54"/>
      <c r="DD54"/>
      <c r="DE54"/>
      <c r="DF54"/>
      <c r="DG54"/>
      <c r="DH54"/>
      <c r="DI54"/>
      <c r="DJ54"/>
      <c r="DK54"/>
      <c r="DL54"/>
      <c r="DM54" s="6"/>
      <c r="DN54" s="15"/>
      <c r="DO54"/>
      <c r="DP54"/>
      <c r="DQ54"/>
      <c r="DR54"/>
      <c r="DS54"/>
      <c r="DT54"/>
      <c r="DU54"/>
      <c r="DV54"/>
      <c r="DW54"/>
      <c r="DX54"/>
      <c r="DY54" s="6"/>
      <c r="DZ54" s="15"/>
      <c r="EA54"/>
      <c r="EB54"/>
      <c r="EC54"/>
      <c r="ED54"/>
      <c r="EE54"/>
      <c r="EF54"/>
      <c r="EG54"/>
      <c r="EH54"/>
      <c r="EI54"/>
      <c r="EJ54"/>
      <c r="EK54" s="6"/>
      <c r="EL54" s="15"/>
      <c r="EM54"/>
      <c r="EN54"/>
      <c r="EO54"/>
      <c r="EP54"/>
      <c r="EQ54"/>
      <c r="ER54"/>
      <c r="ES54"/>
      <c r="ET54"/>
      <c r="EU54"/>
      <c r="EV54"/>
      <c r="EW54" s="6"/>
      <c r="EX54" s="16">
        <v>7.6438356164383565</v>
      </c>
      <c r="EY54" s="16" t="s">
        <v>578</v>
      </c>
      <c r="EZ54" s="16" t="s">
        <v>578</v>
      </c>
      <c r="FA54" s="154" t="s">
        <v>578</v>
      </c>
      <c r="FB54" s="154" t="s">
        <v>578</v>
      </c>
      <c r="FC54" t="s">
        <v>195</v>
      </c>
      <c r="FD54" s="20" t="s">
        <v>137</v>
      </c>
      <c r="FE54"/>
      <c r="FF54" s="199" t="s">
        <v>197</v>
      </c>
      <c r="FG54"/>
      <c r="FH54" s="206">
        <f t="shared" ca="1" si="6"/>
        <v>1.2004939840691833</v>
      </c>
      <c r="FI54" s="198">
        <f t="shared" si="7"/>
        <v>1</v>
      </c>
      <c r="FJ54"/>
      <c r="FK54" t="str">
        <f t="shared" si="8"/>
        <v>GOLD COMERCIALIZADORA DE ENERGIA LTDA</v>
      </c>
      <c r="FL54" s="191">
        <f t="shared" ca="1" si="9"/>
        <v>78120</v>
      </c>
      <c r="FM54" s="191">
        <f t="shared" ca="1" si="10"/>
        <v>0</v>
      </c>
      <c r="FN54" s="190">
        <f>AB54*AB$2*IF($FC54="V",1,-1)*IF($Q54="Fixo",(CP54-INDEX('Curva Forward'!$C$5:$AN$13,MATCH(CONCATENATE(BD_COMERCIAL!$K54," ",BD_COMERCIAL!$L54),'Curva Forward'!$B$5:$B$13,0),MATCH(FN$4,'Curva Forward'!$C$4:$AN$4,0))),CP54)</f>
        <v>78120</v>
      </c>
      <c r="FO54" s="190">
        <f>AC54*AC$2*IF($FC54="V",1,-1)*IF($Q54="Fixo",(CQ54-INDEX('Curva Forward'!$C$5:$AN$13,MATCH(CONCATENATE(BD_COMERCIAL!$K54," ",BD_COMERCIAL!$L54),'Curva Forward'!$B$5:$B$13,0),MATCH(FO$4,'Curva Forward'!$C$4:$AN$4,0))),CQ54)</f>
        <v>0</v>
      </c>
      <c r="FP54" s="190">
        <f>AD54*AD$2*IF($FC54="V",1,-1)*IF($Q54="Fixo",(CR54-INDEX('Curva Forward'!$C$5:$AN$13,MATCH(CONCATENATE(BD_COMERCIAL!$K54," ",BD_COMERCIAL!$L54),'Curva Forward'!$B$5:$B$13,0),MATCH(FP$4,'Curva Forward'!$C$4:$AN$4,0))),CR54)</f>
        <v>0</v>
      </c>
      <c r="FQ54" s="190">
        <f>AE54*AE$2*IF($FC54="V",1,-1)*IF($Q54="Fixo",(CS54-INDEX('Curva Forward'!$C$5:$AN$13,MATCH(CONCATENATE(BD_COMERCIAL!$K54," ",BD_COMERCIAL!$L54),'Curva Forward'!$B$5:$B$13,0),MATCH(FQ$4,'Curva Forward'!$C$4:$AN$4,0))),CS54)</f>
        <v>0</v>
      </c>
      <c r="FR54" s="190">
        <f>AF54*AF$2*IF($FC54="V",1,-1)*IF($Q54="Fixo",(CT54-INDEX('Curva Forward'!$C$5:$AN$13,MATCH(CONCATENATE(BD_COMERCIAL!$K54," ",BD_COMERCIAL!$L54),'Curva Forward'!$B$5:$B$13,0),MATCH(FR$4,'Curva Forward'!$C$4:$AN$4,0))),CT54)</f>
        <v>0</v>
      </c>
      <c r="FS54" s="190">
        <f>AG54*AG$2*IF($FC54="V",1,-1)*IF($Q54="Fixo",(CU54-INDEX('Curva Forward'!$C$5:$AN$13,MATCH(CONCATENATE(BD_COMERCIAL!$K54," ",BD_COMERCIAL!$L54),'Curva Forward'!$B$5:$B$13,0),MATCH(FS$4,'Curva Forward'!$C$4:$AN$4,0))),CU54)</f>
        <v>0</v>
      </c>
      <c r="FT54" s="190">
        <f>AH54*AH$2*IF($FC54="V",1,-1)*IF($Q54="Fixo",(CV54-INDEX('Curva Forward'!$C$5:$AN$13,MATCH(CONCATENATE(BD_COMERCIAL!$K54," ",BD_COMERCIAL!$L54),'Curva Forward'!$B$5:$B$13,0),MATCH(FT$4,'Curva Forward'!$C$4:$AN$4,0))),CV54)</f>
        <v>0</v>
      </c>
      <c r="FU54" s="190">
        <f>AI54*AI$2*IF($FC54="V",1,-1)*IF($Q54="Fixo",(CW54-INDEX('Curva Forward'!$C$5:$AN$13,MATCH(CONCATENATE(BD_COMERCIAL!$K54," ",BD_COMERCIAL!$L54),'Curva Forward'!$B$5:$B$13,0),MATCH(FU$4,'Curva Forward'!$C$4:$AN$4,0))),CW54)</f>
        <v>0</v>
      </c>
      <c r="FV54" s="190">
        <f>AJ54*AJ$2*IF($FC54="V",1,-1)*IF($Q54="Fixo",(CX54-INDEX('Curva Forward'!$C$5:$AN$13,MATCH(CONCATENATE(BD_COMERCIAL!$K54," ",BD_COMERCIAL!$L54),'Curva Forward'!$B$5:$B$13,0),MATCH(FV$4,'Curva Forward'!$C$4:$AN$4,0))),CX54)</f>
        <v>0</v>
      </c>
      <c r="FW54" s="190">
        <f>AK54*AK$2*IF($FC54="V",1,-1)*IF($Q54="Fixo",(CY54-INDEX('Curva Forward'!$C$5:$AN$13,MATCH(CONCATENATE(BD_COMERCIAL!$K54," ",BD_COMERCIAL!$L54),'Curva Forward'!$B$5:$B$13,0),MATCH(FW$4,'Curva Forward'!$C$4:$AN$4,0))),CY54)</f>
        <v>0</v>
      </c>
      <c r="FX54" s="190">
        <f>AL54*AL$2*IF($FC54="V",1,-1)*IF($Q54="Fixo",(CZ54-INDEX('Curva Forward'!$C$5:$AN$13,MATCH(CONCATENATE(BD_COMERCIAL!$K54," ",BD_COMERCIAL!$L54),'Curva Forward'!$B$5:$B$13,0),MATCH(FX$4,'Curva Forward'!$C$4:$AN$4,0))),CZ54)</f>
        <v>0</v>
      </c>
      <c r="FY54" s="190">
        <f>AM54*AM$2*IF($FC54="V",1,-1)*IF($Q54="Fixo",(DA54-INDEX('Curva Forward'!$C$5:$AN$13,MATCH(CONCATENATE(BD_COMERCIAL!$K54," ",BD_COMERCIAL!$L54),'Curva Forward'!$B$5:$B$13,0),MATCH(FY$4,'Curva Forward'!$C$4:$AN$4,0))),DA54)</f>
        <v>0</v>
      </c>
      <c r="FZ54" s="190">
        <f>AN54*AN$2*IF($FC54="V",1,-1)*IF($Q54="Fixo",(DB54-INDEX('Curva Forward'!$C$5:$AN$13,MATCH(CONCATENATE(BD_COMERCIAL!$K54," ",BD_COMERCIAL!$L54),'Curva Forward'!$B$5:$B$13,0),MATCH(FZ$4,'Curva Forward'!$C$4:$AN$4,0))),DB54)</f>
        <v>0</v>
      </c>
      <c r="GA54" s="190">
        <f>AO54*AO$2*IF($FC54="V",1,-1)*IF($Q54="Fixo",(DC54-INDEX('Curva Forward'!$C$5:$AN$13,MATCH(CONCATENATE(BD_COMERCIAL!$K54," ",BD_COMERCIAL!$L54),'Curva Forward'!$B$5:$B$13,0),MATCH(GA$4,'Curva Forward'!$C$4:$AN$4,0))),DC54)</f>
        <v>0</v>
      </c>
      <c r="GB54" s="190">
        <f>AP54*AP$2*IF($FC54="V",1,-1)*IF($Q54="Fixo",(DD54-INDEX('Curva Forward'!$C$5:$AN$13,MATCH(CONCATENATE(BD_COMERCIAL!$K54," ",BD_COMERCIAL!$L54),'Curva Forward'!$B$5:$B$13,0),MATCH(GB$4,'Curva Forward'!$C$4:$AN$4,0))),DD54)</f>
        <v>0</v>
      </c>
      <c r="GC54" s="190">
        <f>AQ54*AQ$2*IF($FC54="V",1,-1)*IF($Q54="Fixo",(DE54-INDEX('Curva Forward'!$C$5:$AN$13,MATCH(CONCATENATE(BD_COMERCIAL!$K54," ",BD_COMERCIAL!$L54),'Curva Forward'!$B$5:$B$13,0),MATCH(GC$4,'Curva Forward'!$C$4:$AN$4,0))),DE54)</f>
        <v>0</v>
      </c>
      <c r="GD54" s="190">
        <f>AR54*AR$2*IF($FC54="V",1,-1)*IF($Q54="Fixo",(DF54-INDEX('Curva Forward'!$C$5:$AN$13,MATCH(CONCATENATE(BD_COMERCIAL!$K54," ",BD_COMERCIAL!$L54),'Curva Forward'!$B$5:$B$13,0),MATCH(GD$4,'Curva Forward'!$C$4:$AN$4,0))),DF54)</f>
        <v>0</v>
      </c>
      <c r="GE54" s="190">
        <f>AS54*AS$2*IF($FC54="V",1,-1)*IF($Q54="Fixo",(DG54-INDEX('Curva Forward'!$C$5:$AN$13,MATCH(CONCATENATE(BD_COMERCIAL!$K54," ",BD_COMERCIAL!$L54),'Curva Forward'!$B$5:$B$13,0),MATCH(GE$4,'Curva Forward'!$C$4:$AN$4,0))),DG54)</f>
        <v>0</v>
      </c>
      <c r="GF54" s="190">
        <f>AT54*AT$2*IF($FC54="V",1,-1)*IF($Q54="Fixo",(DH54-INDEX('Curva Forward'!$C$5:$AN$13,MATCH(CONCATENATE(BD_COMERCIAL!$K54," ",BD_COMERCIAL!$L54),'Curva Forward'!$B$5:$B$13,0),MATCH(GF$4,'Curva Forward'!$C$4:$AN$4,0))),DH54)</f>
        <v>0</v>
      </c>
      <c r="GG54" s="190">
        <f>AU54*AU$2*IF($FC54="V",1,-1)*IF($Q54="Fixo",(DI54-INDEX('Curva Forward'!$C$5:$AN$13,MATCH(CONCATENATE(BD_COMERCIAL!$K54," ",BD_COMERCIAL!$L54),'Curva Forward'!$B$5:$B$13,0),MATCH(GG$4,'Curva Forward'!$C$4:$AN$4,0))),DI54)</f>
        <v>0</v>
      </c>
      <c r="GH54" s="190">
        <f>AV54*AV$2*IF($FC54="V",1,-1)*IF($Q54="Fixo",(DJ54-INDEX('Curva Forward'!$C$5:$AN$13,MATCH(CONCATENATE(BD_COMERCIAL!$K54," ",BD_COMERCIAL!$L54),'Curva Forward'!$B$5:$B$13,0),MATCH(GH$4,'Curva Forward'!$C$4:$AN$4,0))),DJ54)</f>
        <v>0</v>
      </c>
      <c r="GI54" s="190">
        <f>AW54*AW$2*IF($FC54="V",1,-1)*IF($Q54="Fixo",(DK54-INDEX('Curva Forward'!$C$5:$AN$13,MATCH(CONCATENATE(BD_COMERCIAL!$K54," ",BD_COMERCIAL!$L54),'Curva Forward'!$B$5:$B$13,0),MATCH(GI$4,'Curva Forward'!$C$4:$AN$4,0))),DK54)</f>
        <v>0</v>
      </c>
      <c r="GJ54" s="190">
        <f>AX54*AX$2*IF($FC54="V",1,-1)*IF($Q54="Fixo",(DL54-INDEX('Curva Forward'!$C$5:$AN$13,MATCH(CONCATENATE(BD_COMERCIAL!$K54," ",BD_COMERCIAL!$L54),'Curva Forward'!$B$5:$B$13,0),MATCH(GJ$4,'Curva Forward'!$C$4:$AN$4,0))),DL54)</f>
        <v>0</v>
      </c>
      <c r="GK54" s="190">
        <f>AY54*AY$2*IF($FC54="V",1,-1)*IF($Q54="Fixo",(DM54-INDEX('Curva Forward'!$C$5:$AN$13,MATCH(CONCATENATE(BD_COMERCIAL!$K54," ",BD_COMERCIAL!$L54),'Curva Forward'!$B$5:$B$13,0),MATCH(GK$4,'Curva Forward'!$C$4:$AN$4,0))),DM54)</f>
        <v>0</v>
      </c>
      <c r="GL54" s="190">
        <f>IF(EZ54="",0,CL54*CL$2*IF($FC54="V",1,-1)*IF($Q54="Fixo",(EZ54-INDEX('Curva Forward'!$C$5:$AN$13,MATCH(CONCATENATE(BD_COMERCIAL!$K54," ",BD_COMERCIAL!$L54),'Curva Forward'!$B$5:$B$13,0),MATCH(GL$4,'Curva Forward'!$C$4:$AN$4,0))),EZ54))</f>
        <v>0</v>
      </c>
      <c r="GM54" s="190">
        <f>IF(FA54="",0,CM54*CM$2*IF($FC54="V",1,-1)*IF($Q54="Fixo",(FA54-INDEX('Curva Forward'!$C$5:$AN$13,MATCH(CONCATENATE(BD_COMERCIAL!$K54," ",BD_COMERCIAL!$L54),'Curva Forward'!$B$5:$B$13,0),MATCH(GM$4,'Curva Forward'!$C$4:$AN$4,0))),FA54))</f>
        <v>0</v>
      </c>
      <c r="GN54" s="190">
        <f>IF(FB54="",0,CN54*CN$2*IF($FC54="V",1,-1)*IF($Q54="Fixo",(FB54-INDEX('Curva Forward'!$C$5:$AN$13,MATCH(CONCATENATE(BD_COMERCIAL!$K54," ",BD_COMERCIAL!$L54),'Curva Forward'!$B$5:$B$13,0),MATCH(GN$4,'Curva Forward'!$C$4:$AN$4,0))),FB54))</f>
        <v>0</v>
      </c>
      <c r="GO54" s="191">
        <f t="shared" ca="1" si="11"/>
        <v>0</v>
      </c>
      <c r="GP54" s="191">
        <f t="shared" ca="1" si="12"/>
        <v>0</v>
      </c>
      <c r="GQ54" s="115"/>
      <c r="GR54" s="115"/>
      <c r="GS54"/>
      <c r="GT54" s="65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</row>
    <row r="55" spans="1:236" s="265" customFormat="1" ht="15" customHeight="1" x14ac:dyDescent="0.35">
      <c r="A55" s="251"/>
      <c r="B55" s="7" t="s">
        <v>411</v>
      </c>
      <c r="C55" s="8">
        <v>44827</v>
      </c>
      <c r="D55" s="9" t="s">
        <v>123</v>
      </c>
      <c r="E55" s="9" t="s">
        <v>381</v>
      </c>
      <c r="F55" s="112" t="s">
        <v>348</v>
      </c>
      <c r="G55" s="10" t="s">
        <v>409</v>
      </c>
      <c r="H55" s="112" t="s">
        <v>410</v>
      </c>
      <c r="I55" s="9" t="s">
        <v>137</v>
      </c>
      <c r="J55" s="158"/>
      <c r="K55" s="10" t="s">
        <v>126</v>
      </c>
      <c r="L55" s="84" t="s">
        <v>22</v>
      </c>
      <c r="M55" s="11">
        <v>44927</v>
      </c>
      <c r="N55" s="12">
        <v>44957</v>
      </c>
      <c r="O55" s="10">
        <v>5</v>
      </c>
      <c r="P55" s="84">
        <v>90</v>
      </c>
      <c r="Q55" s="84" t="s">
        <v>127</v>
      </c>
      <c r="R55" s="10" t="s">
        <v>128</v>
      </c>
      <c r="S55" s="14" t="s">
        <v>133</v>
      </c>
      <c r="T55" s="11" t="s">
        <v>129</v>
      </c>
      <c r="U55" s="12">
        <v>44827</v>
      </c>
      <c r="V55" s="202">
        <f ca="1">IF(U55="","",
IF(U55="NA","",
IFERROR(VLOOKUP(EOMONTH(M55,-2)+1,IPCA!$A:$B,2,0),
VLOOKUP(EOMONTH(TODAY(),-2)+1,IPCA!$A:$B,2,0))/
VLOOKUP(EOMONTH(U55,-2)+1,IPCA!$A:$B,2,0)*
P55))</f>
        <v>91.200493984069183</v>
      </c>
      <c r="W55" s="84"/>
      <c r="X55" s="13" t="s">
        <v>132</v>
      </c>
      <c r="Y55" s="158"/>
      <c r="Z55" s="106"/>
      <c r="AA55" s="107"/>
      <c r="AB55" s="15">
        <v>5</v>
      </c>
      <c r="AC55"/>
      <c r="AD55"/>
      <c r="AE55"/>
      <c r="AF55"/>
      <c r="AG55"/>
      <c r="AH55"/>
      <c r="AI55"/>
      <c r="AJ55"/>
      <c r="AK55"/>
      <c r="AL55"/>
      <c r="AM55" s="6"/>
      <c r="AN55" s="15"/>
      <c r="AO55"/>
      <c r="AP55"/>
      <c r="AQ55"/>
      <c r="AR55"/>
      <c r="AS55"/>
      <c r="AT55"/>
      <c r="AU55"/>
      <c r="AV55"/>
      <c r="AW55"/>
      <c r="AX55"/>
      <c r="AY55" s="6"/>
      <c r="AZ55" s="15"/>
      <c r="BA55"/>
      <c r="BB55"/>
      <c r="BC55"/>
      <c r="BD55"/>
      <c r="BE55"/>
      <c r="BF55"/>
      <c r="BG55"/>
      <c r="BH55"/>
      <c r="BI55"/>
      <c r="BJ55"/>
      <c r="BK55" s="6"/>
      <c r="BL55" s="15"/>
      <c r="BM55"/>
      <c r="BN55"/>
      <c r="BO55"/>
      <c r="BP55"/>
      <c r="BQ55"/>
      <c r="BR55"/>
      <c r="BS55"/>
      <c r="BT55"/>
      <c r="BU55"/>
      <c r="BV55"/>
      <c r="BW55" s="6"/>
      <c r="BX55" s="15"/>
      <c r="BY55"/>
      <c r="BZ55"/>
      <c r="CA55"/>
      <c r="CB55"/>
      <c r="CC55"/>
      <c r="CD55"/>
      <c r="CE55"/>
      <c r="CF55"/>
      <c r="CG55"/>
      <c r="CH55"/>
      <c r="CI55" s="6"/>
      <c r="CJ55" s="16">
        <v>0.42465753424657532</v>
      </c>
      <c r="CK55" s="16" t="s">
        <v>578</v>
      </c>
      <c r="CL55" s="16" t="s">
        <v>578</v>
      </c>
      <c r="CM55" s="16" t="s">
        <v>578</v>
      </c>
      <c r="CN55" s="16" t="s">
        <v>578</v>
      </c>
      <c r="CO55" s="18"/>
      <c r="CP55" s="15">
        <v>90</v>
      </c>
      <c r="CQ55"/>
      <c r="CR55"/>
      <c r="CS55"/>
      <c r="CT55"/>
      <c r="CU55"/>
      <c r="CV55"/>
      <c r="CW55"/>
      <c r="CX55"/>
      <c r="CY55"/>
      <c r="CZ55"/>
      <c r="DA55" s="6"/>
      <c r="DB55" s="15"/>
      <c r="DC55"/>
      <c r="DD55"/>
      <c r="DE55"/>
      <c r="DF55"/>
      <c r="DG55"/>
      <c r="DH55"/>
      <c r="DI55"/>
      <c r="DJ55"/>
      <c r="DK55"/>
      <c r="DL55"/>
      <c r="DM55" s="6"/>
      <c r="DN55" s="15"/>
      <c r="DO55"/>
      <c r="DP55"/>
      <c r="DQ55"/>
      <c r="DR55"/>
      <c r="DS55"/>
      <c r="DT55"/>
      <c r="DU55"/>
      <c r="DV55"/>
      <c r="DW55"/>
      <c r="DX55"/>
      <c r="DY55" s="6"/>
      <c r="DZ55" s="15"/>
      <c r="EA55"/>
      <c r="EB55"/>
      <c r="EC55"/>
      <c r="ED55"/>
      <c r="EE55"/>
      <c r="EF55"/>
      <c r="EG55"/>
      <c r="EH55"/>
      <c r="EI55"/>
      <c r="EJ55"/>
      <c r="EK55" s="6"/>
      <c r="EL55" s="15"/>
      <c r="EM55"/>
      <c r="EN55"/>
      <c r="EO55"/>
      <c r="EP55"/>
      <c r="EQ55"/>
      <c r="ER55"/>
      <c r="ES55"/>
      <c r="ET55"/>
      <c r="EU55"/>
      <c r="EV55"/>
      <c r="EW55" s="6"/>
      <c r="EX55" s="16">
        <v>7.6438356164383565</v>
      </c>
      <c r="EY55" s="16" t="s">
        <v>578</v>
      </c>
      <c r="EZ55" s="16" t="s">
        <v>578</v>
      </c>
      <c r="FA55" s="154" t="s">
        <v>578</v>
      </c>
      <c r="FB55" s="154" t="s">
        <v>578</v>
      </c>
      <c r="FC55" t="s">
        <v>195</v>
      </c>
      <c r="FD55" s="20" t="s">
        <v>137</v>
      </c>
      <c r="FE55"/>
      <c r="FF55" s="199" t="s">
        <v>197</v>
      </c>
      <c r="FG55"/>
      <c r="FH55" s="206">
        <f t="shared" ca="1" si="6"/>
        <v>1.2004939840691833</v>
      </c>
      <c r="FI55" s="198">
        <f t="shared" si="7"/>
        <v>1</v>
      </c>
      <c r="FJ55"/>
      <c r="FK55" t="str">
        <f t="shared" si="8"/>
        <v>GOLD COMERCIALIZADORA DE ENERGIA LTDA</v>
      </c>
      <c r="FL55" s="191">
        <f t="shared" ca="1" si="9"/>
        <v>78120</v>
      </c>
      <c r="FM55" s="191">
        <f t="shared" ca="1" si="10"/>
        <v>0</v>
      </c>
      <c r="FN55" s="190">
        <f>AB55*AB$2*IF($FC55="V",1,-1)*IF($Q55="Fixo",(CP55-INDEX('Curva Forward'!$C$5:$AN$13,MATCH(CONCATENATE(BD_COMERCIAL!$K55," ",BD_COMERCIAL!$L55),'Curva Forward'!$B$5:$B$13,0),MATCH(FN$4,'Curva Forward'!$C$4:$AN$4,0))),CP55)</f>
        <v>78120</v>
      </c>
      <c r="FO55" s="190">
        <f>AC55*AC$2*IF($FC55="V",1,-1)*IF($Q55="Fixo",(CQ55-INDEX('Curva Forward'!$C$5:$AN$13,MATCH(CONCATENATE(BD_COMERCIAL!$K55," ",BD_COMERCIAL!$L55),'Curva Forward'!$B$5:$B$13,0),MATCH(FO$4,'Curva Forward'!$C$4:$AN$4,0))),CQ55)</f>
        <v>0</v>
      </c>
      <c r="FP55" s="190">
        <f>AD55*AD$2*IF($FC55="V",1,-1)*IF($Q55="Fixo",(CR55-INDEX('Curva Forward'!$C$5:$AN$13,MATCH(CONCATENATE(BD_COMERCIAL!$K55," ",BD_COMERCIAL!$L55),'Curva Forward'!$B$5:$B$13,0),MATCH(FP$4,'Curva Forward'!$C$4:$AN$4,0))),CR55)</f>
        <v>0</v>
      </c>
      <c r="FQ55" s="190">
        <f>AE55*AE$2*IF($FC55="V",1,-1)*IF($Q55="Fixo",(CS55-INDEX('Curva Forward'!$C$5:$AN$13,MATCH(CONCATENATE(BD_COMERCIAL!$K55," ",BD_COMERCIAL!$L55),'Curva Forward'!$B$5:$B$13,0),MATCH(FQ$4,'Curva Forward'!$C$4:$AN$4,0))),CS55)</f>
        <v>0</v>
      </c>
      <c r="FR55" s="190">
        <f>AF55*AF$2*IF($FC55="V",1,-1)*IF($Q55="Fixo",(CT55-INDEX('Curva Forward'!$C$5:$AN$13,MATCH(CONCATENATE(BD_COMERCIAL!$K55," ",BD_COMERCIAL!$L55),'Curva Forward'!$B$5:$B$13,0),MATCH(FR$4,'Curva Forward'!$C$4:$AN$4,0))),CT55)</f>
        <v>0</v>
      </c>
      <c r="FS55" s="190">
        <f>AG55*AG$2*IF($FC55="V",1,-1)*IF($Q55="Fixo",(CU55-INDEX('Curva Forward'!$C$5:$AN$13,MATCH(CONCATENATE(BD_COMERCIAL!$K55," ",BD_COMERCIAL!$L55),'Curva Forward'!$B$5:$B$13,0),MATCH(FS$4,'Curva Forward'!$C$4:$AN$4,0))),CU55)</f>
        <v>0</v>
      </c>
      <c r="FT55" s="190">
        <f>AH55*AH$2*IF($FC55="V",1,-1)*IF($Q55="Fixo",(CV55-INDEX('Curva Forward'!$C$5:$AN$13,MATCH(CONCATENATE(BD_COMERCIAL!$K55," ",BD_COMERCIAL!$L55),'Curva Forward'!$B$5:$B$13,0),MATCH(FT$4,'Curva Forward'!$C$4:$AN$4,0))),CV55)</f>
        <v>0</v>
      </c>
      <c r="FU55" s="190">
        <f>AI55*AI$2*IF($FC55="V",1,-1)*IF($Q55="Fixo",(CW55-INDEX('Curva Forward'!$C$5:$AN$13,MATCH(CONCATENATE(BD_COMERCIAL!$K55," ",BD_COMERCIAL!$L55),'Curva Forward'!$B$5:$B$13,0),MATCH(FU$4,'Curva Forward'!$C$4:$AN$4,0))),CW55)</f>
        <v>0</v>
      </c>
      <c r="FV55" s="190">
        <f>AJ55*AJ$2*IF($FC55="V",1,-1)*IF($Q55="Fixo",(CX55-INDEX('Curva Forward'!$C$5:$AN$13,MATCH(CONCATENATE(BD_COMERCIAL!$K55," ",BD_COMERCIAL!$L55),'Curva Forward'!$B$5:$B$13,0),MATCH(FV$4,'Curva Forward'!$C$4:$AN$4,0))),CX55)</f>
        <v>0</v>
      </c>
      <c r="FW55" s="190">
        <f>AK55*AK$2*IF($FC55="V",1,-1)*IF($Q55="Fixo",(CY55-INDEX('Curva Forward'!$C$5:$AN$13,MATCH(CONCATENATE(BD_COMERCIAL!$K55," ",BD_COMERCIAL!$L55),'Curva Forward'!$B$5:$B$13,0),MATCH(FW$4,'Curva Forward'!$C$4:$AN$4,0))),CY55)</f>
        <v>0</v>
      </c>
      <c r="FX55" s="190">
        <f>AL55*AL$2*IF($FC55="V",1,-1)*IF($Q55="Fixo",(CZ55-INDEX('Curva Forward'!$C$5:$AN$13,MATCH(CONCATENATE(BD_COMERCIAL!$K55," ",BD_COMERCIAL!$L55),'Curva Forward'!$B$5:$B$13,0),MATCH(FX$4,'Curva Forward'!$C$4:$AN$4,0))),CZ55)</f>
        <v>0</v>
      </c>
      <c r="FY55" s="190">
        <f>AM55*AM$2*IF($FC55="V",1,-1)*IF($Q55="Fixo",(DA55-INDEX('Curva Forward'!$C$5:$AN$13,MATCH(CONCATENATE(BD_COMERCIAL!$K55," ",BD_COMERCIAL!$L55),'Curva Forward'!$B$5:$B$13,0),MATCH(FY$4,'Curva Forward'!$C$4:$AN$4,0))),DA55)</f>
        <v>0</v>
      </c>
      <c r="FZ55" s="190">
        <f>AN55*AN$2*IF($FC55="V",1,-1)*IF($Q55="Fixo",(DB55-INDEX('Curva Forward'!$C$5:$AN$13,MATCH(CONCATENATE(BD_COMERCIAL!$K55," ",BD_COMERCIAL!$L55),'Curva Forward'!$B$5:$B$13,0),MATCH(FZ$4,'Curva Forward'!$C$4:$AN$4,0))),DB55)</f>
        <v>0</v>
      </c>
      <c r="GA55" s="190">
        <f>AO55*AO$2*IF($FC55="V",1,-1)*IF($Q55="Fixo",(DC55-INDEX('Curva Forward'!$C$5:$AN$13,MATCH(CONCATENATE(BD_COMERCIAL!$K55," ",BD_COMERCIAL!$L55),'Curva Forward'!$B$5:$B$13,0),MATCH(GA$4,'Curva Forward'!$C$4:$AN$4,0))),DC55)</f>
        <v>0</v>
      </c>
      <c r="GB55" s="190">
        <f>AP55*AP$2*IF($FC55="V",1,-1)*IF($Q55="Fixo",(DD55-INDEX('Curva Forward'!$C$5:$AN$13,MATCH(CONCATENATE(BD_COMERCIAL!$K55," ",BD_COMERCIAL!$L55),'Curva Forward'!$B$5:$B$13,0),MATCH(GB$4,'Curva Forward'!$C$4:$AN$4,0))),DD55)</f>
        <v>0</v>
      </c>
      <c r="GC55" s="190">
        <f>AQ55*AQ$2*IF($FC55="V",1,-1)*IF($Q55="Fixo",(DE55-INDEX('Curva Forward'!$C$5:$AN$13,MATCH(CONCATENATE(BD_COMERCIAL!$K55," ",BD_COMERCIAL!$L55),'Curva Forward'!$B$5:$B$13,0),MATCH(GC$4,'Curva Forward'!$C$4:$AN$4,0))),DE55)</f>
        <v>0</v>
      </c>
      <c r="GD55" s="190">
        <f>AR55*AR$2*IF($FC55="V",1,-1)*IF($Q55="Fixo",(DF55-INDEX('Curva Forward'!$C$5:$AN$13,MATCH(CONCATENATE(BD_COMERCIAL!$K55," ",BD_COMERCIAL!$L55),'Curva Forward'!$B$5:$B$13,0),MATCH(GD$4,'Curva Forward'!$C$4:$AN$4,0))),DF55)</f>
        <v>0</v>
      </c>
      <c r="GE55" s="190">
        <f>AS55*AS$2*IF($FC55="V",1,-1)*IF($Q55="Fixo",(DG55-INDEX('Curva Forward'!$C$5:$AN$13,MATCH(CONCATENATE(BD_COMERCIAL!$K55," ",BD_COMERCIAL!$L55),'Curva Forward'!$B$5:$B$13,0),MATCH(GE$4,'Curva Forward'!$C$4:$AN$4,0))),DG55)</f>
        <v>0</v>
      </c>
      <c r="GF55" s="190">
        <f>AT55*AT$2*IF($FC55="V",1,-1)*IF($Q55="Fixo",(DH55-INDEX('Curva Forward'!$C$5:$AN$13,MATCH(CONCATENATE(BD_COMERCIAL!$K55," ",BD_COMERCIAL!$L55),'Curva Forward'!$B$5:$B$13,0),MATCH(GF$4,'Curva Forward'!$C$4:$AN$4,0))),DH55)</f>
        <v>0</v>
      </c>
      <c r="GG55" s="190">
        <f>AU55*AU$2*IF($FC55="V",1,-1)*IF($Q55="Fixo",(DI55-INDEX('Curva Forward'!$C$5:$AN$13,MATCH(CONCATENATE(BD_COMERCIAL!$K55," ",BD_COMERCIAL!$L55),'Curva Forward'!$B$5:$B$13,0),MATCH(GG$4,'Curva Forward'!$C$4:$AN$4,0))),DI55)</f>
        <v>0</v>
      </c>
      <c r="GH55" s="190">
        <f>AV55*AV$2*IF($FC55="V",1,-1)*IF($Q55="Fixo",(DJ55-INDEX('Curva Forward'!$C$5:$AN$13,MATCH(CONCATENATE(BD_COMERCIAL!$K55," ",BD_COMERCIAL!$L55),'Curva Forward'!$B$5:$B$13,0),MATCH(GH$4,'Curva Forward'!$C$4:$AN$4,0))),DJ55)</f>
        <v>0</v>
      </c>
      <c r="GI55" s="190">
        <f>AW55*AW$2*IF($FC55="V",1,-1)*IF($Q55="Fixo",(DK55-INDEX('Curva Forward'!$C$5:$AN$13,MATCH(CONCATENATE(BD_COMERCIAL!$K55," ",BD_COMERCIAL!$L55),'Curva Forward'!$B$5:$B$13,0),MATCH(GI$4,'Curva Forward'!$C$4:$AN$4,0))),DK55)</f>
        <v>0</v>
      </c>
      <c r="GJ55" s="190">
        <f>AX55*AX$2*IF($FC55="V",1,-1)*IF($Q55="Fixo",(DL55-INDEX('Curva Forward'!$C$5:$AN$13,MATCH(CONCATENATE(BD_COMERCIAL!$K55," ",BD_COMERCIAL!$L55),'Curva Forward'!$B$5:$B$13,0),MATCH(GJ$4,'Curva Forward'!$C$4:$AN$4,0))),DL55)</f>
        <v>0</v>
      </c>
      <c r="GK55" s="190">
        <f>AY55*AY$2*IF($FC55="V",1,-1)*IF($Q55="Fixo",(DM55-INDEX('Curva Forward'!$C$5:$AN$13,MATCH(CONCATENATE(BD_COMERCIAL!$K55," ",BD_COMERCIAL!$L55),'Curva Forward'!$B$5:$B$13,0),MATCH(GK$4,'Curva Forward'!$C$4:$AN$4,0))),DM55)</f>
        <v>0</v>
      </c>
      <c r="GL55" s="190">
        <f>IF(EZ55="",0,CL55*CL$2*IF($FC55="V",1,-1)*IF($Q55="Fixo",(EZ55-INDEX('Curva Forward'!$C$5:$AN$13,MATCH(CONCATENATE(BD_COMERCIAL!$K55," ",BD_COMERCIAL!$L55),'Curva Forward'!$B$5:$B$13,0),MATCH(GL$4,'Curva Forward'!$C$4:$AN$4,0))),EZ55))</f>
        <v>0</v>
      </c>
      <c r="GM55" s="190">
        <f>IF(FA55="",0,CM55*CM$2*IF($FC55="V",1,-1)*IF($Q55="Fixo",(FA55-INDEX('Curva Forward'!$C$5:$AN$13,MATCH(CONCATENATE(BD_COMERCIAL!$K55," ",BD_COMERCIAL!$L55),'Curva Forward'!$B$5:$B$13,0),MATCH(GM$4,'Curva Forward'!$C$4:$AN$4,0))),FA55))</f>
        <v>0</v>
      </c>
      <c r="GN55" s="190">
        <f>IF(FB55="",0,CN55*CN$2*IF($FC55="V",1,-1)*IF($Q55="Fixo",(FB55-INDEX('Curva Forward'!$C$5:$AN$13,MATCH(CONCATENATE(BD_COMERCIAL!$K55," ",BD_COMERCIAL!$L55),'Curva Forward'!$B$5:$B$13,0),MATCH(GN$4,'Curva Forward'!$C$4:$AN$4,0))),FB55))</f>
        <v>0</v>
      </c>
      <c r="GO55" s="191">
        <f t="shared" ca="1" si="11"/>
        <v>0</v>
      </c>
      <c r="GP55" s="191">
        <f t="shared" ca="1" si="12"/>
        <v>0</v>
      </c>
      <c r="GQ55" s="115"/>
      <c r="GR55" s="115"/>
      <c r="GS55"/>
      <c r="GT55" s="6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</row>
    <row r="56" spans="1:236" s="265" customFormat="1" ht="15" customHeight="1" x14ac:dyDescent="0.35">
      <c r="A56" s="251"/>
      <c r="B56" s="7" t="s">
        <v>412</v>
      </c>
      <c r="C56" s="8">
        <v>44827</v>
      </c>
      <c r="D56" s="9" t="s">
        <v>123</v>
      </c>
      <c r="E56" s="9" t="s">
        <v>381</v>
      </c>
      <c r="F56" s="112" t="s">
        <v>348</v>
      </c>
      <c r="G56" s="10" t="s">
        <v>193</v>
      </c>
      <c r="H56" s="112" t="s">
        <v>357</v>
      </c>
      <c r="I56" s="9" t="s">
        <v>137</v>
      </c>
      <c r="J56" s="158"/>
      <c r="K56" s="10" t="s">
        <v>126</v>
      </c>
      <c r="L56" s="84" t="s">
        <v>22</v>
      </c>
      <c r="M56" s="11">
        <v>45017</v>
      </c>
      <c r="N56" s="12">
        <v>45107</v>
      </c>
      <c r="O56" s="10">
        <v>3</v>
      </c>
      <c r="P56" s="84">
        <v>94.5</v>
      </c>
      <c r="Q56" s="84" t="s">
        <v>127</v>
      </c>
      <c r="R56" s="10" t="s">
        <v>128</v>
      </c>
      <c r="S56" s="14" t="s">
        <v>133</v>
      </c>
      <c r="T56" s="11" t="s">
        <v>129</v>
      </c>
      <c r="U56" s="12">
        <v>44827</v>
      </c>
      <c r="V56" s="202" t="e">
        <f ca="1">IF(U56="","",
IF(U56="NA","",
IFERROR(VLOOKUP(EOMONTH(M56,-2)+1,IPCA!$A:$B,2,0),
VLOOKUP(EOMONTH(TODAY(),-2)+1,IPCA!$A:$B,2,0))/
VLOOKUP(EOMONTH(U56,-2)+1,IPCA!$A:$B,2,0)*
P56))</f>
        <v>#N/A</v>
      </c>
      <c r="W56" s="84"/>
      <c r="X56" s="13" t="s">
        <v>132</v>
      </c>
      <c r="Y56" s="158"/>
      <c r="Z56" s="106"/>
      <c r="AA56" s="107"/>
      <c r="AB56" s="15"/>
      <c r="AC56"/>
      <c r="AD56"/>
      <c r="AE56">
        <v>3</v>
      </c>
      <c r="AF56">
        <v>3</v>
      </c>
      <c r="AG56">
        <v>3</v>
      </c>
      <c r="AH56"/>
      <c r="AI56"/>
      <c r="AJ56"/>
      <c r="AK56"/>
      <c r="AL56"/>
      <c r="AM56" s="6"/>
      <c r="AN56" s="15"/>
      <c r="AO56"/>
      <c r="AP56"/>
      <c r="AQ56"/>
      <c r="AR56"/>
      <c r="AS56"/>
      <c r="AT56"/>
      <c r="AU56"/>
      <c r="AV56"/>
      <c r="AW56"/>
      <c r="AX56"/>
      <c r="AY56" s="6"/>
      <c r="AZ56" s="15"/>
      <c r="BA56"/>
      <c r="BB56"/>
      <c r="BC56"/>
      <c r="BD56"/>
      <c r="BE56"/>
      <c r="BF56"/>
      <c r="BG56"/>
      <c r="BH56"/>
      <c r="BI56"/>
      <c r="BJ56"/>
      <c r="BK56" s="6"/>
      <c r="BL56" s="15"/>
      <c r="BM56"/>
      <c r="BN56"/>
      <c r="BO56"/>
      <c r="BP56"/>
      <c r="BQ56"/>
      <c r="BR56"/>
      <c r="BS56"/>
      <c r="BT56"/>
      <c r="BU56"/>
      <c r="BV56"/>
      <c r="BW56" s="6"/>
      <c r="BX56" s="15"/>
      <c r="BY56"/>
      <c r="BZ56"/>
      <c r="CA56"/>
      <c r="CB56"/>
      <c r="CC56"/>
      <c r="CD56"/>
      <c r="CE56"/>
      <c r="CF56"/>
      <c r="CG56"/>
      <c r="CH56"/>
      <c r="CI56" s="6"/>
      <c r="CJ56" s="16">
        <v>0.74794520547945209</v>
      </c>
      <c r="CK56" s="16" t="s">
        <v>578</v>
      </c>
      <c r="CL56" s="16" t="s">
        <v>578</v>
      </c>
      <c r="CM56" s="16" t="s">
        <v>578</v>
      </c>
      <c r="CN56" s="16" t="s">
        <v>578</v>
      </c>
      <c r="CO56" s="18"/>
      <c r="CP56" s="15"/>
      <c r="CQ56"/>
      <c r="CR56"/>
      <c r="CS56">
        <v>94.5</v>
      </c>
      <c r="CT56">
        <v>94.5</v>
      </c>
      <c r="CU56">
        <v>94.5</v>
      </c>
      <c r="CV56"/>
      <c r="CW56"/>
      <c r="CX56"/>
      <c r="CY56"/>
      <c r="CZ56"/>
      <c r="DA56" s="6"/>
      <c r="DB56" s="15"/>
      <c r="DC56"/>
      <c r="DD56"/>
      <c r="DE56"/>
      <c r="DF56"/>
      <c r="DG56"/>
      <c r="DH56"/>
      <c r="DI56"/>
      <c r="DJ56"/>
      <c r="DK56"/>
      <c r="DL56"/>
      <c r="DM56" s="6"/>
      <c r="DN56" s="15"/>
      <c r="DO56"/>
      <c r="DP56"/>
      <c r="DQ56"/>
      <c r="DR56"/>
      <c r="DS56"/>
      <c r="DT56"/>
      <c r="DU56"/>
      <c r="DV56"/>
      <c r="DW56"/>
      <c r="DX56"/>
      <c r="DY56" s="6"/>
      <c r="DZ56" s="15"/>
      <c r="EA56"/>
      <c r="EB56"/>
      <c r="EC56"/>
      <c r="ED56"/>
      <c r="EE56"/>
      <c r="EF56"/>
      <c r="EG56"/>
      <c r="EH56"/>
      <c r="EI56"/>
      <c r="EJ56"/>
      <c r="EK56" s="6"/>
      <c r="EL56" s="15"/>
      <c r="EM56"/>
      <c r="EN56"/>
      <c r="EO56"/>
      <c r="EP56"/>
      <c r="EQ56"/>
      <c r="ER56"/>
      <c r="ES56"/>
      <c r="ET56"/>
      <c r="EU56"/>
      <c r="EV56"/>
      <c r="EW56" s="6"/>
      <c r="EX56" s="16">
        <v>23.56027397260274</v>
      </c>
      <c r="EY56" s="16" t="s">
        <v>578</v>
      </c>
      <c r="EZ56" s="16" t="s">
        <v>578</v>
      </c>
      <c r="FA56" s="154" t="s">
        <v>578</v>
      </c>
      <c r="FB56" s="154" t="s">
        <v>578</v>
      </c>
      <c r="FC56" t="s">
        <v>195</v>
      </c>
      <c r="FD56" s="20" t="s">
        <v>137</v>
      </c>
      <c r="FE56"/>
      <c r="FF56" s="199" t="s">
        <v>197</v>
      </c>
      <c r="FG56"/>
      <c r="FH56" s="206" t="e">
        <f t="shared" ca="1" si="6"/>
        <v>#N/A</v>
      </c>
      <c r="FI56" s="198">
        <f t="shared" si="7"/>
        <v>3</v>
      </c>
      <c r="FJ56"/>
      <c r="FK56" t="str">
        <f t="shared" si="8"/>
        <v>Genial Energy Comercializadora de Energia Elétrica Ltda</v>
      </c>
      <c r="FL56" s="191">
        <f t="shared" ca="1" si="9"/>
        <v>0</v>
      </c>
      <c r="FM56" s="191">
        <f t="shared" ca="1" si="10"/>
        <v>162684</v>
      </c>
      <c r="FN56" s="190">
        <f>AB56*AB$2*IF($FC56="V",1,-1)*IF($Q56="Fixo",(CP56-INDEX('Curva Forward'!$C$5:$AN$13,MATCH(CONCATENATE(BD_COMERCIAL!$K56," ",BD_COMERCIAL!$L56),'Curva Forward'!$B$5:$B$13,0),MATCH(FN$4,'Curva Forward'!$C$4:$AN$4,0))),CP56)</f>
        <v>0</v>
      </c>
      <c r="FO56" s="190">
        <f>AC56*AC$2*IF($FC56="V",1,-1)*IF($Q56="Fixo",(CQ56-INDEX('Curva Forward'!$C$5:$AN$13,MATCH(CONCATENATE(BD_COMERCIAL!$K56," ",BD_COMERCIAL!$L56),'Curva Forward'!$B$5:$B$13,0),MATCH(FO$4,'Curva Forward'!$C$4:$AN$4,0))),CQ56)</f>
        <v>0</v>
      </c>
      <c r="FP56" s="190">
        <f>AD56*AD$2*IF($FC56="V",1,-1)*IF($Q56="Fixo",(CR56-INDEX('Curva Forward'!$C$5:$AN$13,MATCH(CONCATENATE(BD_COMERCIAL!$K56," ",BD_COMERCIAL!$L56),'Curva Forward'!$B$5:$B$13,0),MATCH(FP$4,'Curva Forward'!$C$4:$AN$4,0))),CR56)</f>
        <v>0</v>
      </c>
      <c r="FQ56" s="190">
        <f>AE56*AE$2*IF($FC56="V",1,-1)*IF($Q56="Fixo",(CS56-INDEX('Curva Forward'!$C$5:$AN$13,MATCH(CONCATENATE(BD_COMERCIAL!$K56," ",BD_COMERCIAL!$L56),'Curva Forward'!$B$5:$B$13,0),MATCH(FQ$4,'Curva Forward'!$C$4:$AN$4,0))),CS56)</f>
        <v>55080</v>
      </c>
      <c r="FR56" s="190">
        <f>AF56*AF$2*IF($FC56="V",1,-1)*IF($Q56="Fixo",(CT56-INDEX('Curva Forward'!$C$5:$AN$13,MATCH(CONCATENATE(BD_COMERCIAL!$K56," ",BD_COMERCIAL!$L56),'Curva Forward'!$B$5:$B$13,0),MATCH(FR$4,'Curva Forward'!$C$4:$AN$4,0))),CT56)</f>
        <v>54684</v>
      </c>
      <c r="FS56" s="190">
        <f>AG56*AG$2*IF($FC56="V",1,-1)*IF($Q56="Fixo",(CU56-INDEX('Curva Forward'!$C$5:$AN$13,MATCH(CONCATENATE(BD_COMERCIAL!$K56," ",BD_COMERCIAL!$L56),'Curva Forward'!$B$5:$B$13,0),MATCH(FS$4,'Curva Forward'!$C$4:$AN$4,0))),CU56)</f>
        <v>52920</v>
      </c>
      <c r="FT56" s="190">
        <f>AH56*AH$2*IF($FC56="V",1,-1)*IF($Q56="Fixo",(CV56-INDEX('Curva Forward'!$C$5:$AN$13,MATCH(CONCATENATE(BD_COMERCIAL!$K56," ",BD_COMERCIAL!$L56),'Curva Forward'!$B$5:$B$13,0),MATCH(FT$4,'Curva Forward'!$C$4:$AN$4,0))),CV56)</f>
        <v>0</v>
      </c>
      <c r="FU56" s="190">
        <f>AI56*AI$2*IF($FC56="V",1,-1)*IF($Q56="Fixo",(CW56-INDEX('Curva Forward'!$C$5:$AN$13,MATCH(CONCATENATE(BD_COMERCIAL!$K56," ",BD_COMERCIAL!$L56),'Curva Forward'!$B$5:$B$13,0),MATCH(FU$4,'Curva Forward'!$C$4:$AN$4,0))),CW56)</f>
        <v>0</v>
      </c>
      <c r="FV56" s="190">
        <f>AJ56*AJ$2*IF($FC56="V",1,-1)*IF($Q56="Fixo",(CX56-INDEX('Curva Forward'!$C$5:$AN$13,MATCH(CONCATENATE(BD_COMERCIAL!$K56," ",BD_COMERCIAL!$L56),'Curva Forward'!$B$5:$B$13,0),MATCH(FV$4,'Curva Forward'!$C$4:$AN$4,0))),CX56)</f>
        <v>0</v>
      </c>
      <c r="FW56" s="190">
        <f>AK56*AK$2*IF($FC56="V",1,-1)*IF($Q56="Fixo",(CY56-INDEX('Curva Forward'!$C$5:$AN$13,MATCH(CONCATENATE(BD_COMERCIAL!$K56," ",BD_COMERCIAL!$L56),'Curva Forward'!$B$5:$B$13,0),MATCH(FW$4,'Curva Forward'!$C$4:$AN$4,0))),CY56)</f>
        <v>0</v>
      </c>
      <c r="FX56" s="190">
        <f>AL56*AL$2*IF($FC56="V",1,-1)*IF($Q56="Fixo",(CZ56-INDEX('Curva Forward'!$C$5:$AN$13,MATCH(CONCATENATE(BD_COMERCIAL!$K56," ",BD_COMERCIAL!$L56),'Curva Forward'!$B$5:$B$13,0),MATCH(FX$4,'Curva Forward'!$C$4:$AN$4,0))),CZ56)</f>
        <v>0</v>
      </c>
      <c r="FY56" s="190">
        <f>AM56*AM$2*IF($FC56="V",1,-1)*IF($Q56="Fixo",(DA56-INDEX('Curva Forward'!$C$5:$AN$13,MATCH(CONCATENATE(BD_COMERCIAL!$K56," ",BD_COMERCIAL!$L56),'Curva Forward'!$B$5:$B$13,0),MATCH(FY$4,'Curva Forward'!$C$4:$AN$4,0))),DA56)</f>
        <v>0</v>
      </c>
      <c r="FZ56" s="190">
        <f>AN56*AN$2*IF($FC56="V",1,-1)*IF($Q56="Fixo",(DB56-INDEX('Curva Forward'!$C$5:$AN$13,MATCH(CONCATENATE(BD_COMERCIAL!$K56," ",BD_COMERCIAL!$L56),'Curva Forward'!$B$5:$B$13,0),MATCH(FZ$4,'Curva Forward'!$C$4:$AN$4,0))),DB56)</f>
        <v>0</v>
      </c>
      <c r="GA56" s="190">
        <f>AO56*AO$2*IF($FC56="V",1,-1)*IF($Q56="Fixo",(DC56-INDEX('Curva Forward'!$C$5:$AN$13,MATCH(CONCATENATE(BD_COMERCIAL!$K56," ",BD_COMERCIAL!$L56),'Curva Forward'!$B$5:$B$13,0),MATCH(GA$4,'Curva Forward'!$C$4:$AN$4,0))),DC56)</f>
        <v>0</v>
      </c>
      <c r="GB56" s="190">
        <f>AP56*AP$2*IF($FC56="V",1,-1)*IF($Q56="Fixo",(DD56-INDEX('Curva Forward'!$C$5:$AN$13,MATCH(CONCATENATE(BD_COMERCIAL!$K56," ",BD_COMERCIAL!$L56),'Curva Forward'!$B$5:$B$13,0),MATCH(GB$4,'Curva Forward'!$C$4:$AN$4,0))),DD56)</f>
        <v>0</v>
      </c>
      <c r="GC56" s="190">
        <f>AQ56*AQ$2*IF($FC56="V",1,-1)*IF($Q56="Fixo",(DE56-INDEX('Curva Forward'!$C$5:$AN$13,MATCH(CONCATENATE(BD_COMERCIAL!$K56," ",BD_COMERCIAL!$L56),'Curva Forward'!$B$5:$B$13,0),MATCH(GC$4,'Curva Forward'!$C$4:$AN$4,0))),DE56)</f>
        <v>0</v>
      </c>
      <c r="GD56" s="190">
        <f>AR56*AR$2*IF($FC56="V",1,-1)*IF($Q56="Fixo",(DF56-INDEX('Curva Forward'!$C$5:$AN$13,MATCH(CONCATENATE(BD_COMERCIAL!$K56," ",BD_COMERCIAL!$L56),'Curva Forward'!$B$5:$B$13,0),MATCH(GD$4,'Curva Forward'!$C$4:$AN$4,0))),DF56)</f>
        <v>0</v>
      </c>
      <c r="GE56" s="190">
        <f>AS56*AS$2*IF($FC56="V",1,-1)*IF($Q56="Fixo",(DG56-INDEX('Curva Forward'!$C$5:$AN$13,MATCH(CONCATENATE(BD_COMERCIAL!$K56," ",BD_COMERCIAL!$L56),'Curva Forward'!$B$5:$B$13,0),MATCH(GE$4,'Curva Forward'!$C$4:$AN$4,0))),DG56)</f>
        <v>0</v>
      </c>
      <c r="GF56" s="190">
        <f>AT56*AT$2*IF($FC56="V",1,-1)*IF($Q56="Fixo",(DH56-INDEX('Curva Forward'!$C$5:$AN$13,MATCH(CONCATENATE(BD_COMERCIAL!$K56," ",BD_COMERCIAL!$L56),'Curva Forward'!$B$5:$B$13,0),MATCH(GF$4,'Curva Forward'!$C$4:$AN$4,0))),DH56)</f>
        <v>0</v>
      </c>
      <c r="GG56" s="190">
        <f>AU56*AU$2*IF($FC56="V",1,-1)*IF($Q56="Fixo",(DI56-INDEX('Curva Forward'!$C$5:$AN$13,MATCH(CONCATENATE(BD_COMERCIAL!$K56," ",BD_COMERCIAL!$L56),'Curva Forward'!$B$5:$B$13,0),MATCH(GG$4,'Curva Forward'!$C$4:$AN$4,0))),DI56)</f>
        <v>0</v>
      </c>
      <c r="GH56" s="190">
        <f>AV56*AV$2*IF($FC56="V",1,-1)*IF($Q56="Fixo",(DJ56-INDEX('Curva Forward'!$C$5:$AN$13,MATCH(CONCATENATE(BD_COMERCIAL!$K56," ",BD_COMERCIAL!$L56),'Curva Forward'!$B$5:$B$13,0),MATCH(GH$4,'Curva Forward'!$C$4:$AN$4,0))),DJ56)</f>
        <v>0</v>
      </c>
      <c r="GI56" s="190">
        <f>AW56*AW$2*IF($FC56="V",1,-1)*IF($Q56="Fixo",(DK56-INDEX('Curva Forward'!$C$5:$AN$13,MATCH(CONCATENATE(BD_COMERCIAL!$K56," ",BD_COMERCIAL!$L56),'Curva Forward'!$B$5:$B$13,0),MATCH(GI$4,'Curva Forward'!$C$4:$AN$4,0))),DK56)</f>
        <v>0</v>
      </c>
      <c r="GJ56" s="190">
        <f>AX56*AX$2*IF($FC56="V",1,-1)*IF($Q56="Fixo",(DL56-INDEX('Curva Forward'!$C$5:$AN$13,MATCH(CONCATENATE(BD_COMERCIAL!$K56," ",BD_COMERCIAL!$L56),'Curva Forward'!$B$5:$B$13,0),MATCH(GJ$4,'Curva Forward'!$C$4:$AN$4,0))),DL56)</f>
        <v>0</v>
      </c>
      <c r="GK56" s="190">
        <f>AY56*AY$2*IF($FC56="V",1,-1)*IF($Q56="Fixo",(DM56-INDEX('Curva Forward'!$C$5:$AN$13,MATCH(CONCATENATE(BD_COMERCIAL!$K56," ",BD_COMERCIAL!$L56),'Curva Forward'!$B$5:$B$13,0),MATCH(GK$4,'Curva Forward'!$C$4:$AN$4,0))),DM56)</f>
        <v>0</v>
      </c>
      <c r="GL56" s="190">
        <f>IF(EZ56="",0,CL56*CL$2*IF($FC56="V",1,-1)*IF($Q56="Fixo",(EZ56-INDEX('Curva Forward'!$C$5:$AN$13,MATCH(CONCATENATE(BD_COMERCIAL!$K56," ",BD_COMERCIAL!$L56),'Curva Forward'!$B$5:$B$13,0),MATCH(GL$4,'Curva Forward'!$C$4:$AN$4,0))),EZ56))</f>
        <v>0</v>
      </c>
      <c r="GM56" s="190">
        <f>IF(FA56="",0,CM56*CM$2*IF($FC56="V",1,-1)*IF($Q56="Fixo",(FA56-INDEX('Curva Forward'!$C$5:$AN$13,MATCH(CONCATENATE(BD_COMERCIAL!$K56," ",BD_COMERCIAL!$L56),'Curva Forward'!$B$5:$B$13,0),MATCH(GM$4,'Curva Forward'!$C$4:$AN$4,0))),FA56))</f>
        <v>0</v>
      </c>
      <c r="GN56" s="190">
        <f>IF(FB56="",0,CN56*CN$2*IF($FC56="V",1,-1)*IF($Q56="Fixo",(FB56-INDEX('Curva Forward'!$C$5:$AN$13,MATCH(CONCATENATE(BD_COMERCIAL!$K56," ",BD_COMERCIAL!$L56),'Curva Forward'!$B$5:$B$13,0),MATCH(GN$4,'Curva Forward'!$C$4:$AN$4,0))),FB56))</f>
        <v>0</v>
      </c>
      <c r="GO56" s="191">
        <f t="shared" ca="1" si="11"/>
        <v>162684</v>
      </c>
      <c r="GP56" s="191">
        <f t="shared" ca="1" si="12"/>
        <v>0</v>
      </c>
      <c r="GQ56" s="115"/>
      <c r="GR56" s="115"/>
      <c r="GS56"/>
      <c r="GT56" s="65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</row>
    <row r="57" spans="1:236" s="265" customFormat="1" ht="15" customHeight="1" x14ac:dyDescent="0.35">
      <c r="A57" s="251"/>
      <c r="B57" s="7" t="s">
        <v>414</v>
      </c>
      <c r="C57" s="8">
        <v>44840</v>
      </c>
      <c r="D57" s="9" t="s">
        <v>130</v>
      </c>
      <c r="E57" s="9" t="s">
        <v>182</v>
      </c>
      <c r="F57" s="112" t="s">
        <v>415</v>
      </c>
      <c r="G57" s="10" t="s">
        <v>381</v>
      </c>
      <c r="H57" s="112" t="s">
        <v>348</v>
      </c>
      <c r="I57" s="9" t="s">
        <v>125</v>
      </c>
      <c r="J57" s="158" t="s">
        <v>416</v>
      </c>
      <c r="K57" s="10" t="s">
        <v>126</v>
      </c>
      <c r="L57" s="84" t="s">
        <v>22</v>
      </c>
      <c r="M57" s="11">
        <v>45017</v>
      </c>
      <c r="N57" s="12">
        <v>45107</v>
      </c>
      <c r="O57" s="10">
        <v>1.7</v>
      </c>
      <c r="P57" s="84">
        <v>75</v>
      </c>
      <c r="Q57" s="84" t="s">
        <v>127</v>
      </c>
      <c r="R57" s="10" t="s">
        <v>128</v>
      </c>
      <c r="S57" s="14" t="s">
        <v>133</v>
      </c>
      <c r="T57" s="11"/>
      <c r="U57" s="12"/>
      <c r="V57" s="202" t="str">
        <f ca="1">IF(U57="","",
IF(U57="NA","",
IFERROR(VLOOKUP(EOMONTH(M57,-2)+1,IPCA!$A:$B,2,0),
VLOOKUP(EOMONTH(TODAY(),-2)+1,IPCA!$A:$B,2,0))/
VLOOKUP(EOMONTH(U57,-2)+1,IPCA!$A:$B,2,0)*
P57))</f>
        <v/>
      </c>
      <c r="W57" s="84"/>
      <c r="X57" s="13" t="s">
        <v>132</v>
      </c>
      <c r="Y57" s="158"/>
      <c r="Z57" s="106"/>
      <c r="AA57" s="107"/>
      <c r="AB57" s="15"/>
      <c r="AC57"/>
      <c r="AD57"/>
      <c r="AE57">
        <v>1.7</v>
      </c>
      <c r="AF57">
        <v>1.7</v>
      </c>
      <c r="AG57">
        <v>1.7</v>
      </c>
      <c r="AH57"/>
      <c r="AI57"/>
      <c r="AJ57"/>
      <c r="AK57"/>
      <c r="AL57"/>
      <c r="AM57" s="6"/>
      <c r="AN57" s="15"/>
      <c r="AO57"/>
      <c r="AP57"/>
      <c r="AQ57"/>
      <c r="AR57"/>
      <c r="AS57"/>
      <c r="AT57"/>
      <c r="AU57"/>
      <c r="AV57"/>
      <c r="AW57"/>
      <c r="AX57"/>
      <c r="AY57" s="6"/>
      <c r="AZ57" s="15"/>
      <c r="BA57"/>
      <c r="BB57"/>
      <c r="BC57"/>
      <c r="BD57"/>
      <c r="BE57"/>
      <c r="BF57"/>
      <c r="BG57"/>
      <c r="BH57"/>
      <c r="BI57"/>
      <c r="BJ57"/>
      <c r="BK57" s="6"/>
      <c r="BL57" s="15"/>
      <c r="BM57"/>
      <c r="BN57"/>
      <c r="BO57"/>
      <c r="BP57"/>
      <c r="BQ57"/>
      <c r="BR57"/>
      <c r="BS57"/>
      <c r="BT57"/>
      <c r="BU57"/>
      <c r="BV57"/>
      <c r="BW57" s="6"/>
      <c r="BX57" s="15"/>
      <c r="BY57"/>
      <c r="BZ57"/>
      <c r="CA57"/>
      <c r="CB57"/>
      <c r="CC57"/>
      <c r="CD57"/>
      <c r="CE57"/>
      <c r="CF57"/>
      <c r="CG57"/>
      <c r="CH57"/>
      <c r="CI57" s="6"/>
      <c r="CJ57" s="16">
        <v>0.42383561643835621</v>
      </c>
      <c r="CK57" s="16" t="s">
        <v>578</v>
      </c>
      <c r="CL57" s="16" t="s">
        <v>578</v>
      </c>
      <c r="CM57" s="16" t="s">
        <v>578</v>
      </c>
      <c r="CN57" s="16" t="s">
        <v>578</v>
      </c>
      <c r="CO57" s="18"/>
      <c r="CP57" s="15"/>
      <c r="CQ57"/>
      <c r="CR57"/>
      <c r="CS57">
        <v>75</v>
      </c>
      <c r="CT57">
        <v>75</v>
      </c>
      <c r="CU57">
        <v>75</v>
      </c>
      <c r="CV57"/>
      <c r="CW57"/>
      <c r="CX57"/>
      <c r="CY57"/>
      <c r="CZ57"/>
      <c r="DA57" s="6"/>
      <c r="DB57" s="15"/>
      <c r="DC57"/>
      <c r="DD57"/>
      <c r="DE57"/>
      <c r="DF57"/>
      <c r="DG57"/>
      <c r="DH57"/>
      <c r="DI57"/>
      <c r="DJ57"/>
      <c r="DK57"/>
      <c r="DL57"/>
      <c r="DM57" s="6"/>
      <c r="DN57" s="15"/>
      <c r="DO57"/>
      <c r="DP57"/>
      <c r="DQ57"/>
      <c r="DR57"/>
      <c r="DS57"/>
      <c r="DT57"/>
      <c r="DU57"/>
      <c r="DV57"/>
      <c r="DW57"/>
      <c r="DX57"/>
      <c r="DY57" s="6"/>
      <c r="DZ57" s="15"/>
      <c r="EA57"/>
      <c r="EB57"/>
      <c r="EC57"/>
      <c r="ED57"/>
      <c r="EE57"/>
      <c r="EF57"/>
      <c r="EG57"/>
      <c r="EH57"/>
      <c r="EI57"/>
      <c r="EJ57"/>
      <c r="EK57" s="6"/>
      <c r="EL57" s="15"/>
      <c r="EM57"/>
      <c r="EN57"/>
      <c r="EO57"/>
      <c r="EP57"/>
      <c r="EQ57"/>
      <c r="ER57"/>
      <c r="ES57"/>
      <c r="ET57"/>
      <c r="EU57"/>
      <c r="EV57"/>
      <c r="EW57" s="6"/>
      <c r="EX57" s="16">
        <v>18.698630136986303</v>
      </c>
      <c r="EY57" s="16" t="s">
        <v>578</v>
      </c>
      <c r="EZ57" s="16" t="s">
        <v>578</v>
      </c>
      <c r="FA57" s="154" t="s">
        <v>578</v>
      </c>
      <c r="FB57" s="154" t="s">
        <v>578</v>
      </c>
      <c r="FC57" t="s">
        <v>196</v>
      </c>
      <c r="FD57" s="20" t="s">
        <v>125</v>
      </c>
      <c r="FE57"/>
      <c r="FF57" s="199" t="s">
        <v>197</v>
      </c>
      <c r="FG57"/>
      <c r="FH57" s="206">
        <f t="shared" ca="1" si="6"/>
        <v>0</v>
      </c>
      <c r="FI57" s="198">
        <f t="shared" si="7"/>
        <v>3</v>
      </c>
      <c r="FJ57"/>
      <c r="FK57" t="str">
        <f t="shared" si="8"/>
        <v>Norsk Hydro Energia Ltda</v>
      </c>
      <c r="FL57" s="191">
        <f t="shared" ca="1" si="9"/>
        <v>0</v>
      </c>
      <c r="FM57" s="191">
        <f t="shared" ca="1" si="10"/>
        <v>-19788</v>
      </c>
      <c r="FN57" s="190">
        <f>AB57*AB$2*IF($FC57="V",1,-1)*IF($Q57="Fixo",(CP57-INDEX('Curva Forward'!$C$5:$AN$13,MATCH(CONCATENATE(BD_COMERCIAL!$K57," ",BD_COMERCIAL!$L57),'Curva Forward'!$B$5:$B$13,0),MATCH(FN$4,'Curva Forward'!$C$4:$AN$4,0))),CP57)</f>
        <v>0</v>
      </c>
      <c r="FO57" s="190">
        <f>AC57*AC$2*IF($FC57="V",1,-1)*IF($Q57="Fixo",(CQ57-INDEX('Curva Forward'!$C$5:$AN$13,MATCH(CONCATENATE(BD_COMERCIAL!$K57," ",BD_COMERCIAL!$L57),'Curva Forward'!$B$5:$B$13,0),MATCH(FO$4,'Curva Forward'!$C$4:$AN$4,0))),CQ57)</f>
        <v>0</v>
      </c>
      <c r="FP57" s="190">
        <f>AD57*AD$2*IF($FC57="V",1,-1)*IF($Q57="Fixo",(CR57-INDEX('Curva Forward'!$C$5:$AN$13,MATCH(CONCATENATE(BD_COMERCIAL!$K57," ",BD_COMERCIAL!$L57),'Curva Forward'!$B$5:$B$13,0),MATCH(FP$4,'Curva Forward'!$C$4:$AN$4,0))),CR57)</f>
        <v>0</v>
      </c>
      <c r="FQ57" s="190">
        <f>AE57*AE$2*IF($FC57="V",1,-1)*IF($Q57="Fixo",(CS57-INDEX('Curva Forward'!$C$5:$AN$13,MATCH(CONCATENATE(BD_COMERCIAL!$K57," ",BD_COMERCIAL!$L57),'Curva Forward'!$B$5:$B$13,0),MATCH(FQ$4,'Curva Forward'!$C$4:$AN$4,0))),CS57)</f>
        <v>-7344</v>
      </c>
      <c r="FR57" s="190">
        <f>AF57*AF$2*IF($FC57="V",1,-1)*IF($Q57="Fixo",(CT57-INDEX('Curva Forward'!$C$5:$AN$13,MATCH(CONCATENATE(BD_COMERCIAL!$K57," ",BD_COMERCIAL!$L57),'Curva Forward'!$B$5:$B$13,0),MATCH(FR$4,'Curva Forward'!$C$4:$AN$4,0))),CT57)</f>
        <v>-6324</v>
      </c>
      <c r="FS57" s="190">
        <f>AG57*AG$2*IF($FC57="V",1,-1)*IF($Q57="Fixo",(CU57-INDEX('Curva Forward'!$C$5:$AN$13,MATCH(CONCATENATE(BD_COMERCIAL!$K57," ",BD_COMERCIAL!$L57),'Curva Forward'!$B$5:$B$13,0),MATCH(FS$4,'Curva Forward'!$C$4:$AN$4,0))),CU57)</f>
        <v>-6120</v>
      </c>
      <c r="FT57" s="190">
        <f>AH57*AH$2*IF($FC57="V",1,-1)*IF($Q57="Fixo",(CV57-INDEX('Curva Forward'!$C$5:$AN$13,MATCH(CONCATENATE(BD_COMERCIAL!$K57," ",BD_COMERCIAL!$L57),'Curva Forward'!$B$5:$B$13,0),MATCH(FT$4,'Curva Forward'!$C$4:$AN$4,0))),CV57)</f>
        <v>0</v>
      </c>
      <c r="FU57" s="190">
        <f>AI57*AI$2*IF($FC57="V",1,-1)*IF($Q57="Fixo",(CW57-INDEX('Curva Forward'!$C$5:$AN$13,MATCH(CONCATENATE(BD_COMERCIAL!$K57," ",BD_COMERCIAL!$L57),'Curva Forward'!$B$5:$B$13,0),MATCH(FU$4,'Curva Forward'!$C$4:$AN$4,0))),CW57)</f>
        <v>0</v>
      </c>
      <c r="FV57" s="190">
        <f>AJ57*AJ$2*IF($FC57="V",1,-1)*IF($Q57="Fixo",(CX57-INDEX('Curva Forward'!$C$5:$AN$13,MATCH(CONCATENATE(BD_COMERCIAL!$K57," ",BD_COMERCIAL!$L57),'Curva Forward'!$B$5:$B$13,0),MATCH(FV$4,'Curva Forward'!$C$4:$AN$4,0))),CX57)</f>
        <v>0</v>
      </c>
      <c r="FW57" s="190">
        <f>AK57*AK$2*IF($FC57="V",1,-1)*IF($Q57="Fixo",(CY57-INDEX('Curva Forward'!$C$5:$AN$13,MATCH(CONCATENATE(BD_COMERCIAL!$K57," ",BD_COMERCIAL!$L57),'Curva Forward'!$B$5:$B$13,0),MATCH(FW$4,'Curva Forward'!$C$4:$AN$4,0))),CY57)</f>
        <v>0</v>
      </c>
      <c r="FX57" s="190">
        <f>AL57*AL$2*IF($FC57="V",1,-1)*IF($Q57="Fixo",(CZ57-INDEX('Curva Forward'!$C$5:$AN$13,MATCH(CONCATENATE(BD_COMERCIAL!$K57," ",BD_COMERCIAL!$L57),'Curva Forward'!$B$5:$B$13,0),MATCH(FX$4,'Curva Forward'!$C$4:$AN$4,0))),CZ57)</f>
        <v>0</v>
      </c>
      <c r="FY57" s="190">
        <f>AM57*AM$2*IF($FC57="V",1,-1)*IF($Q57="Fixo",(DA57-INDEX('Curva Forward'!$C$5:$AN$13,MATCH(CONCATENATE(BD_COMERCIAL!$K57," ",BD_COMERCIAL!$L57),'Curva Forward'!$B$5:$B$13,0),MATCH(FY$4,'Curva Forward'!$C$4:$AN$4,0))),DA57)</f>
        <v>0</v>
      </c>
      <c r="FZ57" s="190">
        <f>AN57*AN$2*IF($FC57="V",1,-1)*IF($Q57="Fixo",(DB57-INDEX('Curva Forward'!$C$5:$AN$13,MATCH(CONCATENATE(BD_COMERCIAL!$K57," ",BD_COMERCIAL!$L57),'Curva Forward'!$B$5:$B$13,0),MATCH(FZ$4,'Curva Forward'!$C$4:$AN$4,0))),DB57)</f>
        <v>0</v>
      </c>
      <c r="GA57" s="190">
        <f>AO57*AO$2*IF($FC57="V",1,-1)*IF($Q57="Fixo",(DC57-INDEX('Curva Forward'!$C$5:$AN$13,MATCH(CONCATENATE(BD_COMERCIAL!$K57," ",BD_COMERCIAL!$L57),'Curva Forward'!$B$5:$B$13,0),MATCH(GA$4,'Curva Forward'!$C$4:$AN$4,0))),DC57)</f>
        <v>0</v>
      </c>
      <c r="GB57" s="190">
        <f>AP57*AP$2*IF($FC57="V",1,-1)*IF($Q57="Fixo",(DD57-INDEX('Curva Forward'!$C$5:$AN$13,MATCH(CONCATENATE(BD_COMERCIAL!$K57," ",BD_COMERCIAL!$L57),'Curva Forward'!$B$5:$B$13,0),MATCH(GB$4,'Curva Forward'!$C$4:$AN$4,0))),DD57)</f>
        <v>0</v>
      </c>
      <c r="GC57" s="190">
        <f>AQ57*AQ$2*IF($FC57="V",1,-1)*IF($Q57="Fixo",(DE57-INDEX('Curva Forward'!$C$5:$AN$13,MATCH(CONCATENATE(BD_COMERCIAL!$K57," ",BD_COMERCIAL!$L57),'Curva Forward'!$B$5:$B$13,0),MATCH(GC$4,'Curva Forward'!$C$4:$AN$4,0))),DE57)</f>
        <v>0</v>
      </c>
      <c r="GD57" s="190">
        <f>AR57*AR$2*IF($FC57="V",1,-1)*IF($Q57="Fixo",(DF57-INDEX('Curva Forward'!$C$5:$AN$13,MATCH(CONCATENATE(BD_COMERCIAL!$K57," ",BD_COMERCIAL!$L57),'Curva Forward'!$B$5:$B$13,0),MATCH(GD$4,'Curva Forward'!$C$4:$AN$4,0))),DF57)</f>
        <v>0</v>
      </c>
      <c r="GE57" s="190">
        <f>AS57*AS$2*IF($FC57="V",1,-1)*IF($Q57="Fixo",(DG57-INDEX('Curva Forward'!$C$5:$AN$13,MATCH(CONCATENATE(BD_COMERCIAL!$K57," ",BD_COMERCIAL!$L57),'Curva Forward'!$B$5:$B$13,0),MATCH(GE$4,'Curva Forward'!$C$4:$AN$4,0))),DG57)</f>
        <v>0</v>
      </c>
      <c r="GF57" s="190">
        <f>AT57*AT$2*IF($FC57="V",1,-1)*IF($Q57="Fixo",(DH57-INDEX('Curva Forward'!$C$5:$AN$13,MATCH(CONCATENATE(BD_COMERCIAL!$K57," ",BD_COMERCIAL!$L57),'Curva Forward'!$B$5:$B$13,0),MATCH(GF$4,'Curva Forward'!$C$4:$AN$4,0))),DH57)</f>
        <v>0</v>
      </c>
      <c r="GG57" s="190">
        <f>AU57*AU$2*IF($FC57="V",1,-1)*IF($Q57="Fixo",(DI57-INDEX('Curva Forward'!$C$5:$AN$13,MATCH(CONCATENATE(BD_COMERCIAL!$K57," ",BD_COMERCIAL!$L57),'Curva Forward'!$B$5:$B$13,0),MATCH(GG$4,'Curva Forward'!$C$4:$AN$4,0))),DI57)</f>
        <v>0</v>
      </c>
      <c r="GH57" s="190">
        <f>AV57*AV$2*IF($FC57="V",1,-1)*IF($Q57="Fixo",(DJ57-INDEX('Curva Forward'!$C$5:$AN$13,MATCH(CONCATENATE(BD_COMERCIAL!$K57," ",BD_COMERCIAL!$L57),'Curva Forward'!$B$5:$B$13,0),MATCH(GH$4,'Curva Forward'!$C$4:$AN$4,0))),DJ57)</f>
        <v>0</v>
      </c>
      <c r="GI57" s="190">
        <f>AW57*AW$2*IF($FC57="V",1,-1)*IF($Q57="Fixo",(DK57-INDEX('Curva Forward'!$C$5:$AN$13,MATCH(CONCATENATE(BD_COMERCIAL!$K57," ",BD_COMERCIAL!$L57),'Curva Forward'!$B$5:$B$13,0),MATCH(GI$4,'Curva Forward'!$C$4:$AN$4,0))),DK57)</f>
        <v>0</v>
      </c>
      <c r="GJ57" s="190">
        <f>AX57*AX$2*IF($FC57="V",1,-1)*IF($Q57="Fixo",(DL57-INDEX('Curva Forward'!$C$5:$AN$13,MATCH(CONCATENATE(BD_COMERCIAL!$K57," ",BD_COMERCIAL!$L57),'Curva Forward'!$B$5:$B$13,0),MATCH(GJ$4,'Curva Forward'!$C$4:$AN$4,0))),DL57)</f>
        <v>0</v>
      </c>
      <c r="GK57" s="190">
        <f>AY57*AY$2*IF($FC57="V",1,-1)*IF($Q57="Fixo",(DM57-INDEX('Curva Forward'!$C$5:$AN$13,MATCH(CONCATENATE(BD_COMERCIAL!$K57," ",BD_COMERCIAL!$L57),'Curva Forward'!$B$5:$B$13,0),MATCH(GK$4,'Curva Forward'!$C$4:$AN$4,0))),DM57)</f>
        <v>0</v>
      </c>
      <c r="GL57" s="190">
        <f>IF(EZ57="",0,CL57*CL$2*IF($FC57="V",1,-1)*IF($Q57="Fixo",(EZ57-INDEX('Curva Forward'!$C$5:$AN$13,MATCH(CONCATENATE(BD_COMERCIAL!$K57," ",BD_COMERCIAL!$L57),'Curva Forward'!$B$5:$B$13,0),MATCH(GL$4,'Curva Forward'!$C$4:$AN$4,0))),EZ57))</f>
        <v>0</v>
      </c>
      <c r="GM57" s="190">
        <f>IF(FA57="",0,CM57*CM$2*IF($FC57="V",1,-1)*IF($Q57="Fixo",(FA57-INDEX('Curva Forward'!$C$5:$AN$13,MATCH(CONCATENATE(BD_COMERCIAL!$K57," ",BD_COMERCIAL!$L57),'Curva Forward'!$B$5:$B$13,0),MATCH(GM$4,'Curva Forward'!$C$4:$AN$4,0))),FA57))</f>
        <v>0</v>
      </c>
      <c r="GN57" s="190">
        <f>IF(FB57="",0,CN57*CN$2*IF($FC57="V",1,-1)*IF($Q57="Fixo",(FB57-INDEX('Curva Forward'!$C$5:$AN$13,MATCH(CONCATENATE(BD_COMERCIAL!$K57," ",BD_COMERCIAL!$L57),'Curva Forward'!$B$5:$B$13,0),MATCH(GN$4,'Curva Forward'!$C$4:$AN$4,0))),FB57))</f>
        <v>0</v>
      </c>
      <c r="GO57" s="191">
        <f t="shared" ca="1" si="11"/>
        <v>0</v>
      </c>
      <c r="GP57" s="191">
        <f t="shared" ca="1" si="12"/>
        <v>-19788</v>
      </c>
      <c r="GQ57" s="115"/>
      <c r="GR57" s="115"/>
      <c r="GS57"/>
      <c r="GT57" s="65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</row>
    <row r="58" spans="1:236" s="265" customFormat="1" ht="15" customHeight="1" x14ac:dyDescent="0.35">
      <c r="A58" s="251"/>
      <c r="B58" s="7" t="s">
        <v>417</v>
      </c>
      <c r="C58" s="8">
        <v>44840</v>
      </c>
      <c r="D58" s="9" t="s">
        <v>130</v>
      </c>
      <c r="E58" s="9" t="s">
        <v>418</v>
      </c>
      <c r="F58" s="112" t="s">
        <v>419</v>
      </c>
      <c r="G58" s="10" t="s">
        <v>381</v>
      </c>
      <c r="H58" s="112" t="s">
        <v>348</v>
      </c>
      <c r="I58" s="9" t="s">
        <v>125</v>
      </c>
      <c r="J58" s="158" t="s">
        <v>416</v>
      </c>
      <c r="K58" s="10" t="s">
        <v>126</v>
      </c>
      <c r="L58" s="84" t="s">
        <v>22</v>
      </c>
      <c r="M58" s="11">
        <v>44927</v>
      </c>
      <c r="N58" s="12">
        <v>45016</v>
      </c>
      <c r="O58" s="10">
        <v>5</v>
      </c>
      <c r="P58" s="84">
        <v>74</v>
      </c>
      <c r="Q58" s="84" t="s">
        <v>127</v>
      </c>
      <c r="R58" s="10" t="s">
        <v>128</v>
      </c>
      <c r="S58" s="14" t="s">
        <v>133</v>
      </c>
      <c r="T58" s="11"/>
      <c r="U58" s="12"/>
      <c r="V58" s="202" t="str">
        <f ca="1">IF(U58="","",
IF(U58="NA","",
IFERROR(VLOOKUP(EOMONTH(M58,-2)+1,IPCA!$A:$B,2,0),
VLOOKUP(EOMONTH(TODAY(),-2)+1,IPCA!$A:$B,2,0))/
VLOOKUP(EOMONTH(U58,-2)+1,IPCA!$A:$B,2,0)*
P58))</f>
        <v/>
      </c>
      <c r="W58" s="84"/>
      <c r="X58" s="13" t="s">
        <v>132</v>
      </c>
      <c r="Y58" s="158"/>
      <c r="Z58" s="106"/>
      <c r="AA58" s="107"/>
      <c r="AB58" s="15">
        <v>5</v>
      </c>
      <c r="AC58">
        <v>5</v>
      </c>
      <c r="AD58">
        <v>5</v>
      </c>
      <c r="AE58"/>
      <c r="AF58"/>
      <c r="AG58"/>
      <c r="AH58"/>
      <c r="AI58"/>
      <c r="AJ58"/>
      <c r="AK58"/>
      <c r="AL58"/>
      <c r="AM58" s="6"/>
      <c r="AN58" s="15"/>
      <c r="AO58"/>
      <c r="AP58"/>
      <c r="AQ58"/>
      <c r="AR58"/>
      <c r="AS58"/>
      <c r="AT58"/>
      <c r="AU58"/>
      <c r="AV58"/>
      <c r="AW58"/>
      <c r="AX58"/>
      <c r="AY58" s="6"/>
      <c r="AZ58" s="15"/>
      <c r="BA58"/>
      <c r="BB58"/>
      <c r="BC58"/>
      <c r="BD58"/>
      <c r="BE58"/>
      <c r="BF58"/>
      <c r="BG58"/>
      <c r="BH58"/>
      <c r="BI58"/>
      <c r="BJ58"/>
      <c r="BK58" s="6"/>
      <c r="BL58" s="15"/>
      <c r="BM58"/>
      <c r="BN58"/>
      <c r="BO58"/>
      <c r="BP58"/>
      <c r="BQ58"/>
      <c r="BR58"/>
      <c r="BS58"/>
      <c r="BT58"/>
      <c r="BU58"/>
      <c r="BV58"/>
      <c r="BW58" s="6"/>
      <c r="BX58" s="15"/>
      <c r="BY58"/>
      <c r="BZ58"/>
      <c r="CA58"/>
      <c r="CB58"/>
      <c r="CC58"/>
      <c r="CD58"/>
      <c r="CE58"/>
      <c r="CF58"/>
      <c r="CG58"/>
      <c r="CH58"/>
      <c r="CI58" s="6"/>
      <c r="CJ58" s="16">
        <v>1.2328767123287672</v>
      </c>
      <c r="CK58" s="16" t="s">
        <v>578</v>
      </c>
      <c r="CL58" s="16" t="s">
        <v>578</v>
      </c>
      <c r="CM58" s="16" t="s">
        <v>578</v>
      </c>
      <c r="CN58" s="16" t="s">
        <v>578</v>
      </c>
      <c r="CO58" s="18"/>
      <c r="CP58" s="15">
        <v>74</v>
      </c>
      <c r="CQ58">
        <v>74</v>
      </c>
      <c r="CR58">
        <v>74</v>
      </c>
      <c r="CS58"/>
      <c r="CT58"/>
      <c r="CU58"/>
      <c r="CV58"/>
      <c r="CW58"/>
      <c r="CX58"/>
      <c r="CY58"/>
      <c r="CZ58"/>
      <c r="DA58" s="6"/>
      <c r="DB58" s="15"/>
      <c r="DC58"/>
      <c r="DD58"/>
      <c r="DE58"/>
      <c r="DF58"/>
      <c r="DG58"/>
      <c r="DH58"/>
      <c r="DI58"/>
      <c r="DJ58"/>
      <c r="DK58"/>
      <c r="DL58"/>
      <c r="DM58" s="6"/>
      <c r="DN58" s="15"/>
      <c r="DO58"/>
      <c r="DP58"/>
      <c r="DQ58"/>
      <c r="DR58"/>
      <c r="DS58"/>
      <c r="DT58"/>
      <c r="DU58"/>
      <c r="DV58"/>
      <c r="DW58"/>
      <c r="DX58"/>
      <c r="DY58" s="6"/>
      <c r="DZ58" s="15"/>
      <c r="EA58"/>
      <c r="EB58"/>
      <c r="EC58"/>
      <c r="ED58"/>
      <c r="EE58"/>
      <c r="EF58"/>
      <c r="EG58"/>
      <c r="EH58"/>
      <c r="EI58"/>
      <c r="EJ58"/>
      <c r="EK58" s="6"/>
      <c r="EL58" s="15"/>
      <c r="EM58"/>
      <c r="EN58"/>
      <c r="EO58"/>
      <c r="EP58"/>
      <c r="EQ58"/>
      <c r="ER58"/>
      <c r="ES58"/>
      <c r="ET58"/>
      <c r="EU58"/>
      <c r="EV58"/>
      <c r="EW58" s="6"/>
      <c r="EX58" s="16">
        <v>18.246575342465754</v>
      </c>
      <c r="EY58" s="16" t="s">
        <v>578</v>
      </c>
      <c r="EZ58" s="16" t="s">
        <v>578</v>
      </c>
      <c r="FA58" s="154" t="s">
        <v>578</v>
      </c>
      <c r="FB58" s="154" t="s">
        <v>578</v>
      </c>
      <c r="FC58" t="s">
        <v>196</v>
      </c>
      <c r="FD58" s="20" t="s">
        <v>125</v>
      </c>
      <c r="FE58"/>
      <c r="FF58" s="199" t="s">
        <v>197</v>
      </c>
      <c r="FG58"/>
      <c r="FH58" s="206">
        <f t="shared" ca="1" si="6"/>
        <v>0</v>
      </c>
      <c r="FI58" s="198">
        <f t="shared" si="7"/>
        <v>2.9666666666666668</v>
      </c>
      <c r="FJ58"/>
      <c r="FK58" t="str">
        <f t="shared" si="8"/>
        <v>AES COMERCIALIZADORA DE ENERGIA LTDA</v>
      </c>
      <c r="FL58" s="191">
        <f t="shared" ca="1" si="9"/>
        <v>-18600</v>
      </c>
      <c r="FM58" s="191">
        <f t="shared" ca="1" si="10"/>
        <v>-35400</v>
      </c>
      <c r="FN58" s="190">
        <f>AB58*AB$2*IF($FC58="V",1,-1)*IF($Q58="Fixo",(CP58-INDEX('Curva Forward'!$C$5:$AN$13,MATCH(CONCATENATE(BD_COMERCIAL!$K58," ",BD_COMERCIAL!$L58),'Curva Forward'!$B$5:$B$13,0),MATCH(FN$4,'Curva Forward'!$C$4:$AN$4,0))),CP58)</f>
        <v>-18600</v>
      </c>
      <c r="FO58" s="190">
        <f>AC58*AC$2*IF($FC58="V",1,-1)*IF($Q58="Fixo",(CQ58-INDEX('Curva Forward'!$C$5:$AN$13,MATCH(CONCATENATE(BD_COMERCIAL!$K58," ",BD_COMERCIAL!$L58),'Curva Forward'!$B$5:$B$13,0),MATCH(FO$4,'Curva Forward'!$C$4:$AN$4,0))),CQ58)</f>
        <v>-16800</v>
      </c>
      <c r="FP58" s="190">
        <f>AD58*AD$2*IF($FC58="V",1,-1)*IF($Q58="Fixo",(CR58-INDEX('Curva Forward'!$C$5:$AN$13,MATCH(CONCATENATE(BD_COMERCIAL!$K58," ",BD_COMERCIAL!$L58),'Curva Forward'!$B$5:$B$13,0),MATCH(FP$4,'Curva Forward'!$C$4:$AN$4,0))),CR58)</f>
        <v>-18600</v>
      </c>
      <c r="FQ58" s="190">
        <f>AE58*AE$2*IF($FC58="V",1,-1)*IF($Q58="Fixo",(CS58-INDEX('Curva Forward'!$C$5:$AN$13,MATCH(CONCATENATE(BD_COMERCIAL!$K58," ",BD_COMERCIAL!$L58),'Curva Forward'!$B$5:$B$13,0),MATCH(FQ$4,'Curva Forward'!$C$4:$AN$4,0))),CS58)</f>
        <v>0</v>
      </c>
      <c r="FR58" s="190">
        <f>AF58*AF$2*IF($FC58="V",1,-1)*IF($Q58="Fixo",(CT58-INDEX('Curva Forward'!$C$5:$AN$13,MATCH(CONCATENATE(BD_COMERCIAL!$K58," ",BD_COMERCIAL!$L58),'Curva Forward'!$B$5:$B$13,0),MATCH(FR$4,'Curva Forward'!$C$4:$AN$4,0))),CT58)</f>
        <v>0</v>
      </c>
      <c r="FS58" s="190">
        <f>AG58*AG$2*IF($FC58="V",1,-1)*IF($Q58="Fixo",(CU58-INDEX('Curva Forward'!$C$5:$AN$13,MATCH(CONCATENATE(BD_COMERCIAL!$K58," ",BD_COMERCIAL!$L58),'Curva Forward'!$B$5:$B$13,0),MATCH(FS$4,'Curva Forward'!$C$4:$AN$4,0))),CU58)</f>
        <v>0</v>
      </c>
      <c r="FT58" s="190">
        <f>AH58*AH$2*IF($FC58="V",1,-1)*IF($Q58="Fixo",(CV58-INDEX('Curva Forward'!$C$5:$AN$13,MATCH(CONCATENATE(BD_COMERCIAL!$K58," ",BD_COMERCIAL!$L58),'Curva Forward'!$B$5:$B$13,0),MATCH(FT$4,'Curva Forward'!$C$4:$AN$4,0))),CV58)</f>
        <v>0</v>
      </c>
      <c r="FU58" s="190">
        <f>AI58*AI$2*IF($FC58="V",1,-1)*IF($Q58="Fixo",(CW58-INDEX('Curva Forward'!$C$5:$AN$13,MATCH(CONCATENATE(BD_COMERCIAL!$K58," ",BD_COMERCIAL!$L58),'Curva Forward'!$B$5:$B$13,0),MATCH(FU$4,'Curva Forward'!$C$4:$AN$4,0))),CW58)</f>
        <v>0</v>
      </c>
      <c r="FV58" s="190">
        <f>AJ58*AJ$2*IF($FC58="V",1,-1)*IF($Q58="Fixo",(CX58-INDEX('Curva Forward'!$C$5:$AN$13,MATCH(CONCATENATE(BD_COMERCIAL!$K58," ",BD_COMERCIAL!$L58),'Curva Forward'!$B$5:$B$13,0),MATCH(FV$4,'Curva Forward'!$C$4:$AN$4,0))),CX58)</f>
        <v>0</v>
      </c>
      <c r="FW58" s="190">
        <f>AK58*AK$2*IF($FC58="V",1,-1)*IF($Q58="Fixo",(CY58-INDEX('Curva Forward'!$C$5:$AN$13,MATCH(CONCATENATE(BD_COMERCIAL!$K58," ",BD_COMERCIAL!$L58),'Curva Forward'!$B$5:$B$13,0),MATCH(FW$4,'Curva Forward'!$C$4:$AN$4,0))),CY58)</f>
        <v>0</v>
      </c>
      <c r="FX58" s="190">
        <f>AL58*AL$2*IF($FC58="V",1,-1)*IF($Q58="Fixo",(CZ58-INDEX('Curva Forward'!$C$5:$AN$13,MATCH(CONCATENATE(BD_COMERCIAL!$K58," ",BD_COMERCIAL!$L58),'Curva Forward'!$B$5:$B$13,0),MATCH(FX$4,'Curva Forward'!$C$4:$AN$4,0))),CZ58)</f>
        <v>0</v>
      </c>
      <c r="FY58" s="190">
        <f>AM58*AM$2*IF($FC58="V",1,-1)*IF($Q58="Fixo",(DA58-INDEX('Curva Forward'!$C$5:$AN$13,MATCH(CONCATENATE(BD_COMERCIAL!$K58," ",BD_COMERCIAL!$L58),'Curva Forward'!$B$5:$B$13,0),MATCH(FY$4,'Curva Forward'!$C$4:$AN$4,0))),DA58)</f>
        <v>0</v>
      </c>
      <c r="FZ58" s="190">
        <f>AN58*AN$2*IF($FC58="V",1,-1)*IF($Q58="Fixo",(DB58-INDEX('Curva Forward'!$C$5:$AN$13,MATCH(CONCATENATE(BD_COMERCIAL!$K58," ",BD_COMERCIAL!$L58),'Curva Forward'!$B$5:$B$13,0),MATCH(FZ$4,'Curva Forward'!$C$4:$AN$4,0))),DB58)</f>
        <v>0</v>
      </c>
      <c r="GA58" s="190">
        <f>AO58*AO$2*IF($FC58="V",1,-1)*IF($Q58="Fixo",(DC58-INDEX('Curva Forward'!$C$5:$AN$13,MATCH(CONCATENATE(BD_COMERCIAL!$K58," ",BD_COMERCIAL!$L58),'Curva Forward'!$B$5:$B$13,0),MATCH(GA$4,'Curva Forward'!$C$4:$AN$4,0))),DC58)</f>
        <v>0</v>
      </c>
      <c r="GB58" s="190">
        <f>AP58*AP$2*IF($FC58="V",1,-1)*IF($Q58="Fixo",(DD58-INDEX('Curva Forward'!$C$5:$AN$13,MATCH(CONCATENATE(BD_COMERCIAL!$K58," ",BD_COMERCIAL!$L58),'Curva Forward'!$B$5:$B$13,0),MATCH(GB$4,'Curva Forward'!$C$4:$AN$4,0))),DD58)</f>
        <v>0</v>
      </c>
      <c r="GC58" s="190">
        <f>AQ58*AQ$2*IF($FC58="V",1,-1)*IF($Q58="Fixo",(DE58-INDEX('Curva Forward'!$C$5:$AN$13,MATCH(CONCATENATE(BD_COMERCIAL!$K58," ",BD_COMERCIAL!$L58),'Curva Forward'!$B$5:$B$13,0),MATCH(GC$4,'Curva Forward'!$C$4:$AN$4,0))),DE58)</f>
        <v>0</v>
      </c>
      <c r="GD58" s="190">
        <f>AR58*AR$2*IF($FC58="V",1,-1)*IF($Q58="Fixo",(DF58-INDEX('Curva Forward'!$C$5:$AN$13,MATCH(CONCATENATE(BD_COMERCIAL!$K58," ",BD_COMERCIAL!$L58),'Curva Forward'!$B$5:$B$13,0),MATCH(GD$4,'Curva Forward'!$C$4:$AN$4,0))),DF58)</f>
        <v>0</v>
      </c>
      <c r="GE58" s="190">
        <f>AS58*AS$2*IF($FC58="V",1,-1)*IF($Q58="Fixo",(DG58-INDEX('Curva Forward'!$C$5:$AN$13,MATCH(CONCATENATE(BD_COMERCIAL!$K58," ",BD_COMERCIAL!$L58),'Curva Forward'!$B$5:$B$13,0),MATCH(GE$4,'Curva Forward'!$C$4:$AN$4,0))),DG58)</f>
        <v>0</v>
      </c>
      <c r="GF58" s="190">
        <f>AT58*AT$2*IF($FC58="V",1,-1)*IF($Q58="Fixo",(DH58-INDEX('Curva Forward'!$C$5:$AN$13,MATCH(CONCATENATE(BD_COMERCIAL!$K58," ",BD_COMERCIAL!$L58),'Curva Forward'!$B$5:$B$13,0),MATCH(GF$4,'Curva Forward'!$C$4:$AN$4,0))),DH58)</f>
        <v>0</v>
      </c>
      <c r="GG58" s="190">
        <f>AU58*AU$2*IF($FC58="V",1,-1)*IF($Q58="Fixo",(DI58-INDEX('Curva Forward'!$C$5:$AN$13,MATCH(CONCATENATE(BD_COMERCIAL!$K58," ",BD_COMERCIAL!$L58),'Curva Forward'!$B$5:$B$13,0),MATCH(GG$4,'Curva Forward'!$C$4:$AN$4,0))),DI58)</f>
        <v>0</v>
      </c>
      <c r="GH58" s="190">
        <f>AV58*AV$2*IF($FC58="V",1,-1)*IF($Q58="Fixo",(DJ58-INDEX('Curva Forward'!$C$5:$AN$13,MATCH(CONCATENATE(BD_COMERCIAL!$K58," ",BD_COMERCIAL!$L58),'Curva Forward'!$B$5:$B$13,0),MATCH(GH$4,'Curva Forward'!$C$4:$AN$4,0))),DJ58)</f>
        <v>0</v>
      </c>
      <c r="GI58" s="190">
        <f>AW58*AW$2*IF($FC58="V",1,-1)*IF($Q58="Fixo",(DK58-INDEX('Curva Forward'!$C$5:$AN$13,MATCH(CONCATENATE(BD_COMERCIAL!$K58," ",BD_COMERCIAL!$L58),'Curva Forward'!$B$5:$B$13,0),MATCH(GI$4,'Curva Forward'!$C$4:$AN$4,0))),DK58)</f>
        <v>0</v>
      </c>
      <c r="GJ58" s="190">
        <f>AX58*AX$2*IF($FC58="V",1,-1)*IF($Q58="Fixo",(DL58-INDEX('Curva Forward'!$C$5:$AN$13,MATCH(CONCATENATE(BD_COMERCIAL!$K58," ",BD_COMERCIAL!$L58),'Curva Forward'!$B$5:$B$13,0),MATCH(GJ$4,'Curva Forward'!$C$4:$AN$4,0))),DL58)</f>
        <v>0</v>
      </c>
      <c r="GK58" s="190">
        <f>AY58*AY$2*IF($FC58="V",1,-1)*IF($Q58="Fixo",(DM58-INDEX('Curva Forward'!$C$5:$AN$13,MATCH(CONCATENATE(BD_COMERCIAL!$K58," ",BD_COMERCIAL!$L58),'Curva Forward'!$B$5:$B$13,0),MATCH(GK$4,'Curva Forward'!$C$4:$AN$4,0))),DM58)</f>
        <v>0</v>
      </c>
      <c r="GL58" s="190">
        <f>IF(EZ58="",0,CL58*CL$2*IF($FC58="V",1,-1)*IF($Q58="Fixo",(EZ58-INDEX('Curva Forward'!$C$5:$AN$13,MATCH(CONCATENATE(BD_COMERCIAL!$K58," ",BD_COMERCIAL!$L58),'Curva Forward'!$B$5:$B$13,0),MATCH(GL$4,'Curva Forward'!$C$4:$AN$4,0))),EZ58))</f>
        <v>0</v>
      </c>
      <c r="GM58" s="190">
        <f>IF(FA58="",0,CM58*CM$2*IF($FC58="V",1,-1)*IF($Q58="Fixo",(FA58-INDEX('Curva Forward'!$C$5:$AN$13,MATCH(CONCATENATE(BD_COMERCIAL!$K58," ",BD_COMERCIAL!$L58),'Curva Forward'!$B$5:$B$13,0),MATCH(GM$4,'Curva Forward'!$C$4:$AN$4,0))),FA58))</f>
        <v>0</v>
      </c>
      <c r="GN58" s="190">
        <f>IF(FB58="",0,CN58*CN$2*IF($FC58="V",1,-1)*IF($Q58="Fixo",(FB58-INDEX('Curva Forward'!$C$5:$AN$13,MATCH(CONCATENATE(BD_COMERCIAL!$K58," ",BD_COMERCIAL!$L58),'Curva Forward'!$B$5:$B$13,0),MATCH(GN$4,'Curva Forward'!$C$4:$AN$4,0))),FB58))</f>
        <v>0</v>
      </c>
      <c r="GO58" s="191">
        <f t="shared" ca="1" si="11"/>
        <v>0</v>
      </c>
      <c r="GP58" s="191">
        <f t="shared" ca="1" si="12"/>
        <v>-35400</v>
      </c>
      <c r="GQ58" s="115"/>
      <c r="GR58" s="115"/>
      <c r="GS58"/>
      <c r="GT58" s="65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</row>
    <row r="59" spans="1:236" s="265" customFormat="1" ht="15" customHeight="1" x14ac:dyDescent="0.35">
      <c r="A59" s="251"/>
      <c r="B59" s="7" t="s">
        <v>420</v>
      </c>
      <c r="C59" s="8">
        <v>44840</v>
      </c>
      <c r="D59" s="9" t="s">
        <v>130</v>
      </c>
      <c r="E59" s="9" t="s">
        <v>170</v>
      </c>
      <c r="F59" s="112" t="s">
        <v>380</v>
      </c>
      <c r="G59" s="10" t="s">
        <v>381</v>
      </c>
      <c r="H59" s="112" t="s">
        <v>348</v>
      </c>
      <c r="I59" s="9" t="s">
        <v>125</v>
      </c>
      <c r="J59" s="158" t="s">
        <v>416</v>
      </c>
      <c r="K59" s="10" t="s">
        <v>126</v>
      </c>
      <c r="L59" s="84" t="s">
        <v>22</v>
      </c>
      <c r="M59" s="11">
        <v>45017</v>
      </c>
      <c r="N59" s="12">
        <v>45107</v>
      </c>
      <c r="O59" s="10">
        <v>1</v>
      </c>
      <c r="P59" s="84">
        <v>75</v>
      </c>
      <c r="Q59" s="84" t="s">
        <v>127</v>
      </c>
      <c r="R59" s="10" t="s">
        <v>128</v>
      </c>
      <c r="S59" s="14" t="s">
        <v>133</v>
      </c>
      <c r="T59" s="11"/>
      <c r="U59" s="12"/>
      <c r="V59" s="202" t="str">
        <f ca="1">IF(U59="","",
IF(U59="NA","",
IFERROR(VLOOKUP(EOMONTH(M59,-2)+1,IPCA!$A:$B,2,0),
VLOOKUP(EOMONTH(TODAY(),-2)+1,IPCA!$A:$B,2,0))/
VLOOKUP(EOMONTH(U59,-2)+1,IPCA!$A:$B,2,0)*
P59))</f>
        <v/>
      </c>
      <c r="W59" s="84"/>
      <c r="X59" s="13" t="s">
        <v>132</v>
      </c>
      <c r="Y59" s="158"/>
      <c r="Z59" s="106"/>
      <c r="AA59" s="107"/>
      <c r="AB59" s="15"/>
      <c r="AC59"/>
      <c r="AD59"/>
      <c r="AE59">
        <v>1</v>
      </c>
      <c r="AF59">
        <v>1</v>
      </c>
      <c r="AG59">
        <v>1</v>
      </c>
      <c r="AH59"/>
      <c r="AI59"/>
      <c r="AJ59"/>
      <c r="AK59"/>
      <c r="AL59"/>
      <c r="AM59" s="6"/>
      <c r="AN59" s="15"/>
      <c r="AO59"/>
      <c r="AP59"/>
      <c r="AQ59"/>
      <c r="AR59"/>
      <c r="AS59"/>
      <c r="AT59"/>
      <c r="AU59"/>
      <c r="AV59"/>
      <c r="AW59"/>
      <c r="AX59"/>
      <c r="AY59" s="6"/>
      <c r="AZ59" s="15"/>
      <c r="BA59"/>
      <c r="BB59"/>
      <c r="BC59"/>
      <c r="BD59"/>
      <c r="BE59"/>
      <c r="BF59"/>
      <c r="BG59"/>
      <c r="BH59"/>
      <c r="BI59"/>
      <c r="BJ59"/>
      <c r="BK59" s="6"/>
      <c r="BL59" s="15"/>
      <c r="BM59"/>
      <c r="BN59"/>
      <c r="BO59"/>
      <c r="BP59"/>
      <c r="BQ59"/>
      <c r="BR59"/>
      <c r="BS59"/>
      <c r="BT59"/>
      <c r="BU59"/>
      <c r="BV59"/>
      <c r="BW59" s="6"/>
      <c r="BX59" s="15"/>
      <c r="BY59"/>
      <c r="BZ59"/>
      <c r="CA59"/>
      <c r="CB59"/>
      <c r="CC59"/>
      <c r="CD59"/>
      <c r="CE59"/>
      <c r="CF59"/>
      <c r="CG59"/>
      <c r="CH59"/>
      <c r="CI59" s="6"/>
      <c r="CJ59" s="16">
        <v>0.24931506849315069</v>
      </c>
      <c r="CK59" s="16" t="s">
        <v>578</v>
      </c>
      <c r="CL59" s="16" t="s">
        <v>578</v>
      </c>
      <c r="CM59" s="16" t="s">
        <v>578</v>
      </c>
      <c r="CN59" s="16" t="s">
        <v>578</v>
      </c>
      <c r="CO59" s="18"/>
      <c r="CP59" s="15"/>
      <c r="CQ59"/>
      <c r="CR59"/>
      <c r="CS59">
        <v>75</v>
      </c>
      <c r="CT59">
        <v>75</v>
      </c>
      <c r="CU59">
        <v>75</v>
      </c>
      <c r="CV59"/>
      <c r="CW59"/>
      <c r="CX59"/>
      <c r="CY59"/>
      <c r="CZ59"/>
      <c r="DA59" s="6"/>
      <c r="DB59" s="15"/>
      <c r="DC59"/>
      <c r="DD59"/>
      <c r="DE59"/>
      <c r="DF59"/>
      <c r="DG59"/>
      <c r="DH59"/>
      <c r="DI59"/>
      <c r="DJ59"/>
      <c r="DK59"/>
      <c r="DL59"/>
      <c r="DM59" s="6"/>
      <c r="DN59" s="15"/>
      <c r="DO59"/>
      <c r="DP59"/>
      <c r="DQ59"/>
      <c r="DR59"/>
      <c r="DS59"/>
      <c r="DT59"/>
      <c r="DU59"/>
      <c r="DV59"/>
      <c r="DW59"/>
      <c r="DX59"/>
      <c r="DY59" s="6"/>
      <c r="DZ59" s="15"/>
      <c r="EA59"/>
      <c r="EB59"/>
      <c r="EC59"/>
      <c r="ED59"/>
      <c r="EE59"/>
      <c r="EF59"/>
      <c r="EG59"/>
      <c r="EH59"/>
      <c r="EI59"/>
      <c r="EJ59"/>
      <c r="EK59" s="6"/>
      <c r="EL59" s="15"/>
      <c r="EM59"/>
      <c r="EN59"/>
      <c r="EO59"/>
      <c r="EP59"/>
      <c r="EQ59"/>
      <c r="ER59"/>
      <c r="ES59"/>
      <c r="ET59"/>
      <c r="EU59"/>
      <c r="EV59"/>
      <c r="EW59" s="6"/>
      <c r="EX59" s="16">
        <v>18.698630136986303</v>
      </c>
      <c r="EY59" s="16" t="s">
        <v>578</v>
      </c>
      <c r="EZ59" s="16" t="s">
        <v>578</v>
      </c>
      <c r="FA59" s="154" t="s">
        <v>578</v>
      </c>
      <c r="FB59" s="154" t="s">
        <v>578</v>
      </c>
      <c r="FC59" t="s">
        <v>196</v>
      </c>
      <c r="FD59" s="20" t="s">
        <v>125</v>
      </c>
      <c r="FE59"/>
      <c r="FF59" s="199" t="s">
        <v>197</v>
      </c>
      <c r="FG59"/>
      <c r="FH59" s="206">
        <f t="shared" ca="1" si="6"/>
        <v>0</v>
      </c>
      <c r="FI59" s="198">
        <f t="shared" si="7"/>
        <v>3</v>
      </c>
      <c r="FJ59"/>
      <c r="FK59" t="str">
        <f t="shared" si="8"/>
        <v>RBE Gestão Estratégica de Energia Ltda</v>
      </c>
      <c r="FL59" s="191">
        <f t="shared" ca="1" si="9"/>
        <v>0</v>
      </c>
      <c r="FM59" s="191">
        <f t="shared" ca="1" si="10"/>
        <v>-11640</v>
      </c>
      <c r="FN59" s="190">
        <f>AB59*AB$2*IF($FC59="V",1,-1)*IF($Q59="Fixo",(CP59-INDEX('Curva Forward'!$C$5:$AN$13,MATCH(CONCATENATE(BD_COMERCIAL!$K59," ",BD_COMERCIAL!$L59),'Curva Forward'!$B$5:$B$13,0),MATCH(FN$4,'Curva Forward'!$C$4:$AN$4,0))),CP59)</f>
        <v>0</v>
      </c>
      <c r="FO59" s="190">
        <f>AC59*AC$2*IF($FC59="V",1,-1)*IF($Q59="Fixo",(CQ59-INDEX('Curva Forward'!$C$5:$AN$13,MATCH(CONCATENATE(BD_COMERCIAL!$K59," ",BD_COMERCIAL!$L59),'Curva Forward'!$B$5:$B$13,0),MATCH(FO$4,'Curva Forward'!$C$4:$AN$4,0))),CQ59)</f>
        <v>0</v>
      </c>
      <c r="FP59" s="190">
        <f>AD59*AD$2*IF($FC59="V",1,-1)*IF($Q59="Fixo",(CR59-INDEX('Curva Forward'!$C$5:$AN$13,MATCH(CONCATENATE(BD_COMERCIAL!$K59," ",BD_COMERCIAL!$L59),'Curva Forward'!$B$5:$B$13,0),MATCH(FP$4,'Curva Forward'!$C$4:$AN$4,0))),CR59)</f>
        <v>0</v>
      </c>
      <c r="FQ59" s="190">
        <f>AE59*AE$2*IF($FC59="V",1,-1)*IF($Q59="Fixo",(CS59-INDEX('Curva Forward'!$C$5:$AN$13,MATCH(CONCATENATE(BD_COMERCIAL!$K59," ",BD_COMERCIAL!$L59),'Curva Forward'!$B$5:$B$13,0),MATCH(FQ$4,'Curva Forward'!$C$4:$AN$4,0))),CS59)</f>
        <v>-4320</v>
      </c>
      <c r="FR59" s="190">
        <f>AF59*AF$2*IF($FC59="V",1,-1)*IF($Q59="Fixo",(CT59-INDEX('Curva Forward'!$C$5:$AN$13,MATCH(CONCATENATE(BD_COMERCIAL!$K59," ",BD_COMERCIAL!$L59),'Curva Forward'!$B$5:$B$13,0),MATCH(FR$4,'Curva Forward'!$C$4:$AN$4,0))),CT59)</f>
        <v>-3720</v>
      </c>
      <c r="FS59" s="190">
        <f>AG59*AG$2*IF($FC59="V",1,-1)*IF($Q59="Fixo",(CU59-INDEX('Curva Forward'!$C$5:$AN$13,MATCH(CONCATENATE(BD_COMERCIAL!$K59," ",BD_COMERCIAL!$L59),'Curva Forward'!$B$5:$B$13,0),MATCH(FS$4,'Curva Forward'!$C$4:$AN$4,0))),CU59)</f>
        <v>-3600</v>
      </c>
      <c r="FT59" s="190">
        <f>AH59*AH$2*IF($FC59="V",1,-1)*IF($Q59="Fixo",(CV59-INDEX('Curva Forward'!$C$5:$AN$13,MATCH(CONCATENATE(BD_COMERCIAL!$K59," ",BD_COMERCIAL!$L59),'Curva Forward'!$B$5:$B$13,0),MATCH(FT$4,'Curva Forward'!$C$4:$AN$4,0))),CV59)</f>
        <v>0</v>
      </c>
      <c r="FU59" s="190">
        <f>AI59*AI$2*IF($FC59="V",1,-1)*IF($Q59="Fixo",(CW59-INDEX('Curva Forward'!$C$5:$AN$13,MATCH(CONCATENATE(BD_COMERCIAL!$K59," ",BD_COMERCIAL!$L59),'Curva Forward'!$B$5:$B$13,0),MATCH(FU$4,'Curva Forward'!$C$4:$AN$4,0))),CW59)</f>
        <v>0</v>
      </c>
      <c r="FV59" s="190">
        <f>AJ59*AJ$2*IF($FC59="V",1,-1)*IF($Q59="Fixo",(CX59-INDEX('Curva Forward'!$C$5:$AN$13,MATCH(CONCATENATE(BD_COMERCIAL!$K59," ",BD_COMERCIAL!$L59),'Curva Forward'!$B$5:$B$13,0),MATCH(FV$4,'Curva Forward'!$C$4:$AN$4,0))),CX59)</f>
        <v>0</v>
      </c>
      <c r="FW59" s="190">
        <f>AK59*AK$2*IF($FC59="V",1,-1)*IF($Q59="Fixo",(CY59-INDEX('Curva Forward'!$C$5:$AN$13,MATCH(CONCATENATE(BD_COMERCIAL!$K59," ",BD_COMERCIAL!$L59),'Curva Forward'!$B$5:$B$13,0),MATCH(FW$4,'Curva Forward'!$C$4:$AN$4,0))),CY59)</f>
        <v>0</v>
      </c>
      <c r="FX59" s="190">
        <f>AL59*AL$2*IF($FC59="V",1,-1)*IF($Q59="Fixo",(CZ59-INDEX('Curva Forward'!$C$5:$AN$13,MATCH(CONCATENATE(BD_COMERCIAL!$K59," ",BD_COMERCIAL!$L59),'Curva Forward'!$B$5:$B$13,0),MATCH(FX$4,'Curva Forward'!$C$4:$AN$4,0))),CZ59)</f>
        <v>0</v>
      </c>
      <c r="FY59" s="190">
        <f>AM59*AM$2*IF($FC59="V",1,-1)*IF($Q59="Fixo",(DA59-INDEX('Curva Forward'!$C$5:$AN$13,MATCH(CONCATENATE(BD_COMERCIAL!$K59," ",BD_COMERCIAL!$L59),'Curva Forward'!$B$5:$B$13,0),MATCH(FY$4,'Curva Forward'!$C$4:$AN$4,0))),DA59)</f>
        <v>0</v>
      </c>
      <c r="FZ59" s="190">
        <f>AN59*AN$2*IF($FC59="V",1,-1)*IF($Q59="Fixo",(DB59-INDEX('Curva Forward'!$C$5:$AN$13,MATCH(CONCATENATE(BD_COMERCIAL!$K59," ",BD_COMERCIAL!$L59),'Curva Forward'!$B$5:$B$13,0),MATCH(FZ$4,'Curva Forward'!$C$4:$AN$4,0))),DB59)</f>
        <v>0</v>
      </c>
      <c r="GA59" s="190">
        <f>AO59*AO$2*IF($FC59="V",1,-1)*IF($Q59="Fixo",(DC59-INDEX('Curva Forward'!$C$5:$AN$13,MATCH(CONCATENATE(BD_COMERCIAL!$K59," ",BD_COMERCIAL!$L59),'Curva Forward'!$B$5:$B$13,0),MATCH(GA$4,'Curva Forward'!$C$4:$AN$4,0))),DC59)</f>
        <v>0</v>
      </c>
      <c r="GB59" s="190">
        <f>AP59*AP$2*IF($FC59="V",1,-1)*IF($Q59="Fixo",(DD59-INDEX('Curva Forward'!$C$5:$AN$13,MATCH(CONCATENATE(BD_COMERCIAL!$K59," ",BD_COMERCIAL!$L59),'Curva Forward'!$B$5:$B$13,0),MATCH(GB$4,'Curva Forward'!$C$4:$AN$4,0))),DD59)</f>
        <v>0</v>
      </c>
      <c r="GC59" s="190">
        <f>AQ59*AQ$2*IF($FC59="V",1,-1)*IF($Q59="Fixo",(DE59-INDEX('Curva Forward'!$C$5:$AN$13,MATCH(CONCATENATE(BD_COMERCIAL!$K59," ",BD_COMERCIAL!$L59),'Curva Forward'!$B$5:$B$13,0),MATCH(GC$4,'Curva Forward'!$C$4:$AN$4,0))),DE59)</f>
        <v>0</v>
      </c>
      <c r="GD59" s="190">
        <f>AR59*AR$2*IF($FC59="V",1,-1)*IF($Q59="Fixo",(DF59-INDEX('Curva Forward'!$C$5:$AN$13,MATCH(CONCATENATE(BD_COMERCIAL!$K59," ",BD_COMERCIAL!$L59),'Curva Forward'!$B$5:$B$13,0),MATCH(GD$4,'Curva Forward'!$C$4:$AN$4,0))),DF59)</f>
        <v>0</v>
      </c>
      <c r="GE59" s="190">
        <f>AS59*AS$2*IF($FC59="V",1,-1)*IF($Q59="Fixo",(DG59-INDEX('Curva Forward'!$C$5:$AN$13,MATCH(CONCATENATE(BD_COMERCIAL!$K59," ",BD_COMERCIAL!$L59),'Curva Forward'!$B$5:$B$13,0),MATCH(GE$4,'Curva Forward'!$C$4:$AN$4,0))),DG59)</f>
        <v>0</v>
      </c>
      <c r="GF59" s="190">
        <f>AT59*AT$2*IF($FC59="V",1,-1)*IF($Q59="Fixo",(DH59-INDEX('Curva Forward'!$C$5:$AN$13,MATCH(CONCATENATE(BD_COMERCIAL!$K59," ",BD_COMERCIAL!$L59),'Curva Forward'!$B$5:$B$13,0),MATCH(GF$4,'Curva Forward'!$C$4:$AN$4,0))),DH59)</f>
        <v>0</v>
      </c>
      <c r="GG59" s="190">
        <f>AU59*AU$2*IF($FC59="V",1,-1)*IF($Q59="Fixo",(DI59-INDEX('Curva Forward'!$C$5:$AN$13,MATCH(CONCATENATE(BD_COMERCIAL!$K59," ",BD_COMERCIAL!$L59),'Curva Forward'!$B$5:$B$13,0),MATCH(GG$4,'Curva Forward'!$C$4:$AN$4,0))),DI59)</f>
        <v>0</v>
      </c>
      <c r="GH59" s="190">
        <f>AV59*AV$2*IF($FC59="V",1,-1)*IF($Q59="Fixo",(DJ59-INDEX('Curva Forward'!$C$5:$AN$13,MATCH(CONCATENATE(BD_COMERCIAL!$K59," ",BD_COMERCIAL!$L59),'Curva Forward'!$B$5:$B$13,0),MATCH(GH$4,'Curva Forward'!$C$4:$AN$4,0))),DJ59)</f>
        <v>0</v>
      </c>
      <c r="GI59" s="190">
        <f>AW59*AW$2*IF($FC59="V",1,-1)*IF($Q59="Fixo",(DK59-INDEX('Curva Forward'!$C$5:$AN$13,MATCH(CONCATENATE(BD_COMERCIAL!$K59," ",BD_COMERCIAL!$L59),'Curva Forward'!$B$5:$B$13,0),MATCH(GI$4,'Curva Forward'!$C$4:$AN$4,0))),DK59)</f>
        <v>0</v>
      </c>
      <c r="GJ59" s="190">
        <f>AX59*AX$2*IF($FC59="V",1,-1)*IF($Q59="Fixo",(DL59-INDEX('Curva Forward'!$C$5:$AN$13,MATCH(CONCATENATE(BD_COMERCIAL!$K59," ",BD_COMERCIAL!$L59),'Curva Forward'!$B$5:$B$13,0),MATCH(GJ$4,'Curva Forward'!$C$4:$AN$4,0))),DL59)</f>
        <v>0</v>
      </c>
      <c r="GK59" s="190">
        <f>AY59*AY$2*IF($FC59="V",1,-1)*IF($Q59="Fixo",(DM59-INDEX('Curva Forward'!$C$5:$AN$13,MATCH(CONCATENATE(BD_COMERCIAL!$K59," ",BD_COMERCIAL!$L59),'Curva Forward'!$B$5:$B$13,0),MATCH(GK$4,'Curva Forward'!$C$4:$AN$4,0))),DM59)</f>
        <v>0</v>
      </c>
      <c r="GL59" s="190">
        <f>IF(EZ59="",0,CL59*CL$2*IF($FC59="V",1,-1)*IF($Q59="Fixo",(EZ59-INDEX('Curva Forward'!$C$5:$AN$13,MATCH(CONCATENATE(BD_COMERCIAL!$K59," ",BD_COMERCIAL!$L59),'Curva Forward'!$B$5:$B$13,0),MATCH(GL$4,'Curva Forward'!$C$4:$AN$4,0))),EZ59))</f>
        <v>0</v>
      </c>
      <c r="GM59" s="190">
        <f>IF(FA59="",0,CM59*CM$2*IF($FC59="V",1,-1)*IF($Q59="Fixo",(FA59-INDEX('Curva Forward'!$C$5:$AN$13,MATCH(CONCATENATE(BD_COMERCIAL!$K59," ",BD_COMERCIAL!$L59),'Curva Forward'!$B$5:$B$13,0),MATCH(GM$4,'Curva Forward'!$C$4:$AN$4,0))),FA59))</f>
        <v>0</v>
      </c>
      <c r="GN59" s="190">
        <f>IF(FB59="",0,CN59*CN$2*IF($FC59="V",1,-1)*IF($Q59="Fixo",(FB59-INDEX('Curva Forward'!$C$5:$AN$13,MATCH(CONCATENATE(BD_COMERCIAL!$K59," ",BD_COMERCIAL!$L59),'Curva Forward'!$B$5:$B$13,0),MATCH(GN$4,'Curva Forward'!$C$4:$AN$4,0))),FB59))</f>
        <v>0</v>
      </c>
      <c r="GO59" s="191">
        <f t="shared" ca="1" si="11"/>
        <v>0</v>
      </c>
      <c r="GP59" s="191">
        <f t="shared" ca="1" si="12"/>
        <v>-11640</v>
      </c>
      <c r="GQ59" s="115"/>
      <c r="GR59" s="115"/>
      <c r="GS59"/>
      <c r="GT59" s="65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</row>
    <row r="60" spans="1:236" s="265" customFormat="1" ht="15" customHeight="1" x14ac:dyDescent="0.35">
      <c r="A60" s="251"/>
      <c r="B60" s="7" t="s">
        <v>421</v>
      </c>
      <c r="C60" s="8">
        <v>44840</v>
      </c>
      <c r="D60" s="9" t="s">
        <v>130</v>
      </c>
      <c r="E60" s="9" t="s">
        <v>182</v>
      </c>
      <c r="F60" s="112" t="s">
        <v>415</v>
      </c>
      <c r="G60" s="10" t="s">
        <v>381</v>
      </c>
      <c r="H60" s="112" t="s">
        <v>348</v>
      </c>
      <c r="I60" s="9" t="s">
        <v>125</v>
      </c>
      <c r="J60" s="158" t="s">
        <v>416</v>
      </c>
      <c r="K60" s="10" t="s">
        <v>126</v>
      </c>
      <c r="L60" s="84" t="s">
        <v>22</v>
      </c>
      <c r="M60" s="11">
        <v>45017</v>
      </c>
      <c r="N60" s="12">
        <v>45107</v>
      </c>
      <c r="O60" s="10">
        <v>1.3</v>
      </c>
      <c r="P60" s="84">
        <v>75</v>
      </c>
      <c r="Q60" s="84" t="s">
        <v>127</v>
      </c>
      <c r="R60" s="10" t="s">
        <v>128</v>
      </c>
      <c r="S60" s="14" t="s">
        <v>133</v>
      </c>
      <c r="T60" s="11"/>
      <c r="U60" s="12"/>
      <c r="V60" s="202" t="str">
        <f ca="1">IF(U60="","",
IF(U60="NA","",
IFERROR(VLOOKUP(EOMONTH(M60,-2)+1,IPCA!$A:$B,2,0),
VLOOKUP(EOMONTH(TODAY(),-2)+1,IPCA!$A:$B,2,0))/
VLOOKUP(EOMONTH(U60,-2)+1,IPCA!$A:$B,2,0)*
P60))</f>
        <v/>
      </c>
      <c r="W60" s="84"/>
      <c r="X60" s="13" t="s">
        <v>6</v>
      </c>
      <c r="Y60" s="158"/>
      <c r="Z60" s="106"/>
      <c r="AA60" s="107"/>
      <c r="AB60" s="15"/>
      <c r="AC60"/>
      <c r="AD60"/>
      <c r="AE60">
        <v>1.3</v>
      </c>
      <c r="AF60">
        <v>1.3</v>
      </c>
      <c r="AG60">
        <v>1.3</v>
      </c>
      <c r="AH60"/>
      <c r="AI60"/>
      <c r="AJ60"/>
      <c r="AK60"/>
      <c r="AL60"/>
      <c r="AM60" s="6"/>
      <c r="AN60" s="15"/>
      <c r="AO60"/>
      <c r="AP60"/>
      <c r="AQ60"/>
      <c r="AR60"/>
      <c r="AS60"/>
      <c r="AT60"/>
      <c r="AU60"/>
      <c r="AV60"/>
      <c r="AW60"/>
      <c r="AX60"/>
      <c r="AY60" s="6"/>
      <c r="AZ60" s="15"/>
      <c r="BA60"/>
      <c r="BB60"/>
      <c r="BC60"/>
      <c r="BD60"/>
      <c r="BE60"/>
      <c r="BF60"/>
      <c r="BG60"/>
      <c r="BH60"/>
      <c r="BI60"/>
      <c r="BJ60"/>
      <c r="BK60" s="6"/>
      <c r="BL60" s="15"/>
      <c r="BM60"/>
      <c r="BN60"/>
      <c r="BO60"/>
      <c r="BP60"/>
      <c r="BQ60"/>
      <c r="BR60"/>
      <c r="BS60"/>
      <c r="BT60"/>
      <c r="BU60"/>
      <c r="BV60"/>
      <c r="BW60" s="6"/>
      <c r="BX60" s="15"/>
      <c r="BY60"/>
      <c r="BZ60"/>
      <c r="CA60"/>
      <c r="CB60"/>
      <c r="CC60"/>
      <c r="CD60"/>
      <c r="CE60"/>
      <c r="CF60"/>
      <c r="CG60"/>
      <c r="CH60"/>
      <c r="CI60" s="6"/>
      <c r="CJ60" s="16">
        <v>0.32410958904109588</v>
      </c>
      <c r="CK60" s="16" t="s">
        <v>578</v>
      </c>
      <c r="CL60" s="16" t="s">
        <v>578</v>
      </c>
      <c r="CM60" s="16" t="s">
        <v>578</v>
      </c>
      <c r="CN60" s="16" t="s">
        <v>578</v>
      </c>
      <c r="CO60" s="18"/>
      <c r="CP60" s="15"/>
      <c r="CQ60"/>
      <c r="CR60"/>
      <c r="CS60">
        <v>75</v>
      </c>
      <c r="CT60">
        <v>75</v>
      </c>
      <c r="CU60">
        <v>75</v>
      </c>
      <c r="CV60"/>
      <c r="CW60"/>
      <c r="CX60"/>
      <c r="CY60"/>
      <c r="CZ60"/>
      <c r="DA60" s="6"/>
      <c r="DB60" s="15"/>
      <c r="DC60"/>
      <c r="DD60"/>
      <c r="DE60"/>
      <c r="DF60"/>
      <c r="DG60"/>
      <c r="DH60"/>
      <c r="DI60"/>
      <c r="DJ60"/>
      <c r="DK60"/>
      <c r="DL60"/>
      <c r="DM60" s="6"/>
      <c r="DN60" s="15"/>
      <c r="DO60"/>
      <c r="DP60"/>
      <c r="DQ60"/>
      <c r="DR60"/>
      <c r="DS60"/>
      <c r="DT60"/>
      <c r="DU60"/>
      <c r="DV60"/>
      <c r="DW60"/>
      <c r="DX60"/>
      <c r="DY60" s="6"/>
      <c r="DZ60" s="15"/>
      <c r="EA60"/>
      <c r="EB60"/>
      <c r="EC60"/>
      <c r="ED60"/>
      <c r="EE60"/>
      <c r="EF60"/>
      <c r="EG60"/>
      <c r="EH60"/>
      <c r="EI60"/>
      <c r="EJ60"/>
      <c r="EK60" s="6"/>
      <c r="EL60" s="15"/>
      <c r="EM60"/>
      <c r="EN60"/>
      <c r="EO60"/>
      <c r="EP60"/>
      <c r="EQ60"/>
      <c r="ER60"/>
      <c r="ES60"/>
      <c r="ET60"/>
      <c r="EU60"/>
      <c r="EV60"/>
      <c r="EW60" s="6"/>
      <c r="EX60" s="16">
        <v>18.698630136986303</v>
      </c>
      <c r="EY60" s="16" t="s">
        <v>578</v>
      </c>
      <c r="EZ60" s="16" t="s">
        <v>578</v>
      </c>
      <c r="FA60" s="154" t="s">
        <v>578</v>
      </c>
      <c r="FB60" s="154" t="s">
        <v>578</v>
      </c>
      <c r="FC60" t="s">
        <v>196</v>
      </c>
      <c r="FD60" s="20" t="s">
        <v>125</v>
      </c>
      <c r="FE60"/>
      <c r="FF60" s="199" t="s">
        <v>197</v>
      </c>
      <c r="FG60"/>
      <c r="FH60" s="206">
        <f t="shared" ca="1" si="6"/>
        <v>0</v>
      </c>
      <c r="FI60" s="198">
        <f t="shared" si="7"/>
        <v>3</v>
      </c>
      <c r="FJ60"/>
      <c r="FK60" t="str">
        <f t="shared" si="8"/>
        <v>Norsk Hydro Energia Ltda</v>
      </c>
      <c r="FL60" s="191">
        <f t="shared" ca="1" si="9"/>
        <v>0</v>
      </c>
      <c r="FM60" s="191">
        <f t="shared" ca="1" si="10"/>
        <v>-15132</v>
      </c>
      <c r="FN60" s="190">
        <f>AB60*AB$2*IF($FC60="V",1,-1)*IF($Q60="Fixo",(CP60-INDEX('Curva Forward'!$C$5:$AN$13,MATCH(CONCATENATE(BD_COMERCIAL!$K60," ",BD_COMERCIAL!$L60),'Curva Forward'!$B$5:$B$13,0),MATCH(FN$4,'Curva Forward'!$C$4:$AN$4,0))),CP60)</f>
        <v>0</v>
      </c>
      <c r="FO60" s="190">
        <f>AC60*AC$2*IF($FC60="V",1,-1)*IF($Q60="Fixo",(CQ60-INDEX('Curva Forward'!$C$5:$AN$13,MATCH(CONCATENATE(BD_COMERCIAL!$K60," ",BD_COMERCIAL!$L60),'Curva Forward'!$B$5:$B$13,0),MATCH(FO$4,'Curva Forward'!$C$4:$AN$4,0))),CQ60)</f>
        <v>0</v>
      </c>
      <c r="FP60" s="190">
        <f>AD60*AD$2*IF($FC60="V",1,-1)*IF($Q60="Fixo",(CR60-INDEX('Curva Forward'!$C$5:$AN$13,MATCH(CONCATENATE(BD_COMERCIAL!$K60," ",BD_COMERCIAL!$L60),'Curva Forward'!$B$5:$B$13,0),MATCH(FP$4,'Curva Forward'!$C$4:$AN$4,0))),CR60)</f>
        <v>0</v>
      </c>
      <c r="FQ60" s="190">
        <f>AE60*AE$2*IF($FC60="V",1,-1)*IF($Q60="Fixo",(CS60-INDEX('Curva Forward'!$C$5:$AN$13,MATCH(CONCATENATE(BD_COMERCIAL!$K60," ",BD_COMERCIAL!$L60),'Curva Forward'!$B$5:$B$13,0),MATCH(FQ$4,'Curva Forward'!$C$4:$AN$4,0))),CS60)</f>
        <v>-5616</v>
      </c>
      <c r="FR60" s="190">
        <f>AF60*AF$2*IF($FC60="V",1,-1)*IF($Q60="Fixo",(CT60-INDEX('Curva Forward'!$C$5:$AN$13,MATCH(CONCATENATE(BD_COMERCIAL!$K60," ",BD_COMERCIAL!$L60),'Curva Forward'!$B$5:$B$13,0),MATCH(FR$4,'Curva Forward'!$C$4:$AN$4,0))),CT60)</f>
        <v>-4836</v>
      </c>
      <c r="FS60" s="190">
        <f>AG60*AG$2*IF($FC60="V",1,-1)*IF($Q60="Fixo",(CU60-INDEX('Curva Forward'!$C$5:$AN$13,MATCH(CONCATENATE(BD_COMERCIAL!$K60," ",BD_COMERCIAL!$L60),'Curva Forward'!$B$5:$B$13,0),MATCH(FS$4,'Curva Forward'!$C$4:$AN$4,0))),CU60)</f>
        <v>-4680</v>
      </c>
      <c r="FT60" s="190">
        <f>AH60*AH$2*IF($FC60="V",1,-1)*IF($Q60="Fixo",(CV60-INDEX('Curva Forward'!$C$5:$AN$13,MATCH(CONCATENATE(BD_COMERCIAL!$K60," ",BD_COMERCIAL!$L60),'Curva Forward'!$B$5:$B$13,0),MATCH(FT$4,'Curva Forward'!$C$4:$AN$4,0))),CV60)</f>
        <v>0</v>
      </c>
      <c r="FU60" s="190">
        <f>AI60*AI$2*IF($FC60="V",1,-1)*IF($Q60="Fixo",(CW60-INDEX('Curva Forward'!$C$5:$AN$13,MATCH(CONCATENATE(BD_COMERCIAL!$K60," ",BD_COMERCIAL!$L60),'Curva Forward'!$B$5:$B$13,0),MATCH(FU$4,'Curva Forward'!$C$4:$AN$4,0))),CW60)</f>
        <v>0</v>
      </c>
      <c r="FV60" s="190">
        <f>AJ60*AJ$2*IF($FC60="V",1,-1)*IF($Q60="Fixo",(CX60-INDEX('Curva Forward'!$C$5:$AN$13,MATCH(CONCATENATE(BD_COMERCIAL!$K60," ",BD_COMERCIAL!$L60),'Curva Forward'!$B$5:$B$13,0),MATCH(FV$4,'Curva Forward'!$C$4:$AN$4,0))),CX60)</f>
        <v>0</v>
      </c>
      <c r="FW60" s="190">
        <f>AK60*AK$2*IF($FC60="V",1,-1)*IF($Q60="Fixo",(CY60-INDEX('Curva Forward'!$C$5:$AN$13,MATCH(CONCATENATE(BD_COMERCIAL!$K60," ",BD_COMERCIAL!$L60),'Curva Forward'!$B$5:$B$13,0),MATCH(FW$4,'Curva Forward'!$C$4:$AN$4,0))),CY60)</f>
        <v>0</v>
      </c>
      <c r="FX60" s="190">
        <f>AL60*AL$2*IF($FC60="V",1,-1)*IF($Q60="Fixo",(CZ60-INDEX('Curva Forward'!$C$5:$AN$13,MATCH(CONCATENATE(BD_COMERCIAL!$K60," ",BD_COMERCIAL!$L60),'Curva Forward'!$B$5:$B$13,0),MATCH(FX$4,'Curva Forward'!$C$4:$AN$4,0))),CZ60)</f>
        <v>0</v>
      </c>
      <c r="FY60" s="190">
        <f>AM60*AM$2*IF($FC60="V",1,-1)*IF($Q60="Fixo",(DA60-INDEX('Curva Forward'!$C$5:$AN$13,MATCH(CONCATENATE(BD_COMERCIAL!$K60," ",BD_COMERCIAL!$L60),'Curva Forward'!$B$5:$B$13,0),MATCH(FY$4,'Curva Forward'!$C$4:$AN$4,0))),DA60)</f>
        <v>0</v>
      </c>
      <c r="FZ60" s="190">
        <f>AN60*AN$2*IF($FC60="V",1,-1)*IF($Q60="Fixo",(DB60-INDEX('Curva Forward'!$C$5:$AN$13,MATCH(CONCATENATE(BD_COMERCIAL!$K60," ",BD_COMERCIAL!$L60),'Curva Forward'!$B$5:$B$13,0),MATCH(FZ$4,'Curva Forward'!$C$4:$AN$4,0))),DB60)</f>
        <v>0</v>
      </c>
      <c r="GA60" s="190">
        <f>AO60*AO$2*IF($FC60="V",1,-1)*IF($Q60="Fixo",(DC60-INDEX('Curva Forward'!$C$5:$AN$13,MATCH(CONCATENATE(BD_COMERCIAL!$K60," ",BD_COMERCIAL!$L60),'Curva Forward'!$B$5:$B$13,0),MATCH(GA$4,'Curva Forward'!$C$4:$AN$4,0))),DC60)</f>
        <v>0</v>
      </c>
      <c r="GB60" s="190">
        <f>AP60*AP$2*IF($FC60="V",1,-1)*IF($Q60="Fixo",(DD60-INDEX('Curva Forward'!$C$5:$AN$13,MATCH(CONCATENATE(BD_COMERCIAL!$K60," ",BD_COMERCIAL!$L60),'Curva Forward'!$B$5:$B$13,0),MATCH(GB$4,'Curva Forward'!$C$4:$AN$4,0))),DD60)</f>
        <v>0</v>
      </c>
      <c r="GC60" s="190">
        <f>AQ60*AQ$2*IF($FC60="V",1,-1)*IF($Q60="Fixo",(DE60-INDEX('Curva Forward'!$C$5:$AN$13,MATCH(CONCATENATE(BD_COMERCIAL!$K60," ",BD_COMERCIAL!$L60),'Curva Forward'!$B$5:$B$13,0),MATCH(GC$4,'Curva Forward'!$C$4:$AN$4,0))),DE60)</f>
        <v>0</v>
      </c>
      <c r="GD60" s="190">
        <f>AR60*AR$2*IF($FC60="V",1,-1)*IF($Q60="Fixo",(DF60-INDEX('Curva Forward'!$C$5:$AN$13,MATCH(CONCATENATE(BD_COMERCIAL!$K60," ",BD_COMERCIAL!$L60),'Curva Forward'!$B$5:$B$13,0),MATCH(GD$4,'Curva Forward'!$C$4:$AN$4,0))),DF60)</f>
        <v>0</v>
      </c>
      <c r="GE60" s="190">
        <f>AS60*AS$2*IF($FC60="V",1,-1)*IF($Q60="Fixo",(DG60-INDEX('Curva Forward'!$C$5:$AN$13,MATCH(CONCATENATE(BD_COMERCIAL!$K60," ",BD_COMERCIAL!$L60),'Curva Forward'!$B$5:$B$13,0),MATCH(GE$4,'Curva Forward'!$C$4:$AN$4,0))),DG60)</f>
        <v>0</v>
      </c>
      <c r="GF60" s="190">
        <f>AT60*AT$2*IF($FC60="V",1,-1)*IF($Q60="Fixo",(DH60-INDEX('Curva Forward'!$C$5:$AN$13,MATCH(CONCATENATE(BD_COMERCIAL!$K60," ",BD_COMERCIAL!$L60),'Curva Forward'!$B$5:$B$13,0),MATCH(GF$4,'Curva Forward'!$C$4:$AN$4,0))),DH60)</f>
        <v>0</v>
      </c>
      <c r="GG60" s="190">
        <f>AU60*AU$2*IF($FC60="V",1,-1)*IF($Q60="Fixo",(DI60-INDEX('Curva Forward'!$C$5:$AN$13,MATCH(CONCATENATE(BD_COMERCIAL!$K60," ",BD_COMERCIAL!$L60),'Curva Forward'!$B$5:$B$13,0),MATCH(GG$4,'Curva Forward'!$C$4:$AN$4,0))),DI60)</f>
        <v>0</v>
      </c>
      <c r="GH60" s="190">
        <f>AV60*AV$2*IF($FC60="V",1,-1)*IF($Q60="Fixo",(DJ60-INDEX('Curva Forward'!$C$5:$AN$13,MATCH(CONCATENATE(BD_COMERCIAL!$K60," ",BD_COMERCIAL!$L60),'Curva Forward'!$B$5:$B$13,0),MATCH(GH$4,'Curva Forward'!$C$4:$AN$4,0))),DJ60)</f>
        <v>0</v>
      </c>
      <c r="GI60" s="190">
        <f>AW60*AW$2*IF($FC60="V",1,-1)*IF($Q60="Fixo",(DK60-INDEX('Curva Forward'!$C$5:$AN$13,MATCH(CONCATENATE(BD_COMERCIAL!$K60," ",BD_COMERCIAL!$L60),'Curva Forward'!$B$5:$B$13,0),MATCH(GI$4,'Curva Forward'!$C$4:$AN$4,0))),DK60)</f>
        <v>0</v>
      </c>
      <c r="GJ60" s="190">
        <f>AX60*AX$2*IF($FC60="V",1,-1)*IF($Q60="Fixo",(DL60-INDEX('Curva Forward'!$C$5:$AN$13,MATCH(CONCATENATE(BD_COMERCIAL!$K60," ",BD_COMERCIAL!$L60),'Curva Forward'!$B$5:$B$13,0),MATCH(GJ$4,'Curva Forward'!$C$4:$AN$4,0))),DL60)</f>
        <v>0</v>
      </c>
      <c r="GK60" s="190">
        <f>AY60*AY$2*IF($FC60="V",1,-1)*IF($Q60="Fixo",(DM60-INDEX('Curva Forward'!$C$5:$AN$13,MATCH(CONCATENATE(BD_COMERCIAL!$K60," ",BD_COMERCIAL!$L60),'Curva Forward'!$B$5:$B$13,0),MATCH(GK$4,'Curva Forward'!$C$4:$AN$4,0))),DM60)</f>
        <v>0</v>
      </c>
      <c r="GL60" s="190">
        <f>IF(EZ60="",0,CL60*CL$2*IF($FC60="V",1,-1)*IF($Q60="Fixo",(EZ60-INDEX('Curva Forward'!$C$5:$AN$13,MATCH(CONCATENATE(BD_COMERCIAL!$K60," ",BD_COMERCIAL!$L60),'Curva Forward'!$B$5:$B$13,0),MATCH(GL$4,'Curva Forward'!$C$4:$AN$4,0))),EZ60))</f>
        <v>0</v>
      </c>
      <c r="GM60" s="190">
        <f>IF(FA60="",0,CM60*CM$2*IF($FC60="V",1,-1)*IF($Q60="Fixo",(FA60-INDEX('Curva Forward'!$C$5:$AN$13,MATCH(CONCATENATE(BD_COMERCIAL!$K60," ",BD_COMERCIAL!$L60),'Curva Forward'!$B$5:$B$13,0),MATCH(GM$4,'Curva Forward'!$C$4:$AN$4,0))),FA60))</f>
        <v>0</v>
      </c>
      <c r="GN60" s="190">
        <f>IF(FB60="",0,CN60*CN$2*IF($FC60="V",1,-1)*IF($Q60="Fixo",(FB60-INDEX('Curva Forward'!$C$5:$AN$13,MATCH(CONCATENATE(BD_COMERCIAL!$K60," ",BD_COMERCIAL!$L60),'Curva Forward'!$B$5:$B$13,0),MATCH(GN$4,'Curva Forward'!$C$4:$AN$4,0))),FB60))</f>
        <v>0</v>
      </c>
      <c r="GO60" s="191">
        <f t="shared" ca="1" si="11"/>
        <v>0</v>
      </c>
      <c r="GP60" s="191">
        <f t="shared" ca="1" si="12"/>
        <v>-15132</v>
      </c>
      <c r="GQ60" s="115"/>
      <c r="GR60" s="115"/>
      <c r="GS60"/>
      <c r="GT60" s="65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</row>
    <row r="61" spans="1:236" s="265" customFormat="1" ht="15" customHeight="1" x14ac:dyDescent="0.35">
      <c r="A61" s="251"/>
      <c r="B61" s="7" t="s">
        <v>422</v>
      </c>
      <c r="C61" s="8">
        <v>44840</v>
      </c>
      <c r="D61" s="9" t="s">
        <v>123</v>
      </c>
      <c r="E61" s="9" t="s">
        <v>381</v>
      </c>
      <c r="F61" s="112" t="s">
        <v>348</v>
      </c>
      <c r="G61" s="10" t="s">
        <v>175</v>
      </c>
      <c r="H61" s="112" t="s">
        <v>413</v>
      </c>
      <c r="I61" s="9" t="s">
        <v>137</v>
      </c>
      <c r="J61" s="158"/>
      <c r="K61" s="10" t="s">
        <v>126</v>
      </c>
      <c r="L61" s="84" t="s">
        <v>22</v>
      </c>
      <c r="M61" s="11">
        <v>44958</v>
      </c>
      <c r="N61" s="12">
        <v>44985</v>
      </c>
      <c r="O61" s="10">
        <v>3</v>
      </c>
      <c r="P61" s="84">
        <v>76</v>
      </c>
      <c r="Q61" s="84" t="s">
        <v>127</v>
      </c>
      <c r="R61" s="10" t="s">
        <v>128</v>
      </c>
      <c r="S61" s="14" t="s">
        <v>133</v>
      </c>
      <c r="T61" s="11"/>
      <c r="U61" s="12"/>
      <c r="V61" s="202" t="str">
        <f ca="1">IF(U61="","",
IF(U61="NA","",
IFERROR(VLOOKUP(EOMONTH(M61,-2)+1,IPCA!$A:$B,2,0),
VLOOKUP(EOMONTH(TODAY(),-2)+1,IPCA!$A:$B,2,0))/
VLOOKUP(EOMONTH(U61,-2)+1,IPCA!$A:$B,2,0)*
P61))</f>
        <v/>
      </c>
      <c r="W61" s="84"/>
      <c r="X61" s="13" t="s">
        <v>132</v>
      </c>
      <c r="Y61" s="158"/>
      <c r="Z61" s="106"/>
      <c r="AA61" s="107"/>
      <c r="AB61" s="15"/>
      <c r="AC61">
        <v>3</v>
      </c>
      <c r="AD61"/>
      <c r="AE61"/>
      <c r="AF61"/>
      <c r="AG61"/>
      <c r="AH61"/>
      <c r="AI61"/>
      <c r="AJ61"/>
      <c r="AK61"/>
      <c r="AL61"/>
      <c r="AM61" s="6"/>
      <c r="AN61" s="15"/>
      <c r="AO61"/>
      <c r="AP61"/>
      <c r="AQ61"/>
      <c r="AR61"/>
      <c r="AS61"/>
      <c r="AT61"/>
      <c r="AU61"/>
      <c r="AV61"/>
      <c r="AW61"/>
      <c r="AX61"/>
      <c r="AY61" s="6"/>
      <c r="AZ61" s="15"/>
      <c r="BA61"/>
      <c r="BB61"/>
      <c r="BC61"/>
      <c r="BD61"/>
      <c r="BE61"/>
      <c r="BF61"/>
      <c r="BG61"/>
      <c r="BH61"/>
      <c r="BI61"/>
      <c r="BJ61"/>
      <c r="BK61" s="6"/>
      <c r="BL61" s="15"/>
      <c r="BM61"/>
      <c r="BN61"/>
      <c r="BO61"/>
      <c r="BP61"/>
      <c r="BQ61"/>
      <c r="BR61"/>
      <c r="BS61"/>
      <c r="BT61"/>
      <c r="BU61"/>
      <c r="BV61"/>
      <c r="BW61" s="6"/>
      <c r="BX61" s="15"/>
      <c r="BY61"/>
      <c r="BZ61"/>
      <c r="CA61"/>
      <c r="CB61"/>
      <c r="CC61"/>
      <c r="CD61"/>
      <c r="CE61"/>
      <c r="CF61"/>
      <c r="CG61"/>
      <c r="CH61"/>
      <c r="CI61" s="6"/>
      <c r="CJ61" s="16">
        <v>0.23013698630136986</v>
      </c>
      <c r="CK61" s="16" t="s">
        <v>578</v>
      </c>
      <c r="CL61" s="16" t="s">
        <v>578</v>
      </c>
      <c r="CM61" s="16" t="s">
        <v>578</v>
      </c>
      <c r="CN61" s="16" t="s">
        <v>578</v>
      </c>
      <c r="CO61" s="18"/>
      <c r="CP61" s="15"/>
      <c r="CQ61">
        <v>76</v>
      </c>
      <c r="CR61"/>
      <c r="CS61"/>
      <c r="CT61"/>
      <c r="CU61"/>
      <c r="CV61"/>
      <c r="CW61"/>
      <c r="CX61"/>
      <c r="CY61"/>
      <c r="CZ61"/>
      <c r="DA61" s="6"/>
      <c r="DB61" s="15"/>
      <c r="DC61"/>
      <c r="DD61"/>
      <c r="DE61"/>
      <c r="DF61"/>
      <c r="DG61"/>
      <c r="DH61"/>
      <c r="DI61"/>
      <c r="DJ61"/>
      <c r="DK61"/>
      <c r="DL61"/>
      <c r="DM61" s="6"/>
      <c r="DN61" s="15"/>
      <c r="DO61"/>
      <c r="DP61"/>
      <c r="DQ61"/>
      <c r="DR61"/>
      <c r="DS61"/>
      <c r="DT61"/>
      <c r="DU61"/>
      <c r="DV61"/>
      <c r="DW61"/>
      <c r="DX61"/>
      <c r="DY61" s="6"/>
      <c r="DZ61" s="15"/>
      <c r="EA61"/>
      <c r="EB61"/>
      <c r="EC61"/>
      <c r="ED61"/>
      <c r="EE61"/>
      <c r="EF61"/>
      <c r="EG61"/>
      <c r="EH61"/>
      <c r="EI61"/>
      <c r="EJ61"/>
      <c r="EK61" s="6"/>
      <c r="EL61" s="15"/>
      <c r="EM61"/>
      <c r="EN61"/>
      <c r="EO61"/>
      <c r="EP61"/>
      <c r="EQ61"/>
      <c r="ER61"/>
      <c r="ES61"/>
      <c r="ET61"/>
      <c r="EU61"/>
      <c r="EV61"/>
      <c r="EW61" s="6"/>
      <c r="EX61" s="16">
        <v>5.8301369863013699</v>
      </c>
      <c r="EY61" s="16" t="s">
        <v>578</v>
      </c>
      <c r="EZ61" s="16" t="s">
        <v>578</v>
      </c>
      <c r="FA61" s="154" t="s">
        <v>578</v>
      </c>
      <c r="FB61" s="154" t="s">
        <v>578</v>
      </c>
      <c r="FC61" t="s">
        <v>195</v>
      </c>
      <c r="FD61" s="20" t="s">
        <v>137</v>
      </c>
      <c r="FE61"/>
      <c r="FF61" s="199" t="s">
        <v>197</v>
      </c>
      <c r="FG61"/>
      <c r="FH61" s="206">
        <f t="shared" ca="1" si="6"/>
        <v>0</v>
      </c>
      <c r="FI61" s="198">
        <f t="shared" si="7"/>
        <v>0.9</v>
      </c>
      <c r="FJ61"/>
      <c r="FK61" t="str">
        <f t="shared" si="8"/>
        <v>Capitale Energia Comercializadora Ltda</v>
      </c>
      <c r="FL61" s="191">
        <f t="shared" ca="1" si="9"/>
        <v>0</v>
      </c>
      <c r="FM61" s="191">
        <f t="shared" ca="1" si="10"/>
        <v>14112</v>
      </c>
      <c r="FN61" s="190">
        <f>AB61*AB$2*IF($FC61="V",1,-1)*IF($Q61="Fixo",(CP61-INDEX('Curva Forward'!$C$5:$AN$13,MATCH(CONCATENATE(BD_COMERCIAL!$K61," ",BD_COMERCIAL!$L61),'Curva Forward'!$B$5:$B$13,0),MATCH(FN$4,'Curva Forward'!$C$4:$AN$4,0))),CP61)</f>
        <v>0</v>
      </c>
      <c r="FO61" s="190">
        <f>AC61*AC$2*IF($FC61="V",1,-1)*IF($Q61="Fixo",(CQ61-INDEX('Curva Forward'!$C$5:$AN$13,MATCH(CONCATENATE(BD_COMERCIAL!$K61," ",BD_COMERCIAL!$L61),'Curva Forward'!$B$5:$B$13,0),MATCH(FO$4,'Curva Forward'!$C$4:$AN$4,0))),CQ61)</f>
        <v>14112</v>
      </c>
      <c r="FP61" s="190">
        <f>AD61*AD$2*IF($FC61="V",1,-1)*IF($Q61="Fixo",(CR61-INDEX('Curva Forward'!$C$5:$AN$13,MATCH(CONCATENATE(BD_COMERCIAL!$K61," ",BD_COMERCIAL!$L61),'Curva Forward'!$B$5:$B$13,0),MATCH(FP$4,'Curva Forward'!$C$4:$AN$4,0))),CR61)</f>
        <v>0</v>
      </c>
      <c r="FQ61" s="190">
        <f>AE61*AE$2*IF($FC61="V",1,-1)*IF($Q61="Fixo",(CS61-INDEX('Curva Forward'!$C$5:$AN$13,MATCH(CONCATENATE(BD_COMERCIAL!$K61," ",BD_COMERCIAL!$L61),'Curva Forward'!$B$5:$B$13,0),MATCH(FQ$4,'Curva Forward'!$C$4:$AN$4,0))),CS61)</f>
        <v>0</v>
      </c>
      <c r="FR61" s="190">
        <f>AF61*AF$2*IF($FC61="V",1,-1)*IF($Q61="Fixo",(CT61-INDEX('Curva Forward'!$C$5:$AN$13,MATCH(CONCATENATE(BD_COMERCIAL!$K61," ",BD_COMERCIAL!$L61),'Curva Forward'!$B$5:$B$13,0),MATCH(FR$4,'Curva Forward'!$C$4:$AN$4,0))),CT61)</f>
        <v>0</v>
      </c>
      <c r="FS61" s="190">
        <f>AG61*AG$2*IF($FC61="V",1,-1)*IF($Q61="Fixo",(CU61-INDEX('Curva Forward'!$C$5:$AN$13,MATCH(CONCATENATE(BD_COMERCIAL!$K61," ",BD_COMERCIAL!$L61),'Curva Forward'!$B$5:$B$13,0),MATCH(FS$4,'Curva Forward'!$C$4:$AN$4,0))),CU61)</f>
        <v>0</v>
      </c>
      <c r="FT61" s="190">
        <f>AH61*AH$2*IF($FC61="V",1,-1)*IF($Q61="Fixo",(CV61-INDEX('Curva Forward'!$C$5:$AN$13,MATCH(CONCATENATE(BD_COMERCIAL!$K61," ",BD_COMERCIAL!$L61),'Curva Forward'!$B$5:$B$13,0),MATCH(FT$4,'Curva Forward'!$C$4:$AN$4,0))),CV61)</f>
        <v>0</v>
      </c>
      <c r="FU61" s="190">
        <f>AI61*AI$2*IF($FC61="V",1,-1)*IF($Q61="Fixo",(CW61-INDEX('Curva Forward'!$C$5:$AN$13,MATCH(CONCATENATE(BD_COMERCIAL!$K61," ",BD_COMERCIAL!$L61),'Curva Forward'!$B$5:$B$13,0),MATCH(FU$4,'Curva Forward'!$C$4:$AN$4,0))),CW61)</f>
        <v>0</v>
      </c>
      <c r="FV61" s="190">
        <f>AJ61*AJ$2*IF($FC61="V",1,-1)*IF($Q61="Fixo",(CX61-INDEX('Curva Forward'!$C$5:$AN$13,MATCH(CONCATENATE(BD_COMERCIAL!$K61," ",BD_COMERCIAL!$L61),'Curva Forward'!$B$5:$B$13,0),MATCH(FV$4,'Curva Forward'!$C$4:$AN$4,0))),CX61)</f>
        <v>0</v>
      </c>
      <c r="FW61" s="190">
        <f>AK61*AK$2*IF($FC61="V",1,-1)*IF($Q61="Fixo",(CY61-INDEX('Curva Forward'!$C$5:$AN$13,MATCH(CONCATENATE(BD_COMERCIAL!$K61," ",BD_COMERCIAL!$L61),'Curva Forward'!$B$5:$B$13,0),MATCH(FW$4,'Curva Forward'!$C$4:$AN$4,0))),CY61)</f>
        <v>0</v>
      </c>
      <c r="FX61" s="190">
        <f>AL61*AL$2*IF($FC61="V",1,-1)*IF($Q61="Fixo",(CZ61-INDEX('Curva Forward'!$C$5:$AN$13,MATCH(CONCATENATE(BD_COMERCIAL!$K61," ",BD_COMERCIAL!$L61),'Curva Forward'!$B$5:$B$13,0),MATCH(FX$4,'Curva Forward'!$C$4:$AN$4,0))),CZ61)</f>
        <v>0</v>
      </c>
      <c r="FY61" s="190">
        <f>AM61*AM$2*IF($FC61="V",1,-1)*IF($Q61="Fixo",(DA61-INDEX('Curva Forward'!$C$5:$AN$13,MATCH(CONCATENATE(BD_COMERCIAL!$K61," ",BD_COMERCIAL!$L61),'Curva Forward'!$B$5:$B$13,0),MATCH(FY$4,'Curva Forward'!$C$4:$AN$4,0))),DA61)</f>
        <v>0</v>
      </c>
      <c r="FZ61" s="190">
        <f>AN61*AN$2*IF($FC61="V",1,-1)*IF($Q61="Fixo",(DB61-INDEX('Curva Forward'!$C$5:$AN$13,MATCH(CONCATENATE(BD_COMERCIAL!$K61," ",BD_COMERCIAL!$L61),'Curva Forward'!$B$5:$B$13,0),MATCH(FZ$4,'Curva Forward'!$C$4:$AN$4,0))),DB61)</f>
        <v>0</v>
      </c>
      <c r="GA61" s="190">
        <f>AO61*AO$2*IF($FC61="V",1,-1)*IF($Q61="Fixo",(DC61-INDEX('Curva Forward'!$C$5:$AN$13,MATCH(CONCATENATE(BD_COMERCIAL!$K61," ",BD_COMERCIAL!$L61),'Curva Forward'!$B$5:$B$13,0),MATCH(GA$4,'Curva Forward'!$C$4:$AN$4,0))),DC61)</f>
        <v>0</v>
      </c>
      <c r="GB61" s="190">
        <f>AP61*AP$2*IF($FC61="V",1,-1)*IF($Q61="Fixo",(DD61-INDEX('Curva Forward'!$C$5:$AN$13,MATCH(CONCATENATE(BD_COMERCIAL!$K61," ",BD_COMERCIAL!$L61),'Curva Forward'!$B$5:$B$13,0),MATCH(GB$4,'Curva Forward'!$C$4:$AN$4,0))),DD61)</f>
        <v>0</v>
      </c>
      <c r="GC61" s="190">
        <f>AQ61*AQ$2*IF($FC61="V",1,-1)*IF($Q61="Fixo",(DE61-INDEX('Curva Forward'!$C$5:$AN$13,MATCH(CONCATENATE(BD_COMERCIAL!$K61," ",BD_COMERCIAL!$L61),'Curva Forward'!$B$5:$B$13,0),MATCH(GC$4,'Curva Forward'!$C$4:$AN$4,0))),DE61)</f>
        <v>0</v>
      </c>
      <c r="GD61" s="190">
        <f>AR61*AR$2*IF($FC61="V",1,-1)*IF($Q61="Fixo",(DF61-INDEX('Curva Forward'!$C$5:$AN$13,MATCH(CONCATENATE(BD_COMERCIAL!$K61," ",BD_COMERCIAL!$L61),'Curva Forward'!$B$5:$B$13,0),MATCH(GD$4,'Curva Forward'!$C$4:$AN$4,0))),DF61)</f>
        <v>0</v>
      </c>
      <c r="GE61" s="190">
        <f>AS61*AS$2*IF($FC61="V",1,-1)*IF($Q61="Fixo",(DG61-INDEX('Curva Forward'!$C$5:$AN$13,MATCH(CONCATENATE(BD_COMERCIAL!$K61," ",BD_COMERCIAL!$L61),'Curva Forward'!$B$5:$B$13,0),MATCH(GE$4,'Curva Forward'!$C$4:$AN$4,0))),DG61)</f>
        <v>0</v>
      </c>
      <c r="GF61" s="190">
        <f>AT61*AT$2*IF($FC61="V",1,-1)*IF($Q61="Fixo",(DH61-INDEX('Curva Forward'!$C$5:$AN$13,MATCH(CONCATENATE(BD_COMERCIAL!$K61," ",BD_COMERCIAL!$L61),'Curva Forward'!$B$5:$B$13,0),MATCH(GF$4,'Curva Forward'!$C$4:$AN$4,0))),DH61)</f>
        <v>0</v>
      </c>
      <c r="GG61" s="190">
        <f>AU61*AU$2*IF($FC61="V",1,-1)*IF($Q61="Fixo",(DI61-INDEX('Curva Forward'!$C$5:$AN$13,MATCH(CONCATENATE(BD_COMERCIAL!$K61," ",BD_COMERCIAL!$L61),'Curva Forward'!$B$5:$B$13,0),MATCH(GG$4,'Curva Forward'!$C$4:$AN$4,0))),DI61)</f>
        <v>0</v>
      </c>
      <c r="GH61" s="190">
        <f>AV61*AV$2*IF($FC61="V",1,-1)*IF($Q61="Fixo",(DJ61-INDEX('Curva Forward'!$C$5:$AN$13,MATCH(CONCATENATE(BD_COMERCIAL!$K61," ",BD_COMERCIAL!$L61),'Curva Forward'!$B$5:$B$13,0),MATCH(GH$4,'Curva Forward'!$C$4:$AN$4,0))),DJ61)</f>
        <v>0</v>
      </c>
      <c r="GI61" s="190">
        <f>AW61*AW$2*IF($FC61="V",1,-1)*IF($Q61="Fixo",(DK61-INDEX('Curva Forward'!$C$5:$AN$13,MATCH(CONCATENATE(BD_COMERCIAL!$K61," ",BD_COMERCIAL!$L61),'Curva Forward'!$B$5:$B$13,0),MATCH(GI$4,'Curva Forward'!$C$4:$AN$4,0))),DK61)</f>
        <v>0</v>
      </c>
      <c r="GJ61" s="190">
        <f>AX61*AX$2*IF($FC61="V",1,-1)*IF($Q61="Fixo",(DL61-INDEX('Curva Forward'!$C$5:$AN$13,MATCH(CONCATENATE(BD_COMERCIAL!$K61," ",BD_COMERCIAL!$L61),'Curva Forward'!$B$5:$B$13,0),MATCH(GJ$4,'Curva Forward'!$C$4:$AN$4,0))),DL61)</f>
        <v>0</v>
      </c>
      <c r="GK61" s="190">
        <f>AY61*AY$2*IF($FC61="V",1,-1)*IF($Q61="Fixo",(DM61-INDEX('Curva Forward'!$C$5:$AN$13,MATCH(CONCATENATE(BD_COMERCIAL!$K61," ",BD_COMERCIAL!$L61),'Curva Forward'!$B$5:$B$13,0),MATCH(GK$4,'Curva Forward'!$C$4:$AN$4,0))),DM61)</f>
        <v>0</v>
      </c>
      <c r="GL61" s="190">
        <f>IF(EZ61="",0,CL61*CL$2*IF($FC61="V",1,-1)*IF($Q61="Fixo",(EZ61-INDEX('Curva Forward'!$C$5:$AN$13,MATCH(CONCATENATE(BD_COMERCIAL!$K61," ",BD_COMERCIAL!$L61),'Curva Forward'!$B$5:$B$13,0),MATCH(GL$4,'Curva Forward'!$C$4:$AN$4,0))),EZ61))</f>
        <v>0</v>
      </c>
      <c r="GM61" s="190">
        <f>IF(FA61="",0,CM61*CM$2*IF($FC61="V",1,-1)*IF($Q61="Fixo",(FA61-INDEX('Curva Forward'!$C$5:$AN$13,MATCH(CONCATENATE(BD_COMERCIAL!$K61," ",BD_COMERCIAL!$L61),'Curva Forward'!$B$5:$B$13,0),MATCH(GM$4,'Curva Forward'!$C$4:$AN$4,0))),FA61))</f>
        <v>0</v>
      </c>
      <c r="GN61" s="190">
        <f>IF(FB61="",0,CN61*CN$2*IF($FC61="V",1,-1)*IF($Q61="Fixo",(FB61-INDEX('Curva Forward'!$C$5:$AN$13,MATCH(CONCATENATE(BD_COMERCIAL!$K61," ",BD_COMERCIAL!$L61),'Curva Forward'!$B$5:$B$13,0),MATCH(GN$4,'Curva Forward'!$C$4:$AN$4,0))),FB61))</f>
        <v>0</v>
      </c>
      <c r="GO61" s="191">
        <f t="shared" ca="1" si="11"/>
        <v>14112</v>
      </c>
      <c r="GP61" s="191">
        <f t="shared" ca="1" si="12"/>
        <v>0</v>
      </c>
      <c r="GQ61" s="115"/>
      <c r="GR61" s="115"/>
      <c r="GS61"/>
      <c r="GT61" s="65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</row>
    <row r="62" spans="1:236" s="265" customFormat="1" ht="15" customHeight="1" x14ac:dyDescent="0.35">
      <c r="A62" s="251"/>
      <c r="B62" s="7">
        <v>27907</v>
      </c>
      <c r="C62" s="8">
        <v>44840</v>
      </c>
      <c r="D62" s="9" t="s">
        <v>123</v>
      </c>
      <c r="E62" s="9" t="s">
        <v>381</v>
      </c>
      <c r="F62" s="112" t="s">
        <v>348</v>
      </c>
      <c r="G62" s="10" t="s">
        <v>182</v>
      </c>
      <c r="H62" s="112" t="s">
        <v>415</v>
      </c>
      <c r="I62" s="9" t="s">
        <v>125</v>
      </c>
      <c r="J62" s="158" t="s">
        <v>416</v>
      </c>
      <c r="K62" s="10" t="s">
        <v>126</v>
      </c>
      <c r="L62" s="84" t="s">
        <v>22</v>
      </c>
      <c r="M62" s="11">
        <v>45108</v>
      </c>
      <c r="N62" s="12">
        <v>45291</v>
      </c>
      <c r="O62" s="10">
        <v>30</v>
      </c>
      <c r="P62" s="84">
        <v>127</v>
      </c>
      <c r="Q62" s="84" t="s">
        <v>127</v>
      </c>
      <c r="R62" s="10" t="s">
        <v>128</v>
      </c>
      <c r="S62" s="14" t="s">
        <v>133</v>
      </c>
      <c r="T62" s="11"/>
      <c r="U62" s="12"/>
      <c r="V62" s="202" t="str">
        <f ca="1">IF(U62="","",
IF(U62="NA","",
IFERROR(VLOOKUP(EOMONTH(M62,-2)+1,IPCA!$A:$B,2,0),
VLOOKUP(EOMONTH(TODAY(),-2)+1,IPCA!$A:$B,2,0))/
VLOOKUP(EOMONTH(U62,-2)+1,IPCA!$A:$B,2,0)*
P62))</f>
        <v/>
      </c>
      <c r="W62" s="84"/>
      <c r="X62" s="13"/>
      <c r="Y62" s="158" t="s">
        <v>7</v>
      </c>
      <c r="Z62" s="106"/>
      <c r="AA62" s="107"/>
      <c r="AB62" s="15"/>
      <c r="AC62"/>
      <c r="AD62"/>
      <c r="AE62"/>
      <c r="AF62"/>
      <c r="AG62"/>
      <c r="AH62">
        <v>30</v>
      </c>
      <c r="AI62">
        <v>30</v>
      </c>
      <c r="AJ62">
        <v>30</v>
      </c>
      <c r="AK62">
        <v>30</v>
      </c>
      <c r="AL62">
        <v>30</v>
      </c>
      <c r="AM62" s="6">
        <v>30</v>
      </c>
      <c r="AN62" s="15"/>
      <c r="AO62"/>
      <c r="AP62"/>
      <c r="AQ62"/>
      <c r="AR62"/>
      <c r="AS62"/>
      <c r="AT62"/>
      <c r="AU62"/>
      <c r="AV62"/>
      <c r="AW62"/>
      <c r="AX62"/>
      <c r="AY62" s="6"/>
      <c r="AZ62" s="15"/>
      <c r="BA62"/>
      <c r="BB62"/>
      <c r="BC62"/>
      <c r="BD62"/>
      <c r="BE62"/>
      <c r="BF62"/>
      <c r="BG62"/>
      <c r="BH62"/>
      <c r="BI62"/>
      <c r="BJ62"/>
      <c r="BK62" s="6"/>
      <c r="BL62" s="15"/>
      <c r="BM62"/>
      <c r="BN62"/>
      <c r="BO62"/>
      <c r="BP62"/>
      <c r="BQ62"/>
      <c r="BR62"/>
      <c r="BS62"/>
      <c r="BT62"/>
      <c r="BU62"/>
      <c r="BV62"/>
      <c r="BW62" s="6"/>
      <c r="BX62" s="15"/>
      <c r="BY62"/>
      <c r="BZ62"/>
      <c r="CA62"/>
      <c r="CB62"/>
      <c r="CC62"/>
      <c r="CD62"/>
      <c r="CE62"/>
      <c r="CF62"/>
      <c r="CG62"/>
      <c r="CH62"/>
      <c r="CI62" s="6"/>
      <c r="CJ62" s="16">
        <v>15.123287671232877</v>
      </c>
      <c r="CK62" s="16" t="s">
        <v>578</v>
      </c>
      <c r="CL62" s="16" t="s">
        <v>578</v>
      </c>
      <c r="CM62" s="16" t="s">
        <v>578</v>
      </c>
      <c r="CN62" s="16" t="s">
        <v>578</v>
      </c>
      <c r="CO62" s="18"/>
      <c r="CP62" s="15"/>
      <c r="CQ62"/>
      <c r="CR62"/>
      <c r="CS62"/>
      <c r="CT62"/>
      <c r="CU62"/>
      <c r="CV62">
        <v>127</v>
      </c>
      <c r="CW62">
        <v>127</v>
      </c>
      <c r="CX62">
        <v>127</v>
      </c>
      <c r="CY62">
        <v>127</v>
      </c>
      <c r="CZ62">
        <v>127</v>
      </c>
      <c r="DA62" s="6">
        <v>127</v>
      </c>
      <c r="DB62" s="15"/>
      <c r="DC62"/>
      <c r="DD62"/>
      <c r="DE62"/>
      <c r="DF62"/>
      <c r="DG62"/>
      <c r="DH62"/>
      <c r="DI62"/>
      <c r="DJ62"/>
      <c r="DK62"/>
      <c r="DL62"/>
      <c r="DM62" s="6"/>
      <c r="DN62" s="15"/>
      <c r="DO62"/>
      <c r="DP62"/>
      <c r="DQ62"/>
      <c r="DR62"/>
      <c r="DS62"/>
      <c r="DT62"/>
      <c r="DU62"/>
      <c r="DV62"/>
      <c r="DW62"/>
      <c r="DX62"/>
      <c r="DY62" s="6"/>
      <c r="DZ62" s="15"/>
      <c r="EA62"/>
      <c r="EB62"/>
      <c r="EC62"/>
      <c r="ED62"/>
      <c r="EE62"/>
      <c r="EF62"/>
      <c r="EG62"/>
      <c r="EH62"/>
      <c r="EI62"/>
      <c r="EJ62"/>
      <c r="EK62" s="6"/>
      <c r="EL62" s="15"/>
      <c r="EM62"/>
      <c r="EN62"/>
      <c r="EO62"/>
      <c r="EP62"/>
      <c r="EQ62"/>
      <c r="ER62"/>
      <c r="ES62"/>
      <c r="ET62"/>
      <c r="EU62"/>
      <c r="EV62"/>
      <c r="EW62" s="6"/>
      <c r="EX62" s="16">
        <v>64.021917808219172</v>
      </c>
      <c r="EY62" s="16" t="s">
        <v>578</v>
      </c>
      <c r="EZ62" s="16" t="s">
        <v>578</v>
      </c>
      <c r="FA62" s="154" t="s">
        <v>578</v>
      </c>
      <c r="FB62" s="154" t="s">
        <v>578</v>
      </c>
      <c r="FC62" t="s">
        <v>195</v>
      </c>
      <c r="FD62" s="20" t="s">
        <v>125</v>
      </c>
      <c r="FE62"/>
      <c r="FF62" s="199" t="s">
        <v>197</v>
      </c>
      <c r="FG62"/>
      <c r="FH62" s="206">
        <f t="shared" ca="1" si="6"/>
        <v>0</v>
      </c>
      <c r="FI62" s="198">
        <f t="shared" si="7"/>
        <v>6.1</v>
      </c>
      <c r="FJ62"/>
      <c r="FK62" t="str">
        <f t="shared" si="8"/>
        <v>Norsk Hydro Energia Ltda</v>
      </c>
      <c r="FL62" s="191">
        <f t="shared" ca="1" si="9"/>
        <v>0</v>
      </c>
      <c r="FM62" s="191">
        <f t="shared" ca="1" si="10"/>
        <v>7021440</v>
      </c>
      <c r="FN62" s="190">
        <f>AB62*AB$2*IF($FC62="V",1,-1)*IF($Q62="Fixo",(CP62-INDEX('Curva Forward'!$C$5:$AN$13,MATCH(CONCATENATE(BD_COMERCIAL!$K62," ",BD_COMERCIAL!$L62),'Curva Forward'!$B$5:$B$13,0),MATCH(FN$4,'Curva Forward'!$C$4:$AN$4,0))),CP62)</f>
        <v>0</v>
      </c>
      <c r="FO62" s="190">
        <f>AC62*AC$2*IF($FC62="V",1,-1)*IF($Q62="Fixo",(CQ62-INDEX('Curva Forward'!$C$5:$AN$13,MATCH(CONCATENATE(BD_COMERCIAL!$K62," ",BD_COMERCIAL!$L62),'Curva Forward'!$B$5:$B$13,0),MATCH(FO$4,'Curva Forward'!$C$4:$AN$4,0))),CQ62)</f>
        <v>0</v>
      </c>
      <c r="FP62" s="190">
        <f>AD62*AD$2*IF($FC62="V",1,-1)*IF($Q62="Fixo",(CR62-INDEX('Curva Forward'!$C$5:$AN$13,MATCH(CONCATENATE(BD_COMERCIAL!$K62," ",BD_COMERCIAL!$L62),'Curva Forward'!$B$5:$B$13,0),MATCH(FP$4,'Curva Forward'!$C$4:$AN$4,0))),CR62)</f>
        <v>0</v>
      </c>
      <c r="FQ62" s="190">
        <f>AE62*AE$2*IF($FC62="V",1,-1)*IF($Q62="Fixo",(CS62-INDEX('Curva Forward'!$C$5:$AN$13,MATCH(CONCATENATE(BD_COMERCIAL!$K62," ",BD_COMERCIAL!$L62),'Curva Forward'!$B$5:$B$13,0),MATCH(FQ$4,'Curva Forward'!$C$4:$AN$4,0))),CS62)</f>
        <v>0</v>
      </c>
      <c r="FR62" s="190">
        <f>AF62*AF$2*IF($FC62="V",1,-1)*IF($Q62="Fixo",(CT62-INDEX('Curva Forward'!$C$5:$AN$13,MATCH(CONCATENATE(BD_COMERCIAL!$K62," ",BD_COMERCIAL!$L62),'Curva Forward'!$B$5:$B$13,0),MATCH(FR$4,'Curva Forward'!$C$4:$AN$4,0))),CT62)</f>
        <v>0</v>
      </c>
      <c r="FS62" s="190">
        <f>AG62*AG$2*IF($FC62="V",1,-1)*IF($Q62="Fixo",(CU62-INDEX('Curva Forward'!$C$5:$AN$13,MATCH(CONCATENATE(BD_COMERCIAL!$K62," ",BD_COMERCIAL!$L62),'Curva Forward'!$B$5:$B$13,0),MATCH(FS$4,'Curva Forward'!$C$4:$AN$4,0))),CU62)</f>
        <v>0</v>
      </c>
      <c r="FT62" s="190">
        <f>AH62*AH$2*IF($FC62="V",1,-1)*IF($Q62="Fixo",(CV62-INDEX('Curva Forward'!$C$5:$AN$13,MATCH(CONCATENATE(BD_COMERCIAL!$K62," ",BD_COMERCIAL!$L62),'Curva Forward'!$B$5:$B$13,0),MATCH(FT$4,'Curva Forward'!$C$4:$AN$4,0))),CV62)</f>
        <v>1205280</v>
      </c>
      <c r="FU62" s="190">
        <f>AI62*AI$2*IF($FC62="V",1,-1)*IF($Q62="Fixo",(CW62-INDEX('Curva Forward'!$C$5:$AN$13,MATCH(CONCATENATE(BD_COMERCIAL!$K62," ",BD_COMERCIAL!$L62),'Curva Forward'!$B$5:$B$13,0),MATCH(FU$4,'Curva Forward'!$C$4:$AN$4,0))),CW62)</f>
        <v>1205280</v>
      </c>
      <c r="FV62" s="190">
        <f>AJ62*AJ$2*IF($FC62="V",1,-1)*IF($Q62="Fixo",(CX62-INDEX('Curva Forward'!$C$5:$AN$13,MATCH(CONCATENATE(BD_COMERCIAL!$K62," ",BD_COMERCIAL!$L62),'Curva Forward'!$B$5:$B$13,0),MATCH(FV$4,'Curva Forward'!$C$4:$AN$4,0))),CX62)</f>
        <v>1166400</v>
      </c>
      <c r="FW62" s="190">
        <f>AK62*AK$2*IF($FC62="V",1,-1)*IF($Q62="Fixo",(CY62-INDEX('Curva Forward'!$C$5:$AN$13,MATCH(CONCATENATE(BD_COMERCIAL!$K62," ",BD_COMERCIAL!$L62),'Curva Forward'!$B$5:$B$13,0),MATCH(FW$4,'Curva Forward'!$C$4:$AN$4,0))),CY62)</f>
        <v>1160640</v>
      </c>
      <c r="FX62" s="190">
        <f>AL62*AL$2*IF($FC62="V",1,-1)*IF($Q62="Fixo",(CZ62-INDEX('Curva Forward'!$C$5:$AN$13,MATCH(CONCATENATE(BD_COMERCIAL!$K62," ",BD_COMERCIAL!$L62),'Curva Forward'!$B$5:$B$13,0),MATCH(FX$4,'Curva Forward'!$C$4:$AN$4,0))),CZ62)</f>
        <v>1123200</v>
      </c>
      <c r="FY62" s="190">
        <f>AM62*AM$2*IF($FC62="V",1,-1)*IF($Q62="Fixo",(DA62-INDEX('Curva Forward'!$C$5:$AN$13,MATCH(CONCATENATE(BD_COMERCIAL!$K62," ",BD_COMERCIAL!$L62),'Curva Forward'!$B$5:$B$13,0),MATCH(FY$4,'Curva Forward'!$C$4:$AN$4,0))),DA62)</f>
        <v>1160640</v>
      </c>
      <c r="FZ62" s="190">
        <f>AN62*AN$2*IF($FC62="V",1,-1)*IF($Q62="Fixo",(DB62-INDEX('Curva Forward'!$C$5:$AN$13,MATCH(CONCATENATE(BD_COMERCIAL!$K62," ",BD_COMERCIAL!$L62),'Curva Forward'!$B$5:$B$13,0),MATCH(FZ$4,'Curva Forward'!$C$4:$AN$4,0))),DB62)</f>
        <v>0</v>
      </c>
      <c r="GA62" s="190">
        <f>AO62*AO$2*IF($FC62="V",1,-1)*IF($Q62="Fixo",(DC62-INDEX('Curva Forward'!$C$5:$AN$13,MATCH(CONCATENATE(BD_COMERCIAL!$K62," ",BD_COMERCIAL!$L62),'Curva Forward'!$B$5:$B$13,0),MATCH(GA$4,'Curva Forward'!$C$4:$AN$4,0))),DC62)</f>
        <v>0</v>
      </c>
      <c r="GB62" s="190">
        <f>AP62*AP$2*IF($FC62="V",1,-1)*IF($Q62="Fixo",(DD62-INDEX('Curva Forward'!$C$5:$AN$13,MATCH(CONCATENATE(BD_COMERCIAL!$K62," ",BD_COMERCIAL!$L62),'Curva Forward'!$B$5:$B$13,0),MATCH(GB$4,'Curva Forward'!$C$4:$AN$4,0))),DD62)</f>
        <v>0</v>
      </c>
      <c r="GC62" s="190">
        <f>AQ62*AQ$2*IF($FC62="V",1,-1)*IF($Q62="Fixo",(DE62-INDEX('Curva Forward'!$C$5:$AN$13,MATCH(CONCATENATE(BD_COMERCIAL!$K62," ",BD_COMERCIAL!$L62),'Curva Forward'!$B$5:$B$13,0),MATCH(GC$4,'Curva Forward'!$C$4:$AN$4,0))),DE62)</f>
        <v>0</v>
      </c>
      <c r="GD62" s="190">
        <f>AR62*AR$2*IF($FC62="V",1,-1)*IF($Q62="Fixo",(DF62-INDEX('Curva Forward'!$C$5:$AN$13,MATCH(CONCATENATE(BD_COMERCIAL!$K62," ",BD_COMERCIAL!$L62),'Curva Forward'!$B$5:$B$13,0),MATCH(GD$4,'Curva Forward'!$C$4:$AN$4,0))),DF62)</f>
        <v>0</v>
      </c>
      <c r="GE62" s="190">
        <f>AS62*AS$2*IF($FC62="V",1,-1)*IF($Q62="Fixo",(DG62-INDEX('Curva Forward'!$C$5:$AN$13,MATCH(CONCATENATE(BD_COMERCIAL!$K62," ",BD_COMERCIAL!$L62),'Curva Forward'!$B$5:$B$13,0),MATCH(GE$4,'Curva Forward'!$C$4:$AN$4,0))),DG62)</f>
        <v>0</v>
      </c>
      <c r="GF62" s="190">
        <f>AT62*AT$2*IF($FC62="V",1,-1)*IF($Q62="Fixo",(DH62-INDEX('Curva Forward'!$C$5:$AN$13,MATCH(CONCATENATE(BD_COMERCIAL!$K62," ",BD_COMERCIAL!$L62),'Curva Forward'!$B$5:$B$13,0),MATCH(GF$4,'Curva Forward'!$C$4:$AN$4,0))),DH62)</f>
        <v>0</v>
      </c>
      <c r="GG62" s="190">
        <f>AU62*AU$2*IF($FC62="V",1,-1)*IF($Q62="Fixo",(DI62-INDEX('Curva Forward'!$C$5:$AN$13,MATCH(CONCATENATE(BD_COMERCIAL!$K62," ",BD_COMERCIAL!$L62),'Curva Forward'!$B$5:$B$13,0),MATCH(GG$4,'Curva Forward'!$C$4:$AN$4,0))),DI62)</f>
        <v>0</v>
      </c>
      <c r="GH62" s="190">
        <f>AV62*AV$2*IF($FC62="V",1,-1)*IF($Q62="Fixo",(DJ62-INDEX('Curva Forward'!$C$5:$AN$13,MATCH(CONCATENATE(BD_COMERCIAL!$K62," ",BD_COMERCIAL!$L62),'Curva Forward'!$B$5:$B$13,0),MATCH(GH$4,'Curva Forward'!$C$4:$AN$4,0))),DJ62)</f>
        <v>0</v>
      </c>
      <c r="GI62" s="190">
        <f>AW62*AW$2*IF($FC62="V",1,-1)*IF($Q62="Fixo",(DK62-INDEX('Curva Forward'!$C$5:$AN$13,MATCH(CONCATENATE(BD_COMERCIAL!$K62," ",BD_COMERCIAL!$L62),'Curva Forward'!$B$5:$B$13,0),MATCH(GI$4,'Curva Forward'!$C$4:$AN$4,0))),DK62)</f>
        <v>0</v>
      </c>
      <c r="GJ62" s="190">
        <f>AX62*AX$2*IF($FC62="V",1,-1)*IF($Q62="Fixo",(DL62-INDEX('Curva Forward'!$C$5:$AN$13,MATCH(CONCATENATE(BD_COMERCIAL!$K62," ",BD_COMERCIAL!$L62),'Curva Forward'!$B$5:$B$13,0),MATCH(GJ$4,'Curva Forward'!$C$4:$AN$4,0))),DL62)</f>
        <v>0</v>
      </c>
      <c r="GK62" s="190">
        <f>AY62*AY$2*IF($FC62="V",1,-1)*IF($Q62="Fixo",(DM62-INDEX('Curva Forward'!$C$5:$AN$13,MATCH(CONCATENATE(BD_COMERCIAL!$K62," ",BD_COMERCIAL!$L62),'Curva Forward'!$B$5:$B$13,0),MATCH(GK$4,'Curva Forward'!$C$4:$AN$4,0))),DM62)</f>
        <v>0</v>
      </c>
      <c r="GL62" s="190">
        <f>IF(EZ62="",0,CL62*CL$2*IF($FC62="V",1,-1)*IF($Q62="Fixo",(EZ62-INDEX('Curva Forward'!$C$5:$AN$13,MATCH(CONCATENATE(BD_COMERCIAL!$K62," ",BD_COMERCIAL!$L62),'Curva Forward'!$B$5:$B$13,0),MATCH(GL$4,'Curva Forward'!$C$4:$AN$4,0))),EZ62))</f>
        <v>0</v>
      </c>
      <c r="GM62" s="190">
        <f>IF(FA62="",0,CM62*CM$2*IF($FC62="V",1,-1)*IF($Q62="Fixo",(FA62-INDEX('Curva Forward'!$C$5:$AN$13,MATCH(CONCATENATE(BD_COMERCIAL!$K62," ",BD_COMERCIAL!$L62),'Curva Forward'!$B$5:$B$13,0),MATCH(GM$4,'Curva Forward'!$C$4:$AN$4,0))),FA62))</f>
        <v>0</v>
      </c>
      <c r="GN62" s="190">
        <f>IF(FB62="",0,CN62*CN$2*IF($FC62="V",1,-1)*IF($Q62="Fixo",(FB62-INDEX('Curva Forward'!$C$5:$AN$13,MATCH(CONCATENATE(BD_COMERCIAL!$K62," ",BD_COMERCIAL!$L62),'Curva Forward'!$B$5:$B$13,0),MATCH(GN$4,'Curva Forward'!$C$4:$AN$4,0))),FB62))</f>
        <v>0</v>
      </c>
      <c r="GO62" s="191">
        <f t="shared" ca="1" si="11"/>
        <v>7021440</v>
      </c>
      <c r="GP62" s="191">
        <f t="shared" ca="1" si="12"/>
        <v>0</v>
      </c>
      <c r="GQ62" s="115"/>
      <c r="GR62" s="115"/>
      <c r="GS62"/>
      <c r="GT62" s="65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</row>
    <row r="63" spans="1:236" s="265" customFormat="1" ht="15" customHeight="1" x14ac:dyDescent="0.35">
      <c r="A63" s="251"/>
      <c r="B63" s="7" t="s">
        <v>461</v>
      </c>
      <c r="C63" s="8">
        <v>44840</v>
      </c>
      <c r="D63" s="9" t="s">
        <v>123</v>
      </c>
      <c r="E63" s="9" t="s">
        <v>381</v>
      </c>
      <c r="F63" s="112" t="s">
        <v>348</v>
      </c>
      <c r="G63" s="10" t="s">
        <v>145</v>
      </c>
      <c r="H63" s="112"/>
      <c r="I63" s="9" t="s">
        <v>137</v>
      </c>
      <c r="J63" s="158" t="s">
        <v>416</v>
      </c>
      <c r="K63" s="10" t="s">
        <v>126</v>
      </c>
      <c r="L63" s="84" t="s">
        <v>22</v>
      </c>
      <c r="M63" s="11">
        <v>45017</v>
      </c>
      <c r="N63" s="12">
        <v>45107</v>
      </c>
      <c r="O63" s="10">
        <v>7</v>
      </c>
      <c r="P63" s="84">
        <v>76.64</v>
      </c>
      <c r="Q63" s="84" t="s">
        <v>127</v>
      </c>
      <c r="R63" s="10" t="s">
        <v>128</v>
      </c>
      <c r="S63" s="14" t="s">
        <v>133</v>
      </c>
      <c r="T63" s="11"/>
      <c r="U63" s="12"/>
      <c r="V63" s="202" t="str">
        <f ca="1">IF(U63="","",
IF(U63="NA","",
IFERROR(VLOOKUP(EOMONTH(M63,-2)+1,IPCA!$A:$B,2,0),
VLOOKUP(EOMONTH(TODAY(),-2)+1,IPCA!$A:$B,2,0))/
VLOOKUP(EOMONTH(U63,-2)+1,IPCA!$A:$B,2,0)*
P63))</f>
        <v/>
      </c>
      <c r="W63" s="84"/>
      <c r="X63" s="13"/>
      <c r="Y63" s="158"/>
      <c r="Z63" s="106" t="s">
        <v>146</v>
      </c>
      <c r="AA63" s="107" t="s">
        <v>146</v>
      </c>
      <c r="AB63" s="15"/>
      <c r="AC63"/>
      <c r="AD63"/>
      <c r="AE63">
        <v>7</v>
      </c>
      <c r="AF63">
        <v>7</v>
      </c>
      <c r="AG63">
        <v>7</v>
      </c>
      <c r="AH63"/>
      <c r="AI63"/>
      <c r="AJ63"/>
      <c r="AK63"/>
      <c r="AL63"/>
      <c r="AM63" s="6"/>
      <c r="AN63" s="15"/>
      <c r="AO63"/>
      <c r="AP63"/>
      <c r="AQ63"/>
      <c r="AR63"/>
      <c r="AS63"/>
      <c r="AT63"/>
      <c r="AU63"/>
      <c r="AV63"/>
      <c r="AW63"/>
      <c r="AX63"/>
      <c r="AY63" s="6"/>
      <c r="AZ63" s="15"/>
      <c r="BA63"/>
      <c r="BB63"/>
      <c r="BC63"/>
      <c r="BD63"/>
      <c r="BE63"/>
      <c r="BF63"/>
      <c r="BG63"/>
      <c r="BH63"/>
      <c r="BI63"/>
      <c r="BJ63"/>
      <c r="BK63" s="6"/>
      <c r="BL63" s="15"/>
      <c r="BM63"/>
      <c r="BN63"/>
      <c r="BO63"/>
      <c r="BP63"/>
      <c r="BQ63"/>
      <c r="BR63"/>
      <c r="BS63"/>
      <c r="BT63"/>
      <c r="BU63"/>
      <c r="BV63"/>
      <c r="BW63" s="6"/>
      <c r="BX63" s="15"/>
      <c r="BY63"/>
      <c r="BZ63"/>
      <c r="CA63"/>
      <c r="CB63"/>
      <c r="CC63"/>
      <c r="CD63"/>
      <c r="CE63"/>
      <c r="CF63"/>
      <c r="CG63"/>
      <c r="CH63"/>
      <c r="CI63" s="6"/>
      <c r="CJ63" s="16">
        <v>1.7452054794520548</v>
      </c>
      <c r="CK63" s="16" t="s">
        <v>578</v>
      </c>
      <c r="CL63" s="16" t="s">
        <v>578</v>
      </c>
      <c r="CM63" s="16" t="s">
        <v>578</v>
      </c>
      <c r="CN63" s="16" t="s">
        <v>578</v>
      </c>
      <c r="CO63" s="18"/>
      <c r="CP63" s="15"/>
      <c r="CQ63"/>
      <c r="CR63"/>
      <c r="CS63">
        <v>76.64</v>
      </c>
      <c r="CT63">
        <v>76.64</v>
      </c>
      <c r="CU63">
        <v>76.64</v>
      </c>
      <c r="CV63"/>
      <c r="CW63"/>
      <c r="CX63"/>
      <c r="CY63"/>
      <c r="CZ63"/>
      <c r="DA63" s="6"/>
      <c r="DB63" s="15"/>
      <c r="DC63"/>
      <c r="DD63"/>
      <c r="DE63"/>
      <c r="DF63"/>
      <c r="DG63"/>
      <c r="DH63"/>
      <c r="DI63"/>
      <c r="DJ63"/>
      <c r="DK63"/>
      <c r="DL63"/>
      <c r="DM63" s="6"/>
      <c r="DN63" s="15"/>
      <c r="DO63"/>
      <c r="DP63"/>
      <c r="DQ63"/>
      <c r="DR63"/>
      <c r="DS63"/>
      <c r="DT63"/>
      <c r="DU63"/>
      <c r="DV63"/>
      <c r="DW63"/>
      <c r="DX63"/>
      <c r="DY63" s="6"/>
      <c r="DZ63" s="15"/>
      <c r="EA63"/>
      <c r="EB63"/>
      <c r="EC63"/>
      <c r="ED63"/>
      <c r="EE63"/>
      <c r="EF63"/>
      <c r="EG63"/>
      <c r="EH63"/>
      <c r="EI63"/>
      <c r="EJ63"/>
      <c r="EK63" s="6"/>
      <c r="EL63" s="15"/>
      <c r="EM63"/>
      <c r="EN63"/>
      <c r="EO63"/>
      <c r="EP63"/>
      <c r="EQ63"/>
      <c r="ER63"/>
      <c r="ES63"/>
      <c r="ET63"/>
      <c r="EU63"/>
      <c r="EV63"/>
      <c r="EW63" s="6"/>
      <c r="EX63" s="16">
        <v>19.107506849315069</v>
      </c>
      <c r="EY63" s="16" t="s">
        <v>578</v>
      </c>
      <c r="EZ63" s="16" t="s">
        <v>578</v>
      </c>
      <c r="FA63" s="154" t="s">
        <v>578</v>
      </c>
      <c r="FB63" s="154" t="s">
        <v>578</v>
      </c>
      <c r="FC63" t="s">
        <v>195</v>
      </c>
      <c r="FD63" s="20" t="s">
        <v>145</v>
      </c>
      <c r="FE63"/>
      <c r="FF63" s="199" t="s">
        <v>197</v>
      </c>
      <c r="FG63"/>
      <c r="FH63" s="206">
        <f t="shared" ca="1" si="6"/>
        <v>0</v>
      </c>
      <c r="FI63" s="198">
        <f t="shared" si="7"/>
        <v>3</v>
      </c>
      <c r="FJ63"/>
      <c r="FK63" t="str">
        <f t="shared" si="8"/>
        <v>Portfólio</v>
      </c>
      <c r="FL63" s="191">
        <f t="shared" ca="1" si="9"/>
        <v>0</v>
      </c>
      <c r="FM63" s="191">
        <f t="shared" ca="1" si="10"/>
        <v>106552.32000000001</v>
      </c>
      <c r="FN63" s="190">
        <f>AB63*AB$2*IF($FC63="V",1,-1)*IF($Q63="Fixo",(CP63-INDEX('Curva Forward'!$C$5:$AN$13,MATCH(CONCATENATE(BD_COMERCIAL!$K63," ",BD_COMERCIAL!$L63),'Curva Forward'!$B$5:$B$13,0),MATCH(FN$4,'Curva Forward'!$C$4:$AN$4,0))),CP63)</f>
        <v>0</v>
      </c>
      <c r="FO63" s="190">
        <f>AC63*AC$2*IF($FC63="V",1,-1)*IF($Q63="Fixo",(CQ63-INDEX('Curva Forward'!$C$5:$AN$13,MATCH(CONCATENATE(BD_COMERCIAL!$K63," ",BD_COMERCIAL!$L63),'Curva Forward'!$B$5:$B$13,0),MATCH(FO$4,'Curva Forward'!$C$4:$AN$4,0))),CQ63)</f>
        <v>0</v>
      </c>
      <c r="FP63" s="190">
        <f>AD63*AD$2*IF($FC63="V",1,-1)*IF($Q63="Fixo",(CR63-INDEX('Curva Forward'!$C$5:$AN$13,MATCH(CONCATENATE(BD_COMERCIAL!$K63," ",BD_COMERCIAL!$L63),'Curva Forward'!$B$5:$B$13,0),MATCH(FP$4,'Curva Forward'!$C$4:$AN$4,0))),CR63)</f>
        <v>0</v>
      </c>
      <c r="FQ63" s="190">
        <f>AE63*AE$2*IF($FC63="V",1,-1)*IF($Q63="Fixo",(CS63-INDEX('Curva Forward'!$C$5:$AN$13,MATCH(CONCATENATE(BD_COMERCIAL!$K63," ",BD_COMERCIAL!$L63),'Curva Forward'!$B$5:$B$13,0),MATCH(FQ$4,'Curva Forward'!$C$4:$AN$4,0))),CS63)</f>
        <v>38505.600000000006</v>
      </c>
      <c r="FR63" s="190">
        <f>AF63*AF$2*IF($FC63="V",1,-1)*IF($Q63="Fixo",(CT63-INDEX('Curva Forward'!$C$5:$AN$13,MATCH(CONCATENATE(BD_COMERCIAL!$K63," ",BD_COMERCIAL!$L63),'Curva Forward'!$B$5:$B$13,0),MATCH(FR$4,'Curva Forward'!$C$4:$AN$4,0))),CT63)</f>
        <v>34581.120000000003</v>
      </c>
      <c r="FS63" s="190">
        <f>AG63*AG$2*IF($FC63="V",1,-1)*IF($Q63="Fixo",(CU63-INDEX('Curva Forward'!$C$5:$AN$13,MATCH(CONCATENATE(BD_COMERCIAL!$K63," ",BD_COMERCIAL!$L63),'Curva Forward'!$B$5:$B$13,0),MATCH(FS$4,'Curva Forward'!$C$4:$AN$4,0))),CU63)</f>
        <v>33465.600000000006</v>
      </c>
      <c r="FT63" s="190">
        <f>AH63*AH$2*IF($FC63="V",1,-1)*IF($Q63="Fixo",(CV63-INDEX('Curva Forward'!$C$5:$AN$13,MATCH(CONCATENATE(BD_COMERCIAL!$K63," ",BD_COMERCIAL!$L63),'Curva Forward'!$B$5:$B$13,0),MATCH(FT$4,'Curva Forward'!$C$4:$AN$4,0))),CV63)</f>
        <v>0</v>
      </c>
      <c r="FU63" s="190">
        <f>AI63*AI$2*IF($FC63="V",1,-1)*IF($Q63="Fixo",(CW63-INDEX('Curva Forward'!$C$5:$AN$13,MATCH(CONCATENATE(BD_COMERCIAL!$K63," ",BD_COMERCIAL!$L63),'Curva Forward'!$B$5:$B$13,0),MATCH(FU$4,'Curva Forward'!$C$4:$AN$4,0))),CW63)</f>
        <v>0</v>
      </c>
      <c r="FV63" s="190">
        <f>AJ63*AJ$2*IF($FC63="V",1,-1)*IF($Q63="Fixo",(CX63-INDEX('Curva Forward'!$C$5:$AN$13,MATCH(CONCATENATE(BD_COMERCIAL!$K63," ",BD_COMERCIAL!$L63),'Curva Forward'!$B$5:$B$13,0),MATCH(FV$4,'Curva Forward'!$C$4:$AN$4,0))),CX63)</f>
        <v>0</v>
      </c>
      <c r="FW63" s="190">
        <f>AK63*AK$2*IF($FC63="V",1,-1)*IF($Q63="Fixo",(CY63-INDEX('Curva Forward'!$C$5:$AN$13,MATCH(CONCATENATE(BD_COMERCIAL!$K63," ",BD_COMERCIAL!$L63),'Curva Forward'!$B$5:$B$13,0),MATCH(FW$4,'Curva Forward'!$C$4:$AN$4,0))),CY63)</f>
        <v>0</v>
      </c>
      <c r="FX63" s="190">
        <f>AL63*AL$2*IF($FC63="V",1,-1)*IF($Q63="Fixo",(CZ63-INDEX('Curva Forward'!$C$5:$AN$13,MATCH(CONCATENATE(BD_COMERCIAL!$K63," ",BD_COMERCIAL!$L63),'Curva Forward'!$B$5:$B$13,0),MATCH(FX$4,'Curva Forward'!$C$4:$AN$4,0))),CZ63)</f>
        <v>0</v>
      </c>
      <c r="FY63" s="190">
        <f>AM63*AM$2*IF($FC63="V",1,-1)*IF($Q63="Fixo",(DA63-INDEX('Curva Forward'!$C$5:$AN$13,MATCH(CONCATENATE(BD_COMERCIAL!$K63," ",BD_COMERCIAL!$L63),'Curva Forward'!$B$5:$B$13,0),MATCH(FY$4,'Curva Forward'!$C$4:$AN$4,0))),DA63)</f>
        <v>0</v>
      </c>
      <c r="FZ63" s="190">
        <f>AN63*AN$2*IF($FC63="V",1,-1)*IF($Q63="Fixo",(DB63-INDEX('Curva Forward'!$C$5:$AN$13,MATCH(CONCATENATE(BD_COMERCIAL!$K63," ",BD_COMERCIAL!$L63),'Curva Forward'!$B$5:$B$13,0),MATCH(FZ$4,'Curva Forward'!$C$4:$AN$4,0))),DB63)</f>
        <v>0</v>
      </c>
      <c r="GA63" s="190">
        <f>AO63*AO$2*IF($FC63="V",1,-1)*IF($Q63="Fixo",(DC63-INDEX('Curva Forward'!$C$5:$AN$13,MATCH(CONCATENATE(BD_COMERCIAL!$K63," ",BD_COMERCIAL!$L63),'Curva Forward'!$B$5:$B$13,0),MATCH(GA$4,'Curva Forward'!$C$4:$AN$4,0))),DC63)</f>
        <v>0</v>
      </c>
      <c r="GB63" s="190">
        <f>AP63*AP$2*IF($FC63="V",1,-1)*IF($Q63="Fixo",(DD63-INDEX('Curva Forward'!$C$5:$AN$13,MATCH(CONCATENATE(BD_COMERCIAL!$K63," ",BD_COMERCIAL!$L63),'Curva Forward'!$B$5:$B$13,0),MATCH(GB$4,'Curva Forward'!$C$4:$AN$4,0))),DD63)</f>
        <v>0</v>
      </c>
      <c r="GC63" s="190">
        <f>AQ63*AQ$2*IF($FC63="V",1,-1)*IF($Q63="Fixo",(DE63-INDEX('Curva Forward'!$C$5:$AN$13,MATCH(CONCATENATE(BD_COMERCIAL!$K63," ",BD_COMERCIAL!$L63),'Curva Forward'!$B$5:$B$13,0),MATCH(GC$4,'Curva Forward'!$C$4:$AN$4,0))),DE63)</f>
        <v>0</v>
      </c>
      <c r="GD63" s="190">
        <f>AR63*AR$2*IF($FC63="V",1,-1)*IF($Q63="Fixo",(DF63-INDEX('Curva Forward'!$C$5:$AN$13,MATCH(CONCATENATE(BD_COMERCIAL!$K63," ",BD_COMERCIAL!$L63),'Curva Forward'!$B$5:$B$13,0),MATCH(GD$4,'Curva Forward'!$C$4:$AN$4,0))),DF63)</f>
        <v>0</v>
      </c>
      <c r="GE63" s="190">
        <f>AS63*AS$2*IF($FC63="V",1,-1)*IF($Q63="Fixo",(DG63-INDEX('Curva Forward'!$C$5:$AN$13,MATCH(CONCATENATE(BD_COMERCIAL!$K63," ",BD_COMERCIAL!$L63),'Curva Forward'!$B$5:$B$13,0),MATCH(GE$4,'Curva Forward'!$C$4:$AN$4,0))),DG63)</f>
        <v>0</v>
      </c>
      <c r="GF63" s="190">
        <f>AT63*AT$2*IF($FC63="V",1,-1)*IF($Q63="Fixo",(DH63-INDEX('Curva Forward'!$C$5:$AN$13,MATCH(CONCATENATE(BD_COMERCIAL!$K63," ",BD_COMERCIAL!$L63),'Curva Forward'!$B$5:$B$13,0),MATCH(GF$4,'Curva Forward'!$C$4:$AN$4,0))),DH63)</f>
        <v>0</v>
      </c>
      <c r="GG63" s="190">
        <f>AU63*AU$2*IF($FC63="V",1,-1)*IF($Q63="Fixo",(DI63-INDEX('Curva Forward'!$C$5:$AN$13,MATCH(CONCATENATE(BD_COMERCIAL!$K63," ",BD_COMERCIAL!$L63),'Curva Forward'!$B$5:$B$13,0),MATCH(GG$4,'Curva Forward'!$C$4:$AN$4,0))),DI63)</f>
        <v>0</v>
      </c>
      <c r="GH63" s="190">
        <f>AV63*AV$2*IF($FC63="V",1,-1)*IF($Q63="Fixo",(DJ63-INDEX('Curva Forward'!$C$5:$AN$13,MATCH(CONCATENATE(BD_COMERCIAL!$K63," ",BD_COMERCIAL!$L63),'Curva Forward'!$B$5:$B$13,0),MATCH(GH$4,'Curva Forward'!$C$4:$AN$4,0))),DJ63)</f>
        <v>0</v>
      </c>
      <c r="GI63" s="190">
        <f>AW63*AW$2*IF($FC63="V",1,-1)*IF($Q63="Fixo",(DK63-INDEX('Curva Forward'!$C$5:$AN$13,MATCH(CONCATENATE(BD_COMERCIAL!$K63," ",BD_COMERCIAL!$L63),'Curva Forward'!$B$5:$B$13,0),MATCH(GI$4,'Curva Forward'!$C$4:$AN$4,0))),DK63)</f>
        <v>0</v>
      </c>
      <c r="GJ63" s="190">
        <f>AX63*AX$2*IF($FC63="V",1,-1)*IF($Q63="Fixo",(DL63-INDEX('Curva Forward'!$C$5:$AN$13,MATCH(CONCATENATE(BD_COMERCIAL!$K63," ",BD_COMERCIAL!$L63),'Curva Forward'!$B$5:$B$13,0),MATCH(GJ$4,'Curva Forward'!$C$4:$AN$4,0))),DL63)</f>
        <v>0</v>
      </c>
      <c r="GK63" s="190">
        <f>AY63*AY$2*IF($FC63="V",1,-1)*IF($Q63="Fixo",(DM63-INDEX('Curva Forward'!$C$5:$AN$13,MATCH(CONCATENATE(BD_COMERCIAL!$K63," ",BD_COMERCIAL!$L63),'Curva Forward'!$B$5:$B$13,0),MATCH(GK$4,'Curva Forward'!$C$4:$AN$4,0))),DM63)</f>
        <v>0</v>
      </c>
      <c r="GL63" s="190">
        <f>IF(EZ63="",0,CL63*CL$2*IF($FC63="V",1,-1)*IF($Q63="Fixo",(EZ63-INDEX('Curva Forward'!$C$5:$AN$13,MATCH(CONCATENATE(BD_COMERCIAL!$K63," ",BD_COMERCIAL!$L63),'Curva Forward'!$B$5:$B$13,0),MATCH(GL$4,'Curva Forward'!$C$4:$AN$4,0))),EZ63))</f>
        <v>0</v>
      </c>
      <c r="GM63" s="190">
        <f>IF(FA63="",0,CM63*CM$2*IF($FC63="V",1,-1)*IF($Q63="Fixo",(FA63-INDEX('Curva Forward'!$C$5:$AN$13,MATCH(CONCATENATE(BD_COMERCIAL!$K63," ",BD_COMERCIAL!$L63),'Curva Forward'!$B$5:$B$13,0),MATCH(GM$4,'Curva Forward'!$C$4:$AN$4,0))),FA63))</f>
        <v>0</v>
      </c>
      <c r="GN63" s="190">
        <f>IF(FB63="",0,CN63*CN$2*IF($FC63="V",1,-1)*IF($Q63="Fixo",(FB63-INDEX('Curva Forward'!$C$5:$AN$13,MATCH(CONCATENATE(BD_COMERCIAL!$K63," ",BD_COMERCIAL!$L63),'Curva Forward'!$B$5:$B$13,0),MATCH(GN$4,'Curva Forward'!$C$4:$AN$4,0))),FB63))</f>
        <v>0</v>
      </c>
      <c r="GO63" s="191">
        <f t="shared" ca="1" si="11"/>
        <v>106552.32000000001</v>
      </c>
      <c r="GP63" s="191">
        <f t="shared" ca="1" si="12"/>
        <v>0</v>
      </c>
      <c r="GQ63" s="115"/>
      <c r="GR63" s="115"/>
      <c r="GS63"/>
      <c r="GT63" s="65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</row>
    <row r="64" spans="1:236" s="265" customFormat="1" ht="15" customHeight="1" x14ac:dyDescent="0.35">
      <c r="A64" s="251"/>
      <c r="B64" s="7" t="s">
        <v>423</v>
      </c>
      <c r="C64" s="8">
        <v>44841</v>
      </c>
      <c r="D64" s="9" t="s">
        <v>130</v>
      </c>
      <c r="E64" s="9" t="s">
        <v>304</v>
      </c>
      <c r="F64" s="112" t="s">
        <v>351</v>
      </c>
      <c r="G64" s="10" t="s">
        <v>381</v>
      </c>
      <c r="H64" s="112" t="s">
        <v>348</v>
      </c>
      <c r="I64" s="9" t="s">
        <v>125</v>
      </c>
      <c r="J64" s="158" t="s">
        <v>416</v>
      </c>
      <c r="K64" s="10" t="s">
        <v>126</v>
      </c>
      <c r="L64" s="84" t="s">
        <v>22</v>
      </c>
      <c r="M64" s="11">
        <v>45261</v>
      </c>
      <c r="N64" s="12">
        <v>45291</v>
      </c>
      <c r="O64" s="10">
        <v>20</v>
      </c>
      <c r="P64" s="84">
        <v>110</v>
      </c>
      <c r="Q64" s="84" t="s">
        <v>127</v>
      </c>
      <c r="R64" s="10" t="s">
        <v>128</v>
      </c>
      <c r="S64" s="14" t="s">
        <v>133</v>
      </c>
      <c r="T64" s="11"/>
      <c r="U64" s="12"/>
      <c r="V64" s="202" t="str">
        <f ca="1">IF(U64="","",
IF(U64="NA","",
IFERROR(VLOOKUP(EOMONTH(M64,-2)+1,IPCA!$A:$B,2,0),
VLOOKUP(EOMONTH(TODAY(),-2)+1,IPCA!$A:$B,2,0))/
VLOOKUP(EOMONTH(U64,-2)+1,IPCA!$A:$B,2,0)*
P64))</f>
        <v/>
      </c>
      <c r="W64" s="84"/>
      <c r="X64" s="13" t="s">
        <v>132</v>
      </c>
      <c r="Y64" s="158"/>
      <c r="Z64" s="106"/>
      <c r="AA64" s="107"/>
      <c r="AB64" s="15"/>
      <c r="AC64"/>
      <c r="AD64"/>
      <c r="AE64"/>
      <c r="AF64"/>
      <c r="AG64"/>
      <c r="AH64"/>
      <c r="AI64"/>
      <c r="AJ64"/>
      <c r="AK64"/>
      <c r="AL64"/>
      <c r="AM64" s="6">
        <v>20</v>
      </c>
      <c r="AN64" s="15"/>
      <c r="AO64"/>
      <c r="AP64"/>
      <c r="AQ64"/>
      <c r="AR64"/>
      <c r="AS64"/>
      <c r="AT64"/>
      <c r="AU64"/>
      <c r="AV64"/>
      <c r="AW64"/>
      <c r="AX64"/>
      <c r="AY64" s="6"/>
      <c r="AZ64" s="15"/>
      <c r="BA64"/>
      <c r="BB64"/>
      <c r="BC64"/>
      <c r="BD64"/>
      <c r="BE64"/>
      <c r="BF64"/>
      <c r="BG64"/>
      <c r="BH64"/>
      <c r="BI64"/>
      <c r="BJ64"/>
      <c r="BK64" s="6"/>
      <c r="BL64" s="15"/>
      <c r="BM64"/>
      <c r="BN64"/>
      <c r="BO64"/>
      <c r="BP64"/>
      <c r="BQ64"/>
      <c r="BR64"/>
      <c r="BS64"/>
      <c r="BT64"/>
      <c r="BU64"/>
      <c r="BV64"/>
      <c r="BW64" s="6"/>
      <c r="BX64" s="15"/>
      <c r="BY64"/>
      <c r="BZ64"/>
      <c r="CA64"/>
      <c r="CB64"/>
      <c r="CC64"/>
      <c r="CD64"/>
      <c r="CE64"/>
      <c r="CF64"/>
      <c r="CG64"/>
      <c r="CH64"/>
      <c r="CI64" s="6"/>
      <c r="CJ64" s="16">
        <v>1.6986301369863013</v>
      </c>
      <c r="CK64" s="16" t="s">
        <v>578</v>
      </c>
      <c r="CL64" s="16" t="s">
        <v>578</v>
      </c>
      <c r="CM64" s="16" t="s">
        <v>578</v>
      </c>
      <c r="CN64" s="16" t="s">
        <v>578</v>
      </c>
      <c r="CO64" s="18"/>
      <c r="CP64" s="15"/>
      <c r="CQ64"/>
      <c r="CR64"/>
      <c r="CS64"/>
      <c r="CT64"/>
      <c r="CU64"/>
      <c r="CV64"/>
      <c r="CW64"/>
      <c r="CX64"/>
      <c r="CY64"/>
      <c r="CZ64"/>
      <c r="DA64" s="6">
        <v>110</v>
      </c>
      <c r="DB64" s="15"/>
      <c r="DC64"/>
      <c r="DD64"/>
      <c r="DE64"/>
      <c r="DF64"/>
      <c r="DG64"/>
      <c r="DH64"/>
      <c r="DI64"/>
      <c r="DJ64"/>
      <c r="DK64"/>
      <c r="DL64"/>
      <c r="DM64" s="6"/>
      <c r="DN64" s="15"/>
      <c r="DO64"/>
      <c r="DP64"/>
      <c r="DQ64"/>
      <c r="DR64"/>
      <c r="DS64"/>
      <c r="DT64"/>
      <c r="DU64"/>
      <c r="DV64"/>
      <c r="DW64"/>
      <c r="DX64"/>
      <c r="DY64" s="6"/>
      <c r="DZ64" s="15"/>
      <c r="EA64"/>
      <c r="EB64"/>
      <c r="EC64"/>
      <c r="ED64"/>
      <c r="EE64"/>
      <c r="EF64"/>
      <c r="EG64"/>
      <c r="EH64"/>
      <c r="EI64"/>
      <c r="EJ64"/>
      <c r="EK64" s="6"/>
      <c r="EL64" s="15"/>
      <c r="EM64"/>
      <c r="EN64"/>
      <c r="EO64"/>
      <c r="EP64"/>
      <c r="EQ64"/>
      <c r="ER64"/>
      <c r="ES64"/>
      <c r="ET64"/>
      <c r="EU64"/>
      <c r="EV64"/>
      <c r="EW64" s="6"/>
      <c r="EX64" s="16">
        <v>9.3424657534246567</v>
      </c>
      <c r="EY64" s="16" t="s">
        <v>578</v>
      </c>
      <c r="EZ64" s="16" t="s">
        <v>578</v>
      </c>
      <c r="FA64" s="154" t="s">
        <v>578</v>
      </c>
      <c r="FB64" s="154" t="s">
        <v>578</v>
      </c>
      <c r="FC64" t="s">
        <v>196</v>
      </c>
      <c r="FD64" s="20" t="s">
        <v>125</v>
      </c>
      <c r="FE64"/>
      <c r="FF64" s="199" t="s">
        <v>197</v>
      </c>
      <c r="FG64"/>
      <c r="FH64" s="206">
        <f t="shared" ca="1" si="6"/>
        <v>0</v>
      </c>
      <c r="FI64" s="198">
        <f t="shared" si="7"/>
        <v>1</v>
      </c>
      <c r="FJ64"/>
      <c r="FK64" t="str">
        <f t="shared" si="8"/>
        <v>GERDAU AÇOS LONGOS S.A. - Filial</v>
      </c>
      <c r="FL64" s="191">
        <f t="shared" ca="1" si="9"/>
        <v>0</v>
      </c>
      <c r="FM64" s="191">
        <f t="shared" ca="1" si="10"/>
        <v>-520800</v>
      </c>
      <c r="FN64" s="190">
        <f>AB64*AB$2*IF($FC64="V",1,-1)*IF($Q64="Fixo",(CP64-INDEX('Curva Forward'!$C$5:$AN$13,MATCH(CONCATENATE(BD_COMERCIAL!$K64," ",BD_COMERCIAL!$L64),'Curva Forward'!$B$5:$B$13,0),MATCH(FN$4,'Curva Forward'!$C$4:$AN$4,0))),CP64)</f>
        <v>0</v>
      </c>
      <c r="FO64" s="190">
        <f>AC64*AC$2*IF($FC64="V",1,-1)*IF($Q64="Fixo",(CQ64-INDEX('Curva Forward'!$C$5:$AN$13,MATCH(CONCATENATE(BD_COMERCIAL!$K64," ",BD_COMERCIAL!$L64),'Curva Forward'!$B$5:$B$13,0),MATCH(FO$4,'Curva Forward'!$C$4:$AN$4,0))),CQ64)</f>
        <v>0</v>
      </c>
      <c r="FP64" s="190">
        <f>AD64*AD$2*IF($FC64="V",1,-1)*IF($Q64="Fixo",(CR64-INDEX('Curva Forward'!$C$5:$AN$13,MATCH(CONCATENATE(BD_COMERCIAL!$K64," ",BD_COMERCIAL!$L64),'Curva Forward'!$B$5:$B$13,0),MATCH(FP$4,'Curva Forward'!$C$4:$AN$4,0))),CR64)</f>
        <v>0</v>
      </c>
      <c r="FQ64" s="190">
        <f>AE64*AE$2*IF($FC64="V",1,-1)*IF($Q64="Fixo",(CS64-INDEX('Curva Forward'!$C$5:$AN$13,MATCH(CONCATENATE(BD_COMERCIAL!$K64," ",BD_COMERCIAL!$L64),'Curva Forward'!$B$5:$B$13,0),MATCH(FQ$4,'Curva Forward'!$C$4:$AN$4,0))),CS64)</f>
        <v>0</v>
      </c>
      <c r="FR64" s="190">
        <f>AF64*AF$2*IF($FC64="V",1,-1)*IF($Q64="Fixo",(CT64-INDEX('Curva Forward'!$C$5:$AN$13,MATCH(CONCATENATE(BD_COMERCIAL!$K64," ",BD_COMERCIAL!$L64),'Curva Forward'!$B$5:$B$13,0),MATCH(FR$4,'Curva Forward'!$C$4:$AN$4,0))),CT64)</f>
        <v>0</v>
      </c>
      <c r="FS64" s="190">
        <f>AG64*AG$2*IF($FC64="V",1,-1)*IF($Q64="Fixo",(CU64-INDEX('Curva Forward'!$C$5:$AN$13,MATCH(CONCATENATE(BD_COMERCIAL!$K64," ",BD_COMERCIAL!$L64),'Curva Forward'!$B$5:$B$13,0),MATCH(FS$4,'Curva Forward'!$C$4:$AN$4,0))),CU64)</f>
        <v>0</v>
      </c>
      <c r="FT64" s="190">
        <f>AH64*AH$2*IF($FC64="V",1,-1)*IF($Q64="Fixo",(CV64-INDEX('Curva Forward'!$C$5:$AN$13,MATCH(CONCATENATE(BD_COMERCIAL!$K64," ",BD_COMERCIAL!$L64),'Curva Forward'!$B$5:$B$13,0),MATCH(FT$4,'Curva Forward'!$C$4:$AN$4,0))),CV64)</f>
        <v>0</v>
      </c>
      <c r="FU64" s="190">
        <f>AI64*AI$2*IF($FC64="V",1,-1)*IF($Q64="Fixo",(CW64-INDEX('Curva Forward'!$C$5:$AN$13,MATCH(CONCATENATE(BD_COMERCIAL!$K64," ",BD_COMERCIAL!$L64),'Curva Forward'!$B$5:$B$13,0),MATCH(FU$4,'Curva Forward'!$C$4:$AN$4,0))),CW64)</f>
        <v>0</v>
      </c>
      <c r="FV64" s="190">
        <f>AJ64*AJ$2*IF($FC64="V",1,-1)*IF($Q64="Fixo",(CX64-INDEX('Curva Forward'!$C$5:$AN$13,MATCH(CONCATENATE(BD_COMERCIAL!$K64," ",BD_COMERCIAL!$L64),'Curva Forward'!$B$5:$B$13,0),MATCH(FV$4,'Curva Forward'!$C$4:$AN$4,0))),CX64)</f>
        <v>0</v>
      </c>
      <c r="FW64" s="190">
        <f>AK64*AK$2*IF($FC64="V",1,-1)*IF($Q64="Fixo",(CY64-INDEX('Curva Forward'!$C$5:$AN$13,MATCH(CONCATENATE(BD_COMERCIAL!$K64," ",BD_COMERCIAL!$L64),'Curva Forward'!$B$5:$B$13,0),MATCH(FW$4,'Curva Forward'!$C$4:$AN$4,0))),CY64)</f>
        <v>0</v>
      </c>
      <c r="FX64" s="190">
        <f>AL64*AL$2*IF($FC64="V",1,-1)*IF($Q64="Fixo",(CZ64-INDEX('Curva Forward'!$C$5:$AN$13,MATCH(CONCATENATE(BD_COMERCIAL!$K64," ",BD_COMERCIAL!$L64),'Curva Forward'!$B$5:$B$13,0),MATCH(FX$4,'Curva Forward'!$C$4:$AN$4,0))),CZ64)</f>
        <v>0</v>
      </c>
      <c r="FY64" s="190">
        <f>AM64*AM$2*IF($FC64="V",1,-1)*IF($Q64="Fixo",(DA64-INDEX('Curva Forward'!$C$5:$AN$13,MATCH(CONCATENATE(BD_COMERCIAL!$K64," ",BD_COMERCIAL!$L64),'Curva Forward'!$B$5:$B$13,0),MATCH(FY$4,'Curva Forward'!$C$4:$AN$4,0))),DA64)</f>
        <v>-520800</v>
      </c>
      <c r="FZ64" s="190">
        <f>AN64*AN$2*IF($FC64="V",1,-1)*IF($Q64="Fixo",(DB64-INDEX('Curva Forward'!$C$5:$AN$13,MATCH(CONCATENATE(BD_COMERCIAL!$K64," ",BD_COMERCIAL!$L64),'Curva Forward'!$B$5:$B$13,0),MATCH(FZ$4,'Curva Forward'!$C$4:$AN$4,0))),DB64)</f>
        <v>0</v>
      </c>
      <c r="GA64" s="190">
        <f>AO64*AO$2*IF($FC64="V",1,-1)*IF($Q64="Fixo",(DC64-INDEX('Curva Forward'!$C$5:$AN$13,MATCH(CONCATENATE(BD_COMERCIAL!$K64," ",BD_COMERCIAL!$L64),'Curva Forward'!$B$5:$B$13,0),MATCH(GA$4,'Curva Forward'!$C$4:$AN$4,0))),DC64)</f>
        <v>0</v>
      </c>
      <c r="GB64" s="190">
        <f>AP64*AP$2*IF($FC64="V",1,-1)*IF($Q64="Fixo",(DD64-INDEX('Curva Forward'!$C$5:$AN$13,MATCH(CONCATENATE(BD_COMERCIAL!$K64," ",BD_COMERCIAL!$L64),'Curva Forward'!$B$5:$B$13,0),MATCH(GB$4,'Curva Forward'!$C$4:$AN$4,0))),DD64)</f>
        <v>0</v>
      </c>
      <c r="GC64" s="190">
        <f>AQ64*AQ$2*IF($FC64="V",1,-1)*IF($Q64="Fixo",(DE64-INDEX('Curva Forward'!$C$5:$AN$13,MATCH(CONCATENATE(BD_COMERCIAL!$K64," ",BD_COMERCIAL!$L64),'Curva Forward'!$B$5:$B$13,0),MATCH(GC$4,'Curva Forward'!$C$4:$AN$4,0))),DE64)</f>
        <v>0</v>
      </c>
      <c r="GD64" s="190">
        <f>AR64*AR$2*IF($FC64="V",1,-1)*IF($Q64="Fixo",(DF64-INDEX('Curva Forward'!$C$5:$AN$13,MATCH(CONCATENATE(BD_COMERCIAL!$K64," ",BD_COMERCIAL!$L64),'Curva Forward'!$B$5:$B$13,0),MATCH(GD$4,'Curva Forward'!$C$4:$AN$4,0))),DF64)</f>
        <v>0</v>
      </c>
      <c r="GE64" s="190">
        <f>AS64*AS$2*IF($FC64="V",1,-1)*IF($Q64="Fixo",(DG64-INDEX('Curva Forward'!$C$5:$AN$13,MATCH(CONCATENATE(BD_COMERCIAL!$K64," ",BD_COMERCIAL!$L64),'Curva Forward'!$B$5:$B$13,0),MATCH(GE$4,'Curva Forward'!$C$4:$AN$4,0))),DG64)</f>
        <v>0</v>
      </c>
      <c r="GF64" s="190">
        <f>AT64*AT$2*IF($FC64="V",1,-1)*IF($Q64="Fixo",(DH64-INDEX('Curva Forward'!$C$5:$AN$13,MATCH(CONCATENATE(BD_COMERCIAL!$K64," ",BD_COMERCIAL!$L64),'Curva Forward'!$B$5:$B$13,0),MATCH(GF$4,'Curva Forward'!$C$4:$AN$4,0))),DH64)</f>
        <v>0</v>
      </c>
      <c r="GG64" s="190">
        <f>AU64*AU$2*IF($FC64="V",1,-1)*IF($Q64="Fixo",(DI64-INDEX('Curva Forward'!$C$5:$AN$13,MATCH(CONCATENATE(BD_COMERCIAL!$K64," ",BD_COMERCIAL!$L64),'Curva Forward'!$B$5:$B$13,0),MATCH(GG$4,'Curva Forward'!$C$4:$AN$4,0))),DI64)</f>
        <v>0</v>
      </c>
      <c r="GH64" s="190">
        <f>AV64*AV$2*IF($FC64="V",1,-1)*IF($Q64="Fixo",(DJ64-INDEX('Curva Forward'!$C$5:$AN$13,MATCH(CONCATENATE(BD_COMERCIAL!$K64," ",BD_COMERCIAL!$L64),'Curva Forward'!$B$5:$B$13,0),MATCH(GH$4,'Curva Forward'!$C$4:$AN$4,0))),DJ64)</f>
        <v>0</v>
      </c>
      <c r="GI64" s="190">
        <f>AW64*AW$2*IF($FC64="V",1,-1)*IF($Q64="Fixo",(DK64-INDEX('Curva Forward'!$C$5:$AN$13,MATCH(CONCATENATE(BD_COMERCIAL!$K64," ",BD_COMERCIAL!$L64),'Curva Forward'!$B$5:$B$13,0),MATCH(GI$4,'Curva Forward'!$C$4:$AN$4,0))),DK64)</f>
        <v>0</v>
      </c>
      <c r="GJ64" s="190">
        <f>AX64*AX$2*IF($FC64="V",1,-1)*IF($Q64="Fixo",(DL64-INDEX('Curva Forward'!$C$5:$AN$13,MATCH(CONCATENATE(BD_COMERCIAL!$K64," ",BD_COMERCIAL!$L64),'Curva Forward'!$B$5:$B$13,0),MATCH(GJ$4,'Curva Forward'!$C$4:$AN$4,0))),DL64)</f>
        <v>0</v>
      </c>
      <c r="GK64" s="190">
        <f>AY64*AY$2*IF($FC64="V",1,-1)*IF($Q64="Fixo",(DM64-INDEX('Curva Forward'!$C$5:$AN$13,MATCH(CONCATENATE(BD_COMERCIAL!$K64," ",BD_COMERCIAL!$L64),'Curva Forward'!$B$5:$B$13,0),MATCH(GK$4,'Curva Forward'!$C$4:$AN$4,0))),DM64)</f>
        <v>0</v>
      </c>
      <c r="GL64" s="190">
        <f>IF(EZ64="",0,CL64*CL$2*IF($FC64="V",1,-1)*IF($Q64="Fixo",(EZ64-INDEX('Curva Forward'!$C$5:$AN$13,MATCH(CONCATENATE(BD_COMERCIAL!$K64," ",BD_COMERCIAL!$L64),'Curva Forward'!$B$5:$B$13,0),MATCH(GL$4,'Curva Forward'!$C$4:$AN$4,0))),EZ64))</f>
        <v>0</v>
      </c>
      <c r="GM64" s="190">
        <f>IF(FA64="",0,CM64*CM$2*IF($FC64="V",1,-1)*IF($Q64="Fixo",(FA64-INDEX('Curva Forward'!$C$5:$AN$13,MATCH(CONCATENATE(BD_COMERCIAL!$K64," ",BD_COMERCIAL!$L64),'Curva Forward'!$B$5:$B$13,0),MATCH(GM$4,'Curva Forward'!$C$4:$AN$4,0))),FA64))</f>
        <v>0</v>
      </c>
      <c r="GN64" s="190">
        <f>IF(FB64="",0,CN64*CN$2*IF($FC64="V",1,-1)*IF($Q64="Fixo",(FB64-INDEX('Curva Forward'!$C$5:$AN$13,MATCH(CONCATENATE(BD_COMERCIAL!$K64," ",BD_COMERCIAL!$L64),'Curva Forward'!$B$5:$B$13,0),MATCH(GN$4,'Curva Forward'!$C$4:$AN$4,0))),FB64))</f>
        <v>0</v>
      </c>
      <c r="GO64" s="191">
        <f t="shared" ca="1" si="11"/>
        <v>0</v>
      </c>
      <c r="GP64" s="191">
        <f t="shared" ca="1" si="12"/>
        <v>-520800</v>
      </c>
      <c r="GQ64" s="115"/>
      <c r="GR64" s="115"/>
      <c r="GS64"/>
      <c r="GT64" s="65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</row>
    <row r="65" spans="1:236" s="265" customFormat="1" ht="15" customHeight="1" x14ac:dyDescent="0.35">
      <c r="A65" s="251"/>
      <c r="B65" s="7" t="s">
        <v>424</v>
      </c>
      <c r="C65" s="8">
        <v>44841</v>
      </c>
      <c r="D65" s="9" t="s">
        <v>130</v>
      </c>
      <c r="E65" s="9" t="s">
        <v>220</v>
      </c>
      <c r="F65" s="112" t="s">
        <v>368</v>
      </c>
      <c r="G65" s="10" t="s">
        <v>381</v>
      </c>
      <c r="H65" s="112" t="s">
        <v>348</v>
      </c>
      <c r="I65" s="9" t="s">
        <v>125</v>
      </c>
      <c r="J65" s="158" t="s">
        <v>416</v>
      </c>
      <c r="K65" s="10" t="s">
        <v>126</v>
      </c>
      <c r="L65" s="84" t="s">
        <v>22</v>
      </c>
      <c r="M65" s="11">
        <v>44927</v>
      </c>
      <c r="N65" s="12">
        <v>45107</v>
      </c>
      <c r="O65" s="10">
        <v>2</v>
      </c>
      <c r="P65" s="84">
        <v>73</v>
      </c>
      <c r="Q65" s="84" t="s">
        <v>127</v>
      </c>
      <c r="R65" s="10" t="s">
        <v>128</v>
      </c>
      <c r="S65" s="14" t="s">
        <v>133</v>
      </c>
      <c r="T65" s="11"/>
      <c r="U65" s="12"/>
      <c r="V65" s="202" t="str">
        <f ca="1">IF(U65="","",
IF(U65="NA","",
IFERROR(VLOOKUP(EOMONTH(M65,-2)+1,IPCA!$A:$B,2,0),
VLOOKUP(EOMONTH(TODAY(),-2)+1,IPCA!$A:$B,2,0))/
VLOOKUP(EOMONTH(U65,-2)+1,IPCA!$A:$B,2,0)*
P65))</f>
        <v/>
      </c>
      <c r="W65" s="84"/>
      <c r="X65" s="13" t="s">
        <v>132</v>
      </c>
      <c r="Y65" s="158"/>
      <c r="Z65" s="106"/>
      <c r="AA65" s="107"/>
      <c r="AB65" s="1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/>
      <c r="AI65"/>
      <c r="AJ65"/>
      <c r="AK65"/>
      <c r="AL65"/>
      <c r="AM65" s="6"/>
      <c r="AN65" s="15"/>
      <c r="AO65"/>
      <c r="AP65"/>
      <c r="AQ65"/>
      <c r="AR65"/>
      <c r="AS65"/>
      <c r="AT65"/>
      <c r="AU65"/>
      <c r="AV65"/>
      <c r="AW65"/>
      <c r="AX65"/>
      <c r="AY65" s="6"/>
      <c r="AZ65" s="15"/>
      <c r="BA65"/>
      <c r="BB65"/>
      <c r="BC65"/>
      <c r="BD65"/>
      <c r="BE65"/>
      <c r="BF65"/>
      <c r="BG65"/>
      <c r="BH65"/>
      <c r="BI65"/>
      <c r="BJ65"/>
      <c r="BK65" s="6"/>
      <c r="BL65" s="15"/>
      <c r="BM65"/>
      <c r="BN65"/>
      <c r="BO65"/>
      <c r="BP65"/>
      <c r="BQ65"/>
      <c r="BR65"/>
      <c r="BS65"/>
      <c r="BT65"/>
      <c r="BU65"/>
      <c r="BV65"/>
      <c r="BW65" s="6"/>
      <c r="BX65" s="15"/>
      <c r="BY65"/>
      <c r="BZ65"/>
      <c r="CA65"/>
      <c r="CB65"/>
      <c r="CC65"/>
      <c r="CD65"/>
      <c r="CE65"/>
      <c r="CF65"/>
      <c r="CG65"/>
      <c r="CH65"/>
      <c r="CI65" s="6"/>
      <c r="CJ65" s="16">
        <v>0.99178082191780825</v>
      </c>
      <c r="CK65" s="16" t="s">
        <v>578</v>
      </c>
      <c r="CL65" s="16" t="s">
        <v>578</v>
      </c>
      <c r="CM65" s="16" t="s">
        <v>578</v>
      </c>
      <c r="CN65" s="16" t="s">
        <v>578</v>
      </c>
      <c r="CO65" s="18"/>
      <c r="CP65" s="15">
        <v>73</v>
      </c>
      <c r="CQ65">
        <v>73</v>
      </c>
      <c r="CR65">
        <v>73</v>
      </c>
      <c r="CS65">
        <v>73</v>
      </c>
      <c r="CT65">
        <v>73</v>
      </c>
      <c r="CU65">
        <v>73</v>
      </c>
      <c r="CV65"/>
      <c r="CW65"/>
      <c r="CX65"/>
      <c r="CY65"/>
      <c r="CZ65"/>
      <c r="DA65" s="6"/>
      <c r="DB65" s="15"/>
      <c r="DC65"/>
      <c r="DD65"/>
      <c r="DE65"/>
      <c r="DF65"/>
      <c r="DG65"/>
      <c r="DH65"/>
      <c r="DI65"/>
      <c r="DJ65"/>
      <c r="DK65"/>
      <c r="DL65"/>
      <c r="DM65" s="6"/>
      <c r="DN65" s="15"/>
      <c r="DO65"/>
      <c r="DP65"/>
      <c r="DQ65"/>
      <c r="DR65"/>
      <c r="DS65"/>
      <c r="DT65"/>
      <c r="DU65"/>
      <c r="DV65"/>
      <c r="DW65"/>
      <c r="DX65"/>
      <c r="DY65" s="6"/>
      <c r="DZ65" s="15"/>
      <c r="EA65"/>
      <c r="EB65"/>
      <c r="EC65"/>
      <c r="ED65"/>
      <c r="EE65"/>
      <c r="EF65"/>
      <c r="EG65"/>
      <c r="EH65"/>
      <c r="EI65"/>
      <c r="EJ65"/>
      <c r="EK65" s="6"/>
      <c r="EL65" s="15"/>
      <c r="EM65"/>
      <c r="EN65"/>
      <c r="EO65"/>
      <c r="EP65"/>
      <c r="EQ65"/>
      <c r="ER65"/>
      <c r="ES65"/>
      <c r="ET65"/>
      <c r="EU65"/>
      <c r="EV65"/>
      <c r="EW65" s="6"/>
      <c r="EX65" s="16">
        <v>36.200000000000003</v>
      </c>
      <c r="EY65" s="16" t="s">
        <v>578</v>
      </c>
      <c r="EZ65" s="16" t="s">
        <v>578</v>
      </c>
      <c r="FA65" s="154" t="s">
        <v>578</v>
      </c>
      <c r="FB65" s="154" t="s">
        <v>578</v>
      </c>
      <c r="FC65" t="s">
        <v>196</v>
      </c>
      <c r="FD65" s="20" t="s">
        <v>125</v>
      </c>
      <c r="FE65"/>
      <c r="FF65" s="199" t="s">
        <v>197</v>
      </c>
      <c r="FG65"/>
      <c r="FH65" s="206">
        <f t="shared" ca="1" si="6"/>
        <v>0</v>
      </c>
      <c r="FI65" s="198">
        <f t="shared" si="7"/>
        <v>6</v>
      </c>
      <c r="FJ65"/>
      <c r="FK65" t="str">
        <f t="shared" si="8"/>
        <v>2W Energia S.A</v>
      </c>
      <c r="FL65" s="191">
        <f t="shared" ca="1" si="9"/>
        <v>-5952</v>
      </c>
      <c r="FM65" s="191">
        <f t="shared" ca="1" si="10"/>
        <v>-25872</v>
      </c>
      <c r="FN65" s="190">
        <f>AB65*AB$2*IF($FC65="V",1,-1)*IF($Q65="Fixo",(CP65-INDEX('Curva Forward'!$C$5:$AN$13,MATCH(CONCATENATE(BD_COMERCIAL!$K65," ",BD_COMERCIAL!$L65),'Curva Forward'!$B$5:$B$13,0),MATCH(FN$4,'Curva Forward'!$C$4:$AN$4,0))),CP65)</f>
        <v>-5952</v>
      </c>
      <c r="FO65" s="190">
        <f>AC65*AC$2*IF($FC65="V",1,-1)*IF($Q65="Fixo",(CQ65-INDEX('Curva Forward'!$C$5:$AN$13,MATCH(CONCATENATE(BD_COMERCIAL!$K65," ",BD_COMERCIAL!$L65),'Curva Forward'!$B$5:$B$13,0),MATCH(FO$4,'Curva Forward'!$C$4:$AN$4,0))),CQ65)</f>
        <v>-5376</v>
      </c>
      <c r="FP65" s="190">
        <f>AD65*AD$2*IF($FC65="V",1,-1)*IF($Q65="Fixo",(CR65-INDEX('Curva Forward'!$C$5:$AN$13,MATCH(CONCATENATE(BD_COMERCIAL!$K65," ",BD_COMERCIAL!$L65),'Curva Forward'!$B$5:$B$13,0),MATCH(FP$4,'Curva Forward'!$C$4:$AN$4,0))),CR65)</f>
        <v>-5952</v>
      </c>
      <c r="FQ65" s="190">
        <f>AE65*AE$2*IF($FC65="V",1,-1)*IF($Q65="Fixo",(CS65-INDEX('Curva Forward'!$C$5:$AN$13,MATCH(CONCATENATE(BD_COMERCIAL!$K65," ",BD_COMERCIAL!$L65),'Curva Forward'!$B$5:$B$13,0),MATCH(FQ$4,'Curva Forward'!$C$4:$AN$4,0))),CS65)</f>
        <v>-5760</v>
      </c>
      <c r="FR65" s="190">
        <f>AF65*AF$2*IF($FC65="V",1,-1)*IF($Q65="Fixo",(CT65-INDEX('Curva Forward'!$C$5:$AN$13,MATCH(CONCATENATE(BD_COMERCIAL!$K65," ",BD_COMERCIAL!$L65),'Curva Forward'!$B$5:$B$13,0),MATCH(FR$4,'Curva Forward'!$C$4:$AN$4,0))),CT65)</f>
        <v>-4464</v>
      </c>
      <c r="FS65" s="190">
        <f>AG65*AG$2*IF($FC65="V",1,-1)*IF($Q65="Fixo",(CU65-INDEX('Curva Forward'!$C$5:$AN$13,MATCH(CONCATENATE(BD_COMERCIAL!$K65," ",BD_COMERCIAL!$L65),'Curva Forward'!$B$5:$B$13,0),MATCH(FS$4,'Curva Forward'!$C$4:$AN$4,0))),CU65)</f>
        <v>-4320</v>
      </c>
      <c r="FT65" s="190">
        <f>AH65*AH$2*IF($FC65="V",1,-1)*IF($Q65="Fixo",(CV65-INDEX('Curva Forward'!$C$5:$AN$13,MATCH(CONCATENATE(BD_COMERCIAL!$K65," ",BD_COMERCIAL!$L65),'Curva Forward'!$B$5:$B$13,0),MATCH(FT$4,'Curva Forward'!$C$4:$AN$4,0))),CV65)</f>
        <v>0</v>
      </c>
      <c r="FU65" s="190">
        <f>AI65*AI$2*IF($FC65="V",1,-1)*IF($Q65="Fixo",(CW65-INDEX('Curva Forward'!$C$5:$AN$13,MATCH(CONCATENATE(BD_COMERCIAL!$K65," ",BD_COMERCIAL!$L65),'Curva Forward'!$B$5:$B$13,0),MATCH(FU$4,'Curva Forward'!$C$4:$AN$4,0))),CW65)</f>
        <v>0</v>
      </c>
      <c r="FV65" s="190">
        <f>AJ65*AJ$2*IF($FC65="V",1,-1)*IF($Q65="Fixo",(CX65-INDEX('Curva Forward'!$C$5:$AN$13,MATCH(CONCATENATE(BD_COMERCIAL!$K65," ",BD_COMERCIAL!$L65),'Curva Forward'!$B$5:$B$13,0),MATCH(FV$4,'Curva Forward'!$C$4:$AN$4,0))),CX65)</f>
        <v>0</v>
      </c>
      <c r="FW65" s="190">
        <f>AK65*AK$2*IF($FC65="V",1,-1)*IF($Q65="Fixo",(CY65-INDEX('Curva Forward'!$C$5:$AN$13,MATCH(CONCATENATE(BD_COMERCIAL!$K65," ",BD_COMERCIAL!$L65),'Curva Forward'!$B$5:$B$13,0),MATCH(FW$4,'Curva Forward'!$C$4:$AN$4,0))),CY65)</f>
        <v>0</v>
      </c>
      <c r="FX65" s="190">
        <f>AL65*AL$2*IF($FC65="V",1,-1)*IF($Q65="Fixo",(CZ65-INDEX('Curva Forward'!$C$5:$AN$13,MATCH(CONCATENATE(BD_COMERCIAL!$K65," ",BD_COMERCIAL!$L65),'Curva Forward'!$B$5:$B$13,0),MATCH(FX$4,'Curva Forward'!$C$4:$AN$4,0))),CZ65)</f>
        <v>0</v>
      </c>
      <c r="FY65" s="190">
        <f>AM65*AM$2*IF($FC65="V",1,-1)*IF($Q65="Fixo",(DA65-INDEX('Curva Forward'!$C$5:$AN$13,MATCH(CONCATENATE(BD_COMERCIAL!$K65," ",BD_COMERCIAL!$L65),'Curva Forward'!$B$5:$B$13,0),MATCH(FY$4,'Curva Forward'!$C$4:$AN$4,0))),DA65)</f>
        <v>0</v>
      </c>
      <c r="FZ65" s="190">
        <f>AN65*AN$2*IF($FC65="V",1,-1)*IF($Q65="Fixo",(DB65-INDEX('Curva Forward'!$C$5:$AN$13,MATCH(CONCATENATE(BD_COMERCIAL!$K65," ",BD_COMERCIAL!$L65),'Curva Forward'!$B$5:$B$13,0),MATCH(FZ$4,'Curva Forward'!$C$4:$AN$4,0))),DB65)</f>
        <v>0</v>
      </c>
      <c r="GA65" s="190">
        <f>AO65*AO$2*IF($FC65="V",1,-1)*IF($Q65="Fixo",(DC65-INDEX('Curva Forward'!$C$5:$AN$13,MATCH(CONCATENATE(BD_COMERCIAL!$K65," ",BD_COMERCIAL!$L65),'Curva Forward'!$B$5:$B$13,0),MATCH(GA$4,'Curva Forward'!$C$4:$AN$4,0))),DC65)</f>
        <v>0</v>
      </c>
      <c r="GB65" s="190">
        <f>AP65*AP$2*IF($FC65="V",1,-1)*IF($Q65="Fixo",(DD65-INDEX('Curva Forward'!$C$5:$AN$13,MATCH(CONCATENATE(BD_COMERCIAL!$K65," ",BD_COMERCIAL!$L65),'Curva Forward'!$B$5:$B$13,0),MATCH(GB$4,'Curva Forward'!$C$4:$AN$4,0))),DD65)</f>
        <v>0</v>
      </c>
      <c r="GC65" s="190">
        <f>AQ65*AQ$2*IF($FC65="V",1,-1)*IF($Q65="Fixo",(DE65-INDEX('Curva Forward'!$C$5:$AN$13,MATCH(CONCATENATE(BD_COMERCIAL!$K65," ",BD_COMERCIAL!$L65),'Curva Forward'!$B$5:$B$13,0),MATCH(GC$4,'Curva Forward'!$C$4:$AN$4,0))),DE65)</f>
        <v>0</v>
      </c>
      <c r="GD65" s="190">
        <f>AR65*AR$2*IF($FC65="V",1,-1)*IF($Q65="Fixo",(DF65-INDEX('Curva Forward'!$C$5:$AN$13,MATCH(CONCATENATE(BD_COMERCIAL!$K65," ",BD_COMERCIAL!$L65),'Curva Forward'!$B$5:$B$13,0),MATCH(GD$4,'Curva Forward'!$C$4:$AN$4,0))),DF65)</f>
        <v>0</v>
      </c>
      <c r="GE65" s="190">
        <f>AS65*AS$2*IF($FC65="V",1,-1)*IF($Q65="Fixo",(DG65-INDEX('Curva Forward'!$C$5:$AN$13,MATCH(CONCATENATE(BD_COMERCIAL!$K65," ",BD_COMERCIAL!$L65),'Curva Forward'!$B$5:$B$13,0),MATCH(GE$4,'Curva Forward'!$C$4:$AN$4,0))),DG65)</f>
        <v>0</v>
      </c>
      <c r="GF65" s="190">
        <f>AT65*AT$2*IF($FC65="V",1,-1)*IF($Q65="Fixo",(DH65-INDEX('Curva Forward'!$C$5:$AN$13,MATCH(CONCATENATE(BD_COMERCIAL!$K65," ",BD_COMERCIAL!$L65),'Curva Forward'!$B$5:$B$13,0),MATCH(GF$4,'Curva Forward'!$C$4:$AN$4,0))),DH65)</f>
        <v>0</v>
      </c>
      <c r="GG65" s="190">
        <f>AU65*AU$2*IF($FC65="V",1,-1)*IF($Q65="Fixo",(DI65-INDEX('Curva Forward'!$C$5:$AN$13,MATCH(CONCATENATE(BD_COMERCIAL!$K65," ",BD_COMERCIAL!$L65),'Curva Forward'!$B$5:$B$13,0),MATCH(GG$4,'Curva Forward'!$C$4:$AN$4,0))),DI65)</f>
        <v>0</v>
      </c>
      <c r="GH65" s="190">
        <f>AV65*AV$2*IF($FC65="V",1,-1)*IF($Q65="Fixo",(DJ65-INDEX('Curva Forward'!$C$5:$AN$13,MATCH(CONCATENATE(BD_COMERCIAL!$K65," ",BD_COMERCIAL!$L65),'Curva Forward'!$B$5:$B$13,0),MATCH(GH$4,'Curva Forward'!$C$4:$AN$4,0))),DJ65)</f>
        <v>0</v>
      </c>
      <c r="GI65" s="190">
        <f>AW65*AW$2*IF($FC65="V",1,-1)*IF($Q65="Fixo",(DK65-INDEX('Curva Forward'!$C$5:$AN$13,MATCH(CONCATENATE(BD_COMERCIAL!$K65," ",BD_COMERCIAL!$L65),'Curva Forward'!$B$5:$B$13,0),MATCH(GI$4,'Curva Forward'!$C$4:$AN$4,0))),DK65)</f>
        <v>0</v>
      </c>
      <c r="GJ65" s="190">
        <f>AX65*AX$2*IF($FC65="V",1,-1)*IF($Q65="Fixo",(DL65-INDEX('Curva Forward'!$C$5:$AN$13,MATCH(CONCATENATE(BD_COMERCIAL!$K65," ",BD_COMERCIAL!$L65),'Curva Forward'!$B$5:$B$13,0),MATCH(GJ$4,'Curva Forward'!$C$4:$AN$4,0))),DL65)</f>
        <v>0</v>
      </c>
      <c r="GK65" s="190">
        <f>AY65*AY$2*IF($FC65="V",1,-1)*IF($Q65="Fixo",(DM65-INDEX('Curva Forward'!$C$5:$AN$13,MATCH(CONCATENATE(BD_COMERCIAL!$K65," ",BD_COMERCIAL!$L65),'Curva Forward'!$B$5:$B$13,0),MATCH(GK$4,'Curva Forward'!$C$4:$AN$4,0))),DM65)</f>
        <v>0</v>
      </c>
      <c r="GL65" s="190">
        <f>IF(EZ65="",0,CL65*CL$2*IF($FC65="V",1,-1)*IF($Q65="Fixo",(EZ65-INDEX('Curva Forward'!$C$5:$AN$13,MATCH(CONCATENATE(BD_COMERCIAL!$K65," ",BD_COMERCIAL!$L65),'Curva Forward'!$B$5:$B$13,0),MATCH(GL$4,'Curva Forward'!$C$4:$AN$4,0))),EZ65))</f>
        <v>0</v>
      </c>
      <c r="GM65" s="190">
        <f>IF(FA65="",0,CM65*CM$2*IF($FC65="V",1,-1)*IF($Q65="Fixo",(FA65-INDEX('Curva Forward'!$C$5:$AN$13,MATCH(CONCATENATE(BD_COMERCIAL!$K65," ",BD_COMERCIAL!$L65),'Curva Forward'!$B$5:$B$13,0),MATCH(GM$4,'Curva Forward'!$C$4:$AN$4,0))),FA65))</f>
        <v>0</v>
      </c>
      <c r="GN65" s="190">
        <f>IF(FB65="",0,CN65*CN$2*IF($FC65="V",1,-1)*IF($Q65="Fixo",(FB65-INDEX('Curva Forward'!$C$5:$AN$13,MATCH(CONCATENATE(BD_COMERCIAL!$K65," ",BD_COMERCIAL!$L65),'Curva Forward'!$B$5:$B$13,0),MATCH(GN$4,'Curva Forward'!$C$4:$AN$4,0))),FB65))</f>
        <v>0</v>
      </c>
      <c r="GO65" s="191">
        <f t="shared" ca="1" si="11"/>
        <v>0</v>
      </c>
      <c r="GP65" s="191">
        <f t="shared" ca="1" si="12"/>
        <v>-25872</v>
      </c>
      <c r="GQ65" s="115"/>
      <c r="GR65" s="115"/>
      <c r="GS65"/>
      <c r="GT65" s="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</row>
    <row r="66" spans="1:236" s="265" customFormat="1" ht="15" customHeight="1" x14ac:dyDescent="0.35">
      <c r="A66" s="251"/>
      <c r="B66" s="7" t="s">
        <v>460</v>
      </c>
      <c r="C66" s="8">
        <v>44841</v>
      </c>
      <c r="D66" s="9" t="s">
        <v>123</v>
      </c>
      <c r="E66" s="9" t="s">
        <v>381</v>
      </c>
      <c r="F66" s="112" t="s">
        <v>348</v>
      </c>
      <c r="G66" s="10" t="s">
        <v>145</v>
      </c>
      <c r="H66" s="112"/>
      <c r="I66" s="9" t="s">
        <v>137</v>
      </c>
      <c r="J66" s="158" t="s">
        <v>416</v>
      </c>
      <c r="K66" s="10" t="s">
        <v>126</v>
      </c>
      <c r="L66" s="84" t="s">
        <v>22</v>
      </c>
      <c r="M66" s="11">
        <v>44927</v>
      </c>
      <c r="N66" s="12">
        <v>45016</v>
      </c>
      <c r="O66" s="10">
        <v>10</v>
      </c>
      <c r="P66" s="84">
        <v>74</v>
      </c>
      <c r="Q66" s="84" t="s">
        <v>127</v>
      </c>
      <c r="R66" s="10" t="s">
        <v>128</v>
      </c>
      <c r="S66" s="14" t="s">
        <v>133</v>
      </c>
      <c r="T66" s="11"/>
      <c r="U66" s="12"/>
      <c r="V66" s="202" t="str">
        <f ca="1">IF(U66="","",
IF(U66="NA","",
IFERROR(VLOOKUP(EOMONTH(M66,-2)+1,IPCA!$A:$B,2,0),
VLOOKUP(EOMONTH(TODAY(),-2)+1,IPCA!$A:$B,2,0))/
VLOOKUP(EOMONTH(U66,-2)+1,IPCA!$A:$B,2,0)*
P66))</f>
        <v/>
      </c>
      <c r="W66" s="84"/>
      <c r="X66" s="13"/>
      <c r="Y66" s="158"/>
      <c r="Z66" s="106" t="s">
        <v>146</v>
      </c>
      <c r="AA66" s="107" t="s">
        <v>146</v>
      </c>
      <c r="AB66" s="15">
        <v>10</v>
      </c>
      <c r="AC66">
        <v>10</v>
      </c>
      <c r="AD66">
        <v>10</v>
      </c>
      <c r="AE66"/>
      <c r="AF66"/>
      <c r="AG66"/>
      <c r="AH66"/>
      <c r="AI66"/>
      <c r="AJ66"/>
      <c r="AK66"/>
      <c r="AL66"/>
      <c r="AM66" s="6"/>
      <c r="AN66" s="15"/>
      <c r="AO66"/>
      <c r="AP66"/>
      <c r="AQ66"/>
      <c r="AR66"/>
      <c r="AS66"/>
      <c r="AT66"/>
      <c r="AU66"/>
      <c r="AV66"/>
      <c r="AW66"/>
      <c r="AX66"/>
      <c r="AY66" s="6"/>
      <c r="AZ66" s="15"/>
      <c r="BA66"/>
      <c r="BB66"/>
      <c r="BC66"/>
      <c r="BD66"/>
      <c r="BE66"/>
      <c r="BF66"/>
      <c r="BG66"/>
      <c r="BH66"/>
      <c r="BI66"/>
      <c r="BJ66"/>
      <c r="BK66" s="6"/>
      <c r="BL66" s="15"/>
      <c r="BM66"/>
      <c r="BN66"/>
      <c r="BO66"/>
      <c r="BP66"/>
      <c r="BQ66"/>
      <c r="BR66"/>
      <c r="BS66"/>
      <c r="BT66"/>
      <c r="BU66"/>
      <c r="BV66"/>
      <c r="BW66" s="6"/>
      <c r="BX66" s="15"/>
      <c r="BY66"/>
      <c r="BZ66"/>
      <c r="CA66"/>
      <c r="CB66"/>
      <c r="CC66"/>
      <c r="CD66"/>
      <c r="CE66"/>
      <c r="CF66"/>
      <c r="CG66"/>
      <c r="CH66"/>
      <c r="CI66" s="6"/>
      <c r="CJ66" s="16">
        <v>2.4657534246575343</v>
      </c>
      <c r="CK66" s="16" t="s">
        <v>578</v>
      </c>
      <c r="CL66" s="16" t="s">
        <v>578</v>
      </c>
      <c r="CM66" s="16" t="s">
        <v>578</v>
      </c>
      <c r="CN66" s="16" t="s">
        <v>578</v>
      </c>
      <c r="CO66" s="18"/>
      <c r="CP66" s="15">
        <v>74</v>
      </c>
      <c r="CQ66">
        <v>74</v>
      </c>
      <c r="CR66">
        <v>74</v>
      </c>
      <c r="CS66"/>
      <c r="CT66"/>
      <c r="CU66"/>
      <c r="CV66"/>
      <c r="CW66"/>
      <c r="CX66"/>
      <c r="CY66"/>
      <c r="CZ66"/>
      <c r="DA66" s="6"/>
      <c r="DB66" s="15"/>
      <c r="DC66"/>
      <c r="DD66"/>
      <c r="DE66"/>
      <c r="DF66"/>
      <c r="DG66"/>
      <c r="DH66"/>
      <c r="DI66"/>
      <c r="DJ66"/>
      <c r="DK66"/>
      <c r="DL66"/>
      <c r="DM66" s="6"/>
      <c r="DN66" s="15"/>
      <c r="DO66"/>
      <c r="DP66"/>
      <c r="DQ66"/>
      <c r="DR66"/>
      <c r="DS66"/>
      <c r="DT66"/>
      <c r="DU66"/>
      <c r="DV66"/>
      <c r="DW66"/>
      <c r="DX66"/>
      <c r="DY66" s="6"/>
      <c r="DZ66" s="15"/>
      <c r="EA66"/>
      <c r="EB66"/>
      <c r="EC66"/>
      <c r="ED66"/>
      <c r="EE66"/>
      <c r="EF66"/>
      <c r="EG66"/>
      <c r="EH66"/>
      <c r="EI66"/>
      <c r="EJ66"/>
      <c r="EK66" s="6"/>
      <c r="EL66" s="15"/>
      <c r="EM66"/>
      <c r="EN66"/>
      <c r="EO66"/>
      <c r="EP66"/>
      <c r="EQ66"/>
      <c r="ER66"/>
      <c r="ES66"/>
      <c r="ET66"/>
      <c r="EU66"/>
      <c r="EV66"/>
      <c r="EW66" s="6"/>
      <c r="EX66" s="16">
        <v>18.246575342465754</v>
      </c>
      <c r="EY66" s="16" t="s">
        <v>578</v>
      </c>
      <c r="EZ66" s="16" t="s">
        <v>578</v>
      </c>
      <c r="FA66" s="154" t="s">
        <v>578</v>
      </c>
      <c r="FB66" s="154" t="s">
        <v>578</v>
      </c>
      <c r="FC66" t="s">
        <v>195</v>
      </c>
      <c r="FD66" s="20" t="s">
        <v>145</v>
      </c>
      <c r="FE66"/>
      <c r="FF66" s="199" t="s">
        <v>197</v>
      </c>
      <c r="FG66"/>
      <c r="FH66" s="206">
        <f t="shared" ca="1" si="6"/>
        <v>0</v>
      </c>
      <c r="FI66" s="198">
        <f t="shared" si="7"/>
        <v>2.9666666666666668</v>
      </c>
      <c r="FJ66"/>
      <c r="FK66" t="str">
        <f t="shared" si="8"/>
        <v>Portfólio</v>
      </c>
      <c r="FL66" s="191">
        <f t="shared" ca="1" si="9"/>
        <v>37200</v>
      </c>
      <c r="FM66" s="191">
        <f t="shared" ca="1" si="10"/>
        <v>70800</v>
      </c>
      <c r="FN66" s="190">
        <f>AB66*AB$2*IF($FC66="V",1,-1)*IF($Q66="Fixo",(CP66-INDEX('Curva Forward'!$C$5:$AN$13,MATCH(CONCATENATE(BD_COMERCIAL!$K66," ",BD_COMERCIAL!$L66),'Curva Forward'!$B$5:$B$13,0),MATCH(FN$4,'Curva Forward'!$C$4:$AN$4,0))),CP66)</f>
        <v>37200</v>
      </c>
      <c r="FO66" s="190">
        <f>AC66*AC$2*IF($FC66="V",1,-1)*IF($Q66="Fixo",(CQ66-INDEX('Curva Forward'!$C$5:$AN$13,MATCH(CONCATENATE(BD_COMERCIAL!$K66," ",BD_COMERCIAL!$L66),'Curva Forward'!$B$5:$B$13,0),MATCH(FO$4,'Curva Forward'!$C$4:$AN$4,0))),CQ66)</f>
        <v>33600</v>
      </c>
      <c r="FP66" s="190">
        <f>AD66*AD$2*IF($FC66="V",1,-1)*IF($Q66="Fixo",(CR66-INDEX('Curva Forward'!$C$5:$AN$13,MATCH(CONCATENATE(BD_COMERCIAL!$K66," ",BD_COMERCIAL!$L66),'Curva Forward'!$B$5:$B$13,0),MATCH(FP$4,'Curva Forward'!$C$4:$AN$4,0))),CR66)</f>
        <v>37200</v>
      </c>
      <c r="FQ66" s="190">
        <f>AE66*AE$2*IF($FC66="V",1,-1)*IF($Q66="Fixo",(CS66-INDEX('Curva Forward'!$C$5:$AN$13,MATCH(CONCATENATE(BD_COMERCIAL!$K66," ",BD_COMERCIAL!$L66),'Curva Forward'!$B$5:$B$13,0),MATCH(FQ$4,'Curva Forward'!$C$4:$AN$4,0))),CS66)</f>
        <v>0</v>
      </c>
      <c r="FR66" s="190">
        <f>AF66*AF$2*IF($FC66="V",1,-1)*IF($Q66="Fixo",(CT66-INDEX('Curva Forward'!$C$5:$AN$13,MATCH(CONCATENATE(BD_COMERCIAL!$K66," ",BD_COMERCIAL!$L66),'Curva Forward'!$B$5:$B$13,0),MATCH(FR$4,'Curva Forward'!$C$4:$AN$4,0))),CT66)</f>
        <v>0</v>
      </c>
      <c r="FS66" s="190">
        <f>AG66*AG$2*IF($FC66="V",1,-1)*IF($Q66="Fixo",(CU66-INDEX('Curva Forward'!$C$5:$AN$13,MATCH(CONCATENATE(BD_COMERCIAL!$K66," ",BD_COMERCIAL!$L66),'Curva Forward'!$B$5:$B$13,0),MATCH(FS$4,'Curva Forward'!$C$4:$AN$4,0))),CU66)</f>
        <v>0</v>
      </c>
      <c r="FT66" s="190">
        <f>AH66*AH$2*IF($FC66="V",1,-1)*IF($Q66="Fixo",(CV66-INDEX('Curva Forward'!$C$5:$AN$13,MATCH(CONCATENATE(BD_COMERCIAL!$K66," ",BD_COMERCIAL!$L66),'Curva Forward'!$B$5:$B$13,0),MATCH(FT$4,'Curva Forward'!$C$4:$AN$4,0))),CV66)</f>
        <v>0</v>
      </c>
      <c r="FU66" s="190">
        <f>AI66*AI$2*IF($FC66="V",1,-1)*IF($Q66="Fixo",(CW66-INDEX('Curva Forward'!$C$5:$AN$13,MATCH(CONCATENATE(BD_COMERCIAL!$K66," ",BD_COMERCIAL!$L66),'Curva Forward'!$B$5:$B$13,0),MATCH(FU$4,'Curva Forward'!$C$4:$AN$4,0))),CW66)</f>
        <v>0</v>
      </c>
      <c r="FV66" s="190">
        <f>AJ66*AJ$2*IF($FC66="V",1,-1)*IF($Q66="Fixo",(CX66-INDEX('Curva Forward'!$C$5:$AN$13,MATCH(CONCATENATE(BD_COMERCIAL!$K66," ",BD_COMERCIAL!$L66),'Curva Forward'!$B$5:$B$13,0),MATCH(FV$4,'Curva Forward'!$C$4:$AN$4,0))),CX66)</f>
        <v>0</v>
      </c>
      <c r="FW66" s="190">
        <f>AK66*AK$2*IF($FC66="V",1,-1)*IF($Q66="Fixo",(CY66-INDEX('Curva Forward'!$C$5:$AN$13,MATCH(CONCATENATE(BD_COMERCIAL!$K66," ",BD_COMERCIAL!$L66),'Curva Forward'!$B$5:$B$13,0),MATCH(FW$4,'Curva Forward'!$C$4:$AN$4,0))),CY66)</f>
        <v>0</v>
      </c>
      <c r="FX66" s="190">
        <f>AL66*AL$2*IF($FC66="V",1,-1)*IF($Q66="Fixo",(CZ66-INDEX('Curva Forward'!$C$5:$AN$13,MATCH(CONCATENATE(BD_COMERCIAL!$K66," ",BD_COMERCIAL!$L66),'Curva Forward'!$B$5:$B$13,0),MATCH(FX$4,'Curva Forward'!$C$4:$AN$4,0))),CZ66)</f>
        <v>0</v>
      </c>
      <c r="FY66" s="190">
        <f>AM66*AM$2*IF($FC66="V",1,-1)*IF($Q66="Fixo",(DA66-INDEX('Curva Forward'!$C$5:$AN$13,MATCH(CONCATENATE(BD_COMERCIAL!$K66," ",BD_COMERCIAL!$L66),'Curva Forward'!$B$5:$B$13,0),MATCH(FY$4,'Curva Forward'!$C$4:$AN$4,0))),DA66)</f>
        <v>0</v>
      </c>
      <c r="FZ66" s="190">
        <f>AN66*AN$2*IF($FC66="V",1,-1)*IF($Q66="Fixo",(DB66-INDEX('Curva Forward'!$C$5:$AN$13,MATCH(CONCATENATE(BD_COMERCIAL!$K66," ",BD_COMERCIAL!$L66),'Curva Forward'!$B$5:$B$13,0),MATCH(FZ$4,'Curva Forward'!$C$4:$AN$4,0))),DB66)</f>
        <v>0</v>
      </c>
      <c r="GA66" s="190">
        <f>AO66*AO$2*IF($FC66="V",1,-1)*IF($Q66="Fixo",(DC66-INDEX('Curva Forward'!$C$5:$AN$13,MATCH(CONCATENATE(BD_COMERCIAL!$K66," ",BD_COMERCIAL!$L66),'Curva Forward'!$B$5:$B$13,0),MATCH(GA$4,'Curva Forward'!$C$4:$AN$4,0))),DC66)</f>
        <v>0</v>
      </c>
      <c r="GB66" s="190">
        <f>AP66*AP$2*IF($FC66="V",1,-1)*IF($Q66="Fixo",(DD66-INDEX('Curva Forward'!$C$5:$AN$13,MATCH(CONCATENATE(BD_COMERCIAL!$K66," ",BD_COMERCIAL!$L66),'Curva Forward'!$B$5:$B$13,0),MATCH(GB$4,'Curva Forward'!$C$4:$AN$4,0))),DD66)</f>
        <v>0</v>
      </c>
      <c r="GC66" s="190">
        <f>AQ66*AQ$2*IF($FC66="V",1,-1)*IF($Q66="Fixo",(DE66-INDEX('Curva Forward'!$C$5:$AN$13,MATCH(CONCATENATE(BD_COMERCIAL!$K66," ",BD_COMERCIAL!$L66),'Curva Forward'!$B$5:$B$13,0),MATCH(GC$4,'Curva Forward'!$C$4:$AN$4,0))),DE66)</f>
        <v>0</v>
      </c>
      <c r="GD66" s="190">
        <f>AR66*AR$2*IF($FC66="V",1,-1)*IF($Q66="Fixo",(DF66-INDEX('Curva Forward'!$C$5:$AN$13,MATCH(CONCATENATE(BD_COMERCIAL!$K66," ",BD_COMERCIAL!$L66),'Curva Forward'!$B$5:$B$13,0),MATCH(GD$4,'Curva Forward'!$C$4:$AN$4,0))),DF66)</f>
        <v>0</v>
      </c>
      <c r="GE66" s="190">
        <f>AS66*AS$2*IF($FC66="V",1,-1)*IF($Q66="Fixo",(DG66-INDEX('Curva Forward'!$C$5:$AN$13,MATCH(CONCATENATE(BD_COMERCIAL!$K66," ",BD_COMERCIAL!$L66),'Curva Forward'!$B$5:$B$13,0),MATCH(GE$4,'Curva Forward'!$C$4:$AN$4,0))),DG66)</f>
        <v>0</v>
      </c>
      <c r="GF66" s="190">
        <f>AT66*AT$2*IF($FC66="V",1,-1)*IF($Q66="Fixo",(DH66-INDEX('Curva Forward'!$C$5:$AN$13,MATCH(CONCATENATE(BD_COMERCIAL!$K66," ",BD_COMERCIAL!$L66),'Curva Forward'!$B$5:$B$13,0),MATCH(GF$4,'Curva Forward'!$C$4:$AN$4,0))),DH66)</f>
        <v>0</v>
      </c>
      <c r="GG66" s="190">
        <f>AU66*AU$2*IF($FC66="V",1,-1)*IF($Q66="Fixo",(DI66-INDEX('Curva Forward'!$C$5:$AN$13,MATCH(CONCATENATE(BD_COMERCIAL!$K66," ",BD_COMERCIAL!$L66),'Curva Forward'!$B$5:$B$13,0),MATCH(GG$4,'Curva Forward'!$C$4:$AN$4,0))),DI66)</f>
        <v>0</v>
      </c>
      <c r="GH66" s="190">
        <f>AV66*AV$2*IF($FC66="V",1,-1)*IF($Q66="Fixo",(DJ66-INDEX('Curva Forward'!$C$5:$AN$13,MATCH(CONCATENATE(BD_COMERCIAL!$K66," ",BD_COMERCIAL!$L66),'Curva Forward'!$B$5:$B$13,0),MATCH(GH$4,'Curva Forward'!$C$4:$AN$4,0))),DJ66)</f>
        <v>0</v>
      </c>
      <c r="GI66" s="190">
        <f>AW66*AW$2*IF($FC66="V",1,-1)*IF($Q66="Fixo",(DK66-INDEX('Curva Forward'!$C$5:$AN$13,MATCH(CONCATENATE(BD_COMERCIAL!$K66," ",BD_COMERCIAL!$L66),'Curva Forward'!$B$5:$B$13,0),MATCH(GI$4,'Curva Forward'!$C$4:$AN$4,0))),DK66)</f>
        <v>0</v>
      </c>
      <c r="GJ66" s="190">
        <f>AX66*AX$2*IF($FC66="V",1,-1)*IF($Q66="Fixo",(DL66-INDEX('Curva Forward'!$C$5:$AN$13,MATCH(CONCATENATE(BD_COMERCIAL!$K66," ",BD_COMERCIAL!$L66),'Curva Forward'!$B$5:$B$13,0),MATCH(GJ$4,'Curva Forward'!$C$4:$AN$4,0))),DL66)</f>
        <v>0</v>
      </c>
      <c r="GK66" s="190">
        <f>AY66*AY$2*IF($FC66="V",1,-1)*IF($Q66="Fixo",(DM66-INDEX('Curva Forward'!$C$5:$AN$13,MATCH(CONCATENATE(BD_COMERCIAL!$K66," ",BD_COMERCIAL!$L66),'Curva Forward'!$B$5:$B$13,0),MATCH(GK$4,'Curva Forward'!$C$4:$AN$4,0))),DM66)</f>
        <v>0</v>
      </c>
      <c r="GL66" s="190">
        <f>IF(EZ66="",0,CL66*CL$2*IF($FC66="V",1,-1)*IF($Q66="Fixo",(EZ66-INDEX('Curva Forward'!$C$5:$AN$13,MATCH(CONCATENATE(BD_COMERCIAL!$K66," ",BD_COMERCIAL!$L66),'Curva Forward'!$B$5:$B$13,0),MATCH(GL$4,'Curva Forward'!$C$4:$AN$4,0))),EZ66))</f>
        <v>0</v>
      </c>
      <c r="GM66" s="190">
        <f>IF(FA66="",0,CM66*CM$2*IF($FC66="V",1,-1)*IF($Q66="Fixo",(FA66-INDEX('Curva Forward'!$C$5:$AN$13,MATCH(CONCATENATE(BD_COMERCIAL!$K66," ",BD_COMERCIAL!$L66),'Curva Forward'!$B$5:$B$13,0),MATCH(GM$4,'Curva Forward'!$C$4:$AN$4,0))),FA66))</f>
        <v>0</v>
      </c>
      <c r="GN66" s="190">
        <f>IF(FB66="",0,CN66*CN$2*IF($FC66="V",1,-1)*IF($Q66="Fixo",(FB66-INDEX('Curva Forward'!$C$5:$AN$13,MATCH(CONCATENATE(BD_COMERCIAL!$K66," ",BD_COMERCIAL!$L66),'Curva Forward'!$B$5:$B$13,0),MATCH(GN$4,'Curva Forward'!$C$4:$AN$4,0))),FB66))</f>
        <v>0</v>
      </c>
      <c r="GO66" s="191">
        <f t="shared" ca="1" si="11"/>
        <v>70800</v>
      </c>
      <c r="GP66" s="191">
        <f t="shared" ca="1" si="12"/>
        <v>0</v>
      </c>
      <c r="GQ66" s="115"/>
      <c r="GR66" s="115"/>
      <c r="GS66"/>
      <c r="GT66" s="65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</row>
    <row r="67" spans="1:236" s="265" customFormat="1" ht="15" customHeight="1" x14ac:dyDescent="0.35">
      <c r="A67" s="251"/>
      <c r="B67" s="7" t="s">
        <v>425</v>
      </c>
      <c r="C67" s="8">
        <v>44844</v>
      </c>
      <c r="D67" s="9" t="s">
        <v>130</v>
      </c>
      <c r="E67" s="9" t="s">
        <v>342</v>
      </c>
      <c r="F67" s="112" t="s">
        <v>361</v>
      </c>
      <c r="G67" s="10" t="s">
        <v>381</v>
      </c>
      <c r="H67" s="112" t="s">
        <v>348</v>
      </c>
      <c r="I67" s="9" t="s">
        <v>125</v>
      </c>
      <c r="J67" s="158" t="s">
        <v>416</v>
      </c>
      <c r="K67" s="10" t="s">
        <v>126</v>
      </c>
      <c r="L67" s="84" t="s">
        <v>22</v>
      </c>
      <c r="M67" s="11">
        <v>44927</v>
      </c>
      <c r="N67" s="12">
        <v>45016</v>
      </c>
      <c r="O67" s="10">
        <v>5</v>
      </c>
      <c r="P67" s="84">
        <v>72</v>
      </c>
      <c r="Q67" s="84" t="s">
        <v>127</v>
      </c>
      <c r="R67" s="10" t="s">
        <v>128</v>
      </c>
      <c r="S67" s="14" t="s">
        <v>133</v>
      </c>
      <c r="T67" s="11"/>
      <c r="U67" s="12"/>
      <c r="V67" s="202" t="str">
        <f ca="1">IF(U67="","",
IF(U67="NA","",
IFERROR(VLOOKUP(EOMONTH(M67,-2)+1,IPCA!$A:$B,2,0),
VLOOKUP(EOMONTH(TODAY(),-2)+1,IPCA!$A:$B,2,0))/
VLOOKUP(EOMONTH(U67,-2)+1,IPCA!$A:$B,2,0)*
P67))</f>
        <v/>
      </c>
      <c r="W67" s="84"/>
      <c r="X67" s="13" t="s">
        <v>132</v>
      </c>
      <c r="Y67" s="158"/>
      <c r="Z67" s="106"/>
      <c r="AA67" s="107"/>
      <c r="AB67" s="15">
        <v>5</v>
      </c>
      <c r="AC67">
        <v>5</v>
      </c>
      <c r="AD67">
        <v>5</v>
      </c>
      <c r="AE67"/>
      <c r="AF67"/>
      <c r="AG67"/>
      <c r="AH67"/>
      <c r="AI67"/>
      <c r="AJ67"/>
      <c r="AK67"/>
      <c r="AL67"/>
      <c r="AM67" s="6"/>
      <c r="AN67" s="15"/>
      <c r="AO67"/>
      <c r="AP67"/>
      <c r="AQ67"/>
      <c r="AR67"/>
      <c r="AS67"/>
      <c r="AT67"/>
      <c r="AU67"/>
      <c r="AV67"/>
      <c r="AW67"/>
      <c r="AX67"/>
      <c r="AY67" s="6"/>
      <c r="AZ67" s="15"/>
      <c r="BA67"/>
      <c r="BB67"/>
      <c r="BC67"/>
      <c r="BD67"/>
      <c r="BE67"/>
      <c r="BF67"/>
      <c r="BG67"/>
      <c r="BH67"/>
      <c r="BI67"/>
      <c r="BJ67"/>
      <c r="BK67" s="6"/>
      <c r="BL67" s="15"/>
      <c r="BM67"/>
      <c r="BN67"/>
      <c r="BO67"/>
      <c r="BP67"/>
      <c r="BQ67"/>
      <c r="BR67"/>
      <c r="BS67"/>
      <c r="BT67"/>
      <c r="BU67"/>
      <c r="BV67"/>
      <c r="BW67" s="6"/>
      <c r="BX67" s="15"/>
      <c r="BY67"/>
      <c r="BZ67"/>
      <c r="CA67"/>
      <c r="CB67"/>
      <c r="CC67"/>
      <c r="CD67"/>
      <c r="CE67"/>
      <c r="CF67"/>
      <c r="CG67"/>
      <c r="CH67"/>
      <c r="CI67" s="6"/>
      <c r="CJ67" s="16">
        <v>1.2328767123287672</v>
      </c>
      <c r="CK67" s="16" t="s">
        <v>578</v>
      </c>
      <c r="CL67" s="16" t="s">
        <v>578</v>
      </c>
      <c r="CM67" s="16" t="s">
        <v>578</v>
      </c>
      <c r="CN67" s="16" t="s">
        <v>578</v>
      </c>
      <c r="CO67" s="18"/>
      <c r="CP67" s="15">
        <v>72</v>
      </c>
      <c r="CQ67">
        <v>72</v>
      </c>
      <c r="CR67">
        <v>72</v>
      </c>
      <c r="CS67"/>
      <c r="CT67"/>
      <c r="CU67"/>
      <c r="CV67"/>
      <c r="CW67"/>
      <c r="CX67"/>
      <c r="CY67"/>
      <c r="CZ67"/>
      <c r="DA67" s="6"/>
      <c r="DB67" s="15"/>
      <c r="DC67"/>
      <c r="DD67"/>
      <c r="DE67"/>
      <c r="DF67"/>
      <c r="DG67"/>
      <c r="DH67"/>
      <c r="DI67"/>
      <c r="DJ67"/>
      <c r="DK67"/>
      <c r="DL67"/>
      <c r="DM67" s="6"/>
      <c r="DN67" s="15"/>
      <c r="DO67"/>
      <c r="DP67"/>
      <c r="DQ67"/>
      <c r="DR67"/>
      <c r="DS67"/>
      <c r="DT67"/>
      <c r="DU67"/>
      <c r="DV67"/>
      <c r="DW67"/>
      <c r="DX67"/>
      <c r="DY67" s="6"/>
      <c r="DZ67" s="15"/>
      <c r="EA67"/>
      <c r="EB67"/>
      <c r="EC67"/>
      <c r="ED67"/>
      <c r="EE67"/>
      <c r="EF67"/>
      <c r="EG67"/>
      <c r="EH67"/>
      <c r="EI67"/>
      <c r="EJ67"/>
      <c r="EK67" s="6"/>
      <c r="EL67" s="15"/>
      <c r="EM67"/>
      <c r="EN67"/>
      <c r="EO67"/>
      <c r="EP67"/>
      <c r="EQ67"/>
      <c r="ER67"/>
      <c r="ES67"/>
      <c r="ET67"/>
      <c r="EU67"/>
      <c r="EV67"/>
      <c r="EW67" s="6"/>
      <c r="EX67" s="16">
        <v>17.753424657534246</v>
      </c>
      <c r="EY67" s="16" t="s">
        <v>578</v>
      </c>
      <c r="EZ67" s="16" t="s">
        <v>578</v>
      </c>
      <c r="FA67" s="154" t="s">
        <v>578</v>
      </c>
      <c r="FB67" s="154" t="s">
        <v>578</v>
      </c>
      <c r="FC67" t="s">
        <v>196</v>
      </c>
      <c r="FD67" s="20" t="s">
        <v>125</v>
      </c>
      <c r="FE67"/>
      <c r="FF67" s="199" t="s">
        <v>197</v>
      </c>
      <c r="FG67"/>
      <c r="FH67" s="206">
        <f t="shared" ca="1" si="6"/>
        <v>0</v>
      </c>
      <c r="FI67" s="198">
        <f t="shared" si="7"/>
        <v>2.9666666666666668</v>
      </c>
      <c r="FJ67"/>
      <c r="FK67" t="str">
        <f t="shared" si="8"/>
        <v>GENCO ENERGIA LTDA</v>
      </c>
      <c r="FL67" s="191">
        <f t="shared" ca="1" si="9"/>
        <v>-11160</v>
      </c>
      <c r="FM67" s="191">
        <f t="shared" ca="1" si="10"/>
        <v>-21240</v>
      </c>
      <c r="FN67" s="190">
        <f>AB67*AB$2*IF($FC67="V",1,-1)*IF($Q67="Fixo",(CP67-INDEX('Curva Forward'!$C$5:$AN$13,MATCH(CONCATENATE(BD_COMERCIAL!$K67," ",BD_COMERCIAL!$L67),'Curva Forward'!$B$5:$B$13,0),MATCH(FN$4,'Curva Forward'!$C$4:$AN$4,0))),CP67)</f>
        <v>-11160</v>
      </c>
      <c r="FO67" s="190">
        <f>AC67*AC$2*IF($FC67="V",1,-1)*IF($Q67="Fixo",(CQ67-INDEX('Curva Forward'!$C$5:$AN$13,MATCH(CONCATENATE(BD_COMERCIAL!$K67," ",BD_COMERCIAL!$L67),'Curva Forward'!$B$5:$B$13,0),MATCH(FO$4,'Curva Forward'!$C$4:$AN$4,0))),CQ67)</f>
        <v>-10080</v>
      </c>
      <c r="FP67" s="190">
        <f>AD67*AD$2*IF($FC67="V",1,-1)*IF($Q67="Fixo",(CR67-INDEX('Curva Forward'!$C$5:$AN$13,MATCH(CONCATENATE(BD_COMERCIAL!$K67," ",BD_COMERCIAL!$L67),'Curva Forward'!$B$5:$B$13,0),MATCH(FP$4,'Curva Forward'!$C$4:$AN$4,0))),CR67)</f>
        <v>-11160</v>
      </c>
      <c r="FQ67" s="190">
        <f>AE67*AE$2*IF($FC67="V",1,-1)*IF($Q67="Fixo",(CS67-INDEX('Curva Forward'!$C$5:$AN$13,MATCH(CONCATENATE(BD_COMERCIAL!$K67," ",BD_COMERCIAL!$L67),'Curva Forward'!$B$5:$B$13,0),MATCH(FQ$4,'Curva Forward'!$C$4:$AN$4,0))),CS67)</f>
        <v>0</v>
      </c>
      <c r="FR67" s="190">
        <f>AF67*AF$2*IF($FC67="V",1,-1)*IF($Q67="Fixo",(CT67-INDEX('Curva Forward'!$C$5:$AN$13,MATCH(CONCATENATE(BD_COMERCIAL!$K67," ",BD_COMERCIAL!$L67),'Curva Forward'!$B$5:$B$13,0),MATCH(FR$4,'Curva Forward'!$C$4:$AN$4,0))),CT67)</f>
        <v>0</v>
      </c>
      <c r="FS67" s="190">
        <f>AG67*AG$2*IF($FC67="V",1,-1)*IF($Q67="Fixo",(CU67-INDEX('Curva Forward'!$C$5:$AN$13,MATCH(CONCATENATE(BD_COMERCIAL!$K67," ",BD_COMERCIAL!$L67),'Curva Forward'!$B$5:$B$13,0),MATCH(FS$4,'Curva Forward'!$C$4:$AN$4,0))),CU67)</f>
        <v>0</v>
      </c>
      <c r="FT67" s="190">
        <f>AH67*AH$2*IF($FC67="V",1,-1)*IF($Q67="Fixo",(CV67-INDEX('Curva Forward'!$C$5:$AN$13,MATCH(CONCATENATE(BD_COMERCIAL!$K67," ",BD_COMERCIAL!$L67),'Curva Forward'!$B$5:$B$13,0),MATCH(FT$4,'Curva Forward'!$C$4:$AN$4,0))),CV67)</f>
        <v>0</v>
      </c>
      <c r="FU67" s="190">
        <f>AI67*AI$2*IF($FC67="V",1,-1)*IF($Q67="Fixo",(CW67-INDEX('Curva Forward'!$C$5:$AN$13,MATCH(CONCATENATE(BD_COMERCIAL!$K67," ",BD_COMERCIAL!$L67),'Curva Forward'!$B$5:$B$13,0),MATCH(FU$4,'Curva Forward'!$C$4:$AN$4,0))),CW67)</f>
        <v>0</v>
      </c>
      <c r="FV67" s="190">
        <f>AJ67*AJ$2*IF($FC67="V",1,-1)*IF($Q67="Fixo",(CX67-INDEX('Curva Forward'!$C$5:$AN$13,MATCH(CONCATENATE(BD_COMERCIAL!$K67," ",BD_COMERCIAL!$L67),'Curva Forward'!$B$5:$B$13,0),MATCH(FV$4,'Curva Forward'!$C$4:$AN$4,0))),CX67)</f>
        <v>0</v>
      </c>
      <c r="FW67" s="190">
        <f>AK67*AK$2*IF($FC67="V",1,-1)*IF($Q67="Fixo",(CY67-INDEX('Curva Forward'!$C$5:$AN$13,MATCH(CONCATENATE(BD_COMERCIAL!$K67," ",BD_COMERCIAL!$L67),'Curva Forward'!$B$5:$B$13,0),MATCH(FW$4,'Curva Forward'!$C$4:$AN$4,0))),CY67)</f>
        <v>0</v>
      </c>
      <c r="FX67" s="190">
        <f>AL67*AL$2*IF($FC67="V",1,-1)*IF($Q67="Fixo",(CZ67-INDEX('Curva Forward'!$C$5:$AN$13,MATCH(CONCATENATE(BD_COMERCIAL!$K67," ",BD_COMERCIAL!$L67),'Curva Forward'!$B$5:$B$13,0),MATCH(FX$4,'Curva Forward'!$C$4:$AN$4,0))),CZ67)</f>
        <v>0</v>
      </c>
      <c r="FY67" s="190">
        <f>AM67*AM$2*IF($FC67="V",1,-1)*IF($Q67="Fixo",(DA67-INDEX('Curva Forward'!$C$5:$AN$13,MATCH(CONCATENATE(BD_COMERCIAL!$K67," ",BD_COMERCIAL!$L67),'Curva Forward'!$B$5:$B$13,0),MATCH(FY$4,'Curva Forward'!$C$4:$AN$4,0))),DA67)</f>
        <v>0</v>
      </c>
      <c r="FZ67" s="190">
        <f>AN67*AN$2*IF($FC67="V",1,-1)*IF($Q67="Fixo",(DB67-INDEX('Curva Forward'!$C$5:$AN$13,MATCH(CONCATENATE(BD_COMERCIAL!$K67," ",BD_COMERCIAL!$L67),'Curva Forward'!$B$5:$B$13,0),MATCH(FZ$4,'Curva Forward'!$C$4:$AN$4,0))),DB67)</f>
        <v>0</v>
      </c>
      <c r="GA67" s="190">
        <f>AO67*AO$2*IF($FC67="V",1,-1)*IF($Q67="Fixo",(DC67-INDEX('Curva Forward'!$C$5:$AN$13,MATCH(CONCATENATE(BD_COMERCIAL!$K67," ",BD_COMERCIAL!$L67),'Curva Forward'!$B$5:$B$13,0),MATCH(GA$4,'Curva Forward'!$C$4:$AN$4,0))),DC67)</f>
        <v>0</v>
      </c>
      <c r="GB67" s="190">
        <f>AP67*AP$2*IF($FC67="V",1,-1)*IF($Q67="Fixo",(DD67-INDEX('Curva Forward'!$C$5:$AN$13,MATCH(CONCATENATE(BD_COMERCIAL!$K67," ",BD_COMERCIAL!$L67),'Curva Forward'!$B$5:$B$13,0),MATCH(GB$4,'Curva Forward'!$C$4:$AN$4,0))),DD67)</f>
        <v>0</v>
      </c>
      <c r="GC67" s="190">
        <f>AQ67*AQ$2*IF($FC67="V",1,-1)*IF($Q67="Fixo",(DE67-INDEX('Curva Forward'!$C$5:$AN$13,MATCH(CONCATENATE(BD_COMERCIAL!$K67," ",BD_COMERCIAL!$L67),'Curva Forward'!$B$5:$B$13,0),MATCH(GC$4,'Curva Forward'!$C$4:$AN$4,0))),DE67)</f>
        <v>0</v>
      </c>
      <c r="GD67" s="190">
        <f>AR67*AR$2*IF($FC67="V",1,-1)*IF($Q67="Fixo",(DF67-INDEX('Curva Forward'!$C$5:$AN$13,MATCH(CONCATENATE(BD_COMERCIAL!$K67," ",BD_COMERCIAL!$L67),'Curva Forward'!$B$5:$B$13,0),MATCH(GD$4,'Curva Forward'!$C$4:$AN$4,0))),DF67)</f>
        <v>0</v>
      </c>
      <c r="GE67" s="190">
        <f>AS67*AS$2*IF($FC67="V",1,-1)*IF($Q67="Fixo",(DG67-INDEX('Curva Forward'!$C$5:$AN$13,MATCH(CONCATENATE(BD_COMERCIAL!$K67," ",BD_COMERCIAL!$L67),'Curva Forward'!$B$5:$B$13,0),MATCH(GE$4,'Curva Forward'!$C$4:$AN$4,0))),DG67)</f>
        <v>0</v>
      </c>
      <c r="GF67" s="190">
        <f>AT67*AT$2*IF($FC67="V",1,-1)*IF($Q67="Fixo",(DH67-INDEX('Curva Forward'!$C$5:$AN$13,MATCH(CONCATENATE(BD_COMERCIAL!$K67," ",BD_COMERCIAL!$L67),'Curva Forward'!$B$5:$B$13,0),MATCH(GF$4,'Curva Forward'!$C$4:$AN$4,0))),DH67)</f>
        <v>0</v>
      </c>
      <c r="GG67" s="190">
        <f>AU67*AU$2*IF($FC67="V",1,-1)*IF($Q67="Fixo",(DI67-INDEX('Curva Forward'!$C$5:$AN$13,MATCH(CONCATENATE(BD_COMERCIAL!$K67," ",BD_COMERCIAL!$L67),'Curva Forward'!$B$5:$B$13,0),MATCH(GG$4,'Curva Forward'!$C$4:$AN$4,0))),DI67)</f>
        <v>0</v>
      </c>
      <c r="GH67" s="190">
        <f>AV67*AV$2*IF($FC67="V",1,-1)*IF($Q67="Fixo",(DJ67-INDEX('Curva Forward'!$C$5:$AN$13,MATCH(CONCATENATE(BD_COMERCIAL!$K67," ",BD_COMERCIAL!$L67),'Curva Forward'!$B$5:$B$13,0),MATCH(GH$4,'Curva Forward'!$C$4:$AN$4,0))),DJ67)</f>
        <v>0</v>
      </c>
      <c r="GI67" s="190">
        <f>AW67*AW$2*IF($FC67="V",1,-1)*IF($Q67="Fixo",(DK67-INDEX('Curva Forward'!$C$5:$AN$13,MATCH(CONCATENATE(BD_COMERCIAL!$K67," ",BD_COMERCIAL!$L67),'Curva Forward'!$B$5:$B$13,0),MATCH(GI$4,'Curva Forward'!$C$4:$AN$4,0))),DK67)</f>
        <v>0</v>
      </c>
      <c r="GJ67" s="190">
        <f>AX67*AX$2*IF($FC67="V",1,-1)*IF($Q67="Fixo",(DL67-INDEX('Curva Forward'!$C$5:$AN$13,MATCH(CONCATENATE(BD_COMERCIAL!$K67," ",BD_COMERCIAL!$L67),'Curva Forward'!$B$5:$B$13,0),MATCH(GJ$4,'Curva Forward'!$C$4:$AN$4,0))),DL67)</f>
        <v>0</v>
      </c>
      <c r="GK67" s="190">
        <f>AY67*AY$2*IF($FC67="V",1,-1)*IF($Q67="Fixo",(DM67-INDEX('Curva Forward'!$C$5:$AN$13,MATCH(CONCATENATE(BD_COMERCIAL!$K67," ",BD_COMERCIAL!$L67),'Curva Forward'!$B$5:$B$13,0),MATCH(GK$4,'Curva Forward'!$C$4:$AN$4,0))),DM67)</f>
        <v>0</v>
      </c>
      <c r="GL67" s="190">
        <f>IF(EZ67="",0,CL67*CL$2*IF($FC67="V",1,-1)*IF($Q67="Fixo",(EZ67-INDEX('Curva Forward'!$C$5:$AN$13,MATCH(CONCATENATE(BD_COMERCIAL!$K67," ",BD_COMERCIAL!$L67),'Curva Forward'!$B$5:$B$13,0),MATCH(GL$4,'Curva Forward'!$C$4:$AN$4,0))),EZ67))</f>
        <v>0</v>
      </c>
      <c r="GM67" s="190">
        <f>IF(FA67="",0,CM67*CM$2*IF($FC67="V",1,-1)*IF($Q67="Fixo",(FA67-INDEX('Curva Forward'!$C$5:$AN$13,MATCH(CONCATENATE(BD_COMERCIAL!$K67," ",BD_COMERCIAL!$L67),'Curva Forward'!$B$5:$B$13,0),MATCH(GM$4,'Curva Forward'!$C$4:$AN$4,0))),FA67))</f>
        <v>0</v>
      </c>
      <c r="GN67" s="190">
        <f>IF(FB67="",0,CN67*CN$2*IF($FC67="V",1,-1)*IF($Q67="Fixo",(FB67-INDEX('Curva Forward'!$C$5:$AN$13,MATCH(CONCATENATE(BD_COMERCIAL!$K67," ",BD_COMERCIAL!$L67),'Curva Forward'!$B$5:$B$13,0),MATCH(GN$4,'Curva Forward'!$C$4:$AN$4,0))),FB67))</f>
        <v>0</v>
      </c>
      <c r="GO67" s="191">
        <f t="shared" ca="1" si="11"/>
        <v>0</v>
      </c>
      <c r="GP67" s="191">
        <f t="shared" ca="1" si="12"/>
        <v>-21240</v>
      </c>
      <c r="GQ67" s="115"/>
      <c r="GR67" s="115"/>
      <c r="GS67"/>
      <c r="GT67" s="65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</row>
    <row r="68" spans="1:236" s="265" customFormat="1" ht="15" customHeight="1" x14ac:dyDescent="0.35">
      <c r="A68" s="251"/>
      <c r="B68" s="7" t="s">
        <v>426</v>
      </c>
      <c r="C68" s="8">
        <v>44844</v>
      </c>
      <c r="D68" s="9" t="s">
        <v>130</v>
      </c>
      <c r="E68" s="9" t="s">
        <v>193</v>
      </c>
      <c r="F68" s="112" t="s">
        <v>357</v>
      </c>
      <c r="G68" s="10" t="s">
        <v>381</v>
      </c>
      <c r="H68" s="112" t="s">
        <v>348</v>
      </c>
      <c r="I68" s="9" t="s">
        <v>125</v>
      </c>
      <c r="J68" s="158" t="s">
        <v>416</v>
      </c>
      <c r="K68" s="10" t="s">
        <v>126</v>
      </c>
      <c r="L68" s="84" t="s">
        <v>22</v>
      </c>
      <c r="M68" s="11">
        <v>44927</v>
      </c>
      <c r="N68" s="12">
        <v>45016</v>
      </c>
      <c r="O68" s="10">
        <v>10</v>
      </c>
      <c r="P68" s="84">
        <v>72.2</v>
      </c>
      <c r="Q68" s="84" t="s">
        <v>127</v>
      </c>
      <c r="R68" s="10" t="s">
        <v>128</v>
      </c>
      <c r="S68" s="14" t="s">
        <v>133</v>
      </c>
      <c r="T68" s="11"/>
      <c r="U68" s="12"/>
      <c r="V68" s="202" t="str">
        <f ca="1">IF(U68="","",
IF(U68="NA","",
IFERROR(VLOOKUP(EOMONTH(M68,-2)+1,IPCA!$A:$B,2,0),
VLOOKUP(EOMONTH(TODAY(),-2)+1,IPCA!$A:$B,2,0))/
VLOOKUP(EOMONTH(U68,-2)+1,IPCA!$A:$B,2,0)*
P68))</f>
        <v/>
      </c>
      <c r="W68" s="84"/>
      <c r="X68" s="13" t="s">
        <v>132</v>
      </c>
      <c r="Y68" s="158"/>
      <c r="Z68" s="106"/>
      <c r="AA68" s="107"/>
      <c r="AB68" s="15">
        <v>10</v>
      </c>
      <c r="AC68">
        <v>10</v>
      </c>
      <c r="AD68">
        <v>10</v>
      </c>
      <c r="AE68"/>
      <c r="AF68"/>
      <c r="AG68"/>
      <c r="AH68"/>
      <c r="AI68"/>
      <c r="AJ68"/>
      <c r="AK68"/>
      <c r="AL68"/>
      <c r="AM68" s="6"/>
      <c r="AN68" s="15"/>
      <c r="AO68"/>
      <c r="AP68"/>
      <c r="AQ68"/>
      <c r="AR68"/>
      <c r="AS68"/>
      <c r="AT68"/>
      <c r="AU68"/>
      <c r="AV68"/>
      <c r="AW68"/>
      <c r="AX68"/>
      <c r="AY68" s="6"/>
      <c r="AZ68" s="15"/>
      <c r="BA68"/>
      <c r="BB68"/>
      <c r="BC68"/>
      <c r="BD68"/>
      <c r="BE68"/>
      <c r="BF68"/>
      <c r="BG68"/>
      <c r="BH68"/>
      <c r="BI68"/>
      <c r="BJ68"/>
      <c r="BK68" s="6"/>
      <c r="BL68" s="15"/>
      <c r="BM68"/>
      <c r="BN68"/>
      <c r="BO68"/>
      <c r="BP68"/>
      <c r="BQ68"/>
      <c r="BR68"/>
      <c r="BS68"/>
      <c r="BT68"/>
      <c r="BU68"/>
      <c r="BV68"/>
      <c r="BW68" s="6"/>
      <c r="BX68" s="15"/>
      <c r="BY68"/>
      <c r="BZ68"/>
      <c r="CA68"/>
      <c r="CB68"/>
      <c r="CC68"/>
      <c r="CD68"/>
      <c r="CE68"/>
      <c r="CF68"/>
      <c r="CG68"/>
      <c r="CH68"/>
      <c r="CI68" s="6"/>
      <c r="CJ68" s="16">
        <v>2.4657534246575343</v>
      </c>
      <c r="CK68" s="16" t="s">
        <v>578</v>
      </c>
      <c r="CL68" s="16" t="s">
        <v>578</v>
      </c>
      <c r="CM68" s="16" t="s">
        <v>578</v>
      </c>
      <c r="CN68" s="16" t="s">
        <v>578</v>
      </c>
      <c r="CO68" s="18"/>
      <c r="CP68" s="15">
        <v>72.2</v>
      </c>
      <c r="CQ68">
        <v>72.2</v>
      </c>
      <c r="CR68">
        <v>72.2</v>
      </c>
      <c r="CS68"/>
      <c r="CT68"/>
      <c r="CU68"/>
      <c r="CV68"/>
      <c r="CW68"/>
      <c r="CX68"/>
      <c r="CY68"/>
      <c r="CZ68"/>
      <c r="DA68" s="6"/>
      <c r="DB68" s="15"/>
      <c r="DC68"/>
      <c r="DD68"/>
      <c r="DE68"/>
      <c r="DF68"/>
      <c r="DG68"/>
      <c r="DH68"/>
      <c r="DI68"/>
      <c r="DJ68"/>
      <c r="DK68"/>
      <c r="DL68"/>
      <c r="DM68" s="6"/>
      <c r="DN68" s="15"/>
      <c r="DO68"/>
      <c r="DP68"/>
      <c r="DQ68"/>
      <c r="DR68"/>
      <c r="DS68"/>
      <c r="DT68"/>
      <c r="DU68"/>
      <c r="DV68"/>
      <c r="DW68"/>
      <c r="DX68"/>
      <c r="DY68" s="6"/>
      <c r="DZ68" s="15"/>
      <c r="EA68"/>
      <c r="EB68"/>
      <c r="EC68"/>
      <c r="ED68"/>
      <c r="EE68"/>
      <c r="EF68"/>
      <c r="EG68"/>
      <c r="EH68"/>
      <c r="EI68"/>
      <c r="EJ68"/>
      <c r="EK68" s="6"/>
      <c r="EL68" s="15"/>
      <c r="EM68"/>
      <c r="EN68"/>
      <c r="EO68"/>
      <c r="EP68"/>
      <c r="EQ68"/>
      <c r="ER68"/>
      <c r="ES68"/>
      <c r="ET68"/>
      <c r="EU68"/>
      <c r="EV68"/>
      <c r="EW68" s="6"/>
      <c r="EX68" s="16">
        <v>17.802739726027397</v>
      </c>
      <c r="EY68" s="16" t="s">
        <v>578</v>
      </c>
      <c r="EZ68" s="16" t="s">
        <v>578</v>
      </c>
      <c r="FA68" s="154" t="s">
        <v>578</v>
      </c>
      <c r="FB68" s="154" t="s">
        <v>578</v>
      </c>
      <c r="FC68" t="s">
        <v>196</v>
      </c>
      <c r="FD68" s="20" t="s">
        <v>125</v>
      </c>
      <c r="FE68"/>
      <c r="FF68" s="199" t="s">
        <v>197</v>
      </c>
      <c r="FG68"/>
      <c r="FH68" s="206">
        <f t="shared" ca="1" si="6"/>
        <v>0</v>
      </c>
      <c r="FI68" s="198">
        <f t="shared" si="7"/>
        <v>2.9666666666666668</v>
      </c>
      <c r="FJ68"/>
      <c r="FK68" t="str">
        <f t="shared" si="8"/>
        <v>Genial Energy Comercializadora de Energia Elétrica Ltda</v>
      </c>
      <c r="FL68" s="191">
        <f t="shared" ca="1" si="9"/>
        <v>-23808.000000000022</v>
      </c>
      <c r="FM68" s="191">
        <f t="shared" ca="1" si="10"/>
        <v>-45312.000000000036</v>
      </c>
      <c r="FN68" s="190">
        <f>AB68*AB$2*IF($FC68="V",1,-1)*IF($Q68="Fixo",(CP68-INDEX('Curva Forward'!$C$5:$AN$13,MATCH(CONCATENATE(BD_COMERCIAL!$K68," ",BD_COMERCIAL!$L68),'Curva Forward'!$B$5:$B$13,0),MATCH(FN$4,'Curva Forward'!$C$4:$AN$4,0))),CP68)</f>
        <v>-23808.000000000022</v>
      </c>
      <c r="FO68" s="190">
        <f>AC68*AC$2*IF($FC68="V",1,-1)*IF($Q68="Fixo",(CQ68-INDEX('Curva Forward'!$C$5:$AN$13,MATCH(CONCATENATE(BD_COMERCIAL!$K68," ",BD_COMERCIAL!$L68),'Curva Forward'!$B$5:$B$13,0),MATCH(FO$4,'Curva Forward'!$C$4:$AN$4,0))),CQ68)</f>
        <v>-21504.000000000018</v>
      </c>
      <c r="FP68" s="190">
        <f>AD68*AD$2*IF($FC68="V",1,-1)*IF($Q68="Fixo",(CR68-INDEX('Curva Forward'!$C$5:$AN$13,MATCH(CONCATENATE(BD_COMERCIAL!$K68," ",BD_COMERCIAL!$L68),'Curva Forward'!$B$5:$B$13,0),MATCH(FP$4,'Curva Forward'!$C$4:$AN$4,0))),CR68)</f>
        <v>-23808.000000000022</v>
      </c>
      <c r="FQ68" s="190">
        <f>AE68*AE$2*IF($FC68="V",1,-1)*IF($Q68="Fixo",(CS68-INDEX('Curva Forward'!$C$5:$AN$13,MATCH(CONCATENATE(BD_COMERCIAL!$K68," ",BD_COMERCIAL!$L68),'Curva Forward'!$B$5:$B$13,0),MATCH(FQ$4,'Curva Forward'!$C$4:$AN$4,0))),CS68)</f>
        <v>0</v>
      </c>
      <c r="FR68" s="190">
        <f>AF68*AF$2*IF($FC68="V",1,-1)*IF($Q68="Fixo",(CT68-INDEX('Curva Forward'!$C$5:$AN$13,MATCH(CONCATENATE(BD_COMERCIAL!$K68," ",BD_COMERCIAL!$L68),'Curva Forward'!$B$5:$B$13,0),MATCH(FR$4,'Curva Forward'!$C$4:$AN$4,0))),CT68)</f>
        <v>0</v>
      </c>
      <c r="FS68" s="190">
        <f>AG68*AG$2*IF($FC68="V",1,-1)*IF($Q68="Fixo",(CU68-INDEX('Curva Forward'!$C$5:$AN$13,MATCH(CONCATENATE(BD_COMERCIAL!$K68," ",BD_COMERCIAL!$L68),'Curva Forward'!$B$5:$B$13,0),MATCH(FS$4,'Curva Forward'!$C$4:$AN$4,0))),CU68)</f>
        <v>0</v>
      </c>
      <c r="FT68" s="190">
        <f>AH68*AH$2*IF($FC68="V",1,-1)*IF($Q68="Fixo",(CV68-INDEX('Curva Forward'!$C$5:$AN$13,MATCH(CONCATENATE(BD_COMERCIAL!$K68," ",BD_COMERCIAL!$L68),'Curva Forward'!$B$5:$B$13,0),MATCH(FT$4,'Curva Forward'!$C$4:$AN$4,0))),CV68)</f>
        <v>0</v>
      </c>
      <c r="FU68" s="190">
        <f>AI68*AI$2*IF($FC68="V",1,-1)*IF($Q68="Fixo",(CW68-INDEX('Curva Forward'!$C$5:$AN$13,MATCH(CONCATENATE(BD_COMERCIAL!$K68," ",BD_COMERCIAL!$L68),'Curva Forward'!$B$5:$B$13,0),MATCH(FU$4,'Curva Forward'!$C$4:$AN$4,0))),CW68)</f>
        <v>0</v>
      </c>
      <c r="FV68" s="190">
        <f>AJ68*AJ$2*IF($FC68="V",1,-1)*IF($Q68="Fixo",(CX68-INDEX('Curva Forward'!$C$5:$AN$13,MATCH(CONCATENATE(BD_COMERCIAL!$K68," ",BD_COMERCIAL!$L68),'Curva Forward'!$B$5:$B$13,0),MATCH(FV$4,'Curva Forward'!$C$4:$AN$4,0))),CX68)</f>
        <v>0</v>
      </c>
      <c r="FW68" s="190">
        <f>AK68*AK$2*IF($FC68="V",1,-1)*IF($Q68="Fixo",(CY68-INDEX('Curva Forward'!$C$5:$AN$13,MATCH(CONCATENATE(BD_COMERCIAL!$K68," ",BD_COMERCIAL!$L68),'Curva Forward'!$B$5:$B$13,0),MATCH(FW$4,'Curva Forward'!$C$4:$AN$4,0))),CY68)</f>
        <v>0</v>
      </c>
      <c r="FX68" s="190">
        <f>AL68*AL$2*IF($FC68="V",1,-1)*IF($Q68="Fixo",(CZ68-INDEX('Curva Forward'!$C$5:$AN$13,MATCH(CONCATENATE(BD_COMERCIAL!$K68," ",BD_COMERCIAL!$L68),'Curva Forward'!$B$5:$B$13,0),MATCH(FX$4,'Curva Forward'!$C$4:$AN$4,0))),CZ68)</f>
        <v>0</v>
      </c>
      <c r="FY68" s="190">
        <f>AM68*AM$2*IF($FC68="V",1,-1)*IF($Q68="Fixo",(DA68-INDEX('Curva Forward'!$C$5:$AN$13,MATCH(CONCATENATE(BD_COMERCIAL!$K68," ",BD_COMERCIAL!$L68),'Curva Forward'!$B$5:$B$13,0),MATCH(FY$4,'Curva Forward'!$C$4:$AN$4,0))),DA68)</f>
        <v>0</v>
      </c>
      <c r="FZ68" s="190">
        <f>AN68*AN$2*IF($FC68="V",1,-1)*IF($Q68="Fixo",(DB68-INDEX('Curva Forward'!$C$5:$AN$13,MATCH(CONCATENATE(BD_COMERCIAL!$K68," ",BD_COMERCIAL!$L68),'Curva Forward'!$B$5:$B$13,0),MATCH(FZ$4,'Curva Forward'!$C$4:$AN$4,0))),DB68)</f>
        <v>0</v>
      </c>
      <c r="GA68" s="190">
        <f>AO68*AO$2*IF($FC68="V",1,-1)*IF($Q68="Fixo",(DC68-INDEX('Curva Forward'!$C$5:$AN$13,MATCH(CONCATENATE(BD_COMERCIAL!$K68," ",BD_COMERCIAL!$L68),'Curva Forward'!$B$5:$B$13,0),MATCH(GA$4,'Curva Forward'!$C$4:$AN$4,0))),DC68)</f>
        <v>0</v>
      </c>
      <c r="GB68" s="190">
        <f>AP68*AP$2*IF($FC68="V",1,-1)*IF($Q68="Fixo",(DD68-INDEX('Curva Forward'!$C$5:$AN$13,MATCH(CONCATENATE(BD_COMERCIAL!$K68," ",BD_COMERCIAL!$L68),'Curva Forward'!$B$5:$B$13,0),MATCH(GB$4,'Curva Forward'!$C$4:$AN$4,0))),DD68)</f>
        <v>0</v>
      </c>
      <c r="GC68" s="190">
        <f>AQ68*AQ$2*IF($FC68="V",1,-1)*IF($Q68="Fixo",(DE68-INDEX('Curva Forward'!$C$5:$AN$13,MATCH(CONCATENATE(BD_COMERCIAL!$K68," ",BD_COMERCIAL!$L68),'Curva Forward'!$B$5:$B$13,0),MATCH(GC$4,'Curva Forward'!$C$4:$AN$4,0))),DE68)</f>
        <v>0</v>
      </c>
      <c r="GD68" s="190">
        <f>AR68*AR$2*IF($FC68="V",1,-1)*IF($Q68="Fixo",(DF68-INDEX('Curva Forward'!$C$5:$AN$13,MATCH(CONCATENATE(BD_COMERCIAL!$K68," ",BD_COMERCIAL!$L68),'Curva Forward'!$B$5:$B$13,0),MATCH(GD$4,'Curva Forward'!$C$4:$AN$4,0))),DF68)</f>
        <v>0</v>
      </c>
      <c r="GE68" s="190">
        <f>AS68*AS$2*IF($FC68="V",1,-1)*IF($Q68="Fixo",(DG68-INDEX('Curva Forward'!$C$5:$AN$13,MATCH(CONCATENATE(BD_COMERCIAL!$K68," ",BD_COMERCIAL!$L68),'Curva Forward'!$B$5:$B$13,0),MATCH(GE$4,'Curva Forward'!$C$4:$AN$4,0))),DG68)</f>
        <v>0</v>
      </c>
      <c r="GF68" s="190">
        <f>AT68*AT$2*IF($FC68="V",1,-1)*IF($Q68="Fixo",(DH68-INDEX('Curva Forward'!$C$5:$AN$13,MATCH(CONCATENATE(BD_COMERCIAL!$K68," ",BD_COMERCIAL!$L68),'Curva Forward'!$B$5:$B$13,0),MATCH(GF$4,'Curva Forward'!$C$4:$AN$4,0))),DH68)</f>
        <v>0</v>
      </c>
      <c r="GG68" s="190">
        <f>AU68*AU$2*IF($FC68="V",1,-1)*IF($Q68="Fixo",(DI68-INDEX('Curva Forward'!$C$5:$AN$13,MATCH(CONCATENATE(BD_COMERCIAL!$K68," ",BD_COMERCIAL!$L68),'Curva Forward'!$B$5:$B$13,0),MATCH(GG$4,'Curva Forward'!$C$4:$AN$4,0))),DI68)</f>
        <v>0</v>
      </c>
      <c r="GH68" s="190">
        <f>AV68*AV$2*IF($FC68="V",1,-1)*IF($Q68="Fixo",(DJ68-INDEX('Curva Forward'!$C$5:$AN$13,MATCH(CONCATENATE(BD_COMERCIAL!$K68," ",BD_COMERCIAL!$L68),'Curva Forward'!$B$5:$B$13,0),MATCH(GH$4,'Curva Forward'!$C$4:$AN$4,0))),DJ68)</f>
        <v>0</v>
      </c>
      <c r="GI68" s="190">
        <f>AW68*AW$2*IF($FC68="V",1,-1)*IF($Q68="Fixo",(DK68-INDEX('Curva Forward'!$C$5:$AN$13,MATCH(CONCATENATE(BD_COMERCIAL!$K68," ",BD_COMERCIAL!$L68),'Curva Forward'!$B$5:$B$13,0),MATCH(GI$4,'Curva Forward'!$C$4:$AN$4,0))),DK68)</f>
        <v>0</v>
      </c>
      <c r="GJ68" s="190">
        <f>AX68*AX$2*IF($FC68="V",1,-1)*IF($Q68="Fixo",(DL68-INDEX('Curva Forward'!$C$5:$AN$13,MATCH(CONCATENATE(BD_COMERCIAL!$K68," ",BD_COMERCIAL!$L68),'Curva Forward'!$B$5:$B$13,0),MATCH(GJ$4,'Curva Forward'!$C$4:$AN$4,0))),DL68)</f>
        <v>0</v>
      </c>
      <c r="GK68" s="190">
        <f>AY68*AY$2*IF($FC68="V",1,-1)*IF($Q68="Fixo",(DM68-INDEX('Curva Forward'!$C$5:$AN$13,MATCH(CONCATENATE(BD_COMERCIAL!$K68," ",BD_COMERCIAL!$L68),'Curva Forward'!$B$5:$B$13,0),MATCH(GK$4,'Curva Forward'!$C$4:$AN$4,0))),DM68)</f>
        <v>0</v>
      </c>
      <c r="GL68" s="190">
        <f>IF(EZ68="",0,CL68*CL$2*IF($FC68="V",1,-1)*IF($Q68="Fixo",(EZ68-INDEX('Curva Forward'!$C$5:$AN$13,MATCH(CONCATENATE(BD_COMERCIAL!$K68," ",BD_COMERCIAL!$L68),'Curva Forward'!$B$5:$B$13,0),MATCH(GL$4,'Curva Forward'!$C$4:$AN$4,0))),EZ68))</f>
        <v>0</v>
      </c>
      <c r="GM68" s="190">
        <f>IF(FA68="",0,CM68*CM$2*IF($FC68="V",1,-1)*IF($Q68="Fixo",(FA68-INDEX('Curva Forward'!$C$5:$AN$13,MATCH(CONCATENATE(BD_COMERCIAL!$K68," ",BD_COMERCIAL!$L68),'Curva Forward'!$B$5:$B$13,0),MATCH(GM$4,'Curva Forward'!$C$4:$AN$4,0))),FA68))</f>
        <v>0</v>
      </c>
      <c r="GN68" s="190">
        <f>IF(FB68="",0,CN68*CN$2*IF($FC68="V",1,-1)*IF($Q68="Fixo",(FB68-INDEX('Curva Forward'!$C$5:$AN$13,MATCH(CONCATENATE(BD_COMERCIAL!$K68," ",BD_COMERCIAL!$L68),'Curva Forward'!$B$5:$B$13,0),MATCH(GN$4,'Curva Forward'!$C$4:$AN$4,0))),FB68))</f>
        <v>0</v>
      </c>
      <c r="GO68" s="191">
        <f t="shared" ca="1" si="11"/>
        <v>0</v>
      </c>
      <c r="GP68" s="191">
        <f t="shared" ca="1" si="12"/>
        <v>-45312.000000000036</v>
      </c>
      <c r="GQ68" s="115"/>
      <c r="GR68" s="115"/>
      <c r="GS68"/>
      <c r="GT68" s="65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</row>
    <row r="69" spans="1:236" s="265" customFormat="1" ht="15" customHeight="1" x14ac:dyDescent="0.35">
      <c r="A69" s="251"/>
      <c r="B69" s="7" t="s">
        <v>427</v>
      </c>
      <c r="C69" s="8">
        <v>44844</v>
      </c>
      <c r="D69" s="9" t="s">
        <v>130</v>
      </c>
      <c r="E69" s="9" t="s">
        <v>231</v>
      </c>
      <c r="F69" s="112" t="s">
        <v>428</v>
      </c>
      <c r="G69" s="10" t="s">
        <v>381</v>
      </c>
      <c r="H69" s="112" t="s">
        <v>348</v>
      </c>
      <c r="I69" s="9" t="s">
        <v>137</v>
      </c>
      <c r="J69" s="158"/>
      <c r="K69" s="10" t="s">
        <v>126</v>
      </c>
      <c r="L69" s="84" t="s">
        <v>22</v>
      </c>
      <c r="M69" s="11">
        <v>44958</v>
      </c>
      <c r="N69" s="12">
        <v>44985</v>
      </c>
      <c r="O69" s="10">
        <v>0.3</v>
      </c>
      <c r="P69" s="84">
        <v>73</v>
      </c>
      <c r="Q69" s="84" t="s">
        <v>127</v>
      </c>
      <c r="R69" s="10" t="s">
        <v>128</v>
      </c>
      <c r="S69" s="14" t="s">
        <v>133</v>
      </c>
      <c r="T69" s="11"/>
      <c r="U69" s="12"/>
      <c r="V69" s="202" t="str">
        <f ca="1">IF(U69="","",
IF(U69="NA","",
IFERROR(VLOOKUP(EOMONTH(M69,-2)+1,IPCA!$A:$B,2,0),
VLOOKUP(EOMONTH(TODAY(),-2)+1,IPCA!$A:$B,2,0))/
VLOOKUP(EOMONTH(U69,-2)+1,IPCA!$A:$B,2,0)*
P69))</f>
        <v/>
      </c>
      <c r="W69" s="84"/>
      <c r="X69" s="13" t="s">
        <v>6</v>
      </c>
      <c r="Y69" s="158"/>
      <c r="Z69" s="106"/>
      <c r="AA69" s="107"/>
      <c r="AB69" s="15"/>
      <c r="AC69">
        <v>0.3</v>
      </c>
      <c r="AD69"/>
      <c r="AE69"/>
      <c r="AF69"/>
      <c r="AG69"/>
      <c r="AH69"/>
      <c r="AI69"/>
      <c r="AJ69"/>
      <c r="AK69"/>
      <c r="AL69"/>
      <c r="AM69" s="6"/>
      <c r="AN69" s="15"/>
      <c r="AO69"/>
      <c r="AP69"/>
      <c r="AQ69"/>
      <c r="AR69"/>
      <c r="AS69"/>
      <c r="AT69"/>
      <c r="AU69"/>
      <c r="AV69"/>
      <c r="AW69"/>
      <c r="AX69"/>
      <c r="AY69" s="6"/>
      <c r="AZ69" s="15"/>
      <c r="BA69"/>
      <c r="BB69"/>
      <c r="BC69"/>
      <c r="BD69"/>
      <c r="BE69"/>
      <c r="BF69"/>
      <c r="BG69"/>
      <c r="BH69"/>
      <c r="BI69"/>
      <c r="BJ69"/>
      <c r="BK69" s="6"/>
      <c r="BL69" s="15"/>
      <c r="BM69"/>
      <c r="BN69"/>
      <c r="BO69"/>
      <c r="BP69"/>
      <c r="BQ69"/>
      <c r="BR69"/>
      <c r="BS69"/>
      <c r="BT69"/>
      <c r="BU69"/>
      <c r="BV69"/>
      <c r="BW69" s="6"/>
      <c r="BX69" s="15"/>
      <c r="BY69"/>
      <c r="BZ69"/>
      <c r="CA69"/>
      <c r="CB69"/>
      <c r="CC69"/>
      <c r="CD69"/>
      <c r="CE69"/>
      <c r="CF69"/>
      <c r="CG69"/>
      <c r="CH69"/>
      <c r="CI69" s="6"/>
      <c r="CJ69" s="16">
        <v>2.3013698630136987E-2</v>
      </c>
      <c r="CK69" s="16" t="s">
        <v>578</v>
      </c>
      <c r="CL69" s="16" t="s">
        <v>578</v>
      </c>
      <c r="CM69" s="16" t="s">
        <v>578</v>
      </c>
      <c r="CN69" s="16" t="s">
        <v>578</v>
      </c>
      <c r="CO69" s="18"/>
      <c r="CP69" s="15"/>
      <c r="CQ69">
        <v>73</v>
      </c>
      <c r="CR69"/>
      <c r="CS69"/>
      <c r="CT69"/>
      <c r="CU69"/>
      <c r="CV69"/>
      <c r="CW69"/>
      <c r="CX69"/>
      <c r="CY69"/>
      <c r="CZ69"/>
      <c r="DA69" s="6"/>
      <c r="DB69" s="15"/>
      <c r="DC69"/>
      <c r="DD69"/>
      <c r="DE69"/>
      <c r="DF69"/>
      <c r="DG69"/>
      <c r="DH69"/>
      <c r="DI69"/>
      <c r="DJ69"/>
      <c r="DK69"/>
      <c r="DL69"/>
      <c r="DM69" s="6"/>
      <c r="DN69" s="15"/>
      <c r="DO69"/>
      <c r="DP69"/>
      <c r="DQ69"/>
      <c r="DR69"/>
      <c r="DS69"/>
      <c r="DT69"/>
      <c r="DU69"/>
      <c r="DV69"/>
      <c r="DW69"/>
      <c r="DX69"/>
      <c r="DY69" s="6"/>
      <c r="DZ69" s="15"/>
      <c r="EA69"/>
      <c r="EB69"/>
      <c r="EC69"/>
      <c r="ED69"/>
      <c r="EE69"/>
      <c r="EF69"/>
      <c r="EG69"/>
      <c r="EH69"/>
      <c r="EI69"/>
      <c r="EJ69"/>
      <c r="EK69" s="6"/>
      <c r="EL69" s="15"/>
      <c r="EM69"/>
      <c r="EN69"/>
      <c r="EO69"/>
      <c r="EP69"/>
      <c r="EQ69"/>
      <c r="ER69"/>
      <c r="ES69"/>
      <c r="ET69"/>
      <c r="EU69"/>
      <c r="EV69"/>
      <c r="EW69" s="6"/>
      <c r="EX69" s="16">
        <v>5.6</v>
      </c>
      <c r="EY69" s="16" t="s">
        <v>578</v>
      </c>
      <c r="EZ69" s="16" t="s">
        <v>578</v>
      </c>
      <c r="FA69" s="154" t="s">
        <v>578</v>
      </c>
      <c r="FB69" s="154" t="s">
        <v>578</v>
      </c>
      <c r="FC69" t="s">
        <v>196</v>
      </c>
      <c r="FD69" s="20" t="s">
        <v>137</v>
      </c>
      <c r="FE69"/>
      <c r="FF69" s="199" t="s">
        <v>197</v>
      </c>
      <c r="FG69"/>
      <c r="FH69" s="206">
        <f t="shared" ca="1" si="6"/>
        <v>0</v>
      </c>
      <c r="FI69" s="198">
        <f t="shared" si="7"/>
        <v>0.9</v>
      </c>
      <c r="FJ69"/>
      <c r="FK69" t="str">
        <f t="shared" si="8"/>
        <v>BEP Comercializadora de Energia Elétrica Ltda</v>
      </c>
      <c r="FL69" s="191">
        <f t="shared" ca="1" si="9"/>
        <v>0</v>
      </c>
      <c r="FM69" s="191">
        <f t="shared" ca="1" si="10"/>
        <v>-806.4</v>
      </c>
      <c r="FN69" s="190">
        <f>AB69*AB$2*IF($FC69="V",1,-1)*IF($Q69="Fixo",(CP69-INDEX('Curva Forward'!$C$5:$AN$13,MATCH(CONCATENATE(BD_COMERCIAL!$K69," ",BD_COMERCIAL!$L69),'Curva Forward'!$B$5:$B$13,0),MATCH(FN$4,'Curva Forward'!$C$4:$AN$4,0))),CP69)</f>
        <v>0</v>
      </c>
      <c r="FO69" s="190">
        <f>AC69*AC$2*IF($FC69="V",1,-1)*IF($Q69="Fixo",(CQ69-INDEX('Curva Forward'!$C$5:$AN$13,MATCH(CONCATENATE(BD_COMERCIAL!$K69," ",BD_COMERCIAL!$L69),'Curva Forward'!$B$5:$B$13,0),MATCH(FO$4,'Curva Forward'!$C$4:$AN$4,0))),CQ69)</f>
        <v>-806.4</v>
      </c>
      <c r="FP69" s="190">
        <f>AD69*AD$2*IF($FC69="V",1,-1)*IF($Q69="Fixo",(CR69-INDEX('Curva Forward'!$C$5:$AN$13,MATCH(CONCATENATE(BD_COMERCIAL!$K69," ",BD_COMERCIAL!$L69),'Curva Forward'!$B$5:$B$13,0),MATCH(FP$4,'Curva Forward'!$C$4:$AN$4,0))),CR69)</f>
        <v>0</v>
      </c>
      <c r="FQ69" s="190">
        <f>AE69*AE$2*IF($FC69="V",1,-1)*IF($Q69="Fixo",(CS69-INDEX('Curva Forward'!$C$5:$AN$13,MATCH(CONCATENATE(BD_COMERCIAL!$K69," ",BD_COMERCIAL!$L69),'Curva Forward'!$B$5:$B$13,0),MATCH(FQ$4,'Curva Forward'!$C$4:$AN$4,0))),CS69)</f>
        <v>0</v>
      </c>
      <c r="FR69" s="190">
        <f>AF69*AF$2*IF($FC69="V",1,-1)*IF($Q69="Fixo",(CT69-INDEX('Curva Forward'!$C$5:$AN$13,MATCH(CONCATENATE(BD_COMERCIAL!$K69," ",BD_COMERCIAL!$L69),'Curva Forward'!$B$5:$B$13,0),MATCH(FR$4,'Curva Forward'!$C$4:$AN$4,0))),CT69)</f>
        <v>0</v>
      </c>
      <c r="FS69" s="190">
        <f>AG69*AG$2*IF($FC69="V",1,-1)*IF($Q69="Fixo",(CU69-INDEX('Curva Forward'!$C$5:$AN$13,MATCH(CONCATENATE(BD_COMERCIAL!$K69," ",BD_COMERCIAL!$L69),'Curva Forward'!$B$5:$B$13,0),MATCH(FS$4,'Curva Forward'!$C$4:$AN$4,0))),CU69)</f>
        <v>0</v>
      </c>
      <c r="FT69" s="190">
        <f>AH69*AH$2*IF($FC69="V",1,-1)*IF($Q69="Fixo",(CV69-INDEX('Curva Forward'!$C$5:$AN$13,MATCH(CONCATENATE(BD_COMERCIAL!$K69," ",BD_COMERCIAL!$L69),'Curva Forward'!$B$5:$B$13,0),MATCH(FT$4,'Curva Forward'!$C$4:$AN$4,0))),CV69)</f>
        <v>0</v>
      </c>
      <c r="FU69" s="190">
        <f>AI69*AI$2*IF($FC69="V",1,-1)*IF($Q69="Fixo",(CW69-INDEX('Curva Forward'!$C$5:$AN$13,MATCH(CONCATENATE(BD_COMERCIAL!$K69," ",BD_COMERCIAL!$L69),'Curva Forward'!$B$5:$B$13,0),MATCH(FU$4,'Curva Forward'!$C$4:$AN$4,0))),CW69)</f>
        <v>0</v>
      </c>
      <c r="FV69" s="190">
        <f>AJ69*AJ$2*IF($FC69="V",1,-1)*IF($Q69="Fixo",(CX69-INDEX('Curva Forward'!$C$5:$AN$13,MATCH(CONCATENATE(BD_COMERCIAL!$K69," ",BD_COMERCIAL!$L69),'Curva Forward'!$B$5:$B$13,0),MATCH(FV$4,'Curva Forward'!$C$4:$AN$4,0))),CX69)</f>
        <v>0</v>
      </c>
      <c r="FW69" s="190">
        <f>AK69*AK$2*IF($FC69="V",1,-1)*IF($Q69="Fixo",(CY69-INDEX('Curva Forward'!$C$5:$AN$13,MATCH(CONCATENATE(BD_COMERCIAL!$K69," ",BD_COMERCIAL!$L69),'Curva Forward'!$B$5:$B$13,0),MATCH(FW$4,'Curva Forward'!$C$4:$AN$4,0))),CY69)</f>
        <v>0</v>
      </c>
      <c r="FX69" s="190">
        <f>AL69*AL$2*IF($FC69="V",1,-1)*IF($Q69="Fixo",(CZ69-INDEX('Curva Forward'!$C$5:$AN$13,MATCH(CONCATENATE(BD_COMERCIAL!$K69," ",BD_COMERCIAL!$L69),'Curva Forward'!$B$5:$B$13,0),MATCH(FX$4,'Curva Forward'!$C$4:$AN$4,0))),CZ69)</f>
        <v>0</v>
      </c>
      <c r="FY69" s="190">
        <f>AM69*AM$2*IF($FC69="V",1,-1)*IF($Q69="Fixo",(DA69-INDEX('Curva Forward'!$C$5:$AN$13,MATCH(CONCATENATE(BD_COMERCIAL!$K69," ",BD_COMERCIAL!$L69),'Curva Forward'!$B$5:$B$13,0),MATCH(FY$4,'Curva Forward'!$C$4:$AN$4,0))),DA69)</f>
        <v>0</v>
      </c>
      <c r="FZ69" s="190">
        <f>AN69*AN$2*IF($FC69="V",1,-1)*IF($Q69="Fixo",(DB69-INDEX('Curva Forward'!$C$5:$AN$13,MATCH(CONCATENATE(BD_COMERCIAL!$K69," ",BD_COMERCIAL!$L69),'Curva Forward'!$B$5:$B$13,0),MATCH(FZ$4,'Curva Forward'!$C$4:$AN$4,0))),DB69)</f>
        <v>0</v>
      </c>
      <c r="GA69" s="190">
        <f>AO69*AO$2*IF($FC69="V",1,-1)*IF($Q69="Fixo",(DC69-INDEX('Curva Forward'!$C$5:$AN$13,MATCH(CONCATENATE(BD_COMERCIAL!$K69," ",BD_COMERCIAL!$L69),'Curva Forward'!$B$5:$B$13,0),MATCH(GA$4,'Curva Forward'!$C$4:$AN$4,0))),DC69)</f>
        <v>0</v>
      </c>
      <c r="GB69" s="190">
        <f>AP69*AP$2*IF($FC69="V",1,-1)*IF($Q69="Fixo",(DD69-INDEX('Curva Forward'!$C$5:$AN$13,MATCH(CONCATENATE(BD_COMERCIAL!$K69," ",BD_COMERCIAL!$L69),'Curva Forward'!$B$5:$B$13,0),MATCH(GB$4,'Curva Forward'!$C$4:$AN$4,0))),DD69)</f>
        <v>0</v>
      </c>
      <c r="GC69" s="190">
        <f>AQ69*AQ$2*IF($FC69="V",1,-1)*IF($Q69="Fixo",(DE69-INDEX('Curva Forward'!$C$5:$AN$13,MATCH(CONCATENATE(BD_COMERCIAL!$K69," ",BD_COMERCIAL!$L69),'Curva Forward'!$B$5:$B$13,0),MATCH(GC$4,'Curva Forward'!$C$4:$AN$4,0))),DE69)</f>
        <v>0</v>
      </c>
      <c r="GD69" s="190">
        <f>AR69*AR$2*IF($FC69="V",1,-1)*IF($Q69="Fixo",(DF69-INDEX('Curva Forward'!$C$5:$AN$13,MATCH(CONCATENATE(BD_COMERCIAL!$K69," ",BD_COMERCIAL!$L69),'Curva Forward'!$B$5:$B$13,0),MATCH(GD$4,'Curva Forward'!$C$4:$AN$4,0))),DF69)</f>
        <v>0</v>
      </c>
      <c r="GE69" s="190">
        <f>AS69*AS$2*IF($FC69="V",1,-1)*IF($Q69="Fixo",(DG69-INDEX('Curva Forward'!$C$5:$AN$13,MATCH(CONCATENATE(BD_COMERCIAL!$K69," ",BD_COMERCIAL!$L69),'Curva Forward'!$B$5:$B$13,0),MATCH(GE$4,'Curva Forward'!$C$4:$AN$4,0))),DG69)</f>
        <v>0</v>
      </c>
      <c r="GF69" s="190">
        <f>AT69*AT$2*IF($FC69="V",1,-1)*IF($Q69="Fixo",(DH69-INDEX('Curva Forward'!$C$5:$AN$13,MATCH(CONCATENATE(BD_COMERCIAL!$K69," ",BD_COMERCIAL!$L69),'Curva Forward'!$B$5:$B$13,0),MATCH(GF$4,'Curva Forward'!$C$4:$AN$4,0))),DH69)</f>
        <v>0</v>
      </c>
      <c r="GG69" s="190">
        <f>AU69*AU$2*IF($FC69="V",1,-1)*IF($Q69="Fixo",(DI69-INDEX('Curva Forward'!$C$5:$AN$13,MATCH(CONCATENATE(BD_COMERCIAL!$K69," ",BD_COMERCIAL!$L69),'Curva Forward'!$B$5:$B$13,0),MATCH(GG$4,'Curva Forward'!$C$4:$AN$4,0))),DI69)</f>
        <v>0</v>
      </c>
      <c r="GH69" s="190">
        <f>AV69*AV$2*IF($FC69="V",1,-1)*IF($Q69="Fixo",(DJ69-INDEX('Curva Forward'!$C$5:$AN$13,MATCH(CONCATENATE(BD_COMERCIAL!$K69," ",BD_COMERCIAL!$L69),'Curva Forward'!$B$5:$B$13,0),MATCH(GH$4,'Curva Forward'!$C$4:$AN$4,0))),DJ69)</f>
        <v>0</v>
      </c>
      <c r="GI69" s="190">
        <f>AW69*AW$2*IF($FC69="V",1,-1)*IF($Q69="Fixo",(DK69-INDEX('Curva Forward'!$C$5:$AN$13,MATCH(CONCATENATE(BD_COMERCIAL!$K69," ",BD_COMERCIAL!$L69),'Curva Forward'!$B$5:$B$13,0),MATCH(GI$4,'Curva Forward'!$C$4:$AN$4,0))),DK69)</f>
        <v>0</v>
      </c>
      <c r="GJ69" s="190">
        <f>AX69*AX$2*IF($FC69="V",1,-1)*IF($Q69="Fixo",(DL69-INDEX('Curva Forward'!$C$5:$AN$13,MATCH(CONCATENATE(BD_COMERCIAL!$K69," ",BD_COMERCIAL!$L69),'Curva Forward'!$B$5:$B$13,0),MATCH(GJ$4,'Curva Forward'!$C$4:$AN$4,0))),DL69)</f>
        <v>0</v>
      </c>
      <c r="GK69" s="190">
        <f>AY69*AY$2*IF($FC69="V",1,-1)*IF($Q69="Fixo",(DM69-INDEX('Curva Forward'!$C$5:$AN$13,MATCH(CONCATENATE(BD_COMERCIAL!$K69," ",BD_COMERCIAL!$L69),'Curva Forward'!$B$5:$B$13,0),MATCH(GK$4,'Curva Forward'!$C$4:$AN$4,0))),DM69)</f>
        <v>0</v>
      </c>
      <c r="GL69" s="190">
        <f>IF(EZ69="",0,CL69*CL$2*IF($FC69="V",1,-1)*IF($Q69="Fixo",(EZ69-INDEX('Curva Forward'!$C$5:$AN$13,MATCH(CONCATENATE(BD_COMERCIAL!$K69," ",BD_COMERCIAL!$L69),'Curva Forward'!$B$5:$B$13,0),MATCH(GL$4,'Curva Forward'!$C$4:$AN$4,0))),EZ69))</f>
        <v>0</v>
      </c>
      <c r="GM69" s="190">
        <f>IF(FA69="",0,CM69*CM$2*IF($FC69="V",1,-1)*IF($Q69="Fixo",(FA69-INDEX('Curva Forward'!$C$5:$AN$13,MATCH(CONCATENATE(BD_COMERCIAL!$K69," ",BD_COMERCIAL!$L69),'Curva Forward'!$B$5:$B$13,0),MATCH(GM$4,'Curva Forward'!$C$4:$AN$4,0))),FA69))</f>
        <v>0</v>
      </c>
      <c r="GN69" s="190">
        <f>IF(FB69="",0,CN69*CN$2*IF($FC69="V",1,-1)*IF($Q69="Fixo",(FB69-INDEX('Curva Forward'!$C$5:$AN$13,MATCH(CONCATENATE(BD_COMERCIAL!$K69," ",BD_COMERCIAL!$L69),'Curva Forward'!$B$5:$B$13,0),MATCH(GN$4,'Curva Forward'!$C$4:$AN$4,0))),FB69))</f>
        <v>0</v>
      </c>
      <c r="GO69" s="191">
        <f t="shared" ca="1" si="11"/>
        <v>0</v>
      </c>
      <c r="GP69" s="191">
        <f t="shared" ca="1" si="12"/>
        <v>-806.4</v>
      </c>
      <c r="GQ69" s="115"/>
      <c r="GR69" s="115"/>
      <c r="GS69"/>
      <c r="GT69" s="65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</row>
    <row r="70" spans="1:236" s="265" customFormat="1" ht="15" customHeight="1" x14ac:dyDescent="0.35">
      <c r="A70" s="251"/>
      <c r="B70" s="7" t="s">
        <v>429</v>
      </c>
      <c r="C70" s="8">
        <v>44847</v>
      </c>
      <c r="D70" s="9" t="s">
        <v>123</v>
      </c>
      <c r="E70" s="9" t="s">
        <v>381</v>
      </c>
      <c r="F70" s="112" t="s">
        <v>348</v>
      </c>
      <c r="G70" s="10" t="s">
        <v>343</v>
      </c>
      <c r="H70" s="112" t="s">
        <v>379</v>
      </c>
      <c r="I70" s="9" t="s">
        <v>125</v>
      </c>
      <c r="J70" s="158" t="s">
        <v>416</v>
      </c>
      <c r="K70" s="10" t="s">
        <v>126</v>
      </c>
      <c r="L70" s="84" t="s">
        <v>22</v>
      </c>
      <c r="M70" s="11">
        <v>45108</v>
      </c>
      <c r="N70" s="12">
        <v>45291</v>
      </c>
      <c r="O70" s="10">
        <v>10</v>
      </c>
      <c r="P70" s="84">
        <v>115</v>
      </c>
      <c r="Q70" s="84" t="s">
        <v>127</v>
      </c>
      <c r="R70" s="10" t="s">
        <v>128</v>
      </c>
      <c r="S70" s="14" t="s">
        <v>133</v>
      </c>
      <c r="T70" s="11"/>
      <c r="U70" s="12"/>
      <c r="V70" s="202" t="str">
        <f ca="1">IF(U70="","",
IF(U70="NA","",
IFERROR(VLOOKUP(EOMONTH(M70,-2)+1,IPCA!$A:$B,2,0),
VLOOKUP(EOMONTH(TODAY(),-2)+1,IPCA!$A:$B,2,0))/
VLOOKUP(EOMONTH(U70,-2)+1,IPCA!$A:$B,2,0)*
P70))</f>
        <v/>
      </c>
      <c r="W70" s="84"/>
      <c r="X70" s="13" t="s">
        <v>132</v>
      </c>
      <c r="Y70" s="158"/>
      <c r="Z70" s="106"/>
      <c r="AA70" s="107"/>
      <c r="AB70" s="15"/>
      <c r="AC70"/>
      <c r="AD70"/>
      <c r="AE70"/>
      <c r="AF70"/>
      <c r="AG70"/>
      <c r="AH70">
        <v>10</v>
      </c>
      <c r="AI70">
        <v>10</v>
      </c>
      <c r="AJ70">
        <v>10</v>
      </c>
      <c r="AK70">
        <v>10</v>
      </c>
      <c r="AL70">
        <v>10</v>
      </c>
      <c r="AM70" s="6">
        <v>10</v>
      </c>
      <c r="AN70" s="15"/>
      <c r="AO70"/>
      <c r="AP70"/>
      <c r="AQ70"/>
      <c r="AR70"/>
      <c r="AS70"/>
      <c r="AT70"/>
      <c r="AU70"/>
      <c r="AV70"/>
      <c r="AW70"/>
      <c r="AX70"/>
      <c r="AY70" s="6"/>
      <c r="AZ70" s="15"/>
      <c r="BA70"/>
      <c r="BB70"/>
      <c r="BC70"/>
      <c r="BD70"/>
      <c r="BE70"/>
      <c r="BF70"/>
      <c r="BG70"/>
      <c r="BH70"/>
      <c r="BI70"/>
      <c r="BJ70"/>
      <c r="BK70" s="6"/>
      <c r="BL70" s="15"/>
      <c r="BM70"/>
      <c r="BN70"/>
      <c r="BO70"/>
      <c r="BP70"/>
      <c r="BQ70"/>
      <c r="BR70"/>
      <c r="BS70"/>
      <c r="BT70"/>
      <c r="BU70"/>
      <c r="BV70"/>
      <c r="BW70" s="6"/>
      <c r="BX70" s="15"/>
      <c r="BY70"/>
      <c r="BZ70"/>
      <c r="CA70"/>
      <c r="CB70"/>
      <c r="CC70"/>
      <c r="CD70"/>
      <c r="CE70"/>
      <c r="CF70"/>
      <c r="CG70"/>
      <c r="CH70"/>
      <c r="CI70" s="6"/>
      <c r="CJ70" s="16">
        <v>5.0410958904109586</v>
      </c>
      <c r="CK70" s="16" t="s">
        <v>578</v>
      </c>
      <c r="CL70" s="16" t="s">
        <v>578</v>
      </c>
      <c r="CM70" s="16" t="s">
        <v>578</v>
      </c>
      <c r="CN70" s="16" t="s">
        <v>578</v>
      </c>
      <c r="CO70" s="18"/>
      <c r="CP70" s="15"/>
      <c r="CQ70"/>
      <c r="CR70"/>
      <c r="CS70"/>
      <c r="CT70"/>
      <c r="CU70"/>
      <c r="CV70">
        <v>115</v>
      </c>
      <c r="CW70">
        <v>115</v>
      </c>
      <c r="CX70">
        <v>115</v>
      </c>
      <c r="CY70">
        <v>115</v>
      </c>
      <c r="CZ70">
        <v>115</v>
      </c>
      <c r="DA70" s="6">
        <v>115</v>
      </c>
      <c r="DB70" s="15"/>
      <c r="DC70"/>
      <c r="DD70"/>
      <c r="DE70"/>
      <c r="DF70"/>
      <c r="DG70"/>
      <c r="DH70"/>
      <c r="DI70"/>
      <c r="DJ70"/>
      <c r="DK70"/>
      <c r="DL70"/>
      <c r="DM70" s="6"/>
      <c r="DN70" s="15"/>
      <c r="DO70"/>
      <c r="DP70"/>
      <c r="DQ70"/>
      <c r="DR70"/>
      <c r="DS70"/>
      <c r="DT70"/>
      <c r="DU70"/>
      <c r="DV70"/>
      <c r="DW70"/>
      <c r="DX70"/>
      <c r="DY70" s="6"/>
      <c r="DZ70" s="15"/>
      <c r="EA70"/>
      <c r="EB70"/>
      <c r="EC70"/>
      <c r="ED70"/>
      <c r="EE70"/>
      <c r="EF70"/>
      <c r="EG70"/>
      <c r="EH70"/>
      <c r="EI70"/>
      <c r="EJ70"/>
      <c r="EK70" s="6"/>
      <c r="EL70" s="15"/>
      <c r="EM70"/>
      <c r="EN70"/>
      <c r="EO70"/>
      <c r="EP70"/>
      <c r="EQ70"/>
      <c r="ER70"/>
      <c r="ES70"/>
      <c r="ET70"/>
      <c r="EU70"/>
      <c r="EV70"/>
      <c r="EW70" s="6"/>
      <c r="EX70" s="16">
        <v>57.972602739726028</v>
      </c>
      <c r="EY70" s="16" t="s">
        <v>578</v>
      </c>
      <c r="EZ70" s="16" t="s">
        <v>578</v>
      </c>
      <c r="FA70" s="154" t="s">
        <v>578</v>
      </c>
      <c r="FB70" s="154" t="s">
        <v>578</v>
      </c>
      <c r="FC70" t="s">
        <v>195</v>
      </c>
      <c r="FD70" s="20" t="s">
        <v>125</v>
      </c>
      <c r="FE70"/>
      <c r="FF70" s="199" t="s">
        <v>197</v>
      </c>
      <c r="FG70"/>
      <c r="FH70" s="206">
        <f t="shared" ref="FH70:FH133" ca="1" si="13">IF(V70="",0,V70-P70)</f>
        <v>0</v>
      </c>
      <c r="FI70" s="198">
        <f t="shared" ref="FI70:FI133" si="14">(N70-M70)/30</f>
        <v>6.1</v>
      </c>
      <c r="FJ70"/>
      <c r="FK70" t="str">
        <f t="shared" ref="FK70:FK133" si="15">IF($FC70="V",G70,E70)</f>
        <v>ECEL ELETRON COMERCIALIZADORA DE ENERGIA S.A</v>
      </c>
      <c r="FL70" s="191">
        <f t="shared" ref="FL70:FL133" ca="1" si="16">SUMIF($FN$4:$GK$4,"&lt;"&amp;EOMONTH(TODAY(),-1),FN70:GK70)</f>
        <v>0</v>
      </c>
      <c r="FM70" s="191">
        <f t="shared" ref="FM70:FM133" ca="1" si="17">SUM(FN70:GN70)-FL70</f>
        <v>1810560</v>
      </c>
      <c r="FN70" s="190">
        <f>AB70*AB$2*IF($FC70="V",1,-1)*IF($Q70="Fixo",(CP70-INDEX('Curva Forward'!$C$5:$AN$13,MATCH(CONCATENATE(BD_COMERCIAL!$K70," ",BD_COMERCIAL!$L70),'Curva Forward'!$B$5:$B$13,0),MATCH(FN$4,'Curva Forward'!$C$4:$AN$4,0))),CP70)</f>
        <v>0</v>
      </c>
      <c r="FO70" s="190">
        <f>AC70*AC$2*IF($FC70="V",1,-1)*IF($Q70="Fixo",(CQ70-INDEX('Curva Forward'!$C$5:$AN$13,MATCH(CONCATENATE(BD_COMERCIAL!$K70," ",BD_COMERCIAL!$L70),'Curva Forward'!$B$5:$B$13,0),MATCH(FO$4,'Curva Forward'!$C$4:$AN$4,0))),CQ70)</f>
        <v>0</v>
      </c>
      <c r="FP70" s="190">
        <f>AD70*AD$2*IF($FC70="V",1,-1)*IF($Q70="Fixo",(CR70-INDEX('Curva Forward'!$C$5:$AN$13,MATCH(CONCATENATE(BD_COMERCIAL!$K70," ",BD_COMERCIAL!$L70),'Curva Forward'!$B$5:$B$13,0),MATCH(FP$4,'Curva Forward'!$C$4:$AN$4,0))),CR70)</f>
        <v>0</v>
      </c>
      <c r="FQ70" s="190">
        <f>AE70*AE$2*IF($FC70="V",1,-1)*IF($Q70="Fixo",(CS70-INDEX('Curva Forward'!$C$5:$AN$13,MATCH(CONCATENATE(BD_COMERCIAL!$K70," ",BD_COMERCIAL!$L70),'Curva Forward'!$B$5:$B$13,0),MATCH(FQ$4,'Curva Forward'!$C$4:$AN$4,0))),CS70)</f>
        <v>0</v>
      </c>
      <c r="FR70" s="190">
        <f>AF70*AF$2*IF($FC70="V",1,-1)*IF($Q70="Fixo",(CT70-INDEX('Curva Forward'!$C$5:$AN$13,MATCH(CONCATENATE(BD_COMERCIAL!$K70," ",BD_COMERCIAL!$L70),'Curva Forward'!$B$5:$B$13,0),MATCH(FR$4,'Curva Forward'!$C$4:$AN$4,0))),CT70)</f>
        <v>0</v>
      </c>
      <c r="FS70" s="190">
        <f>AG70*AG$2*IF($FC70="V",1,-1)*IF($Q70="Fixo",(CU70-INDEX('Curva Forward'!$C$5:$AN$13,MATCH(CONCATENATE(BD_COMERCIAL!$K70," ",BD_COMERCIAL!$L70),'Curva Forward'!$B$5:$B$13,0),MATCH(FS$4,'Curva Forward'!$C$4:$AN$4,0))),CU70)</f>
        <v>0</v>
      </c>
      <c r="FT70" s="190">
        <f>AH70*AH$2*IF($FC70="V",1,-1)*IF($Q70="Fixo",(CV70-INDEX('Curva Forward'!$C$5:$AN$13,MATCH(CONCATENATE(BD_COMERCIAL!$K70," ",BD_COMERCIAL!$L70),'Curva Forward'!$B$5:$B$13,0),MATCH(FT$4,'Curva Forward'!$C$4:$AN$4,0))),CV70)</f>
        <v>312480</v>
      </c>
      <c r="FU70" s="190">
        <f>AI70*AI$2*IF($FC70="V",1,-1)*IF($Q70="Fixo",(CW70-INDEX('Curva Forward'!$C$5:$AN$13,MATCH(CONCATENATE(BD_COMERCIAL!$K70," ",BD_COMERCIAL!$L70),'Curva Forward'!$B$5:$B$13,0),MATCH(FU$4,'Curva Forward'!$C$4:$AN$4,0))),CW70)</f>
        <v>312480</v>
      </c>
      <c r="FV70" s="190">
        <f>AJ70*AJ$2*IF($FC70="V",1,-1)*IF($Q70="Fixo",(CX70-INDEX('Curva Forward'!$C$5:$AN$13,MATCH(CONCATENATE(BD_COMERCIAL!$K70," ",BD_COMERCIAL!$L70),'Curva Forward'!$B$5:$B$13,0),MATCH(FV$4,'Curva Forward'!$C$4:$AN$4,0))),CX70)</f>
        <v>302400</v>
      </c>
      <c r="FW70" s="190">
        <f>AK70*AK$2*IF($FC70="V",1,-1)*IF($Q70="Fixo",(CY70-INDEX('Curva Forward'!$C$5:$AN$13,MATCH(CONCATENATE(BD_COMERCIAL!$K70," ",BD_COMERCIAL!$L70),'Curva Forward'!$B$5:$B$13,0),MATCH(FW$4,'Curva Forward'!$C$4:$AN$4,0))),CY70)</f>
        <v>297600</v>
      </c>
      <c r="FX70" s="190">
        <f>AL70*AL$2*IF($FC70="V",1,-1)*IF($Q70="Fixo",(CZ70-INDEX('Curva Forward'!$C$5:$AN$13,MATCH(CONCATENATE(BD_COMERCIAL!$K70," ",BD_COMERCIAL!$L70),'Curva Forward'!$B$5:$B$13,0),MATCH(FX$4,'Curva Forward'!$C$4:$AN$4,0))),CZ70)</f>
        <v>288000</v>
      </c>
      <c r="FY70" s="190">
        <f>AM70*AM$2*IF($FC70="V",1,-1)*IF($Q70="Fixo",(DA70-INDEX('Curva Forward'!$C$5:$AN$13,MATCH(CONCATENATE(BD_COMERCIAL!$K70," ",BD_COMERCIAL!$L70),'Curva Forward'!$B$5:$B$13,0),MATCH(FY$4,'Curva Forward'!$C$4:$AN$4,0))),DA70)</f>
        <v>297600</v>
      </c>
      <c r="FZ70" s="190">
        <f>AN70*AN$2*IF($FC70="V",1,-1)*IF($Q70="Fixo",(DB70-INDEX('Curva Forward'!$C$5:$AN$13,MATCH(CONCATENATE(BD_COMERCIAL!$K70," ",BD_COMERCIAL!$L70),'Curva Forward'!$B$5:$B$13,0),MATCH(FZ$4,'Curva Forward'!$C$4:$AN$4,0))),DB70)</f>
        <v>0</v>
      </c>
      <c r="GA70" s="190">
        <f>AO70*AO$2*IF($FC70="V",1,-1)*IF($Q70="Fixo",(DC70-INDEX('Curva Forward'!$C$5:$AN$13,MATCH(CONCATENATE(BD_COMERCIAL!$K70," ",BD_COMERCIAL!$L70),'Curva Forward'!$B$5:$B$13,0),MATCH(GA$4,'Curva Forward'!$C$4:$AN$4,0))),DC70)</f>
        <v>0</v>
      </c>
      <c r="GB70" s="190">
        <f>AP70*AP$2*IF($FC70="V",1,-1)*IF($Q70="Fixo",(DD70-INDEX('Curva Forward'!$C$5:$AN$13,MATCH(CONCATENATE(BD_COMERCIAL!$K70," ",BD_COMERCIAL!$L70),'Curva Forward'!$B$5:$B$13,0),MATCH(GB$4,'Curva Forward'!$C$4:$AN$4,0))),DD70)</f>
        <v>0</v>
      </c>
      <c r="GC70" s="190">
        <f>AQ70*AQ$2*IF($FC70="V",1,-1)*IF($Q70="Fixo",(DE70-INDEX('Curva Forward'!$C$5:$AN$13,MATCH(CONCATENATE(BD_COMERCIAL!$K70," ",BD_COMERCIAL!$L70),'Curva Forward'!$B$5:$B$13,0),MATCH(GC$4,'Curva Forward'!$C$4:$AN$4,0))),DE70)</f>
        <v>0</v>
      </c>
      <c r="GD70" s="190">
        <f>AR70*AR$2*IF($FC70="V",1,-1)*IF($Q70="Fixo",(DF70-INDEX('Curva Forward'!$C$5:$AN$13,MATCH(CONCATENATE(BD_COMERCIAL!$K70," ",BD_COMERCIAL!$L70),'Curva Forward'!$B$5:$B$13,0),MATCH(GD$4,'Curva Forward'!$C$4:$AN$4,0))),DF70)</f>
        <v>0</v>
      </c>
      <c r="GE70" s="190">
        <f>AS70*AS$2*IF($FC70="V",1,-1)*IF($Q70="Fixo",(DG70-INDEX('Curva Forward'!$C$5:$AN$13,MATCH(CONCATENATE(BD_COMERCIAL!$K70," ",BD_COMERCIAL!$L70),'Curva Forward'!$B$5:$B$13,0),MATCH(GE$4,'Curva Forward'!$C$4:$AN$4,0))),DG70)</f>
        <v>0</v>
      </c>
      <c r="GF70" s="190">
        <f>AT70*AT$2*IF($FC70="V",1,-1)*IF($Q70="Fixo",(DH70-INDEX('Curva Forward'!$C$5:$AN$13,MATCH(CONCATENATE(BD_COMERCIAL!$K70," ",BD_COMERCIAL!$L70),'Curva Forward'!$B$5:$B$13,0),MATCH(GF$4,'Curva Forward'!$C$4:$AN$4,0))),DH70)</f>
        <v>0</v>
      </c>
      <c r="GG70" s="190">
        <f>AU70*AU$2*IF($FC70="V",1,-1)*IF($Q70="Fixo",(DI70-INDEX('Curva Forward'!$C$5:$AN$13,MATCH(CONCATENATE(BD_COMERCIAL!$K70," ",BD_COMERCIAL!$L70),'Curva Forward'!$B$5:$B$13,0),MATCH(GG$4,'Curva Forward'!$C$4:$AN$4,0))),DI70)</f>
        <v>0</v>
      </c>
      <c r="GH70" s="190">
        <f>AV70*AV$2*IF($FC70="V",1,-1)*IF($Q70="Fixo",(DJ70-INDEX('Curva Forward'!$C$5:$AN$13,MATCH(CONCATENATE(BD_COMERCIAL!$K70," ",BD_COMERCIAL!$L70),'Curva Forward'!$B$5:$B$13,0),MATCH(GH$4,'Curva Forward'!$C$4:$AN$4,0))),DJ70)</f>
        <v>0</v>
      </c>
      <c r="GI70" s="190">
        <f>AW70*AW$2*IF($FC70="V",1,-1)*IF($Q70="Fixo",(DK70-INDEX('Curva Forward'!$C$5:$AN$13,MATCH(CONCATENATE(BD_COMERCIAL!$K70," ",BD_COMERCIAL!$L70),'Curva Forward'!$B$5:$B$13,0),MATCH(GI$4,'Curva Forward'!$C$4:$AN$4,0))),DK70)</f>
        <v>0</v>
      </c>
      <c r="GJ70" s="190">
        <f>AX70*AX$2*IF($FC70="V",1,-1)*IF($Q70="Fixo",(DL70-INDEX('Curva Forward'!$C$5:$AN$13,MATCH(CONCATENATE(BD_COMERCIAL!$K70," ",BD_COMERCIAL!$L70),'Curva Forward'!$B$5:$B$13,0),MATCH(GJ$4,'Curva Forward'!$C$4:$AN$4,0))),DL70)</f>
        <v>0</v>
      </c>
      <c r="GK70" s="190">
        <f>AY70*AY$2*IF($FC70="V",1,-1)*IF($Q70="Fixo",(DM70-INDEX('Curva Forward'!$C$5:$AN$13,MATCH(CONCATENATE(BD_COMERCIAL!$K70," ",BD_COMERCIAL!$L70),'Curva Forward'!$B$5:$B$13,0),MATCH(GK$4,'Curva Forward'!$C$4:$AN$4,0))),DM70)</f>
        <v>0</v>
      </c>
      <c r="GL70" s="190">
        <f>IF(EZ70="",0,CL70*CL$2*IF($FC70="V",1,-1)*IF($Q70="Fixo",(EZ70-INDEX('Curva Forward'!$C$5:$AN$13,MATCH(CONCATENATE(BD_COMERCIAL!$K70," ",BD_COMERCIAL!$L70),'Curva Forward'!$B$5:$B$13,0),MATCH(GL$4,'Curva Forward'!$C$4:$AN$4,0))),EZ70))</f>
        <v>0</v>
      </c>
      <c r="GM70" s="190">
        <f>IF(FA70="",0,CM70*CM$2*IF($FC70="V",1,-1)*IF($Q70="Fixo",(FA70-INDEX('Curva Forward'!$C$5:$AN$13,MATCH(CONCATENATE(BD_COMERCIAL!$K70," ",BD_COMERCIAL!$L70),'Curva Forward'!$B$5:$B$13,0),MATCH(GM$4,'Curva Forward'!$C$4:$AN$4,0))),FA70))</f>
        <v>0</v>
      </c>
      <c r="GN70" s="190">
        <f>IF(FB70="",0,CN70*CN$2*IF($FC70="V",1,-1)*IF($Q70="Fixo",(FB70-INDEX('Curva Forward'!$C$5:$AN$13,MATCH(CONCATENATE(BD_COMERCIAL!$K70," ",BD_COMERCIAL!$L70),'Curva Forward'!$B$5:$B$13,0),MATCH(GN$4,'Curva Forward'!$C$4:$AN$4,0))),FB70))</f>
        <v>0</v>
      </c>
      <c r="GO70" s="191">
        <f t="shared" ref="GO70:GO133" ca="1" si="18">IF(FM70&gt;0,FM70,0)</f>
        <v>1810560</v>
      </c>
      <c r="GP70" s="191">
        <f t="shared" ref="GP70:GP133" ca="1" si="19">IF(FM70&lt;0,FM70,0)</f>
        <v>0</v>
      </c>
      <c r="GQ70" s="115"/>
      <c r="GR70" s="115"/>
      <c r="GS70"/>
      <c r="GT70" s="65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</row>
    <row r="71" spans="1:236" s="265" customFormat="1" ht="15" customHeight="1" x14ac:dyDescent="0.35">
      <c r="A71" s="251"/>
      <c r="B71" s="7" t="s">
        <v>430</v>
      </c>
      <c r="C71" s="8">
        <v>44847</v>
      </c>
      <c r="D71" s="9" t="s">
        <v>123</v>
      </c>
      <c r="E71" s="9" t="s">
        <v>381</v>
      </c>
      <c r="F71" s="112" t="s">
        <v>348</v>
      </c>
      <c r="G71" s="10" t="s">
        <v>409</v>
      </c>
      <c r="H71" s="112" t="s">
        <v>410</v>
      </c>
      <c r="I71" s="9" t="s">
        <v>125</v>
      </c>
      <c r="J71" s="158" t="s">
        <v>416</v>
      </c>
      <c r="K71" s="10" t="s">
        <v>126</v>
      </c>
      <c r="L71" s="84" t="s">
        <v>22</v>
      </c>
      <c r="M71" s="11">
        <v>45108</v>
      </c>
      <c r="N71" s="12">
        <v>45291</v>
      </c>
      <c r="O71" s="10">
        <v>4</v>
      </c>
      <c r="P71" s="84">
        <v>115</v>
      </c>
      <c r="Q71" s="84" t="s">
        <v>127</v>
      </c>
      <c r="R71" s="10" t="s">
        <v>128</v>
      </c>
      <c r="S71" s="14" t="s">
        <v>133</v>
      </c>
      <c r="T71" s="11"/>
      <c r="U71" s="12"/>
      <c r="V71" s="202" t="str">
        <f ca="1">IF(U71="","",
IF(U71="NA","",
IFERROR(VLOOKUP(EOMONTH(M71,-2)+1,IPCA!$A:$B,2,0),
VLOOKUP(EOMONTH(TODAY(),-2)+1,IPCA!$A:$B,2,0))/
VLOOKUP(EOMONTH(U71,-2)+1,IPCA!$A:$B,2,0)*
P71))</f>
        <v/>
      </c>
      <c r="W71" s="84"/>
      <c r="X71" s="13" t="s">
        <v>132</v>
      </c>
      <c r="Y71" s="158"/>
      <c r="Z71" s="106"/>
      <c r="AA71" s="107"/>
      <c r="AB71" s="15"/>
      <c r="AC71"/>
      <c r="AD71"/>
      <c r="AE71"/>
      <c r="AF71"/>
      <c r="AG71"/>
      <c r="AH71">
        <v>4</v>
      </c>
      <c r="AI71">
        <v>4</v>
      </c>
      <c r="AJ71">
        <v>4</v>
      </c>
      <c r="AK71">
        <v>4</v>
      </c>
      <c r="AL71">
        <v>4</v>
      </c>
      <c r="AM71" s="6">
        <v>4</v>
      </c>
      <c r="AN71" s="15"/>
      <c r="AO71"/>
      <c r="AP71"/>
      <c r="AQ71"/>
      <c r="AR71"/>
      <c r="AS71"/>
      <c r="AT71"/>
      <c r="AU71"/>
      <c r="AV71"/>
      <c r="AW71"/>
      <c r="AX71"/>
      <c r="AY71" s="6"/>
      <c r="AZ71" s="15"/>
      <c r="BA71"/>
      <c r="BB71"/>
      <c r="BC71"/>
      <c r="BD71"/>
      <c r="BE71"/>
      <c r="BF71"/>
      <c r="BG71"/>
      <c r="BH71"/>
      <c r="BI71"/>
      <c r="BJ71"/>
      <c r="BK71" s="6"/>
      <c r="BL71" s="15"/>
      <c r="BM71"/>
      <c r="BN71"/>
      <c r="BO71"/>
      <c r="BP71"/>
      <c r="BQ71"/>
      <c r="BR71"/>
      <c r="BS71"/>
      <c r="BT71"/>
      <c r="BU71"/>
      <c r="BV71"/>
      <c r="BW71" s="6"/>
      <c r="BX71" s="15"/>
      <c r="BY71"/>
      <c r="BZ71"/>
      <c r="CA71"/>
      <c r="CB71"/>
      <c r="CC71"/>
      <c r="CD71"/>
      <c r="CE71"/>
      <c r="CF71"/>
      <c r="CG71"/>
      <c r="CH71"/>
      <c r="CI71" s="6"/>
      <c r="CJ71" s="16">
        <v>2.0164383561643837</v>
      </c>
      <c r="CK71" s="16" t="s">
        <v>578</v>
      </c>
      <c r="CL71" s="16" t="s">
        <v>578</v>
      </c>
      <c r="CM71" s="16" t="s">
        <v>578</v>
      </c>
      <c r="CN71" s="16" t="s">
        <v>578</v>
      </c>
      <c r="CO71" s="18"/>
      <c r="CP71" s="15"/>
      <c r="CQ71"/>
      <c r="CR71"/>
      <c r="CS71"/>
      <c r="CT71"/>
      <c r="CU71"/>
      <c r="CV71">
        <v>115</v>
      </c>
      <c r="CW71">
        <v>115</v>
      </c>
      <c r="CX71">
        <v>115</v>
      </c>
      <c r="CY71">
        <v>115</v>
      </c>
      <c r="CZ71">
        <v>115</v>
      </c>
      <c r="DA71" s="6">
        <v>115</v>
      </c>
      <c r="DB71" s="15"/>
      <c r="DC71"/>
      <c r="DD71"/>
      <c r="DE71"/>
      <c r="DF71"/>
      <c r="DG71"/>
      <c r="DH71"/>
      <c r="DI71"/>
      <c r="DJ71"/>
      <c r="DK71"/>
      <c r="DL71"/>
      <c r="DM71" s="6"/>
      <c r="DN71" s="15"/>
      <c r="DO71"/>
      <c r="DP71"/>
      <c r="DQ71"/>
      <c r="DR71"/>
      <c r="DS71"/>
      <c r="DT71"/>
      <c r="DU71"/>
      <c r="DV71"/>
      <c r="DW71"/>
      <c r="DX71"/>
      <c r="DY71" s="6"/>
      <c r="DZ71" s="15"/>
      <c r="EA71"/>
      <c r="EB71"/>
      <c r="EC71"/>
      <c r="ED71"/>
      <c r="EE71"/>
      <c r="EF71"/>
      <c r="EG71"/>
      <c r="EH71"/>
      <c r="EI71"/>
      <c r="EJ71"/>
      <c r="EK71" s="6"/>
      <c r="EL71" s="15"/>
      <c r="EM71"/>
      <c r="EN71"/>
      <c r="EO71"/>
      <c r="EP71"/>
      <c r="EQ71"/>
      <c r="ER71"/>
      <c r="ES71"/>
      <c r="ET71"/>
      <c r="EU71"/>
      <c r="EV71"/>
      <c r="EW71" s="6"/>
      <c r="EX71" s="16">
        <v>57.972602739726028</v>
      </c>
      <c r="EY71" s="16" t="s">
        <v>578</v>
      </c>
      <c r="EZ71" s="16" t="s">
        <v>578</v>
      </c>
      <c r="FA71" s="154" t="s">
        <v>578</v>
      </c>
      <c r="FB71" s="154" t="s">
        <v>578</v>
      </c>
      <c r="FC71" t="s">
        <v>195</v>
      </c>
      <c r="FD71" s="20" t="s">
        <v>125</v>
      </c>
      <c r="FE71"/>
      <c r="FF71" s="199" t="s">
        <v>197</v>
      </c>
      <c r="FG71"/>
      <c r="FH71" s="206">
        <f t="shared" ca="1" si="13"/>
        <v>0</v>
      </c>
      <c r="FI71" s="198">
        <f t="shared" si="14"/>
        <v>6.1</v>
      </c>
      <c r="FJ71"/>
      <c r="FK71" t="str">
        <f t="shared" si="15"/>
        <v>GOLD COMERCIALIZADORA DE ENERGIA LTDA</v>
      </c>
      <c r="FL71" s="191">
        <f t="shared" ca="1" si="16"/>
        <v>0</v>
      </c>
      <c r="FM71" s="191">
        <f t="shared" ca="1" si="17"/>
        <v>724224</v>
      </c>
      <c r="FN71" s="190">
        <f>AB71*AB$2*IF($FC71="V",1,-1)*IF($Q71="Fixo",(CP71-INDEX('Curva Forward'!$C$5:$AN$13,MATCH(CONCATENATE(BD_COMERCIAL!$K71," ",BD_COMERCIAL!$L71),'Curva Forward'!$B$5:$B$13,0),MATCH(FN$4,'Curva Forward'!$C$4:$AN$4,0))),CP71)</f>
        <v>0</v>
      </c>
      <c r="FO71" s="190">
        <f>AC71*AC$2*IF($FC71="V",1,-1)*IF($Q71="Fixo",(CQ71-INDEX('Curva Forward'!$C$5:$AN$13,MATCH(CONCATENATE(BD_COMERCIAL!$K71," ",BD_COMERCIAL!$L71),'Curva Forward'!$B$5:$B$13,0),MATCH(FO$4,'Curva Forward'!$C$4:$AN$4,0))),CQ71)</f>
        <v>0</v>
      </c>
      <c r="FP71" s="190">
        <f>AD71*AD$2*IF($FC71="V",1,-1)*IF($Q71="Fixo",(CR71-INDEX('Curva Forward'!$C$5:$AN$13,MATCH(CONCATENATE(BD_COMERCIAL!$K71," ",BD_COMERCIAL!$L71),'Curva Forward'!$B$5:$B$13,0),MATCH(FP$4,'Curva Forward'!$C$4:$AN$4,0))),CR71)</f>
        <v>0</v>
      </c>
      <c r="FQ71" s="190">
        <f>AE71*AE$2*IF($FC71="V",1,-1)*IF($Q71="Fixo",(CS71-INDEX('Curva Forward'!$C$5:$AN$13,MATCH(CONCATENATE(BD_COMERCIAL!$K71," ",BD_COMERCIAL!$L71),'Curva Forward'!$B$5:$B$13,0),MATCH(FQ$4,'Curva Forward'!$C$4:$AN$4,0))),CS71)</f>
        <v>0</v>
      </c>
      <c r="FR71" s="190">
        <f>AF71*AF$2*IF($FC71="V",1,-1)*IF($Q71="Fixo",(CT71-INDEX('Curva Forward'!$C$5:$AN$13,MATCH(CONCATENATE(BD_COMERCIAL!$K71," ",BD_COMERCIAL!$L71),'Curva Forward'!$B$5:$B$13,0),MATCH(FR$4,'Curva Forward'!$C$4:$AN$4,0))),CT71)</f>
        <v>0</v>
      </c>
      <c r="FS71" s="190">
        <f>AG71*AG$2*IF($FC71="V",1,-1)*IF($Q71="Fixo",(CU71-INDEX('Curva Forward'!$C$5:$AN$13,MATCH(CONCATENATE(BD_COMERCIAL!$K71," ",BD_COMERCIAL!$L71),'Curva Forward'!$B$5:$B$13,0),MATCH(FS$4,'Curva Forward'!$C$4:$AN$4,0))),CU71)</f>
        <v>0</v>
      </c>
      <c r="FT71" s="190">
        <f>AH71*AH$2*IF($FC71="V",1,-1)*IF($Q71="Fixo",(CV71-INDEX('Curva Forward'!$C$5:$AN$13,MATCH(CONCATENATE(BD_COMERCIAL!$K71," ",BD_COMERCIAL!$L71),'Curva Forward'!$B$5:$B$13,0),MATCH(FT$4,'Curva Forward'!$C$4:$AN$4,0))),CV71)</f>
        <v>124992</v>
      </c>
      <c r="FU71" s="190">
        <f>AI71*AI$2*IF($FC71="V",1,-1)*IF($Q71="Fixo",(CW71-INDEX('Curva Forward'!$C$5:$AN$13,MATCH(CONCATENATE(BD_COMERCIAL!$K71," ",BD_COMERCIAL!$L71),'Curva Forward'!$B$5:$B$13,0),MATCH(FU$4,'Curva Forward'!$C$4:$AN$4,0))),CW71)</f>
        <v>124992</v>
      </c>
      <c r="FV71" s="190">
        <f>AJ71*AJ$2*IF($FC71="V",1,-1)*IF($Q71="Fixo",(CX71-INDEX('Curva Forward'!$C$5:$AN$13,MATCH(CONCATENATE(BD_COMERCIAL!$K71," ",BD_COMERCIAL!$L71),'Curva Forward'!$B$5:$B$13,0),MATCH(FV$4,'Curva Forward'!$C$4:$AN$4,0))),CX71)</f>
        <v>120960</v>
      </c>
      <c r="FW71" s="190">
        <f>AK71*AK$2*IF($FC71="V",1,-1)*IF($Q71="Fixo",(CY71-INDEX('Curva Forward'!$C$5:$AN$13,MATCH(CONCATENATE(BD_COMERCIAL!$K71," ",BD_COMERCIAL!$L71),'Curva Forward'!$B$5:$B$13,0),MATCH(FW$4,'Curva Forward'!$C$4:$AN$4,0))),CY71)</f>
        <v>119040</v>
      </c>
      <c r="FX71" s="190">
        <f>AL71*AL$2*IF($FC71="V",1,-1)*IF($Q71="Fixo",(CZ71-INDEX('Curva Forward'!$C$5:$AN$13,MATCH(CONCATENATE(BD_COMERCIAL!$K71," ",BD_COMERCIAL!$L71),'Curva Forward'!$B$5:$B$13,0),MATCH(FX$4,'Curva Forward'!$C$4:$AN$4,0))),CZ71)</f>
        <v>115200</v>
      </c>
      <c r="FY71" s="190">
        <f>AM71*AM$2*IF($FC71="V",1,-1)*IF($Q71="Fixo",(DA71-INDEX('Curva Forward'!$C$5:$AN$13,MATCH(CONCATENATE(BD_COMERCIAL!$K71," ",BD_COMERCIAL!$L71),'Curva Forward'!$B$5:$B$13,0),MATCH(FY$4,'Curva Forward'!$C$4:$AN$4,0))),DA71)</f>
        <v>119040</v>
      </c>
      <c r="FZ71" s="190">
        <f>AN71*AN$2*IF($FC71="V",1,-1)*IF($Q71="Fixo",(DB71-INDEX('Curva Forward'!$C$5:$AN$13,MATCH(CONCATENATE(BD_COMERCIAL!$K71," ",BD_COMERCIAL!$L71),'Curva Forward'!$B$5:$B$13,0),MATCH(FZ$4,'Curva Forward'!$C$4:$AN$4,0))),DB71)</f>
        <v>0</v>
      </c>
      <c r="GA71" s="190">
        <f>AO71*AO$2*IF($FC71="V",1,-1)*IF($Q71="Fixo",(DC71-INDEX('Curva Forward'!$C$5:$AN$13,MATCH(CONCATENATE(BD_COMERCIAL!$K71," ",BD_COMERCIAL!$L71),'Curva Forward'!$B$5:$B$13,0),MATCH(GA$4,'Curva Forward'!$C$4:$AN$4,0))),DC71)</f>
        <v>0</v>
      </c>
      <c r="GB71" s="190">
        <f>AP71*AP$2*IF($FC71="V",1,-1)*IF($Q71="Fixo",(DD71-INDEX('Curva Forward'!$C$5:$AN$13,MATCH(CONCATENATE(BD_COMERCIAL!$K71," ",BD_COMERCIAL!$L71),'Curva Forward'!$B$5:$B$13,0),MATCH(GB$4,'Curva Forward'!$C$4:$AN$4,0))),DD71)</f>
        <v>0</v>
      </c>
      <c r="GC71" s="190">
        <f>AQ71*AQ$2*IF($FC71="V",1,-1)*IF($Q71="Fixo",(DE71-INDEX('Curva Forward'!$C$5:$AN$13,MATCH(CONCATENATE(BD_COMERCIAL!$K71," ",BD_COMERCIAL!$L71),'Curva Forward'!$B$5:$B$13,0),MATCH(GC$4,'Curva Forward'!$C$4:$AN$4,0))),DE71)</f>
        <v>0</v>
      </c>
      <c r="GD71" s="190">
        <f>AR71*AR$2*IF($FC71="V",1,-1)*IF($Q71="Fixo",(DF71-INDEX('Curva Forward'!$C$5:$AN$13,MATCH(CONCATENATE(BD_COMERCIAL!$K71," ",BD_COMERCIAL!$L71),'Curva Forward'!$B$5:$B$13,0),MATCH(GD$4,'Curva Forward'!$C$4:$AN$4,0))),DF71)</f>
        <v>0</v>
      </c>
      <c r="GE71" s="190">
        <f>AS71*AS$2*IF($FC71="V",1,-1)*IF($Q71="Fixo",(DG71-INDEX('Curva Forward'!$C$5:$AN$13,MATCH(CONCATENATE(BD_COMERCIAL!$K71," ",BD_COMERCIAL!$L71),'Curva Forward'!$B$5:$B$13,0),MATCH(GE$4,'Curva Forward'!$C$4:$AN$4,0))),DG71)</f>
        <v>0</v>
      </c>
      <c r="GF71" s="190">
        <f>AT71*AT$2*IF($FC71="V",1,-1)*IF($Q71="Fixo",(DH71-INDEX('Curva Forward'!$C$5:$AN$13,MATCH(CONCATENATE(BD_COMERCIAL!$K71," ",BD_COMERCIAL!$L71),'Curva Forward'!$B$5:$B$13,0),MATCH(GF$4,'Curva Forward'!$C$4:$AN$4,0))),DH71)</f>
        <v>0</v>
      </c>
      <c r="GG71" s="190">
        <f>AU71*AU$2*IF($FC71="V",1,-1)*IF($Q71="Fixo",(DI71-INDEX('Curva Forward'!$C$5:$AN$13,MATCH(CONCATENATE(BD_COMERCIAL!$K71," ",BD_COMERCIAL!$L71),'Curva Forward'!$B$5:$B$13,0),MATCH(GG$4,'Curva Forward'!$C$4:$AN$4,0))),DI71)</f>
        <v>0</v>
      </c>
      <c r="GH71" s="190">
        <f>AV71*AV$2*IF($FC71="V",1,-1)*IF($Q71="Fixo",(DJ71-INDEX('Curva Forward'!$C$5:$AN$13,MATCH(CONCATENATE(BD_COMERCIAL!$K71," ",BD_COMERCIAL!$L71),'Curva Forward'!$B$5:$B$13,0),MATCH(GH$4,'Curva Forward'!$C$4:$AN$4,0))),DJ71)</f>
        <v>0</v>
      </c>
      <c r="GI71" s="190">
        <f>AW71*AW$2*IF($FC71="V",1,-1)*IF($Q71="Fixo",(DK71-INDEX('Curva Forward'!$C$5:$AN$13,MATCH(CONCATENATE(BD_COMERCIAL!$K71," ",BD_COMERCIAL!$L71),'Curva Forward'!$B$5:$B$13,0),MATCH(GI$4,'Curva Forward'!$C$4:$AN$4,0))),DK71)</f>
        <v>0</v>
      </c>
      <c r="GJ71" s="190">
        <f>AX71*AX$2*IF($FC71="V",1,-1)*IF($Q71="Fixo",(DL71-INDEX('Curva Forward'!$C$5:$AN$13,MATCH(CONCATENATE(BD_COMERCIAL!$K71," ",BD_COMERCIAL!$L71),'Curva Forward'!$B$5:$B$13,0),MATCH(GJ$4,'Curva Forward'!$C$4:$AN$4,0))),DL71)</f>
        <v>0</v>
      </c>
      <c r="GK71" s="190">
        <f>AY71*AY$2*IF($FC71="V",1,-1)*IF($Q71="Fixo",(DM71-INDEX('Curva Forward'!$C$5:$AN$13,MATCH(CONCATENATE(BD_COMERCIAL!$K71," ",BD_COMERCIAL!$L71),'Curva Forward'!$B$5:$B$13,0),MATCH(GK$4,'Curva Forward'!$C$4:$AN$4,0))),DM71)</f>
        <v>0</v>
      </c>
      <c r="GL71" s="190">
        <f>IF(EZ71="",0,CL71*CL$2*IF($FC71="V",1,-1)*IF($Q71="Fixo",(EZ71-INDEX('Curva Forward'!$C$5:$AN$13,MATCH(CONCATENATE(BD_COMERCIAL!$K71," ",BD_COMERCIAL!$L71),'Curva Forward'!$B$5:$B$13,0),MATCH(GL$4,'Curva Forward'!$C$4:$AN$4,0))),EZ71))</f>
        <v>0</v>
      </c>
      <c r="GM71" s="190">
        <f>IF(FA71="",0,CM71*CM$2*IF($FC71="V",1,-1)*IF($Q71="Fixo",(FA71-INDEX('Curva Forward'!$C$5:$AN$13,MATCH(CONCATENATE(BD_COMERCIAL!$K71," ",BD_COMERCIAL!$L71),'Curva Forward'!$B$5:$B$13,0),MATCH(GM$4,'Curva Forward'!$C$4:$AN$4,0))),FA71))</f>
        <v>0</v>
      </c>
      <c r="GN71" s="190">
        <f>IF(FB71="",0,CN71*CN$2*IF($FC71="V",1,-1)*IF($Q71="Fixo",(FB71-INDEX('Curva Forward'!$C$5:$AN$13,MATCH(CONCATENATE(BD_COMERCIAL!$K71," ",BD_COMERCIAL!$L71),'Curva Forward'!$B$5:$B$13,0),MATCH(GN$4,'Curva Forward'!$C$4:$AN$4,0))),FB71))</f>
        <v>0</v>
      </c>
      <c r="GO71" s="191">
        <f t="shared" ca="1" si="18"/>
        <v>724224</v>
      </c>
      <c r="GP71" s="191">
        <f t="shared" ca="1" si="19"/>
        <v>0</v>
      </c>
      <c r="GQ71" s="115"/>
      <c r="GR71" s="115"/>
      <c r="GS71"/>
      <c r="GT71" s="65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</row>
    <row r="72" spans="1:236" s="265" customFormat="1" ht="15" customHeight="1" x14ac:dyDescent="0.35">
      <c r="A72" s="251"/>
      <c r="B72" s="7" t="s">
        <v>431</v>
      </c>
      <c r="C72" s="8">
        <v>44847</v>
      </c>
      <c r="D72" s="9" t="s">
        <v>123</v>
      </c>
      <c r="E72" s="9" t="s">
        <v>381</v>
      </c>
      <c r="F72" s="112" t="s">
        <v>348</v>
      </c>
      <c r="G72" s="10" t="s">
        <v>192</v>
      </c>
      <c r="H72" s="112" t="s">
        <v>378</v>
      </c>
      <c r="I72" s="9" t="s">
        <v>125</v>
      </c>
      <c r="J72" s="158" t="s">
        <v>416</v>
      </c>
      <c r="K72" s="10" t="s">
        <v>126</v>
      </c>
      <c r="L72" s="84" t="s">
        <v>22</v>
      </c>
      <c r="M72" s="11">
        <v>45108</v>
      </c>
      <c r="N72" s="12">
        <v>45291</v>
      </c>
      <c r="O72" s="10">
        <v>1</v>
      </c>
      <c r="P72" s="84">
        <v>115.5</v>
      </c>
      <c r="Q72" s="84" t="s">
        <v>127</v>
      </c>
      <c r="R72" s="10" t="s">
        <v>128</v>
      </c>
      <c r="S72" s="14" t="s">
        <v>133</v>
      </c>
      <c r="T72" s="11"/>
      <c r="U72" s="12"/>
      <c r="V72" s="202" t="str">
        <f ca="1">IF(U72="","",
IF(U72="NA","",
IFERROR(VLOOKUP(EOMONTH(M72,-2)+1,IPCA!$A:$B,2,0),
VLOOKUP(EOMONTH(TODAY(),-2)+1,IPCA!$A:$B,2,0))/
VLOOKUP(EOMONTH(U72,-2)+1,IPCA!$A:$B,2,0)*
P72))</f>
        <v/>
      </c>
      <c r="W72" s="84"/>
      <c r="X72" s="13" t="s">
        <v>132</v>
      </c>
      <c r="Y72" s="158"/>
      <c r="Z72" s="106"/>
      <c r="AA72" s="107"/>
      <c r="AB72" s="15"/>
      <c r="AC72"/>
      <c r="AD72"/>
      <c r="AE72"/>
      <c r="AF72"/>
      <c r="AG72"/>
      <c r="AH72">
        <v>1</v>
      </c>
      <c r="AI72">
        <v>1</v>
      </c>
      <c r="AJ72">
        <v>1</v>
      </c>
      <c r="AK72">
        <v>1</v>
      </c>
      <c r="AL72">
        <v>1</v>
      </c>
      <c r="AM72" s="6">
        <v>1</v>
      </c>
      <c r="AN72" s="15"/>
      <c r="AO72"/>
      <c r="AP72"/>
      <c r="AQ72"/>
      <c r="AR72"/>
      <c r="AS72"/>
      <c r="AT72"/>
      <c r="AU72"/>
      <c r="AV72"/>
      <c r="AW72"/>
      <c r="AX72"/>
      <c r="AY72" s="6"/>
      <c r="AZ72" s="15"/>
      <c r="BA72"/>
      <c r="BB72"/>
      <c r="BC72"/>
      <c r="BD72"/>
      <c r="BE72"/>
      <c r="BF72"/>
      <c r="BG72"/>
      <c r="BH72"/>
      <c r="BI72"/>
      <c r="BJ72"/>
      <c r="BK72" s="6"/>
      <c r="BL72" s="15"/>
      <c r="BM72"/>
      <c r="BN72"/>
      <c r="BO72"/>
      <c r="BP72"/>
      <c r="BQ72"/>
      <c r="BR72"/>
      <c r="BS72"/>
      <c r="BT72"/>
      <c r="BU72"/>
      <c r="BV72"/>
      <c r="BW72" s="6"/>
      <c r="BX72" s="15"/>
      <c r="BY72"/>
      <c r="BZ72"/>
      <c r="CA72"/>
      <c r="CB72"/>
      <c r="CC72"/>
      <c r="CD72"/>
      <c r="CE72"/>
      <c r="CF72"/>
      <c r="CG72"/>
      <c r="CH72"/>
      <c r="CI72" s="6"/>
      <c r="CJ72" s="16">
        <v>0.50410958904109593</v>
      </c>
      <c r="CK72" s="16" t="s">
        <v>578</v>
      </c>
      <c r="CL72" s="16" t="s">
        <v>578</v>
      </c>
      <c r="CM72" s="16" t="s">
        <v>578</v>
      </c>
      <c r="CN72" s="16" t="s">
        <v>578</v>
      </c>
      <c r="CO72" s="18"/>
      <c r="CP72" s="15"/>
      <c r="CQ72"/>
      <c r="CR72"/>
      <c r="CS72"/>
      <c r="CT72"/>
      <c r="CU72"/>
      <c r="CV72">
        <v>115.5</v>
      </c>
      <c r="CW72">
        <v>115.5</v>
      </c>
      <c r="CX72">
        <v>115.5</v>
      </c>
      <c r="CY72">
        <v>115.5</v>
      </c>
      <c r="CZ72">
        <v>115.5</v>
      </c>
      <c r="DA72" s="6">
        <v>115.5</v>
      </c>
      <c r="DB72" s="15"/>
      <c r="DC72"/>
      <c r="DD72"/>
      <c r="DE72"/>
      <c r="DF72"/>
      <c r="DG72"/>
      <c r="DH72"/>
      <c r="DI72"/>
      <c r="DJ72"/>
      <c r="DK72"/>
      <c r="DL72"/>
      <c r="DM72" s="6"/>
      <c r="DN72" s="15"/>
      <c r="DO72"/>
      <c r="DP72"/>
      <c r="DQ72"/>
      <c r="DR72"/>
      <c r="DS72"/>
      <c r="DT72"/>
      <c r="DU72"/>
      <c r="DV72"/>
      <c r="DW72"/>
      <c r="DX72"/>
      <c r="DY72" s="6"/>
      <c r="DZ72" s="15"/>
      <c r="EA72"/>
      <c r="EB72"/>
      <c r="EC72"/>
      <c r="ED72"/>
      <c r="EE72"/>
      <c r="EF72"/>
      <c r="EG72"/>
      <c r="EH72"/>
      <c r="EI72"/>
      <c r="EJ72"/>
      <c r="EK72" s="6"/>
      <c r="EL72" s="15"/>
      <c r="EM72"/>
      <c r="EN72"/>
      <c r="EO72"/>
      <c r="EP72"/>
      <c r="EQ72"/>
      <c r="ER72"/>
      <c r="ES72"/>
      <c r="ET72"/>
      <c r="EU72"/>
      <c r="EV72"/>
      <c r="EW72" s="6"/>
      <c r="EX72" s="16">
        <v>58.224657534246575</v>
      </c>
      <c r="EY72" s="16" t="s">
        <v>578</v>
      </c>
      <c r="EZ72" s="16" t="s">
        <v>578</v>
      </c>
      <c r="FA72" s="154" t="s">
        <v>578</v>
      </c>
      <c r="FB72" s="154" t="s">
        <v>578</v>
      </c>
      <c r="FC72" t="s">
        <v>195</v>
      </c>
      <c r="FD72" s="20" t="s">
        <v>125</v>
      </c>
      <c r="FE72"/>
      <c r="FF72" s="199" t="s">
        <v>197</v>
      </c>
      <c r="FG72"/>
      <c r="FH72" s="206">
        <f t="shared" ca="1" si="13"/>
        <v>0</v>
      </c>
      <c r="FI72" s="198">
        <f t="shared" si="14"/>
        <v>6.1</v>
      </c>
      <c r="FJ72"/>
      <c r="FK72" t="str">
        <f t="shared" si="15"/>
        <v>Nova Energia Comercializadora S.A.</v>
      </c>
      <c r="FL72" s="191">
        <f t="shared" ca="1" si="16"/>
        <v>0</v>
      </c>
      <c r="FM72" s="191">
        <f t="shared" ca="1" si="17"/>
        <v>183264</v>
      </c>
      <c r="FN72" s="190">
        <f>AB72*AB$2*IF($FC72="V",1,-1)*IF($Q72="Fixo",(CP72-INDEX('Curva Forward'!$C$5:$AN$13,MATCH(CONCATENATE(BD_COMERCIAL!$K72," ",BD_COMERCIAL!$L72),'Curva Forward'!$B$5:$B$13,0),MATCH(FN$4,'Curva Forward'!$C$4:$AN$4,0))),CP72)</f>
        <v>0</v>
      </c>
      <c r="FO72" s="190">
        <f>AC72*AC$2*IF($FC72="V",1,-1)*IF($Q72="Fixo",(CQ72-INDEX('Curva Forward'!$C$5:$AN$13,MATCH(CONCATENATE(BD_COMERCIAL!$K72," ",BD_COMERCIAL!$L72),'Curva Forward'!$B$5:$B$13,0),MATCH(FO$4,'Curva Forward'!$C$4:$AN$4,0))),CQ72)</f>
        <v>0</v>
      </c>
      <c r="FP72" s="190">
        <f>AD72*AD$2*IF($FC72="V",1,-1)*IF($Q72="Fixo",(CR72-INDEX('Curva Forward'!$C$5:$AN$13,MATCH(CONCATENATE(BD_COMERCIAL!$K72," ",BD_COMERCIAL!$L72),'Curva Forward'!$B$5:$B$13,0),MATCH(FP$4,'Curva Forward'!$C$4:$AN$4,0))),CR72)</f>
        <v>0</v>
      </c>
      <c r="FQ72" s="190">
        <f>AE72*AE$2*IF($FC72="V",1,-1)*IF($Q72="Fixo",(CS72-INDEX('Curva Forward'!$C$5:$AN$13,MATCH(CONCATENATE(BD_COMERCIAL!$K72," ",BD_COMERCIAL!$L72),'Curva Forward'!$B$5:$B$13,0),MATCH(FQ$4,'Curva Forward'!$C$4:$AN$4,0))),CS72)</f>
        <v>0</v>
      </c>
      <c r="FR72" s="190">
        <f>AF72*AF$2*IF($FC72="V",1,-1)*IF($Q72="Fixo",(CT72-INDEX('Curva Forward'!$C$5:$AN$13,MATCH(CONCATENATE(BD_COMERCIAL!$K72," ",BD_COMERCIAL!$L72),'Curva Forward'!$B$5:$B$13,0),MATCH(FR$4,'Curva Forward'!$C$4:$AN$4,0))),CT72)</f>
        <v>0</v>
      </c>
      <c r="FS72" s="190">
        <f>AG72*AG$2*IF($FC72="V",1,-1)*IF($Q72="Fixo",(CU72-INDEX('Curva Forward'!$C$5:$AN$13,MATCH(CONCATENATE(BD_COMERCIAL!$K72," ",BD_COMERCIAL!$L72),'Curva Forward'!$B$5:$B$13,0),MATCH(FS$4,'Curva Forward'!$C$4:$AN$4,0))),CU72)</f>
        <v>0</v>
      </c>
      <c r="FT72" s="190">
        <f>AH72*AH$2*IF($FC72="V",1,-1)*IF($Q72="Fixo",(CV72-INDEX('Curva Forward'!$C$5:$AN$13,MATCH(CONCATENATE(BD_COMERCIAL!$K72," ",BD_COMERCIAL!$L72),'Curva Forward'!$B$5:$B$13,0),MATCH(FT$4,'Curva Forward'!$C$4:$AN$4,0))),CV72)</f>
        <v>31620</v>
      </c>
      <c r="FU72" s="190">
        <f>AI72*AI$2*IF($FC72="V",1,-1)*IF($Q72="Fixo",(CW72-INDEX('Curva Forward'!$C$5:$AN$13,MATCH(CONCATENATE(BD_COMERCIAL!$K72," ",BD_COMERCIAL!$L72),'Curva Forward'!$B$5:$B$13,0),MATCH(FU$4,'Curva Forward'!$C$4:$AN$4,0))),CW72)</f>
        <v>31620</v>
      </c>
      <c r="FV72" s="190">
        <f>AJ72*AJ$2*IF($FC72="V",1,-1)*IF($Q72="Fixo",(CX72-INDEX('Curva Forward'!$C$5:$AN$13,MATCH(CONCATENATE(BD_COMERCIAL!$K72," ",BD_COMERCIAL!$L72),'Curva Forward'!$B$5:$B$13,0),MATCH(FV$4,'Curva Forward'!$C$4:$AN$4,0))),CX72)</f>
        <v>30600</v>
      </c>
      <c r="FW72" s="190">
        <f>AK72*AK$2*IF($FC72="V",1,-1)*IF($Q72="Fixo",(CY72-INDEX('Curva Forward'!$C$5:$AN$13,MATCH(CONCATENATE(BD_COMERCIAL!$K72," ",BD_COMERCIAL!$L72),'Curva Forward'!$B$5:$B$13,0),MATCH(FW$4,'Curva Forward'!$C$4:$AN$4,0))),CY72)</f>
        <v>30132</v>
      </c>
      <c r="FX72" s="190">
        <f>AL72*AL$2*IF($FC72="V",1,-1)*IF($Q72="Fixo",(CZ72-INDEX('Curva Forward'!$C$5:$AN$13,MATCH(CONCATENATE(BD_COMERCIAL!$K72," ",BD_COMERCIAL!$L72),'Curva Forward'!$B$5:$B$13,0),MATCH(FX$4,'Curva Forward'!$C$4:$AN$4,0))),CZ72)</f>
        <v>29160</v>
      </c>
      <c r="FY72" s="190">
        <f>AM72*AM$2*IF($FC72="V",1,-1)*IF($Q72="Fixo",(DA72-INDEX('Curva Forward'!$C$5:$AN$13,MATCH(CONCATENATE(BD_COMERCIAL!$K72," ",BD_COMERCIAL!$L72),'Curva Forward'!$B$5:$B$13,0),MATCH(FY$4,'Curva Forward'!$C$4:$AN$4,0))),DA72)</f>
        <v>30132</v>
      </c>
      <c r="FZ72" s="190">
        <f>AN72*AN$2*IF($FC72="V",1,-1)*IF($Q72="Fixo",(DB72-INDEX('Curva Forward'!$C$5:$AN$13,MATCH(CONCATENATE(BD_COMERCIAL!$K72," ",BD_COMERCIAL!$L72),'Curva Forward'!$B$5:$B$13,0),MATCH(FZ$4,'Curva Forward'!$C$4:$AN$4,0))),DB72)</f>
        <v>0</v>
      </c>
      <c r="GA72" s="190">
        <f>AO72*AO$2*IF($FC72="V",1,-1)*IF($Q72="Fixo",(DC72-INDEX('Curva Forward'!$C$5:$AN$13,MATCH(CONCATENATE(BD_COMERCIAL!$K72," ",BD_COMERCIAL!$L72),'Curva Forward'!$B$5:$B$13,0),MATCH(GA$4,'Curva Forward'!$C$4:$AN$4,0))),DC72)</f>
        <v>0</v>
      </c>
      <c r="GB72" s="190">
        <f>AP72*AP$2*IF($FC72="V",1,-1)*IF($Q72="Fixo",(DD72-INDEX('Curva Forward'!$C$5:$AN$13,MATCH(CONCATENATE(BD_COMERCIAL!$K72," ",BD_COMERCIAL!$L72),'Curva Forward'!$B$5:$B$13,0),MATCH(GB$4,'Curva Forward'!$C$4:$AN$4,0))),DD72)</f>
        <v>0</v>
      </c>
      <c r="GC72" s="190">
        <f>AQ72*AQ$2*IF($FC72="V",1,-1)*IF($Q72="Fixo",(DE72-INDEX('Curva Forward'!$C$5:$AN$13,MATCH(CONCATENATE(BD_COMERCIAL!$K72," ",BD_COMERCIAL!$L72),'Curva Forward'!$B$5:$B$13,0),MATCH(GC$4,'Curva Forward'!$C$4:$AN$4,0))),DE72)</f>
        <v>0</v>
      </c>
      <c r="GD72" s="190">
        <f>AR72*AR$2*IF($FC72="V",1,-1)*IF($Q72="Fixo",(DF72-INDEX('Curva Forward'!$C$5:$AN$13,MATCH(CONCATENATE(BD_COMERCIAL!$K72," ",BD_COMERCIAL!$L72),'Curva Forward'!$B$5:$B$13,0),MATCH(GD$4,'Curva Forward'!$C$4:$AN$4,0))),DF72)</f>
        <v>0</v>
      </c>
      <c r="GE72" s="190">
        <f>AS72*AS$2*IF($FC72="V",1,-1)*IF($Q72="Fixo",(DG72-INDEX('Curva Forward'!$C$5:$AN$13,MATCH(CONCATENATE(BD_COMERCIAL!$K72," ",BD_COMERCIAL!$L72),'Curva Forward'!$B$5:$B$13,0),MATCH(GE$4,'Curva Forward'!$C$4:$AN$4,0))),DG72)</f>
        <v>0</v>
      </c>
      <c r="GF72" s="190">
        <f>AT72*AT$2*IF($FC72="V",1,-1)*IF($Q72="Fixo",(DH72-INDEX('Curva Forward'!$C$5:$AN$13,MATCH(CONCATENATE(BD_COMERCIAL!$K72," ",BD_COMERCIAL!$L72),'Curva Forward'!$B$5:$B$13,0),MATCH(GF$4,'Curva Forward'!$C$4:$AN$4,0))),DH72)</f>
        <v>0</v>
      </c>
      <c r="GG72" s="190">
        <f>AU72*AU$2*IF($FC72="V",1,-1)*IF($Q72="Fixo",(DI72-INDEX('Curva Forward'!$C$5:$AN$13,MATCH(CONCATENATE(BD_COMERCIAL!$K72," ",BD_COMERCIAL!$L72),'Curva Forward'!$B$5:$B$13,0),MATCH(GG$4,'Curva Forward'!$C$4:$AN$4,0))),DI72)</f>
        <v>0</v>
      </c>
      <c r="GH72" s="190">
        <f>AV72*AV$2*IF($FC72="V",1,-1)*IF($Q72="Fixo",(DJ72-INDEX('Curva Forward'!$C$5:$AN$13,MATCH(CONCATENATE(BD_COMERCIAL!$K72," ",BD_COMERCIAL!$L72),'Curva Forward'!$B$5:$B$13,0),MATCH(GH$4,'Curva Forward'!$C$4:$AN$4,0))),DJ72)</f>
        <v>0</v>
      </c>
      <c r="GI72" s="190">
        <f>AW72*AW$2*IF($FC72="V",1,-1)*IF($Q72="Fixo",(DK72-INDEX('Curva Forward'!$C$5:$AN$13,MATCH(CONCATENATE(BD_COMERCIAL!$K72," ",BD_COMERCIAL!$L72),'Curva Forward'!$B$5:$B$13,0),MATCH(GI$4,'Curva Forward'!$C$4:$AN$4,0))),DK72)</f>
        <v>0</v>
      </c>
      <c r="GJ72" s="190">
        <f>AX72*AX$2*IF($FC72="V",1,-1)*IF($Q72="Fixo",(DL72-INDEX('Curva Forward'!$C$5:$AN$13,MATCH(CONCATENATE(BD_COMERCIAL!$K72," ",BD_COMERCIAL!$L72),'Curva Forward'!$B$5:$B$13,0),MATCH(GJ$4,'Curva Forward'!$C$4:$AN$4,0))),DL72)</f>
        <v>0</v>
      </c>
      <c r="GK72" s="190">
        <f>AY72*AY$2*IF($FC72="V",1,-1)*IF($Q72="Fixo",(DM72-INDEX('Curva Forward'!$C$5:$AN$13,MATCH(CONCATENATE(BD_COMERCIAL!$K72," ",BD_COMERCIAL!$L72),'Curva Forward'!$B$5:$B$13,0),MATCH(GK$4,'Curva Forward'!$C$4:$AN$4,0))),DM72)</f>
        <v>0</v>
      </c>
      <c r="GL72" s="190">
        <f>IF(EZ72="",0,CL72*CL$2*IF($FC72="V",1,-1)*IF($Q72="Fixo",(EZ72-INDEX('Curva Forward'!$C$5:$AN$13,MATCH(CONCATENATE(BD_COMERCIAL!$K72," ",BD_COMERCIAL!$L72),'Curva Forward'!$B$5:$B$13,0),MATCH(GL$4,'Curva Forward'!$C$4:$AN$4,0))),EZ72))</f>
        <v>0</v>
      </c>
      <c r="GM72" s="190">
        <f>IF(FA72="",0,CM72*CM$2*IF($FC72="V",1,-1)*IF($Q72="Fixo",(FA72-INDEX('Curva Forward'!$C$5:$AN$13,MATCH(CONCATENATE(BD_COMERCIAL!$K72," ",BD_COMERCIAL!$L72),'Curva Forward'!$B$5:$B$13,0),MATCH(GM$4,'Curva Forward'!$C$4:$AN$4,0))),FA72))</f>
        <v>0</v>
      </c>
      <c r="GN72" s="190">
        <f>IF(FB72="",0,CN72*CN$2*IF($FC72="V",1,-1)*IF($Q72="Fixo",(FB72-INDEX('Curva Forward'!$C$5:$AN$13,MATCH(CONCATENATE(BD_COMERCIAL!$K72," ",BD_COMERCIAL!$L72),'Curva Forward'!$B$5:$B$13,0),MATCH(GN$4,'Curva Forward'!$C$4:$AN$4,0))),FB72))</f>
        <v>0</v>
      </c>
      <c r="GO72" s="191">
        <f t="shared" ca="1" si="18"/>
        <v>183264</v>
      </c>
      <c r="GP72" s="191">
        <f t="shared" ca="1" si="19"/>
        <v>0</v>
      </c>
      <c r="GQ72" s="115"/>
      <c r="GR72" s="115"/>
      <c r="GS72"/>
      <c r="GT72" s="65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</row>
    <row r="73" spans="1:236" s="265" customFormat="1" ht="15" customHeight="1" x14ac:dyDescent="0.35">
      <c r="A73" s="251"/>
      <c r="B73" s="7" t="s">
        <v>458</v>
      </c>
      <c r="C73" s="8">
        <v>44847</v>
      </c>
      <c r="D73" s="9" t="s">
        <v>130</v>
      </c>
      <c r="E73" s="10" t="s">
        <v>145</v>
      </c>
      <c r="F73" s="112"/>
      <c r="G73" s="9" t="s">
        <v>381</v>
      </c>
      <c r="H73" s="112"/>
      <c r="I73" s="9" t="s">
        <v>137</v>
      </c>
      <c r="J73" s="158" t="s">
        <v>416</v>
      </c>
      <c r="K73" s="10" t="s">
        <v>126</v>
      </c>
      <c r="L73" s="84" t="s">
        <v>22</v>
      </c>
      <c r="M73" s="11">
        <v>45108</v>
      </c>
      <c r="N73" s="12">
        <v>45291</v>
      </c>
      <c r="O73" s="10">
        <v>5</v>
      </c>
      <c r="P73" s="84">
        <v>114.65</v>
      </c>
      <c r="Q73" s="84" t="s">
        <v>127</v>
      </c>
      <c r="R73" s="10" t="s">
        <v>128</v>
      </c>
      <c r="S73" s="14" t="s">
        <v>133</v>
      </c>
      <c r="T73" s="11"/>
      <c r="U73" s="12"/>
      <c r="V73" s="202" t="str">
        <f ca="1">IF(U73="","",
IF(U73="NA","",
IFERROR(VLOOKUP(EOMONTH(M73,-2)+1,IPCA!$A:$B,2,0),
VLOOKUP(EOMONTH(TODAY(),-2)+1,IPCA!$A:$B,2,0))/
VLOOKUP(EOMONTH(U73,-2)+1,IPCA!$A:$B,2,0)*
P73))</f>
        <v/>
      </c>
      <c r="W73" s="84"/>
      <c r="X73" s="13"/>
      <c r="Y73" s="158"/>
      <c r="Z73" s="106" t="s">
        <v>146</v>
      </c>
      <c r="AA73" s="106" t="s">
        <v>146</v>
      </c>
      <c r="AB73" s="15"/>
      <c r="AC73"/>
      <c r="AD73"/>
      <c r="AE73"/>
      <c r="AF73"/>
      <c r="AG73"/>
      <c r="AH73">
        <v>5</v>
      </c>
      <c r="AI73">
        <v>5</v>
      </c>
      <c r="AJ73">
        <v>5</v>
      </c>
      <c r="AK73">
        <v>5</v>
      </c>
      <c r="AL73">
        <v>5</v>
      </c>
      <c r="AM73" s="6">
        <v>5</v>
      </c>
      <c r="AN73" s="15"/>
      <c r="AO73"/>
      <c r="AP73"/>
      <c r="AQ73"/>
      <c r="AR73"/>
      <c r="AS73"/>
      <c r="AT73"/>
      <c r="AU73"/>
      <c r="AV73"/>
      <c r="AW73"/>
      <c r="AX73"/>
      <c r="AY73" s="6"/>
      <c r="AZ73" s="15"/>
      <c r="BA73"/>
      <c r="BB73"/>
      <c r="BC73"/>
      <c r="BD73"/>
      <c r="BE73"/>
      <c r="BF73"/>
      <c r="BG73"/>
      <c r="BH73"/>
      <c r="BI73"/>
      <c r="BJ73"/>
      <c r="BK73" s="6"/>
      <c r="BL73" s="15"/>
      <c r="BM73"/>
      <c r="BN73"/>
      <c r="BO73"/>
      <c r="BP73"/>
      <c r="BQ73"/>
      <c r="BR73"/>
      <c r="BS73"/>
      <c r="BT73"/>
      <c r="BU73"/>
      <c r="BV73"/>
      <c r="BW73" s="6"/>
      <c r="BX73" s="15"/>
      <c r="BY73"/>
      <c r="BZ73"/>
      <c r="CA73"/>
      <c r="CB73"/>
      <c r="CC73"/>
      <c r="CD73"/>
      <c r="CE73"/>
      <c r="CF73"/>
      <c r="CG73"/>
      <c r="CH73"/>
      <c r="CI73" s="6"/>
      <c r="CJ73" s="16">
        <v>2.5205479452054793</v>
      </c>
      <c r="CK73" s="16" t="s">
        <v>578</v>
      </c>
      <c r="CL73" s="16" t="s">
        <v>578</v>
      </c>
      <c r="CM73" s="16" t="s">
        <v>578</v>
      </c>
      <c r="CN73" s="16" t="s">
        <v>578</v>
      </c>
      <c r="CO73" s="18"/>
      <c r="CP73" s="15"/>
      <c r="CQ73"/>
      <c r="CR73"/>
      <c r="CS73"/>
      <c r="CT73"/>
      <c r="CU73"/>
      <c r="CV73">
        <v>114.67</v>
      </c>
      <c r="CW73">
        <v>114.67</v>
      </c>
      <c r="CX73">
        <v>114.67</v>
      </c>
      <c r="CY73">
        <v>114.67</v>
      </c>
      <c r="CZ73">
        <v>114.67</v>
      </c>
      <c r="DA73" s="6">
        <v>114.67</v>
      </c>
      <c r="DB73" s="15"/>
      <c r="DC73"/>
      <c r="DD73"/>
      <c r="DE73"/>
      <c r="DF73"/>
      <c r="DG73"/>
      <c r="DH73"/>
      <c r="DI73"/>
      <c r="DJ73"/>
      <c r="DK73"/>
      <c r="DL73"/>
      <c r="DM73" s="6"/>
      <c r="DN73" s="15"/>
      <c r="DO73"/>
      <c r="DP73"/>
      <c r="DQ73"/>
      <c r="DR73"/>
      <c r="DS73"/>
      <c r="DT73"/>
      <c r="DU73"/>
      <c r="DV73"/>
      <c r="DW73"/>
      <c r="DX73"/>
      <c r="DY73" s="6"/>
      <c r="DZ73" s="15"/>
      <c r="EA73"/>
      <c r="EB73"/>
      <c r="EC73"/>
      <c r="ED73"/>
      <c r="EE73"/>
      <c r="EF73"/>
      <c r="EG73"/>
      <c r="EH73"/>
      <c r="EI73"/>
      <c r="EJ73"/>
      <c r="EK73" s="6"/>
      <c r="EL73" s="15"/>
      <c r="EM73"/>
      <c r="EN73"/>
      <c r="EO73"/>
      <c r="EP73"/>
      <c r="EQ73"/>
      <c r="ER73"/>
      <c r="ES73"/>
      <c r="ET73"/>
      <c r="EU73"/>
      <c r="EV73"/>
      <c r="EW73" s="6"/>
      <c r="EX73" s="16">
        <v>57.806246575342463</v>
      </c>
      <c r="EY73" s="16" t="s">
        <v>578</v>
      </c>
      <c r="EZ73" s="16" t="s">
        <v>578</v>
      </c>
      <c r="FA73" s="154" t="s">
        <v>578</v>
      </c>
      <c r="FB73" s="154" t="s">
        <v>578</v>
      </c>
      <c r="FC73" t="s">
        <v>196</v>
      </c>
      <c r="FD73" s="20" t="s">
        <v>145</v>
      </c>
      <c r="FE73"/>
      <c r="FF73" s="199" t="s">
        <v>197</v>
      </c>
      <c r="FG73"/>
      <c r="FH73" s="206">
        <f t="shared" ca="1" si="13"/>
        <v>0</v>
      </c>
      <c r="FI73" s="198">
        <f t="shared" si="14"/>
        <v>6.1</v>
      </c>
      <c r="FJ73"/>
      <c r="FK73" t="str">
        <f t="shared" si="15"/>
        <v>Portfólio</v>
      </c>
      <c r="FL73" s="191">
        <f t="shared" ca="1" si="16"/>
        <v>0</v>
      </c>
      <c r="FM73" s="191">
        <f t="shared" ca="1" si="17"/>
        <v>-897993.6</v>
      </c>
      <c r="FN73" s="190">
        <f>AB73*AB$2*IF($FC73="V",1,-1)*IF($Q73="Fixo",(CP73-INDEX('Curva Forward'!$C$5:$AN$13,MATCH(CONCATENATE(BD_COMERCIAL!$K73," ",BD_COMERCIAL!$L73),'Curva Forward'!$B$5:$B$13,0),MATCH(FN$4,'Curva Forward'!$C$4:$AN$4,0))),CP73)</f>
        <v>0</v>
      </c>
      <c r="FO73" s="190">
        <f>AC73*AC$2*IF($FC73="V",1,-1)*IF($Q73="Fixo",(CQ73-INDEX('Curva Forward'!$C$5:$AN$13,MATCH(CONCATENATE(BD_COMERCIAL!$K73," ",BD_COMERCIAL!$L73),'Curva Forward'!$B$5:$B$13,0),MATCH(FO$4,'Curva Forward'!$C$4:$AN$4,0))),CQ73)</f>
        <v>0</v>
      </c>
      <c r="FP73" s="190">
        <f>AD73*AD$2*IF($FC73="V",1,-1)*IF($Q73="Fixo",(CR73-INDEX('Curva Forward'!$C$5:$AN$13,MATCH(CONCATENATE(BD_COMERCIAL!$K73," ",BD_COMERCIAL!$L73),'Curva Forward'!$B$5:$B$13,0),MATCH(FP$4,'Curva Forward'!$C$4:$AN$4,0))),CR73)</f>
        <v>0</v>
      </c>
      <c r="FQ73" s="190">
        <f>AE73*AE$2*IF($FC73="V",1,-1)*IF($Q73="Fixo",(CS73-INDEX('Curva Forward'!$C$5:$AN$13,MATCH(CONCATENATE(BD_COMERCIAL!$K73," ",BD_COMERCIAL!$L73),'Curva Forward'!$B$5:$B$13,0),MATCH(FQ$4,'Curva Forward'!$C$4:$AN$4,0))),CS73)</f>
        <v>0</v>
      </c>
      <c r="FR73" s="190">
        <f>AF73*AF$2*IF($FC73="V",1,-1)*IF($Q73="Fixo",(CT73-INDEX('Curva Forward'!$C$5:$AN$13,MATCH(CONCATENATE(BD_COMERCIAL!$K73," ",BD_COMERCIAL!$L73),'Curva Forward'!$B$5:$B$13,0),MATCH(FR$4,'Curva Forward'!$C$4:$AN$4,0))),CT73)</f>
        <v>0</v>
      </c>
      <c r="FS73" s="190">
        <f>AG73*AG$2*IF($FC73="V",1,-1)*IF($Q73="Fixo",(CU73-INDEX('Curva Forward'!$C$5:$AN$13,MATCH(CONCATENATE(BD_COMERCIAL!$K73," ",BD_COMERCIAL!$L73),'Curva Forward'!$B$5:$B$13,0),MATCH(FS$4,'Curva Forward'!$C$4:$AN$4,0))),CU73)</f>
        <v>0</v>
      </c>
      <c r="FT73" s="190">
        <f>AH73*AH$2*IF($FC73="V",1,-1)*IF($Q73="Fixo",(CV73-INDEX('Curva Forward'!$C$5:$AN$13,MATCH(CONCATENATE(BD_COMERCIAL!$K73," ",BD_COMERCIAL!$L73),'Curva Forward'!$B$5:$B$13,0),MATCH(FT$4,'Curva Forward'!$C$4:$AN$4,0))),CV73)</f>
        <v>-155012.4</v>
      </c>
      <c r="FU73" s="190">
        <f>AI73*AI$2*IF($FC73="V",1,-1)*IF($Q73="Fixo",(CW73-INDEX('Curva Forward'!$C$5:$AN$13,MATCH(CONCATENATE(BD_COMERCIAL!$K73," ",BD_COMERCIAL!$L73),'Curva Forward'!$B$5:$B$13,0),MATCH(FU$4,'Curva Forward'!$C$4:$AN$4,0))),CW73)</f>
        <v>-155012.4</v>
      </c>
      <c r="FV73" s="190">
        <f>AJ73*AJ$2*IF($FC73="V",1,-1)*IF($Q73="Fixo",(CX73-INDEX('Curva Forward'!$C$5:$AN$13,MATCH(CONCATENATE(BD_COMERCIAL!$K73," ",BD_COMERCIAL!$L73),'Curva Forward'!$B$5:$B$13,0),MATCH(FV$4,'Curva Forward'!$C$4:$AN$4,0))),CX73)</f>
        <v>-150012</v>
      </c>
      <c r="FW73" s="190">
        <f>AK73*AK$2*IF($FC73="V",1,-1)*IF($Q73="Fixo",(CY73-INDEX('Curva Forward'!$C$5:$AN$13,MATCH(CONCATENATE(BD_COMERCIAL!$K73," ",BD_COMERCIAL!$L73),'Curva Forward'!$B$5:$B$13,0),MATCH(FW$4,'Curva Forward'!$C$4:$AN$4,0))),CY73)</f>
        <v>-147572.4</v>
      </c>
      <c r="FX73" s="190">
        <f>AL73*AL$2*IF($FC73="V",1,-1)*IF($Q73="Fixo",(CZ73-INDEX('Curva Forward'!$C$5:$AN$13,MATCH(CONCATENATE(BD_COMERCIAL!$K73," ",BD_COMERCIAL!$L73),'Curva Forward'!$B$5:$B$13,0),MATCH(FX$4,'Curva Forward'!$C$4:$AN$4,0))),CZ73)</f>
        <v>-142812</v>
      </c>
      <c r="FY73" s="190">
        <f>AM73*AM$2*IF($FC73="V",1,-1)*IF($Q73="Fixo",(DA73-INDEX('Curva Forward'!$C$5:$AN$13,MATCH(CONCATENATE(BD_COMERCIAL!$K73," ",BD_COMERCIAL!$L73),'Curva Forward'!$B$5:$B$13,0),MATCH(FY$4,'Curva Forward'!$C$4:$AN$4,0))),DA73)</f>
        <v>-147572.4</v>
      </c>
      <c r="FZ73" s="190">
        <f>AN73*AN$2*IF($FC73="V",1,-1)*IF($Q73="Fixo",(DB73-INDEX('Curva Forward'!$C$5:$AN$13,MATCH(CONCATENATE(BD_COMERCIAL!$K73," ",BD_COMERCIAL!$L73),'Curva Forward'!$B$5:$B$13,0),MATCH(FZ$4,'Curva Forward'!$C$4:$AN$4,0))),DB73)</f>
        <v>0</v>
      </c>
      <c r="GA73" s="190">
        <f>AO73*AO$2*IF($FC73="V",1,-1)*IF($Q73="Fixo",(DC73-INDEX('Curva Forward'!$C$5:$AN$13,MATCH(CONCATENATE(BD_COMERCIAL!$K73," ",BD_COMERCIAL!$L73),'Curva Forward'!$B$5:$B$13,0),MATCH(GA$4,'Curva Forward'!$C$4:$AN$4,0))),DC73)</f>
        <v>0</v>
      </c>
      <c r="GB73" s="190">
        <f>AP73*AP$2*IF($FC73="V",1,-1)*IF($Q73="Fixo",(DD73-INDEX('Curva Forward'!$C$5:$AN$13,MATCH(CONCATENATE(BD_COMERCIAL!$K73," ",BD_COMERCIAL!$L73),'Curva Forward'!$B$5:$B$13,0),MATCH(GB$4,'Curva Forward'!$C$4:$AN$4,0))),DD73)</f>
        <v>0</v>
      </c>
      <c r="GC73" s="190">
        <f>AQ73*AQ$2*IF($FC73="V",1,-1)*IF($Q73="Fixo",(DE73-INDEX('Curva Forward'!$C$5:$AN$13,MATCH(CONCATENATE(BD_COMERCIAL!$K73," ",BD_COMERCIAL!$L73),'Curva Forward'!$B$5:$B$13,0),MATCH(GC$4,'Curva Forward'!$C$4:$AN$4,0))),DE73)</f>
        <v>0</v>
      </c>
      <c r="GD73" s="190">
        <f>AR73*AR$2*IF($FC73="V",1,-1)*IF($Q73="Fixo",(DF73-INDEX('Curva Forward'!$C$5:$AN$13,MATCH(CONCATENATE(BD_COMERCIAL!$K73," ",BD_COMERCIAL!$L73),'Curva Forward'!$B$5:$B$13,0),MATCH(GD$4,'Curva Forward'!$C$4:$AN$4,0))),DF73)</f>
        <v>0</v>
      </c>
      <c r="GE73" s="190">
        <f>AS73*AS$2*IF($FC73="V",1,-1)*IF($Q73="Fixo",(DG73-INDEX('Curva Forward'!$C$5:$AN$13,MATCH(CONCATENATE(BD_COMERCIAL!$K73," ",BD_COMERCIAL!$L73),'Curva Forward'!$B$5:$B$13,0),MATCH(GE$4,'Curva Forward'!$C$4:$AN$4,0))),DG73)</f>
        <v>0</v>
      </c>
      <c r="GF73" s="190">
        <f>AT73*AT$2*IF($FC73="V",1,-1)*IF($Q73="Fixo",(DH73-INDEX('Curva Forward'!$C$5:$AN$13,MATCH(CONCATENATE(BD_COMERCIAL!$K73," ",BD_COMERCIAL!$L73),'Curva Forward'!$B$5:$B$13,0),MATCH(GF$4,'Curva Forward'!$C$4:$AN$4,0))),DH73)</f>
        <v>0</v>
      </c>
      <c r="GG73" s="190">
        <f>AU73*AU$2*IF($FC73="V",1,-1)*IF($Q73="Fixo",(DI73-INDEX('Curva Forward'!$C$5:$AN$13,MATCH(CONCATENATE(BD_COMERCIAL!$K73," ",BD_COMERCIAL!$L73),'Curva Forward'!$B$5:$B$13,0),MATCH(GG$4,'Curva Forward'!$C$4:$AN$4,0))),DI73)</f>
        <v>0</v>
      </c>
      <c r="GH73" s="190">
        <f>AV73*AV$2*IF($FC73="V",1,-1)*IF($Q73="Fixo",(DJ73-INDEX('Curva Forward'!$C$5:$AN$13,MATCH(CONCATENATE(BD_COMERCIAL!$K73," ",BD_COMERCIAL!$L73),'Curva Forward'!$B$5:$B$13,0),MATCH(GH$4,'Curva Forward'!$C$4:$AN$4,0))),DJ73)</f>
        <v>0</v>
      </c>
      <c r="GI73" s="190">
        <f>AW73*AW$2*IF($FC73="V",1,-1)*IF($Q73="Fixo",(DK73-INDEX('Curva Forward'!$C$5:$AN$13,MATCH(CONCATENATE(BD_COMERCIAL!$K73," ",BD_COMERCIAL!$L73),'Curva Forward'!$B$5:$B$13,0),MATCH(GI$4,'Curva Forward'!$C$4:$AN$4,0))),DK73)</f>
        <v>0</v>
      </c>
      <c r="GJ73" s="190">
        <f>AX73*AX$2*IF($FC73="V",1,-1)*IF($Q73="Fixo",(DL73-INDEX('Curva Forward'!$C$5:$AN$13,MATCH(CONCATENATE(BD_COMERCIAL!$K73," ",BD_COMERCIAL!$L73),'Curva Forward'!$B$5:$B$13,0),MATCH(GJ$4,'Curva Forward'!$C$4:$AN$4,0))),DL73)</f>
        <v>0</v>
      </c>
      <c r="GK73" s="190">
        <f>AY73*AY$2*IF($FC73="V",1,-1)*IF($Q73="Fixo",(DM73-INDEX('Curva Forward'!$C$5:$AN$13,MATCH(CONCATENATE(BD_COMERCIAL!$K73," ",BD_COMERCIAL!$L73),'Curva Forward'!$B$5:$B$13,0),MATCH(GK$4,'Curva Forward'!$C$4:$AN$4,0))),DM73)</f>
        <v>0</v>
      </c>
      <c r="GL73" s="190">
        <f>IF(EZ73="",0,CL73*CL$2*IF($FC73="V",1,-1)*IF($Q73="Fixo",(EZ73-INDEX('Curva Forward'!$C$5:$AN$13,MATCH(CONCATENATE(BD_COMERCIAL!$K73," ",BD_COMERCIAL!$L73),'Curva Forward'!$B$5:$B$13,0),MATCH(GL$4,'Curva Forward'!$C$4:$AN$4,0))),EZ73))</f>
        <v>0</v>
      </c>
      <c r="GM73" s="190">
        <f>IF(FA73="",0,CM73*CM$2*IF($FC73="V",1,-1)*IF($Q73="Fixo",(FA73-INDEX('Curva Forward'!$C$5:$AN$13,MATCH(CONCATENATE(BD_COMERCIAL!$K73," ",BD_COMERCIAL!$L73),'Curva Forward'!$B$5:$B$13,0),MATCH(GM$4,'Curva Forward'!$C$4:$AN$4,0))),FA73))</f>
        <v>0</v>
      </c>
      <c r="GN73" s="190">
        <f>IF(FB73="",0,CN73*CN$2*IF($FC73="V",1,-1)*IF($Q73="Fixo",(FB73-INDEX('Curva Forward'!$C$5:$AN$13,MATCH(CONCATENATE(BD_COMERCIAL!$K73," ",BD_COMERCIAL!$L73),'Curva Forward'!$B$5:$B$13,0),MATCH(GN$4,'Curva Forward'!$C$4:$AN$4,0))),FB73))</f>
        <v>0</v>
      </c>
      <c r="GO73" s="191">
        <f t="shared" ca="1" si="18"/>
        <v>0</v>
      </c>
      <c r="GP73" s="191">
        <f t="shared" ca="1" si="19"/>
        <v>-897993.6</v>
      </c>
      <c r="GQ73" s="115"/>
      <c r="GR73" s="115"/>
      <c r="GS73"/>
      <c r="GT73" s="65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</row>
    <row r="74" spans="1:236" s="265" customFormat="1" ht="15" customHeight="1" x14ac:dyDescent="0.35">
      <c r="A74" s="251"/>
      <c r="B74" s="7" t="s">
        <v>459</v>
      </c>
      <c r="C74" s="8">
        <v>44847</v>
      </c>
      <c r="D74" s="9" t="s">
        <v>123</v>
      </c>
      <c r="E74" s="9" t="s">
        <v>381</v>
      </c>
      <c r="F74" s="112"/>
      <c r="G74" s="10" t="s">
        <v>145</v>
      </c>
      <c r="H74" s="112"/>
      <c r="I74" s="9" t="s">
        <v>137</v>
      </c>
      <c r="J74" s="158" t="s">
        <v>416</v>
      </c>
      <c r="K74" s="10" t="s">
        <v>126</v>
      </c>
      <c r="L74" s="84" t="s">
        <v>22</v>
      </c>
      <c r="M74" s="11">
        <v>45017</v>
      </c>
      <c r="N74" s="12">
        <v>45107</v>
      </c>
      <c r="O74" s="10">
        <v>4</v>
      </c>
      <c r="P74" s="84">
        <v>72.2</v>
      </c>
      <c r="Q74" s="84" t="s">
        <v>127</v>
      </c>
      <c r="R74" s="10" t="s">
        <v>128</v>
      </c>
      <c r="S74" s="14" t="s">
        <v>133</v>
      </c>
      <c r="T74" s="11"/>
      <c r="U74" s="12"/>
      <c r="V74" s="202" t="str">
        <f ca="1">IF(U74="","",
IF(U74="NA","",
IFERROR(VLOOKUP(EOMONTH(M74,-2)+1,IPCA!$A:$B,2,0),
VLOOKUP(EOMONTH(TODAY(),-2)+1,IPCA!$A:$B,2,0))/
VLOOKUP(EOMONTH(U74,-2)+1,IPCA!$A:$B,2,0)*
P74))</f>
        <v/>
      </c>
      <c r="W74" s="84"/>
      <c r="X74" s="13"/>
      <c r="Y74" s="158"/>
      <c r="Z74" s="106" t="s">
        <v>146</v>
      </c>
      <c r="AA74" s="106" t="s">
        <v>146</v>
      </c>
      <c r="AB74" s="15"/>
      <c r="AC74"/>
      <c r="AD74"/>
      <c r="AE74">
        <v>4</v>
      </c>
      <c r="AF74">
        <v>4</v>
      </c>
      <c r="AG74">
        <v>4</v>
      </c>
      <c r="AH74"/>
      <c r="AI74"/>
      <c r="AJ74"/>
      <c r="AK74"/>
      <c r="AL74"/>
      <c r="AM74" s="6"/>
      <c r="AN74" s="15"/>
      <c r="AO74"/>
      <c r="AP74"/>
      <c r="AQ74"/>
      <c r="AR74"/>
      <c r="AS74"/>
      <c r="AT74"/>
      <c r="AU74"/>
      <c r="AV74"/>
      <c r="AW74"/>
      <c r="AX74"/>
      <c r="AY74" s="6"/>
      <c r="AZ74" s="15"/>
      <c r="BA74"/>
      <c r="BB74"/>
      <c r="BC74"/>
      <c r="BD74"/>
      <c r="BE74"/>
      <c r="BF74"/>
      <c r="BG74"/>
      <c r="BH74"/>
      <c r="BI74"/>
      <c r="BJ74"/>
      <c r="BK74" s="6"/>
      <c r="BL74" s="15"/>
      <c r="BM74"/>
      <c r="BN74"/>
      <c r="BO74"/>
      <c r="BP74"/>
      <c r="BQ74"/>
      <c r="BR74"/>
      <c r="BS74"/>
      <c r="BT74"/>
      <c r="BU74"/>
      <c r="BV74"/>
      <c r="BW74" s="6"/>
      <c r="BX74" s="15"/>
      <c r="BY74"/>
      <c r="BZ74"/>
      <c r="CA74"/>
      <c r="CB74"/>
      <c r="CC74"/>
      <c r="CD74"/>
      <c r="CE74"/>
      <c r="CF74"/>
      <c r="CG74"/>
      <c r="CH74"/>
      <c r="CI74" s="6"/>
      <c r="CJ74" s="16">
        <v>0.99726027397260275</v>
      </c>
      <c r="CK74" s="16" t="s">
        <v>578</v>
      </c>
      <c r="CL74" s="16" t="s">
        <v>578</v>
      </c>
      <c r="CM74" s="16" t="s">
        <v>578</v>
      </c>
      <c r="CN74" s="16" t="s">
        <v>578</v>
      </c>
      <c r="CO74" s="18"/>
      <c r="CP74" s="15"/>
      <c r="CQ74"/>
      <c r="CR74"/>
      <c r="CS74">
        <v>72.2</v>
      </c>
      <c r="CT74">
        <v>72.2</v>
      </c>
      <c r="CU74">
        <v>72.2</v>
      </c>
      <c r="CV74"/>
      <c r="CW74"/>
      <c r="CX74"/>
      <c r="CY74"/>
      <c r="CZ74"/>
      <c r="DA74" s="6"/>
      <c r="DB74" s="15"/>
      <c r="DC74"/>
      <c r="DD74"/>
      <c r="DE74"/>
      <c r="DF74"/>
      <c r="DG74"/>
      <c r="DH74"/>
      <c r="DI74"/>
      <c r="DJ74"/>
      <c r="DK74"/>
      <c r="DL74"/>
      <c r="DM74" s="6"/>
      <c r="DN74" s="15"/>
      <c r="DO74"/>
      <c r="DP74"/>
      <c r="DQ74"/>
      <c r="DR74"/>
      <c r="DS74"/>
      <c r="DT74"/>
      <c r="DU74"/>
      <c r="DV74"/>
      <c r="DW74"/>
      <c r="DX74"/>
      <c r="DY74" s="6"/>
      <c r="DZ74" s="15"/>
      <c r="EA74"/>
      <c r="EB74"/>
      <c r="EC74"/>
      <c r="ED74"/>
      <c r="EE74"/>
      <c r="EF74"/>
      <c r="EG74"/>
      <c r="EH74"/>
      <c r="EI74"/>
      <c r="EJ74"/>
      <c r="EK74" s="6"/>
      <c r="EL74" s="15"/>
      <c r="EM74"/>
      <c r="EN74"/>
      <c r="EO74"/>
      <c r="EP74"/>
      <c r="EQ74"/>
      <c r="ER74"/>
      <c r="ES74"/>
      <c r="ET74"/>
      <c r="EU74"/>
      <c r="EV74"/>
      <c r="EW74" s="6"/>
      <c r="EX74" s="16">
        <v>18.000547945205479</v>
      </c>
      <c r="EY74" s="16" t="s">
        <v>578</v>
      </c>
      <c r="EZ74" s="16" t="s">
        <v>578</v>
      </c>
      <c r="FA74" s="154" t="s">
        <v>578</v>
      </c>
      <c r="FB74" s="154" t="s">
        <v>578</v>
      </c>
      <c r="FC74" t="s">
        <v>195</v>
      </c>
      <c r="FD74" s="20" t="s">
        <v>145</v>
      </c>
      <c r="FE74"/>
      <c r="FF74" s="199" t="s">
        <v>197</v>
      </c>
      <c r="FG74"/>
      <c r="FH74" s="206">
        <f t="shared" ca="1" si="13"/>
        <v>0</v>
      </c>
      <c r="FI74" s="198">
        <f t="shared" si="14"/>
        <v>3</v>
      </c>
      <c r="FJ74"/>
      <c r="FK74" t="str">
        <f t="shared" si="15"/>
        <v>Portfólio</v>
      </c>
      <c r="FL74" s="191">
        <f t="shared" ca="1" si="16"/>
        <v>0</v>
      </c>
      <c r="FM74" s="191">
        <f t="shared" ca="1" si="17"/>
        <v>22099.200000000023</v>
      </c>
      <c r="FN74" s="190">
        <f>AB74*AB$2*IF($FC74="V",1,-1)*IF($Q74="Fixo",(CP74-INDEX('Curva Forward'!$C$5:$AN$13,MATCH(CONCATENATE(BD_COMERCIAL!$K74," ",BD_COMERCIAL!$L74),'Curva Forward'!$B$5:$B$13,0),MATCH(FN$4,'Curva Forward'!$C$4:$AN$4,0))),CP74)</f>
        <v>0</v>
      </c>
      <c r="FO74" s="190">
        <f>AC74*AC$2*IF($FC74="V",1,-1)*IF($Q74="Fixo",(CQ74-INDEX('Curva Forward'!$C$5:$AN$13,MATCH(CONCATENATE(BD_COMERCIAL!$K74," ",BD_COMERCIAL!$L74),'Curva Forward'!$B$5:$B$13,0),MATCH(FO$4,'Curva Forward'!$C$4:$AN$4,0))),CQ74)</f>
        <v>0</v>
      </c>
      <c r="FP74" s="190">
        <f>AD74*AD$2*IF($FC74="V",1,-1)*IF($Q74="Fixo",(CR74-INDEX('Curva Forward'!$C$5:$AN$13,MATCH(CONCATENATE(BD_COMERCIAL!$K74," ",BD_COMERCIAL!$L74),'Curva Forward'!$B$5:$B$13,0),MATCH(FP$4,'Curva Forward'!$C$4:$AN$4,0))),CR74)</f>
        <v>0</v>
      </c>
      <c r="FQ74" s="190">
        <f>AE74*AE$2*IF($FC74="V",1,-1)*IF($Q74="Fixo",(CS74-INDEX('Curva Forward'!$C$5:$AN$13,MATCH(CONCATENATE(BD_COMERCIAL!$K74," ",BD_COMERCIAL!$L74),'Curva Forward'!$B$5:$B$13,0),MATCH(FQ$4,'Curva Forward'!$C$4:$AN$4,0))),CS74)</f>
        <v>9216.0000000000073</v>
      </c>
      <c r="FR74" s="190">
        <f>AF74*AF$2*IF($FC74="V",1,-1)*IF($Q74="Fixo",(CT74-INDEX('Curva Forward'!$C$5:$AN$13,MATCH(CONCATENATE(BD_COMERCIAL!$K74," ",BD_COMERCIAL!$L74),'Curva Forward'!$B$5:$B$13,0),MATCH(FR$4,'Curva Forward'!$C$4:$AN$4,0))),CT74)</f>
        <v>6547.200000000008</v>
      </c>
      <c r="FS74" s="190">
        <f>AG74*AG$2*IF($FC74="V",1,-1)*IF($Q74="Fixo",(CU74-INDEX('Curva Forward'!$C$5:$AN$13,MATCH(CONCATENATE(BD_COMERCIAL!$K74," ",BD_COMERCIAL!$L74),'Curva Forward'!$B$5:$B$13,0),MATCH(FS$4,'Curva Forward'!$C$4:$AN$4,0))),CU74)</f>
        <v>6336.0000000000082</v>
      </c>
      <c r="FT74" s="190">
        <f>AH74*AH$2*IF($FC74="V",1,-1)*IF($Q74="Fixo",(CV74-INDEX('Curva Forward'!$C$5:$AN$13,MATCH(CONCATENATE(BD_COMERCIAL!$K74," ",BD_COMERCIAL!$L74),'Curva Forward'!$B$5:$B$13,0),MATCH(FT$4,'Curva Forward'!$C$4:$AN$4,0))),CV74)</f>
        <v>0</v>
      </c>
      <c r="FU74" s="190">
        <f>AI74*AI$2*IF($FC74="V",1,-1)*IF($Q74="Fixo",(CW74-INDEX('Curva Forward'!$C$5:$AN$13,MATCH(CONCATENATE(BD_COMERCIAL!$K74," ",BD_COMERCIAL!$L74),'Curva Forward'!$B$5:$B$13,0),MATCH(FU$4,'Curva Forward'!$C$4:$AN$4,0))),CW74)</f>
        <v>0</v>
      </c>
      <c r="FV74" s="190">
        <f>AJ74*AJ$2*IF($FC74="V",1,-1)*IF($Q74="Fixo",(CX74-INDEX('Curva Forward'!$C$5:$AN$13,MATCH(CONCATENATE(BD_COMERCIAL!$K74," ",BD_COMERCIAL!$L74),'Curva Forward'!$B$5:$B$13,0),MATCH(FV$4,'Curva Forward'!$C$4:$AN$4,0))),CX74)</f>
        <v>0</v>
      </c>
      <c r="FW74" s="190">
        <f>AK74*AK$2*IF($FC74="V",1,-1)*IF($Q74="Fixo",(CY74-INDEX('Curva Forward'!$C$5:$AN$13,MATCH(CONCATENATE(BD_COMERCIAL!$K74," ",BD_COMERCIAL!$L74),'Curva Forward'!$B$5:$B$13,0),MATCH(FW$4,'Curva Forward'!$C$4:$AN$4,0))),CY74)</f>
        <v>0</v>
      </c>
      <c r="FX74" s="190">
        <f>AL74*AL$2*IF($FC74="V",1,-1)*IF($Q74="Fixo",(CZ74-INDEX('Curva Forward'!$C$5:$AN$13,MATCH(CONCATENATE(BD_COMERCIAL!$K74," ",BD_COMERCIAL!$L74),'Curva Forward'!$B$5:$B$13,0),MATCH(FX$4,'Curva Forward'!$C$4:$AN$4,0))),CZ74)</f>
        <v>0</v>
      </c>
      <c r="FY74" s="190">
        <f>AM74*AM$2*IF($FC74="V",1,-1)*IF($Q74="Fixo",(DA74-INDEX('Curva Forward'!$C$5:$AN$13,MATCH(CONCATENATE(BD_COMERCIAL!$K74," ",BD_COMERCIAL!$L74),'Curva Forward'!$B$5:$B$13,0),MATCH(FY$4,'Curva Forward'!$C$4:$AN$4,0))),DA74)</f>
        <v>0</v>
      </c>
      <c r="FZ74" s="190">
        <f>AN74*AN$2*IF($FC74="V",1,-1)*IF($Q74="Fixo",(DB74-INDEX('Curva Forward'!$C$5:$AN$13,MATCH(CONCATENATE(BD_COMERCIAL!$K74," ",BD_COMERCIAL!$L74),'Curva Forward'!$B$5:$B$13,0),MATCH(FZ$4,'Curva Forward'!$C$4:$AN$4,0))),DB74)</f>
        <v>0</v>
      </c>
      <c r="GA74" s="190">
        <f>AO74*AO$2*IF($FC74="V",1,-1)*IF($Q74="Fixo",(DC74-INDEX('Curva Forward'!$C$5:$AN$13,MATCH(CONCATENATE(BD_COMERCIAL!$K74," ",BD_COMERCIAL!$L74),'Curva Forward'!$B$5:$B$13,0),MATCH(GA$4,'Curva Forward'!$C$4:$AN$4,0))),DC74)</f>
        <v>0</v>
      </c>
      <c r="GB74" s="190">
        <f>AP74*AP$2*IF($FC74="V",1,-1)*IF($Q74="Fixo",(DD74-INDEX('Curva Forward'!$C$5:$AN$13,MATCH(CONCATENATE(BD_COMERCIAL!$K74," ",BD_COMERCIAL!$L74),'Curva Forward'!$B$5:$B$13,0),MATCH(GB$4,'Curva Forward'!$C$4:$AN$4,0))),DD74)</f>
        <v>0</v>
      </c>
      <c r="GC74" s="190">
        <f>AQ74*AQ$2*IF($FC74="V",1,-1)*IF($Q74="Fixo",(DE74-INDEX('Curva Forward'!$C$5:$AN$13,MATCH(CONCATENATE(BD_COMERCIAL!$K74," ",BD_COMERCIAL!$L74),'Curva Forward'!$B$5:$B$13,0),MATCH(GC$4,'Curva Forward'!$C$4:$AN$4,0))),DE74)</f>
        <v>0</v>
      </c>
      <c r="GD74" s="190">
        <f>AR74*AR$2*IF($FC74="V",1,-1)*IF($Q74="Fixo",(DF74-INDEX('Curva Forward'!$C$5:$AN$13,MATCH(CONCATENATE(BD_COMERCIAL!$K74," ",BD_COMERCIAL!$L74),'Curva Forward'!$B$5:$B$13,0),MATCH(GD$4,'Curva Forward'!$C$4:$AN$4,0))),DF74)</f>
        <v>0</v>
      </c>
      <c r="GE74" s="190">
        <f>AS74*AS$2*IF($FC74="V",1,-1)*IF($Q74="Fixo",(DG74-INDEX('Curva Forward'!$C$5:$AN$13,MATCH(CONCATENATE(BD_COMERCIAL!$K74," ",BD_COMERCIAL!$L74),'Curva Forward'!$B$5:$B$13,0),MATCH(GE$4,'Curva Forward'!$C$4:$AN$4,0))),DG74)</f>
        <v>0</v>
      </c>
      <c r="GF74" s="190">
        <f>AT74*AT$2*IF($FC74="V",1,-1)*IF($Q74="Fixo",(DH74-INDEX('Curva Forward'!$C$5:$AN$13,MATCH(CONCATENATE(BD_COMERCIAL!$K74," ",BD_COMERCIAL!$L74),'Curva Forward'!$B$5:$B$13,0),MATCH(GF$4,'Curva Forward'!$C$4:$AN$4,0))),DH74)</f>
        <v>0</v>
      </c>
      <c r="GG74" s="190">
        <f>AU74*AU$2*IF($FC74="V",1,-1)*IF($Q74="Fixo",(DI74-INDEX('Curva Forward'!$C$5:$AN$13,MATCH(CONCATENATE(BD_COMERCIAL!$K74," ",BD_COMERCIAL!$L74),'Curva Forward'!$B$5:$B$13,0),MATCH(GG$4,'Curva Forward'!$C$4:$AN$4,0))),DI74)</f>
        <v>0</v>
      </c>
      <c r="GH74" s="190">
        <f>AV74*AV$2*IF($FC74="V",1,-1)*IF($Q74="Fixo",(DJ74-INDEX('Curva Forward'!$C$5:$AN$13,MATCH(CONCATENATE(BD_COMERCIAL!$K74," ",BD_COMERCIAL!$L74),'Curva Forward'!$B$5:$B$13,0),MATCH(GH$4,'Curva Forward'!$C$4:$AN$4,0))),DJ74)</f>
        <v>0</v>
      </c>
      <c r="GI74" s="190">
        <f>AW74*AW$2*IF($FC74="V",1,-1)*IF($Q74="Fixo",(DK74-INDEX('Curva Forward'!$C$5:$AN$13,MATCH(CONCATENATE(BD_COMERCIAL!$K74," ",BD_COMERCIAL!$L74),'Curva Forward'!$B$5:$B$13,0),MATCH(GI$4,'Curva Forward'!$C$4:$AN$4,0))),DK74)</f>
        <v>0</v>
      </c>
      <c r="GJ74" s="190">
        <f>AX74*AX$2*IF($FC74="V",1,-1)*IF($Q74="Fixo",(DL74-INDEX('Curva Forward'!$C$5:$AN$13,MATCH(CONCATENATE(BD_COMERCIAL!$K74," ",BD_COMERCIAL!$L74),'Curva Forward'!$B$5:$B$13,0),MATCH(GJ$4,'Curva Forward'!$C$4:$AN$4,0))),DL74)</f>
        <v>0</v>
      </c>
      <c r="GK74" s="190">
        <f>AY74*AY$2*IF($FC74="V",1,-1)*IF($Q74="Fixo",(DM74-INDEX('Curva Forward'!$C$5:$AN$13,MATCH(CONCATENATE(BD_COMERCIAL!$K74," ",BD_COMERCIAL!$L74),'Curva Forward'!$B$5:$B$13,0),MATCH(GK$4,'Curva Forward'!$C$4:$AN$4,0))),DM74)</f>
        <v>0</v>
      </c>
      <c r="GL74" s="190">
        <f>IF(EZ74="",0,CL74*CL$2*IF($FC74="V",1,-1)*IF($Q74="Fixo",(EZ74-INDEX('Curva Forward'!$C$5:$AN$13,MATCH(CONCATENATE(BD_COMERCIAL!$K74," ",BD_COMERCIAL!$L74),'Curva Forward'!$B$5:$B$13,0),MATCH(GL$4,'Curva Forward'!$C$4:$AN$4,0))),EZ74))</f>
        <v>0</v>
      </c>
      <c r="GM74" s="190">
        <f>IF(FA74="",0,CM74*CM$2*IF($FC74="V",1,-1)*IF($Q74="Fixo",(FA74-INDEX('Curva Forward'!$C$5:$AN$13,MATCH(CONCATENATE(BD_COMERCIAL!$K74," ",BD_COMERCIAL!$L74),'Curva Forward'!$B$5:$B$13,0),MATCH(GM$4,'Curva Forward'!$C$4:$AN$4,0))),FA74))</f>
        <v>0</v>
      </c>
      <c r="GN74" s="190">
        <f>IF(FB74="",0,CN74*CN$2*IF($FC74="V",1,-1)*IF($Q74="Fixo",(FB74-INDEX('Curva Forward'!$C$5:$AN$13,MATCH(CONCATENATE(BD_COMERCIAL!$K74," ",BD_COMERCIAL!$L74),'Curva Forward'!$B$5:$B$13,0),MATCH(GN$4,'Curva Forward'!$C$4:$AN$4,0))),FB74))</f>
        <v>0</v>
      </c>
      <c r="GO74" s="191">
        <f t="shared" ca="1" si="18"/>
        <v>22099.200000000023</v>
      </c>
      <c r="GP74" s="191">
        <f t="shared" ca="1" si="19"/>
        <v>0</v>
      </c>
      <c r="GQ74" s="115"/>
      <c r="GR74" s="115"/>
      <c r="GS74"/>
      <c r="GT74" s="65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</row>
    <row r="75" spans="1:236" s="265" customFormat="1" ht="15" customHeight="1" x14ac:dyDescent="0.35">
      <c r="A75" s="251"/>
      <c r="B75" s="208" t="s">
        <v>456</v>
      </c>
      <c r="C75" s="8">
        <v>44848</v>
      </c>
      <c r="D75" s="9" t="s">
        <v>130</v>
      </c>
      <c r="E75" s="10" t="s">
        <v>145</v>
      </c>
      <c r="F75" s="112"/>
      <c r="G75" s="9" t="s">
        <v>381</v>
      </c>
      <c r="H75" s="112"/>
      <c r="I75" s="294" t="s">
        <v>137</v>
      </c>
      <c r="J75" s="158" t="s">
        <v>438</v>
      </c>
      <c r="K75" s="10" t="s">
        <v>126</v>
      </c>
      <c r="L75" s="84" t="s">
        <v>22</v>
      </c>
      <c r="M75" s="11">
        <v>44927</v>
      </c>
      <c r="N75" s="12">
        <v>45291</v>
      </c>
      <c r="O75" s="10">
        <v>9.4575342465753423</v>
      </c>
      <c r="P75" s="84">
        <v>83.261273209549074</v>
      </c>
      <c r="Q75" s="84" t="s">
        <v>127</v>
      </c>
      <c r="R75" s="10" t="s">
        <v>128</v>
      </c>
      <c r="S75" s="14" t="s">
        <v>133</v>
      </c>
      <c r="T75" s="11"/>
      <c r="U75" s="12"/>
      <c r="V75" s="202" t="str">
        <f ca="1">IF(U75="","",
IF(U75="NA","",
IFERROR(VLOOKUP(EOMONTH(M75,-2)+1,IPCA!$A:$B,2,0),
VLOOKUP(EOMONTH(TODAY(),-2)+1,IPCA!$A:$B,2,0))/
VLOOKUP(EOMONTH(U75,-2)+1,IPCA!$A:$B,2,0)*
P75))</f>
        <v/>
      </c>
      <c r="W75" s="84"/>
      <c r="X75" s="13"/>
      <c r="Y75" s="158"/>
      <c r="Z75" s="106" t="s">
        <v>146</v>
      </c>
      <c r="AA75" s="106" t="s">
        <v>146</v>
      </c>
      <c r="AB75" s="15">
        <v>4.7</v>
      </c>
      <c r="AC75">
        <v>4.7</v>
      </c>
      <c r="AD75">
        <v>4.7</v>
      </c>
      <c r="AE75">
        <v>20</v>
      </c>
      <c r="AF75">
        <v>20</v>
      </c>
      <c r="AG75">
        <v>20</v>
      </c>
      <c r="AH75">
        <v>0</v>
      </c>
      <c r="AI75">
        <v>0</v>
      </c>
      <c r="AJ75">
        <v>0</v>
      </c>
      <c r="AK75">
        <v>0</v>
      </c>
      <c r="AL75">
        <v>0</v>
      </c>
      <c r="AM75" s="6">
        <v>39</v>
      </c>
      <c r="AN75" s="15"/>
      <c r="AO75"/>
      <c r="AP75"/>
      <c r="AQ75"/>
      <c r="AR75"/>
      <c r="AS75"/>
      <c r="AT75"/>
      <c r="AU75"/>
      <c r="AV75"/>
      <c r="AW75"/>
      <c r="AX75"/>
      <c r="AY75" s="6"/>
      <c r="AZ75" s="15"/>
      <c r="BA75"/>
      <c r="BB75"/>
      <c r="BC75"/>
      <c r="BD75"/>
      <c r="BE75"/>
      <c r="BF75"/>
      <c r="BG75"/>
      <c r="BH75"/>
      <c r="BI75"/>
      <c r="BJ75"/>
      <c r="BK75" s="6"/>
      <c r="BL75" s="15"/>
      <c r="BM75"/>
      <c r="BN75"/>
      <c r="BO75"/>
      <c r="BP75"/>
      <c r="BQ75"/>
      <c r="BR75"/>
      <c r="BS75"/>
      <c r="BT75"/>
      <c r="BU75"/>
      <c r="BV75"/>
      <c r="BW75" s="6"/>
      <c r="BX75" s="15"/>
      <c r="BY75"/>
      <c r="BZ75"/>
      <c r="CA75"/>
      <c r="CB75"/>
      <c r="CC75"/>
      <c r="CD75"/>
      <c r="CE75"/>
      <c r="CF75"/>
      <c r="CG75"/>
      <c r="CH75"/>
      <c r="CI75" s="6"/>
      <c r="CJ75" s="16">
        <v>9.4575342465753423</v>
      </c>
      <c r="CK75" s="16" t="s">
        <v>578</v>
      </c>
      <c r="CL75" s="16" t="s">
        <v>578</v>
      </c>
      <c r="CM75" s="16" t="s">
        <v>578</v>
      </c>
      <c r="CN75" s="16" t="s">
        <v>578</v>
      </c>
      <c r="CO75" s="18"/>
      <c r="CP75" s="15">
        <v>68.5</v>
      </c>
      <c r="CQ75">
        <v>68.5</v>
      </c>
      <c r="CR75">
        <v>68.5</v>
      </c>
      <c r="CS75">
        <v>72.599999999999994</v>
      </c>
      <c r="CT75">
        <v>72.599999999999994</v>
      </c>
      <c r="CU75">
        <v>72.599999999999994</v>
      </c>
      <c r="CV75">
        <v>0</v>
      </c>
      <c r="CW75">
        <v>0</v>
      </c>
      <c r="CX75">
        <v>0</v>
      </c>
      <c r="CY75">
        <v>0</v>
      </c>
      <c r="CZ75">
        <v>0</v>
      </c>
      <c r="DA75" s="6">
        <v>105</v>
      </c>
      <c r="DB75" s="15"/>
      <c r="DC75"/>
      <c r="DD75"/>
      <c r="DE75"/>
      <c r="DF75"/>
      <c r="DG75"/>
      <c r="DH75"/>
      <c r="DI75"/>
      <c r="DJ75"/>
      <c r="DK75"/>
      <c r="DL75"/>
      <c r="DM75" s="6"/>
      <c r="DN75" s="15"/>
      <c r="DO75"/>
      <c r="DP75"/>
      <c r="DQ75"/>
      <c r="DR75"/>
      <c r="DS75"/>
      <c r="DT75"/>
      <c r="DU75"/>
      <c r="DV75"/>
      <c r="DW75"/>
      <c r="DX75"/>
      <c r="DY75" s="6"/>
      <c r="DZ75" s="15"/>
      <c r="EA75"/>
      <c r="EB75"/>
      <c r="EC75"/>
      <c r="ED75"/>
      <c r="EE75"/>
      <c r="EF75"/>
      <c r="EG75"/>
      <c r="EH75"/>
      <c r="EI75"/>
      <c r="EJ75"/>
      <c r="EK75" s="6"/>
      <c r="EL75" s="15"/>
      <c r="EM75"/>
      <c r="EN75"/>
      <c r="EO75"/>
      <c r="EP75"/>
      <c r="EQ75"/>
      <c r="ER75"/>
      <c r="ES75"/>
      <c r="ET75"/>
      <c r="EU75"/>
      <c r="EV75"/>
      <c r="EW75" s="6"/>
      <c r="EX75" s="16">
        <v>43.908493150684926</v>
      </c>
      <c r="EY75" s="16" t="s">
        <v>578</v>
      </c>
      <c r="EZ75" s="16" t="s">
        <v>578</v>
      </c>
      <c r="FA75" s="154" t="s">
        <v>578</v>
      </c>
      <c r="FB75" s="154" t="s">
        <v>578</v>
      </c>
      <c r="FC75" t="s">
        <v>196</v>
      </c>
      <c r="FD75" s="20" t="s">
        <v>145</v>
      </c>
      <c r="FE75"/>
      <c r="FF75" s="199" t="s">
        <v>197</v>
      </c>
      <c r="FG75"/>
      <c r="FH75" s="206">
        <f t="shared" ca="1" si="13"/>
        <v>0</v>
      </c>
      <c r="FI75" s="198">
        <f t="shared" si="14"/>
        <v>12.133333333333333</v>
      </c>
      <c r="FJ75"/>
      <c r="FK75" t="str">
        <f t="shared" si="15"/>
        <v>Portfólio</v>
      </c>
      <c r="FL75" s="191">
        <f t="shared" ca="1" si="16"/>
        <v>1748.4</v>
      </c>
      <c r="FM75" s="191">
        <f t="shared" ca="1" si="17"/>
        <v>-995120.39999999979</v>
      </c>
      <c r="FN75" s="190">
        <f>AB75*AB$2*IF($FC75="V",1,-1)*IF($Q75="Fixo",(CP75-INDEX('Curva Forward'!$C$5:$AN$13,MATCH(CONCATENATE(BD_COMERCIAL!$K75," ",BD_COMERCIAL!$L75),'Curva Forward'!$B$5:$B$13,0),MATCH(FN$4,'Curva Forward'!$C$4:$AN$4,0))),CP75)</f>
        <v>1748.4</v>
      </c>
      <c r="FO75" s="190">
        <f>AC75*AC$2*IF($FC75="V",1,-1)*IF($Q75="Fixo",(CQ75-INDEX('Curva Forward'!$C$5:$AN$13,MATCH(CONCATENATE(BD_COMERCIAL!$K75," ",BD_COMERCIAL!$L75),'Curva Forward'!$B$5:$B$13,0),MATCH(FO$4,'Curva Forward'!$C$4:$AN$4,0))),CQ75)</f>
        <v>1579.2</v>
      </c>
      <c r="FP75" s="190">
        <f>AD75*AD$2*IF($FC75="V",1,-1)*IF($Q75="Fixo",(CR75-INDEX('Curva Forward'!$C$5:$AN$13,MATCH(CONCATENATE(BD_COMERCIAL!$K75," ",BD_COMERCIAL!$L75),'Curva Forward'!$B$5:$B$13,0),MATCH(FP$4,'Curva Forward'!$C$4:$AN$4,0))),CR75)</f>
        <v>1748.4</v>
      </c>
      <c r="FQ75" s="190">
        <f>AE75*AE$2*IF($FC75="V",1,-1)*IF($Q75="Fixo",(CS75-INDEX('Curva Forward'!$C$5:$AN$13,MATCH(CONCATENATE(BD_COMERCIAL!$K75," ",BD_COMERCIAL!$L75),'Curva Forward'!$B$5:$B$13,0),MATCH(FQ$4,'Curva Forward'!$C$4:$AN$4,0))),CS75)</f>
        <v>-51839.99999999992</v>
      </c>
      <c r="FR75" s="190">
        <f>AF75*AF$2*IF($FC75="V",1,-1)*IF($Q75="Fixo",(CT75-INDEX('Curva Forward'!$C$5:$AN$13,MATCH(CONCATENATE(BD_COMERCIAL!$K75," ",BD_COMERCIAL!$L75),'Curva Forward'!$B$5:$B$13,0),MATCH(FR$4,'Curva Forward'!$C$4:$AN$4,0))),CT75)</f>
        <v>-38687.999999999913</v>
      </c>
      <c r="FS75" s="190">
        <f>AG75*AG$2*IF($FC75="V",1,-1)*IF($Q75="Fixo",(CU75-INDEX('Curva Forward'!$C$5:$AN$13,MATCH(CONCATENATE(BD_COMERCIAL!$K75," ",BD_COMERCIAL!$L75),'Curva Forward'!$B$5:$B$13,0),MATCH(FS$4,'Curva Forward'!$C$4:$AN$4,0))),CU75)</f>
        <v>-37439.99999999992</v>
      </c>
      <c r="FT75" s="190">
        <f>AH75*AH$2*IF($FC75="V",1,-1)*IF($Q75="Fixo",(CV75-INDEX('Curva Forward'!$C$5:$AN$13,MATCH(CONCATENATE(BD_COMERCIAL!$K75," ",BD_COMERCIAL!$L75),'Curva Forward'!$B$5:$B$13,0),MATCH(FT$4,'Curva Forward'!$C$4:$AN$4,0))),CV75)</f>
        <v>0</v>
      </c>
      <c r="FU75" s="190">
        <f>AI75*AI$2*IF($FC75="V",1,-1)*IF($Q75="Fixo",(CW75-INDEX('Curva Forward'!$C$5:$AN$13,MATCH(CONCATENATE(BD_COMERCIAL!$K75," ",BD_COMERCIAL!$L75),'Curva Forward'!$B$5:$B$13,0),MATCH(FU$4,'Curva Forward'!$C$4:$AN$4,0))),CW75)</f>
        <v>0</v>
      </c>
      <c r="FV75" s="190">
        <f>AJ75*AJ$2*IF($FC75="V",1,-1)*IF($Q75="Fixo",(CX75-INDEX('Curva Forward'!$C$5:$AN$13,MATCH(CONCATENATE(BD_COMERCIAL!$K75," ",BD_COMERCIAL!$L75),'Curva Forward'!$B$5:$B$13,0),MATCH(FV$4,'Curva Forward'!$C$4:$AN$4,0))),CX75)</f>
        <v>0</v>
      </c>
      <c r="FW75" s="190">
        <f>AK75*AK$2*IF($FC75="V",1,-1)*IF($Q75="Fixo",(CY75-INDEX('Curva Forward'!$C$5:$AN$13,MATCH(CONCATENATE(BD_COMERCIAL!$K75," ",BD_COMERCIAL!$L75),'Curva Forward'!$B$5:$B$13,0),MATCH(FW$4,'Curva Forward'!$C$4:$AN$4,0))),CY75)</f>
        <v>0</v>
      </c>
      <c r="FX75" s="190">
        <f>AL75*AL$2*IF($FC75="V",1,-1)*IF($Q75="Fixo",(CZ75-INDEX('Curva Forward'!$C$5:$AN$13,MATCH(CONCATENATE(BD_COMERCIAL!$K75," ",BD_COMERCIAL!$L75),'Curva Forward'!$B$5:$B$13,0),MATCH(FX$4,'Curva Forward'!$C$4:$AN$4,0))),CZ75)</f>
        <v>0</v>
      </c>
      <c r="FY75" s="190">
        <f>AM75*AM$2*IF($FC75="V",1,-1)*IF($Q75="Fixo",(DA75-INDEX('Curva Forward'!$C$5:$AN$13,MATCH(CONCATENATE(BD_COMERCIAL!$K75," ",BD_COMERCIAL!$L75),'Curva Forward'!$B$5:$B$13,0),MATCH(FY$4,'Curva Forward'!$C$4:$AN$4,0))),DA75)</f>
        <v>-870480</v>
      </c>
      <c r="FZ75" s="190">
        <f>AN75*AN$2*IF($FC75="V",1,-1)*IF($Q75="Fixo",(DB75-INDEX('Curva Forward'!$C$5:$AN$13,MATCH(CONCATENATE(BD_COMERCIAL!$K75," ",BD_COMERCIAL!$L75),'Curva Forward'!$B$5:$B$13,0),MATCH(FZ$4,'Curva Forward'!$C$4:$AN$4,0))),DB75)</f>
        <v>0</v>
      </c>
      <c r="GA75" s="190">
        <f>AO75*AO$2*IF($FC75="V",1,-1)*IF($Q75="Fixo",(DC75-INDEX('Curva Forward'!$C$5:$AN$13,MATCH(CONCATENATE(BD_COMERCIAL!$K75," ",BD_COMERCIAL!$L75),'Curva Forward'!$B$5:$B$13,0),MATCH(GA$4,'Curva Forward'!$C$4:$AN$4,0))),DC75)</f>
        <v>0</v>
      </c>
      <c r="GB75" s="190">
        <f>AP75*AP$2*IF($FC75="V",1,-1)*IF($Q75="Fixo",(DD75-INDEX('Curva Forward'!$C$5:$AN$13,MATCH(CONCATENATE(BD_COMERCIAL!$K75," ",BD_COMERCIAL!$L75),'Curva Forward'!$B$5:$B$13,0),MATCH(GB$4,'Curva Forward'!$C$4:$AN$4,0))),DD75)</f>
        <v>0</v>
      </c>
      <c r="GC75" s="190">
        <f>AQ75*AQ$2*IF($FC75="V",1,-1)*IF($Q75="Fixo",(DE75-INDEX('Curva Forward'!$C$5:$AN$13,MATCH(CONCATENATE(BD_COMERCIAL!$K75," ",BD_COMERCIAL!$L75),'Curva Forward'!$B$5:$B$13,0),MATCH(GC$4,'Curva Forward'!$C$4:$AN$4,0))),DE75)</f>
        <v>0</v>
      </c>
      <c r="GD75" s="190">
        <f>AR75*AR$2*IF($FC75="V",1,-1)*IF($Q75="Fixo",(DF75-INDEX('Curva Forward'!$C$5:$AN$13,MATCH(CONCATENATE(BD_COMERCIAL!$K75," ",BD_COMERCIAL!$L75),'Curva Forward'!$B$5:$B$13,0),MATCH(GD$4,'Curva Forward'!$C$4:$AN$4,0))),DF75)</f>
        <v>0</v>
      </c>
      <c r="GE75" s="190">
        <f>AS75*AS$2*IF($FC75="V",1,-1)*IF($Q75="Fixo",(DG75-INDEX('Curva Forward'!$C$5:$AN$13,MATCH(CONCATENATE(BD_COMERCIAL!$K75," ",BD_COMERCIAL!$L75),'Curva Forward'!$B$5:$B$13,0),MATCH(GE$4,'Curva Forward'!$C$4:$AN$4,0))),DG75)</f>
        <v>0</v>
      </c>
      <c r="GF75" s="190">
        <f>AT75*AT$2*IF($FC75="V",1,-1)*IF($Q75="Fixo",(DH75-INDEX('Curva Forward'!$C$5:$AN$13,MATCH(CONCATENATE(BD_COMERCIAL!$K75," ",BD_COMERCIAL!$L75),'Curva Forward'!$B$5:$B$13,0),MATCH(GF$4,'Curva Forward'!$C$4:$AN$4,0))),DH75)</f>
        <v>0</v>
      </c>
      <c r="GG75" s="190">
        <f>AU75*AU$2*IF($FC75="V",1,-1)*IF($Q75="Fixo",(DI75-INDEX('Curva Forward'!$C$5:$AN$13,MATCH(CONCATENATE(BD_COMERCIAL!$K75," ",BD_COMERCIAL!$L75),'Curva Forward'!$B$5:$B$13,0),MATCH(GG$4,'Curva Forward'!$C$4:$AN$4,0))),DI75)</f>
        <v>0</v>
      </c>
      <c r="GH75" s="190">
        <f>AV75*AV$2*IF($FC75="V",1,-1)*IF($Q75="Fixo",(DJ75-INDEX('Curva Forward'!$C$5:$AN$13,MATCH(CONCATENATE(BD_COMERCIAL!$K75," ",BD_COMERCIAL!$L75),'Curva Forward'!$B$5:$B$13,0),MATCH(GH$4,'Curva Forward'!$C$4:$AN$4,0))),DJ75)</f>
        <v>0</v>
      </c>
      <c r="GI75" s="190">
        <f>AW75*AW$2*IF($FC75="V",1,-1)*IF($Q75="Fixo",(DK75-INDEX('Curva Forward'!$C$5:$AN$13,MATCH(CONCATENATE(BD_COMERCIAL!$K75," ",BD_COMERCIAL!$L75),'Curva Forward'!$B$5:$B$13,0),MATCH(GI$4,'Curva Forward'!$C$4:$AN$4,0))),DK75)</f>
        <v>0</v>
      </c>
      <c r="GJ75" s="190">
        <f>AX75*AX$2*IF($FC75="V",1,-1)*IF($Q75="Fixo",(DL75-INDEX('Curva Forward'!$C$5:$AN$13,MATCH(CONCATENATE(BD_COMERCIAL!$K75," ",BD_COMERCIAL!$L75),'Curva Forward'!$B$5:$B$13,0),MATCH(GJ$4,'Curva Forward'!$C$4:$AN$4,0))),DL75)</f>
        <v>0</v>
      </c>
      <c r="GK75" s="190">
        <f>AY75*AY$2*IF($FC75="V",1,-1)*IF($Q75="Fixo",(DM75-INDEX('Curva Forward'!$C$5:$AN$13,MATCH(CONCATENATE(BD_COMERCIAL!$K75," ",BD_COMERCIAL!$L75),'Curva Forward'!$B$5:$B$13,0),MATCH(GK$4,'Curva Forward'!$C$4:$AN$4,0))),DM75)</f>
        <v>0</v>
      </c>
      <c r="GL75" s="190">
        <f>IF(EZ75="",0,CL75*CL$2*IF($FC75="V",1,-1)*IF($Q75="Fixo",(EZ75-INDEX('Curva Forward'!$C$5:$AN$13,MATCH(CONCATENATE(BD_COMERCIAL!$K75," ",BD_COMERCIAL!$L75),'Curva Forward'!$B$5:$B$13,0),MATCH(GL$4,'Curva Forward'!$C$4:$AN$4,0))),EZ75))</f>
        <v>0</v>
      </c>
      <c r="GM75" s="190">
        <f>IF(FA75="",0,CM75*CM$2*IF($FC75="V",1,-1)*IF($Q75="Fixo",(FA75-INDEX('Curva Forward'!$C$5:$AN$13,MATCH(CONCATENATE(BD_COMERCIAL!$K75," ",BD_COMERCIAL!$L75),'Curva Forward'!$B$5:$B$13,0),MATCH(GM$4,'Curva Forward'!$C$4:$AN$4,0))),FA75))</f>
        <v>0</v>
      </c>
      <c r="GN75" s="190">
        <f>IF(FB75="",0,CN75*CN$2*IF($FC75="V",1,-1)*IF($Q75="Fixo",(FB75-INDEX('Curva Forward'!$C$5:$AN$13,MATCH(CONCATENATE(BD_COMERCIAL!$K75," ",BD_COMERCIAL!$L75),'Curva Forward'!$B$5:$B$13,0),MATCH(GN$4,'Curva Forward'!$C$4:$AN$4,0))),FB75))</f>
        <v>0</v>
      </c>
      <c r="GO75" s="191">
        <f t="shared" ca="1" si="18"/>
        <v>0</v>
      </c>
      <c r="GP75" s="191">
        <f t="shared" ca="1" si="19"/>
        <v>-995120.39999999979</v>
      </c>
      <c r="GQ75" s="115"/>
      <c r="GR75" s="115"/>
      <c r="GS75"/>
      <c r="GT75" s="6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</row>
    <row r="76" spans="1:236" s="265" customFormat="1" ht="15" customHeight="1" x14ac:dyDescent="0.35">
      <c r="A76" s="251"/>
      <c r="B76" s="208" t="s">
        <v>457</v>
      </c>
      <c r="C76" s="8">
        <v>44848</v>
      </c>
      <c r="D76" s="9" t="s">
        <v>123</v>
      </c>
      <c r="E76" s="9" t="s">
        <v>381</v>
      </c>
      <c r="F76" s="112"/>
      <c r="G76" s="10" t="s">
        <v>145</v>
      </c>
      <c r="H76" s="112"/>
      <c r="I76" s="294" t="s">
        <v>137</v>
      </c>
      <c r="J76" s="158" t="s">
        <v>416</v>
      </c>
      <c r="K76" s="10" t="s">
        <v>126</v>
      </c>
      <c r="L76" s="84" t="s">
        <v>22</v>
      </c>
      <c r="M76" s="11">
        <v>44927</v>
      </c>
      <c r="N76" s="12">
        <v>45291</v>
      </c>
      <c r="O76" s="10">
        <v>9.4575342465753423</v>
      </c>
      <c r="P76" s="84">
        <v>83.261273209549074</v>
      </c>
      <c r="Q76" s="84" t="s">
        <v>127</v>
      </c>
      <c r="R76" s="10" t="s">
        <v>128</v>
      </c>
      <c r="S76" s="14" t="s">
        <v>133</v>
      </c>
      <c r="T76" s="11"/>
      <c r="U76" s="12"/>
      <c r="V76" s="202" t="str">
        <f ca="1">IF(U76="","",
IF(U76="NA","",
IFERROR(VLOOKUP(EOMONTH(M76,-2)+1,IPCA!$A:$B,2,0),
VLOOKUP(EOMONTH(TODAY(),-2)+1,IPCA!$A:$B,2,0))/
VLOOKUP(EOMONTH(U76,-2)+1,IPCA!$A:$B,2,0)*
P76))</f>
        <v/>
      </c>
      <c r="W76" s="84"/>
      <c r="X76" s="13"/>
      <c r="Y76" s="158"/>
      <c r="Z76" s="106" t="s">
        <v>146</v>
      </c>
      <c r="AA76" s="106" t="s">
        <v>146</v>
      </c>
      <c r="AB76" s="15">
        <v>4.7</v>
      </c>
      <c r="AC76">
        <v>4.7</v>
      </c>
      <c r="AD76">
        <v>4.7</v>
      </c>
      <c r="AE76">
        <v>20</v>
      </c>
      <c r="AF76">
        <v>20</v>
      </c>
      <c r="AG76">
        <v>20</v>
      </c>
      <c r="AH76">
        <v>0</v>
      </c>
      <c r="AI76">
        <v>0</v>
      </c>
      <c r="AJ76">
        <v>0</v>
      </c>
      <c r="AK76">
        <v>0</v>
      </c>
      <c r="AL76">
        <v>0</v>
      </c>
      <c r="AM76" s="6">
        <v>39</v>
      </c>
      <c r="AN76" s="15"/>
      <c r="AO76"/>
      <c r="AP76"/>
      <c r="AQ76"/>
      <c r="AR76"/>
      <c r="AS76"/>
      <c r="AT76"/>
      <c r="AU76"/>
      <c r="AV76"/>
      <c r="AW76"/>
      <c r="AX76"/>
      <c r="AY76" s="6"/>
      <c r="AZ76" s="15"/>
      <c r="BA76"/>
      <c r="BB76"/>
      <c r="BC76"/>
      <c r="BD76"/>
      <c r="BE76"/>
      <c r="BF76"/>
      <c r="BG76"/>
      <c r="BH76"/>
      <c r="BI76"/>
      <c r="BJ76"/>
      <c r="BK76" s="6"/>
      <c r="BL76" s="15"/>
      <c r="BM76"/>
      <c r="BN76"/>
      <c r="BO76"/>
      <c r="BP76"/>
      <c r="BQ76"/>
      <c r="BR76"/>
      <c r="BS76"/>
      <c r="BT76"/>
      <c r="BU76"/>
      <c r="BV76"/>
      <c r="BW76" s="6"/>
      <c r="BX76" s="15"/>
      <c r="BY76"/>
      <c r="BZ76"/>
      <c r="CA76"/>
      <c r="CB76"/>
      <c r="CC76"/>
      <c r="CD76"/>
      <c r="CE76"/>
      <c r="CF76"/>
      <c r="CG76"/>
      <c r="CH76"/>
      <c r="CI76" s="6"/>
      <c r="CJ76" s="16">
        <v>9.4575342465753423</v>
      </c>
      <c r="CK76" s="16" t="s">
        <v>578</v>
      </c>
      <c r="CL76" s="16" t="s">
        <v>578</v>
      </c>
      <c r="CM76" s="16" t="s">
        <v>578</v>
      </c>
      <c r="CN76" s="16" t="s">
        <v>578</v>
      </c>
      <c r="CO76" s="18"/>
      <c r="CP76" s="15">
        <v>68.5</v>
      </c>
      <c r="CQ76">
        <v>68.5</v>
      </c>
      <c r="CR76">
        <v>68.5</v>
      </c>
      <c r="CS76">
        <v>72.599999999999994</v>
      </c>
      <c r="CT76">
        <v>72.599999999999994</v>
      </c>
      <c r="CU76">
        <v>72.599999999999994</v>
      </c>
      <c r="CV76">
        <v>0</v>
      </c>
      <c r="CW76">
        <v>0</v>
      </c>
      <c r="CX76">
        <v>0</v>
      </c>
      <c r="CY76">
        <v>0</v>
      </c>
      <c r="CZ76">
        <v>0</v>
      </c>
      <c r="DA76" s="6">
        <v>105</v>
      </c>
      <c r="DB76" s="15"/>
      <c r="DC76"/>
      <c r="DD76"/>
      <c r="DE76"/>
      <c r="DF76"/>
      <c r="DG76"/>
      <c r="DH76"/>
      <c r="DI76"/>
      <c r="DJ76"/>
      <c r="DK76"/>
      <c r="DL76"/>
      <c r="DM76" s="6"/>
      <c r="DN76" s="15"/>
      <c r="DO76"/>
      <c r="DP76"/>
      <c r="DQ76"/>
      <c r="DR76"/>
      <c r="DS76"/>
      <c r="DT76"/>
      <c r="DU76"/>
      <c r="DV76"/>
      <c r="DW76"/>
      <c r="DX76"/>
      <c r="DY76" s="6"/>
      <c r="DZ76" s="15"/>
      <c r="EA76"/>
      <c r="EB76"/>
      <c r="EC76"/>
      <c r="ED76"/>
      <c r="EE76"/>
      <c r="EF76"/>
      <c r="EG76"/>
      <c r="EH76"/>
      <c r="EI76"/>
      <c r="EJ76"/>
      <c r="EK76" s="6"/>
      <c r="EL76" s="15"/>
      <c r="EM76"/>
      <c r="EN76"/>
      <c r="EO76"/>
      <c r="EP76"/>
      <c r="EQ76"/>
      <c r="ER76"/>
      <c r="ES76"/>
      <c r="ET76"/>
      <c r="EU76"/>
      <c r="EV76"/>
      <c r="EW76" s="6"/>
      <c r="EX76" s="16">
        <v>43.908493150684926</v>
      </c>
      <c r="EY76" s="16" t="s">
        <v>578</v>
      </c>
      <c r="EZ76" s="16" t="s">
        <v>578</v>
      </c>
      <c r="FA76" s="154" t="s">
        <v>578</v>
      </c>
      <c r="FB76" s="154" t="s">
        <v>578</v>
      </c>
      <c r="FC76" t="s">
        <v>195</v>
      </c>
      <c r="FD76" s="20" t="s">
        <v>145</v>
      </c>
      <c r="FE76"/>
      <c r="FF76" s="199" t="s">
        <v>197</v>
      </c>
      <c r="FG76"/>
      <c r="FH76" s="206">
        <f t="shared" ca="1" si="13"/>
        <v>0</v>
      </c>
      <c r="FI76" s="198">
        <f t="shared" si="14"/>
        <v>12.133333333333333</v>
      </c>
      <c r="FJ76"/>
      <c r="FK76" t="str">
        <f t="shared" si="15"/>
        <v>Portfólio</v>
      </c>
      <c r="FL76" s="191">
        <f t="shared" ca="1" si="16"/>
        <v>-1748.4</v>
      </c>
      <c r="FM76" s="191">
        <f t="shared" ca="1" si="17"/>
        <v>995120.39999999979</v>
      </c>
      <c r="FN76" s="190">
        <f>AB76*AB$2*IF($FC76="V",1,-1)*IF($Q76="Fixo",(CP76-INDEX('Curva Forward'!$C$5:$AN$13,MATCH(CONCATENATE(BD_COMERCIAL!$K76," ",BD_COMERCIAL!$L76),'Curva Forward'!$B$5:$B$13,0),MATCH(FN$4,'Curva Forward'!$C$4:$AN$4,0))),CP76)</f>
        <v>-1748.4</v>
      </c>
      <c r="FO76" s="190">
        <f>AC76*AC$2*IF($FC76="V",1,-1)*IF($Q76="Fixo",(CQ76-INDEX('Curva Forward'!$C$5:$AN$13,MATCH(CONCATENATE(BD_COMERCIAL!$K76," ",BD_COMERCIAL!$L76),'Curva Forward'!$B$5:$B$13,0),MATCH(FO$4,'Curva Forward'!$C$4:$AN$4,0))),CQ76)</f>
        <v>-1579.2</v>
      </c>
      <c r="FP76" s="190">
        <f>AD76*AD$2*IF($FC76="V",1,-1)*IF($Q76="Fixo",(CR76-INDEX('Curva Forward'!$C$5:$AN$13,MATCH(CONCATENATE(BD_COMERCIAL!$K76," ",BD_COMERCIAL!$L76),'Curva Forward'!$B$5:$B$13,0),MATCH(FP$4,'Curva Forward'!$C$4:$AN$4,0))),CR76)</f>
        <v>-1748.4</v>
      </c>
      <c r="FQ76" s="190">
        <f>AE76*AE$2*IF($FC76="V",1,-1)*IF($Q76="Fixo",(CS76-INDEX('Curva Forward'!$C$5:$AN$13,MATCH(CONCATENATE(BD_COMERCIAL!$K76," ",BD_COMERCIAL!$L76),'Curva Forward'!$B$5:$B$13,0),MATCH(FQ$4,'Curva Forward'!$C$4:$AN$4,0))),CS76)</f>
        <v>51839.99999999992</v>
      </c>
      <c r="FR76" s="190">
        <f>AF76*AF$2*IF($FC76="V",1,-1)*IF($Q76="Fixo",(CT76-INDEX('Curva Forward'!$C$5:$AN$13,MATCH(CONCATENATE(BD_COMERCIAL!$K76," ",BD_COMERCIAL!$L76),'Curva Forward'!$B$5:$B$13,0),MATCH(FR$4,'Curva Forward'!$C$4:$AN$4,0))),CT76)</f>
        <v>38687.999999999913</v>
      </c>
      <c r="FS76" s="190">
        <f>AG76*AG$2*IF($FC76="V",1,-1)*IF($Q76="Fixo",(CU76-INDEX('Curva Forward'!$C$5:$AN$13,MATCH(CONCATENATE(BD_COMERCIAL!$K76," ",BD_COMERCIAL!$L76),'Curva Forward'!$B$5:$B$13,0),MATCH(FS$4,'Curva Forward'!$C$4:$AN$4,0))),CU76)</f>
        <v>37439.99999999992</v>
      </c>
      <c r="FT76" s="190">
        <f>AH76*AH$2*IF($FC76="V",1,-1)*IF($Q76="Fixo",(CV76-INDEX('Curva Forward'!$C$5:$AN$13,MATCH(CONCATENATE(BD_COMERCIAL!$K76," ",BD_COMERCIAL!$L76),'Curva Forward'!$B$5:$B$13,0),MATCH(FT$4,'Curva Forward'!$C$4:$AN$4,0))),CV76)</f>
        <v>0</v>
      </c>
      <c r="FU76" s="190">
        <f>AI76*AI$2*IF($FC76="V",1,-1)*IF($Q76="Fixo",(CW76-INDEX('Curva Forward'!$C$5:$AN$13,MATCH(CONCATENATE(BD_COMERCIAL!$K76," ",BD_COMERCIAL!$L76),'Curva Forward'!$B$5:$B$13,0),MATCH(FU$4,'Curva Forward'!$C$4:$AN$4,0))),CW76)</f>
        <v>0</v>
      </c>
      <c r="FV76" s="190">
        <f>AJ76*AJ$2*IF($FC76="V",1,-1)*IF($Q76="Fixo",(CX76-INDEX('Curva Forward'!$C$5:$AN$13,MATCH(CONCATENATE(BD_COMERCIAL!$K76," ",BD_COMERCIAL!$L76),'Curva Forward'!$B$5:$B$13,0),MATCH(FV$4,'Curva Forward'!$C$4:$AN$4,0))),CX76)</f>
        <v>0</v>
      </c>
      <c r="FW76" s="190">
        <f>AK76*AK$2*IF($FC76="V",1,-1)*IF($Q76="Fixo",(CY76-INDEX('Curva Forward'!$C$5:$AN$13,MATCH(CONCATENATE(BD_COMERCIAL!$K76," ",BD_COMERCIAL!$L76),'Curva Forward'!$B$5:$B$13,0),MATCH(FW$4,'Curva Forward'!$C$4:$AN$4,0))),CY76)</f>
        <v>0</v>
      </c>
      <c r="FX76" s="190">
        <f>AL76*AL$2*IF($FC76="V",1,-1)*IF($Q76="Fixo",(CZ76-INDEX('Curva Forward'!$C$5:$AN$13,MATCH(CONCATENATE(BD_COMERCIAL!$K76," ",BD_COMERCIAL!$L76),'Curva Forward'!$B$5:$B$13,0),MATCH(FX$4,'Curva Forward'!$C$4:$AN$4,0))),CZ76)</f>
        <v>0</v>
      </c>
      <c r="FY76" s="190">
        <f>AM76*AM$2*IF($FC76="V",1,-1)*IF($Q76="Fixo",(DA76-INDEX('Curva Forward'!$C$5:$AN$13,MATCH(CONCATENATE(BD_COMERCIAL!$K76," ",BD_COMERCIAL!$L76),'Curva Forward'!$B$5:$B$13,0),MATCH(FY$4,'Curva Forward'!$C$4:$AN$4,0))),DA76)</f>
        <v>870480</v>
      </c>
      <c r="FZ76" s="190">
        <f>AN76*AN$2*IF($FC76="V",1,-1)*IF($Q76="Fixo",(DB76-INDEX('Curva Forward'!$C$5:$AN$13,MATCH(CONCATENATE(BD_COMERCIAL!$K76," ",BD_COMERCIAL!$L76),'Curva Forward'!$B$5:$B$13,0),MATCH(FZ$4,'Curva Forward'!$C$4:$AN$4,0))),DB76)</f>
        <v>0</v>
      </c>
      <c r="GA76" s="190">
        <f>AO76*AO$2*IF($FC76="V",1,-1)*IF($Q76="Fixo",(DC76-INDEX('Curva Forward'!$C$5:$AN$13,MATCH(CONCATENATE(BD_COMERCIAL!$K76," ",BD_COMERCIAL!$L76),'Curva Forward'!$B$5:$B$13,0),MATCH(GA$4,'Curva Forward'!$C$4:$AN$4,0))),DC76)</f>
        <v>0</v>
      </c>
      <c r="GB76" s="190">
        <f>AP76*AP$2*IF($FC76="V",1,-1)*IF($Q76="Fixo",(DD76-INDEX('Curva Forward'!$C$5:$AN$13,MATCH(CONCATENATE(BD_COMERCIAL!$K76," ",BD_COMERCIAL!$L76),'Curva Forward'!$B$5:$B$13,0),MATCH(GB$4,'Curva Forward'!$C$4:$AN$4,0))),DD76)</f>
        <v>0</v>
      </c>
      <c r="GC76" s="190">
        <f>AQ76*AQ$2*IF($FC76="V",1,-1)*IF($Q76="Fixo",(DE76-INDEX('Curva Forward'!$C$5:$AN$13,MATCH(CONCATENATE(BD_COMERCIAL!$K76," ",BD_COMERCIAL!$L76),'Curva Forward'!$B$5:$B$13,0),MATCH(GC$4,'Curva Forward'!$C$4:$AN$4,0))),DE76)</f>
        <v>0</v>
      </c>
      <c r="GD76" s="190">
        <f>AR76*AR$2*IF($FC76="V",1,-1)*IF($Q76="Fixo",(DF76-INDEX('Curva Forward'!$C$5:$AN$13,MATCH(CONCATENATE(BD_COMERCIAL!$K76," ",BD_COMERCIAL!$L76),'Curva Forward'!$B$5:$B$13,0),MATCH(GD$4,'Curva Forward'!$C$4:$AN$4,0))),DF76)</f>
        <v>0</v>
      </c>
      <c r="GE76" s="190">
        <f>AS76*AS$2*IF($FC76="V",1,-1)*IF($Q76="Fixo",(DG76-INDEX('Curva Forward'!$C$5:$AN$13,MATCH(CONCATENATE(BD_COMERCIAL!$K76," ",BD_COMERCIAL!$L76),'Curva Forward'!$B$5:$B$13,0),MATCH(GE$4,'Curva Forward'!$C$4:$AN$4,0))),DG76)</f>
        <v>0</v>
      </c>
      <c r="GF76" s="190">
        <f>AT76*AT$2*IF($FC76="V",1,-1)*IF($Q76="Fixo",(DH76-INDEX('Curva Forward'!$C$5:$AN$13,MATCH(CONCATENATE(BD_COMERCIAL!$K76," ",BD_COMERCIAL!$L76),'Curva Forward'!$B$5:$B$13,0),MATCH(GF$4,'Curva Forward'!$C$4:$AN$4,0))),DH76)</f>
        <v>0</v>
      </c>
      <c r="GG76" s="190">
        <f>AU76*AU$2*IF($FC76="V",1,-1)*IF($Q76="Fixo",(DI76-INDEX('Curva Forward'!$C$5:$AN$13,MATCH(CONCATENATE(BD_COMERCIAL!$K76," ",BD_COMERCIAL!$L76),'Curva Forward'!$B$5:$B$13,0),MATCH(GG$4,'Curva Forward'!$C$4:$AN$4,0))),DI76)</f>
        <v>0</v>
      </c>
      <c r="GH76" s="190">
        <f>AV76*AV$2*IF($FC76="V",1,-1)*IF($Q76="Fixo",(DJ76-INDEX('Curva Forward'!$C$5:$AN$13,MATCH(CONCATENATE(BD_COMERCIAL!$K76," ",BD_COMERCIAL!$L76),'Curva Forward'!$B$5:$B$13,0),MATCH(GH$4,'Curva Forward'!$C$4:$AN$4,0))),DJ76)</f>
        <v>0</v>
      </c>
      <c r="GI76" s="190">
        <f>AW76*AW$2*IF($FC76="V",1,-1)*IF($Q76="Fixo",(DK76-INDEX('Curva Forward'!$C$5:$AN$13,MATCH(CONCATENATE(BD_COMERCIAL!$K76," ",BD_COMERCIAL!$L76),'Curva Forward'!$B$5:$B$13,0),MATCH(GI$4,'Curva Forward'!$C$4:$AN$4,0))),DK76)</f>
        <v>0</v>
      </c>
      <c r="GJ76" s="190">
        <f>AX76*AX$2*IF($FC76="V",1,-1)*IF($Q76="Fixo",(DL76-INDEX('Curva Forward'!$C$5:$AN$13,MATCH(CONCATENATE(BD_COMERCIAL!$K76," ",BD_COMERCIAL!$L76),'Curva Forward'!$B$5:$B$13,0),MATCH(GJ$4,'Curva Forward'!$C$4:$AN$4,0))),DL76)</f>
        <v>0</v>
      </c>
      <c r="GK76" s="190">
        <f>AY76*AY$2*IF($FC76="V",1,-1)*IF($Q76="Fixo",(DM76-INDEX('Curva Forward'!$C$5:$AN$13,MATCH(CONCATENATE(BD_COMERCIAL!$K76," ",BD_COMERCIAL!$L76),'Curva Forward'!$B$5:$B$13,0),MATCH(GK$4,'Curva Forward'!$C$4:$AN$4,0))),DM76)</f>
        <v>0</v>
      </c>
      <c r="GL76" s="190">
        <f>IF(EZ76="",0,CL76*CL$2*IF($FC76="V",1,-1)*IF($Q76="Fixo",(EZ76-INDEX('Curva Forward'!$C$5:$AN$13,MATCH(CONCATENATE(BD_COMERCIAL!$K76," ",BD_COMERCIAL!$L76),'Curva Forward'!$B$5:$B$13,0),MATCH(GL$4,'Curva Forward'!$C$4:$AN$4,0))),EZ76))</f>
        <v>0</v>
      </c>
      <c r="GM76" s="190">
        <f>IF(FA76="",0,CM76*CM$2*IF($FC76="V",1,-1)*IF($Q76="Fixo",(FA76-INDEX('Curva Forward'!$C$5:$AN$13,MATCH(CONCATENATE(BD_COMERCIAL!$K76," ",BD_COMERCIAL!$L76),'Curva Forward'!$B$5:$B$13,0),MATCH(GM$4,'Curva Forward'!$C$4:$AN$4,0))),FA76))</f>
        <v>0</v>
      </c>
      <c r="GN76" s="190">
        <f>IF(FB76="",0,CN76*CN$2*IF($FC76="V",1,-1)*IF($Q76="Fixo",(FB76-INDEX('Curva Forward'!$C$5:$AN$13,MATCH(CONCATENATE(BD_COMERCIAL!$K76," ",BD_COMERCIAL!$L76),'Curva Forward'!$B$5:$B$13,0),MATCH(GN$4,'Curva Forward'!$C$4:$AN$4,0))),FB76))</f>
        <v>0</v>
      </c>
      <c r="GO76" s="191">
        <f t="shared" ca="1" si="18"/>
        <v>995120.39999999979</v>
      </c>
      <c r="GP76" s="191">
        <f t="shared" ca="1" si="19"/>
        <v>0</v>
      </c>
      <c r="GQ76" s="115"/>
      <c r="GR76" s="115"/>
      <c r="GS76"/>
      <c r="GT76" s="65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</row>
    <row r="77" spans="1:236" s="265" customFormat="1" ht="15" customHeight="1" x14ac:dyDescent="0.35">
      <c r="A77" s="251"/>
      <c r="B77" s="7" t="s">
        <v>432</v>
      </c>
      <c r="C77" s="8">
        <v>44851</v>
      </c>
      <c r="D77" s="9" t="s">
        <v>123</v>
      </c>
      <c r="E77" s="9" t="s">
        <v>381</v>
      </c>
      <c r="F77" s="112" t="s">
        <v>348</v>
      </c>
      <c r="G77" s="10" t="s">
        <v>188</v>
      </c>
      <c r="H77" s="112" t="s">
        <v>433</v>
      </c>
      <c r="I77" s="9" t="s">
        <v>125</v>
      </c>
      <c r="J77" s="158" t="s">
        <v>438</v>
      </c>
      <c r="K77" s="10" t="s">
        <v>126</v>
      </c>
      <c r="L77" s="84" t="s">
        <v>22</v>
      </c>
      <c r="M77" s="11">
        <v>45200</v>
      </c>
      <c r="N77" s="12">
        <v>45291</v>
      </c>
      <c r="O77" s="10">
        <v>5</v>
      </c>
      <c r="P77" s="84">
        <v>115</v>
      </c>
      <c r="Q77" s="84" t="s">
        <v>127</v>
      </c>
      <c r="R77" s="10" t="s">
        <v>128</v>
      </c>
      <c r="S77" s="14" t="s">
        <v>133</v>
      </c>
      <c r="T77" s="11"/>
      <c r="U77" s="12"/>
      <c r="V77" s="202" t="str">
        <f ca="1">IF(U77="","",
IF(U77="NA","",
IFERROR(VLOOKUP(EOMONTH(M77,-2)+1,IPCA!$A:$B,2,0),
VLOOKUP(EOMONTH(TODAY(),-2)+1,IPCA!$A:$B,2,0))/
VLOOKUP(EOMONTH(U77,-2)+1,IPCA!$A:$B,2,0)*
P77))</f>
        <v/>
      </c>
      <c r="W77" s="84"/>
      <c r="X77" s="13" t="s">
        <v>132</v>
      </c>
      <c r="Y77" s="158"/>
      <c r="Z77" s="106"/>
      <c r="AA77" s="107"/>
      <c r="AB77" s="15"/>
      <c r="AC77"/>
      <c r="AD77"/>
      <c r="AE77"/>
      <c r="AF77"/>
      <c r="AG77"/>
      <c r="AH77"/>
      <c r="AI77"/>
      <c r="AJ77"/>
      <c r="AK77">
        <v>5</v>
      </c>
      <c r="AL77">
        <v>5</v>
      </c>
      <c r="AM77" s="6">
        <v>5</v>
      </c>
      <c r="AN77" s="15"/>
      <c r="AO77"/>
      <c r="AP77"/>
      <c r="AQ77"/>
      <c r="AR77"/>
      <c r="AS77"/>
      <c r="AT77"/>
      <c r="AU77"/>
      <c r="AV77"/>
      <c r="AW77"/>
      <c r="AX77"/>
      <c r="AY77" s="6"/>
      <c r="AZ77" s="15"/>
      <c r="BA77"/>
      <c r="BB77"/>
      <c r="BC77"/>
      <c r="BD77"/>
      <c r="BE77"/>
      <c r="BF77"/>
      <c r="BG77"/>
      <c r="BH77"/>
      <c r="BI77"/>
      <c r="BJ77"/>
      <c r="BK77" s="6"/>
      <c r="BL77" s="15"/>
      <c r="BM77"/>
      <c r="BN77"/>
      <c r="BO77"/>
      <c r="BP77"/>
      <c r="BQ77"/>
      <c r="BR77"/>
      <c r="BS77"/>
      <c r="BT77"/>
      <c r="BU77"/>
      <c r="BV77"/>
      <c r="BW77" s="6"/>
      <c r="BX77" s="15"/>
      <c r="BY77"/>
      <c r="BZ77"/>
      <c r="CA77"/>
      <c r="CB77"/>
      <c r="CC77"/>
      <c r="CD77"/>
      <c r="CE77"/>
      <c r="CF77"/>
      <c r="CG77"/>
      <c r="CH77"/>
      <c r="CI77" s="6"/>
      <c r="CJ77" s="16">
        <v>1.2602739726027397</v>
      </c>
      <c r="CK77" s="16" t="s">
        <v>578</v>
      </c>
      <c r="CL77" s="16" t="s">
        <v>578</v>
      </c>
      <c r="CM77" s="16" t="s">
        <v>578</v>
      </c>
      <c r="CN77" s="16" t="s">
        <v>578</v>
      </c>
      <c r="CO77" s="18"/>
      <c r="CP77" s="15"/>
      <c r="CQ77"/>
      <c r="CR77"/>
      <c r="CS77"/>
      <c r="CT77"/>
      <c r="CU77"/>
      <c r="CV77"/>
      <c r="CW77"/>
      <c r="CX77"/>
      <c r="CY77">
        <v>115</v>
      </c>
      <c r="CZ77">
        <v>115</v>
      </c>
      <c r="DA77" s="6">
        <v>115</v>
      </c>
      <c r="DB77" s="15"/>
      <c r="DC77"/>
      <c r="DD77"/>
      <c r="DE77"/>
      <c r="DF77"/>
      <c r="DG77"/>
      <c r="DH77"/>
      <c r="DI77"/>
      <c r="DJ77"/>
      <c r="DK77"/>
      <c r="DL77"/>
      <c r="DM77" s="6"/>
      <c r="DN77" s="15"/>
      <c r="DO77"/>
      <c r="DP77"/>
      <c r="DQ77"/>
      <c r="DR77"/>
      <c r="DS77"/>
      <c r="DT77"/>
      <c r="DU77"/>
      <c r="DV77"/>
      <c r="DW77"/>
      <c r="DX77"/>
      <c r="DY77" s="6"/>
      <c r="DZ77" s="15"/>
      <c r="EA77"/>
      <c r="EB77"/>
      <c r="EC77"/>
      <c r="ED77"/>
      <c r="EE77"/>
      <c r="EF77"/>
      <c r="EG77"/>
      <c r="EH77"/>
      <c r="EI77"/>
      <c r="EJ77"/>
      <c r="EK77" s="6"/>
      <c r="EL77" s="15"/>
      <c r="EM77"/>
      <c r="EN77"/>
      <c r="EO77"/>
      <c r="EP77"/>
      <c r="EQ77"/>
      <c r="ER77"/>
      <c r="ES77"/>
      <c r="ET77"/>
      <c r="EU77"/>
      <c r="EV77"/>
      <c r="EW77" s="6"/>
      <c r="EX77" s="16">
        <v>28.986301369863014</v>
      </c>
      <c r="EY77" s="16" t="s">
        <v>578</v>
      </c>
      <c r="EZ77" s="16" t="s">
        <v>578</v>
      </c>
      <c r="FA77" s="154" t="s">
        <v>578</v>
      </c>
      <c r="FB77" s="154" t="s">
        <v>578</v>
      </c>
      <c r="FC77" t="s">
        <v>195</v>
      </c>
      <c r="FD77" s="20" t="s">
        <v>125</v>
      </c>
      <c r="FE77"/>
      <c r="FF77" s="199" t="s">
        <v>197</v>
      </c>
      <c r="FG77"/>
      <c r="FH77" s="206">
        <f t="shared" ca="1" si="13"/>
        <v>0</v>
      </c>
      <c r="FI77" s="198">
        <f t="shared" si="14"/>
        <v>3.0333333333333332</v>
      </c>
      <c r="FJ77"/>
      <c r="FK77" t="str">
        <f t="shared" si="15"/>
        <v>Atmo Comercializadora de Energia Ltda</v>
      </c>
      <c r="FL77" s="191">
        <f t="shared" ca="1" si="16"/>
        <v>0</v>
      </c>
      <c r="FM77" s="191">
        <f t="shared" ca="1" si="17"/>
        <v>441600</v>
      </c>
      <c r="FN77" s="190">
        <f>AB77*AB$2*IF($FC77="V",1,-1)*IF($Q77="Fixo",(CP77-INDEX('Curva Forward'!$C$5:$AN$13,MATCH(CONCATENATE(BD_COMERCIAL!$K77," ",BD_COMERCIAL!$L77),'Curva Forward'!$B$5:$B$13,0),MATCH(FN$4,'Curva Forward'!$C$4:$AN$4,0))),CP77)</f>
        <v>0</v>
      </c>
      <c r="FO77" s="190">
        <f>AC77*AC$2*IF($FC77="V",1,-1)*IF($Q77="Fixo",(CQ77-INDEX('Curva Forward'!$C$5:$AN$13,MATCH(CONCATENATE(BD_COMERCIAL!$K77," ",BD_COMERCIAL!$L77),'Curva Forward'!$B$5:$B$13,0),MATCH(FO$4,'Curva Forward'!$C$4:$AN$4,0))),CQ77)</f>
        <v>0</v>
      </c>
      <c r="FP77" s="190">
        <f>AD77*AD$2*IF($FC77="V",1,-1)*IF($Q77="Fixo",(CR77-INDEX('Curva Forward'!$C$5:$AN$13,MATCH(CONCATENATE(BD_COMERCIAL!$K77," ",BD_COMERCIAL!$L77),'Curva Forward'!$B$5:$B$13,0),MATCH(FP$4,'Curva Forward'!$C$4:$AN$4,0))),CR77)</f>
        <v>0</v>
      </c>
      <c r="FQ77" s="190">
        <f>AE77*AE$2*IF($FC77="V",1,-1)*IF($Q77="Fixo",(CS77-INDEX('Curva Forward'!$C$5:$AN$13,MATCH(CONCATENATE(BD_COMERCIAL!$K77," ",BD_COMERCIAL!$L77),'Curva Forward'!$B$5:$B$13,0),MATCH(FQ$4,'Curva Forward'!$C$4:$AN$4,0))),CS77)</f>
        <v>0</v>
      </c>
      <c r="FR77" s="190">
        <f>AF77*AF$2*IF($FC77="V",1,-1)*IF($Q77="Fixo",(CT77-INDEX('Curva Forward'!$C$5:$AN$13,MATCH(CONCATENATE(BD_COMERCIAL!$K77," ",BD_COMERCIAL!$L77),'Curva Forward'!$B$5:$B$13,0),MATCH(FR$4,'Curva Forward'!$C$4:$AN$4,0))),CT77)</f>
        <v>0</v>
      </c>
      <c r="FS77" s="190">
        <f>AG77*AG$2*IF($FC77="V",1,-1)*IF($Q77="Fixo",(CU77-INDEX('Curva Forward'!$C$5:$AN$13,MATCH(CONCATENATE(BD_COMERCIAL!$K77," ",BD_COMERCIAL!$L77),'Curva Forward'!$B$5:$B$13,0),MATCH(FS$4,'Curva Forward'!$C$4:$AN$4,0))),CU77)</f>
        <v>0</v>
      </c>
      <c r="FT77" s="190">
        <f>AH77*AH$2*IF($FC77="V",1,-1)*IF($Q77="Fixo",(CV77-INDEX('Curva Forward'!$C$5:$AN$13,MATCH(CONCATENATE(BD_COMERCIAL!$K77," ",BD_COMERCIAL!$L77),'Curva Forward'!$B$5:$B$13,0),MATCH(FT$4,'Curva Forward'!$C$4:$AN$4,0))),CV77)</f>
        <v>0</v>
      </c>
      <c r="FU77" s="190">
        <f>AI77*AI$2*IF($FC77="V",1,-1)*IF($Q77="Fixo",(CW77-INDEX('Curva Forward'!$C$5:$AN$13,MATCH(CONCATENATE(BD_COMERCIAL!$K77," ",BD_COMERCIAL!$L77),'Curva Forward'!$B$5:$B$13,0),MATCH(FU$4,'Curva Forward'!$C$4:$AN$4,0))),CW77)</f>
        <v>0</v>
      </c>
      <c r="FV77" s="190">
        <f>AJ77*AJ$2*IF($FC77="V",1,-1)*IF($Q77="Fixo",(CX77-INDEX('Curva Forward'!$C$5:$AN$13,MATCH(CONCATENATE(BD_COMERCIAL!$K77," ",BD_COMERCIAL!$L77),'Curva Forward'!$B$5:$B$13,0),MATCH(FV$4,'Curva Forward'!$C$4:$AN$4,0))),CX77)</f>
        <v>0</v>
      </c>
      <c r="FW77" s="190">
        <f>AK77*AK$2*IF($FC77="V",1,-1)*IF($Q77="Fixo",(CY77-INDEX('Curva Forward'!$C$5:$AN$13,MATCH(CONCATENATE(BD_COMERCIAL!$K77," ",BD_COMERCIAL!$L77),'Curva Forward'!$B$5:$B$13,0),MATCH(FW$4,'Curva Forward'!$C$4:$AN$4,0))),CY77)</f>
        <v>148800</v>
      </c>
      <c r="FX77" s="190">
        <f>AL77*AL$2*IF($FC77="V",1,-1)*IF($Q77="Fixo",(CZ77-INDEX('Curva Forward'!$C$5:$AN$13,MATCH(CONCATENATE(BD_COMERCIAL!$K77," ",BD_COMERCIAL!$L77),'Curva Forward'!$B$5:$B$13,0),MATCH(FX$4,'Curva Forward'!$C$4:$AN$4,0))),CZ77)</f>
        <v>144000</v>
      </c>
      <c r="FY77" s="190">
        <f>AM77*AM$2*IF($FC77="V",1,-1)*IF($Q77="Fixo",(DA77-INDEX('Curva Forward'!$C$5:$AN$13,MATCH(CONCATENATE(BD_COMERCIAL!$K77," ",BD_COMERCIAL!$L77),'Curva Forward'!$B$5:$B$13,0),MATCH(FY$4,'Curva Forward'!$C$4:$AN$4,0))),DA77)</f>
        <v>148800</v>
      </c>
      <c r="FZ77" s="190">
        <f>AN77*AN$2*IF($FC77="V",1,-1)*IF($Q77="Fixo",(DB77-INDEX('Curva Forward'!$C$5:$AN$13,MATCH(CONCATENATE(BD_COMERCIAL!$K77," ",BD_COMERCIAL!$L77),'Curva Forward'!$B$5:$B$13,0),MATCH(FZ$4,'Curva Forward'!$C$4:$AN$4,0))),DB77)</f>
        <v>0</v>
      </c>
      <c r="GA77" s="190">
        <f>AO77*AO$2*IF($FC77="V",1,-1)*IF($Q77="Fixo",(DC77-INDEX('Curva Forward'!$C$5:$AN$13,MATCH(CONCATENATE(BD_COMERCIAL!$K77," ",BD_COMERCIAL!$L77),'Curva Forward'!$B$5:$B$13,0),MATCH(GA$4,'Curva Forward'!$C$4:$AN$4,0))),DC77)</f>
        <v>0</v>
      </c>
      <c r="GB77" s="190">
        <f>AP77*AP$2*IF($FC77="V",1,-1)*IF($Q77="Fixo",(DD77-INDEX('Curva Forward'!$C$5:$AN$13,MATCH(CONCATENATE(BD_COMERCIAL!$K77," ",BD_COMERCIAL!$L77),'Curva Forward'!$B$5:$B$13,0),MATCH(GB$4,'Curva Forward'!$C$4:$AN$4,0))),DD77)</f>
        <v>0</v>
      </c>
      <c r="GC77" s="190">
        <f>AQ77*AQ$2*IF($FC77="V",1,-1)*IF($Q77="Fixo",(DE77-INDEX('Curva Forward'!$C$5:$AN$13,MATCH(CONCATENATE(BD_COMERCIAL!$K77," ",BD_COMERCIAL!$L77),'Curva Forward'!$B$5:$B$13,0),MATCH(GC$4,'Curva Forward'!$C$4:$AN$4,0))),DE77)</f>
        <v>0</v>
      </c>
      <c r="GD77" s="190">
        <f>AR77*AR$2*IF($FC77="V",1,-1)*IF($Q77="Fixo",(DF77-INDEX('Curva Forward'!$C$5:$AN$13,MATCH(CONCATENATE(BD_COMERCIAL!$K77," ",BD_COMERCIAL!$L77),'Curva Forward'!$B$5:$B$13,0),MATCH(GD$4,'Curva Forward'!$C$4:$AN$4,0))),DF77)</f>
        <v>0</v>
      </c>
      <c r="GE77" s="190">
        <f>AS77*AS$2*IF($FC77="V",1,-1)*IF($Q77="Fixo",(DG77-INDEX('Curva Forward'!$C$5:$AN$13,MATCH(CONCATENATE(BD_COMERCIAL!$K77," ",BD_COMERCIAL!$L77),'Curva Forward'!$B$5:$B$13,0),MATCH(GE$4,'Curva Forward'!$C$4:$AN$4,0))),DG77)</f>
        <v>0</v>
      </c>
      <c r="GF77" s="190">
        <f>AT77*AT$2*IF($FC77="V",1,-1)*IF($Q77="Fixo",(DH77-INDEX('Curva Forward'!$C$5:$AN$13,MATCH(CONCATENATE(BD_COMERCIAL!$K77," ",BD_COMERCIAL!$L77),'Curva Forward'!$B$5:$B$13,0),MATCH(GF$4,'Curva Forward'!$C$4:$AN$4,0))),DH77)</f>
        <v>0</v>
      </c>
      <c r="GG77" s="190">
        <f>AU77*AU$2*IF($FC77="V",1,-1)*IF($Q77="Fixo",(DI77-INDEX('Curva Forward'!$C$5:$AN$13,MATCH(CONCATENATE(BD_COMERCIAL!$K77," ",BD_COMERCIAL!$L77),'Curva Forward'!$B$5:$B$13,0),MATCH(GG$4,'Curva Forward'!$C$4:$AN$4,0))),DI77)</f>
        <v>0</v>
      </c>
      <c r="GH77" s="190">
        <f>AV77*AV$2*IF($FC77="V",1,-1)*IF($Q77="Fixo",(DJ77-INDEX('Curva Forward'!$C$5:$AN$13,MATCH(CONCATENATE(BD_COMERCIAL!$K77," ",BD_COMERCIAL!$L77),'Curva Forward'!$B$5:$B$13,0),MATCH(GH$4,'Curva Forward'!$C$4:$AN$4,0))),DJ77)</f>
        <v>0</v>
      </c>
      <c r="GI77" s="190">
        <f>AW77*AW$2*IF($FC77="V",1,-1)*IF($Q77="Fixo",(DK77-INDEX('Curva Forward'!$C$5:$AN$13,MATCH(CONCATENATE(BD_COMERCIAL!$K77," ",BD_COMERCIAL!$L77),'Curva Forward'!$B$5:$B$13,0),MATCH(GI$4,'Curva Forward'!$C$4:$AN$4,0))),DK77)</f>
        <v>0</v>
      </c>
      <c r="GJ77" s="190">
        <f>AX77*AX$2*IF($FC77="V",1,-1)*IF($Q77="Fixo",(DL77-INDEX('Curva Forward'!$C$5:$AN$13,MATCH(CONCATENATE(BD_COMERCIAL!$K77," ",BD_COMERCIAL!$L77),'Curva Forward'!$B$5:$B$13,0),MATCH(GJ$4,'Curva Forward'!$C$4:$AN$4,0))),DL77)</f>
        <v>0</v>
      </c>
      <c r="GK77" s="190">
        <f>AY77*AY$2*IF($FC77="V",1,-1)*IF($Q77="Fixo",(DM77-INDEX('Curva Forward'!$C$5:$AN$13,MATCH(CONCATENATE(BD_COMERCIAL!$K77," ",BD_COMERCIAL!$L77),'Curva Forward'!$B$5:$B$13,0),MATCH(GK$4,'Curva Forward'!$C$4:$AN$4,0))),DM77)</f>
        <v>0</v>
      </c>
      <c r="GL77" s="190">
        <f>IF(EZ77="",0,CL77*CL$2*IF($FC77="V",1,-1)*IF($Q77="Fixo",(EZ77-INDEX('Curva Forward'!$C$5:$AN$13,MATCH(CONCATENATE(BD_COMERCIAL!$K77," ",BD_COMERCIAL!$L77),'Curva Forward'!$B$5:$B$13,0),MATCH(GL$4,'Curva Forward'!$C$4:$AN$4,0))),EZ77))</f>
        <v>0</v>
      </c>
      <c r="GM77" s="190">
        <f>IF(FA77="",0,CM77*CM$2*IF($FC77="V",1,-1)*IF($Q77="Fixo",(FA77-INDEX('Curva Forward'!$C$5:$AN$13,MATCH(CONCATENATE(BD_COMERCIAL!$K77," ",BD_COMERCIAL!$L77),'Curva Forward'!$B$5:$B$13,0),MATCH(GM$4,'Curva Forward'!$C$4:$AN$4,0))),FA77))</f>
        <v>0</v>
      </c>
      <c r="GN77" s="190">
        <f>IF(FB77="",0,CN77*CN$2*IF($FC77="V",1,-1)*IF($Q77="Fixo",(FB77-INDEX('Curva Forward'!$C$5:$AN$13,MATCH(CONCATENATE(BD_COMERCIAL!$K77," ",BD_COMERCIAL!$L77),'Curva Forward'!$B$5:$B$13,0),MATCH(GN$4,'Curva Forward'!$C$4:$AN$4,0))),FB77))</f>
        <v>0</v>
      </c>
      <c r="GO77" s="191">
        <f t="shared" ca="1" si="18"/>
        <v>441600</v>
      </c>
      <c r="GP77" s="191">
        <f t="shared" ca="1" si="19"/>
        <v>0</v>
      </c>
      <c r="GQ77" s="115"/>
      <c r="GR77" s="115"/>
      <c r="GS77"/>
      <c r="GT77" s="65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</row>
    <row r="78" spans="1:236" s="265" customFormat="1" ht="15" customHeight="1" x14ac:dyDescent="0.35">
      <c r="A78" s="251"/>
      <c r="B78" s="7" t="s">
        <v>434</v>
      </c>
      <c r="C78" s="8">
        <v>44851</v>
      </c>
      <c r="D78" s="9" t="s">
        <v>130</v>
      </c>
      <c r="E78" s="9" t="s">
        <v>188</v>
      </c>
      <c r="F78" s="112" t="s">
        <v>433</v>
      </c>
      <c r="G78" s="10" t="s">
        <v>381</v>
      </c>
      <c r="H78" s="112" t="s">
        <v>348</v>
      </c>
      <c r="I78" s="9" t="s">
        <v>125</v>
      </c>
      <c r="J78" s="158" t="s">
        <v>438</v>
      </c>
      <c r="K78" s="10" t="s">
        <v>126</v>
      </c>
      <c r="L78" s="84" t="s">
        <v>22</v>
      </c>
      <c r="M78" s="11">
        <v>45108</v>
      </c>
      <c r="N78" s="12">
        <v>45199</v>
      </c>
      <c r="O78" s="10">
        <v>5</v>
      </c>
      <c r="P78" s="84">
        <v>115</v>
      </c>
      <c r="Q78" s="84" t="s">
        <v>127</v>
      </c>
      <c r="R78" s="10" t="s">
        <v>128</v>
      </c>
      <c r="S78" s="14" t="s">
        <v>133</v>
      </c>
      <c r="T78" s="11"/>
      <c r="U78" s="12"/>
      <c r="V78" s="202" t="str">
        <f ca="1">IF(U78="","",
IF(U78="NA","",
IFERROR(VLOOKUP(EOMONTH(M78,-2)+1,IPCA!$A:$B,2,0),
VLOOKUP(EOMONTH(TODAY(),-2)+1,IPCA!$A:$B,2,0))/
VLOOKUP(EOMONTH(U78,-2)+1,IPCA!$A:$B,2,0)*
P78))</f>
        <v/>
      </c>
      <c r="W78" s="84"/>
      <c r="X78" s="13" t="s">
        <v>132</v>
      </c>
      <c r="Y78" s="158"/>
      <c r="Z78" s="106"/>
      <c r="AA78" s="107"/>
      <c r="AB78" s="15"/>
      <c r="AC78"/>
      <c r="AD78"/>
      <c r="AE78"/>
      <c r="AF78"/>
      <c r="AG78"/>
      <c r="AH78">
        <v>5</v>
      </c>
      <c r="AI78">
        <v>5</v>
      </c>
      <c r="AJ78">
        <v>5</v>
      </c>
      <c r="AK78"/>
      <c r="AL78"/>
      <c r="AM78" s="6"/>
      <c r="AN78" s="15"/>
      <c r="AO78"/>
      <c r="AP78"/>
      <c r="AQ78"/>
      <c r="AR78"/>
      <c r="AS78"/>
      <c r="AT78"/>
      <c r="AU78"/>
      <c r="AV78"/>
      <c r="AW78"/>
      <c r="AX78"/>
      <c r="AY78" s="6"/>
      <c r="AZ78" s="15"/>
      <c r="BA78"/>
      <c r="BB78"/>
      <c r="BC78"/>
      <c r="BD78"/>
      <c r="BE78"/>
      <c r="BF78"/>
      <c r="BG78"/>
      <c r="BH78"/>
      <c r="BI78"/>
      <c r="BJ78"/>
      <c r="BK78" s="6"/>
      <c r="BL78" s="15"/>
      <c r="BM78"/>
      <c r="BN78"/>
      <c r="BO78"/>
      <c r="BP78"/>
      <c r="BQ78"/>
      <c r="BR78"/>
      <c r="BS78"/>
      <c r="BT78"/>
      <c r="BU78"/>
      <c r="BV78"/>
      <c r="BW78" s="6"/>
      <c r="BX78" s="15"/>
      <c r="BY78"/>
      <c r="BZ78"/>
      <c r="CA78"/>
      <c r="CB78"/>
      <c r="CC78"/>
      <c r="CD78"/>
      <c r="CE78"/>
      <c r="CF78"/>
      <c r="CG78"/>
      <c r="CH78"/>
      <c r="CI78" s="6"/>
      <c r="CJ78" s="16">
        <v>1.2602739726027397</v>
      </c>
      <c r="CK78" s="16" t="s">
        <v>578</v>
      </c>
      <c r="CL78" s="16" t="s">
        <v>578</v>
      </c>
      <c r="CM78" s="16" t="s">
        <v>578</v>
      </c>
      <c r="CN78" s="16" t="s">
        <v>578</v>
      </c>
      <c r="CO78" s="18"/>
      <c r="CP78" s="15"/>
      <c r="CQ78"/>
      <c r="CR78"/>
      <c r="CS78"/>
      <c r="CT78"/>
      <c r="CU78"/>
      <c r="CV78">
        <v>115</v>
      </c>
      <c r="CW78">
        <v>115</v>
      </c>
      <c r="CX78">
        <v>115</v>
      </c>
      <c r="CY78"/>
      <c r="CZ78"/>
      <c r="DA78" s="6"/>
      <c r="DB78" s="15"/>
      <c r="DC78"/>
      <c r="DD78"/>
      <c r="DE78"/>
      <c r="DF78"/>
      <c r="DG78"/>
      <c r="DH78"/>
      <c r="DI78"/>
      <c r="DJ78"/>
      <c r="DK78"/>
      <c r="DL78"/>
      <c r="DM78" s="6"/>
      <c r="DN78" s="15"/>
      <c r="DO78"/>
      <c r="DP78"/>
      <c r="DQ78"/>
      <c r="DR78"/>
      <c r="DS78"/>
      <c r="DT78"/>
      <c r="DU78"/>
      <c r="DV78"/>
      <c r="DW78"/>
      <c r="DX78"/>
      <c r="DY78" s="6"/>
      <c r="DZ78" s="15"/>
      <c r="EA78"/>
      <c r="EB78"/>
      <c r="EC78"/>
      <c r="ED78"/>
      <c r="EE78"/>
      <c r="EF78"/>
      <c r="EG78"/>
      <c r="EH78"/>
      <c r="EI78"/>
      <c r="EJ78"/>
      <c r="EK78" s="6"/>
      <c r="EL78" s="15"/>
      <c r="EM78"/>
      <c r="EN78"/>
      <c r="EO78"/>
      <c r="EP78"/>
      <c r="EQ78"/>
      <c r="ER78"/>
      <c r="ES78"/>
      <c r="ET78"/>
      <c r="EU78"/>
      <c r="EV78"/>
      <c r="EW78" s="6"/>
      <c r="EX78" s="16">
        <v>28.986301369863014</v>
      </c>
      <c r="EY78" s="16" t="s">
        <v>578</v>
      </c>
      <c r="EZ78" s="16" t="s">
        <v>578</v>
      </c>
      <c r="FA78" s="154" t="s">
        <v>578</v>
      </c>
      <c r="FB78" s="154" t="s">
        <v>578</v>
      </c>
      <c r="FC78" t="s">
        <v>196</v>
      </c>
      <c r="FD78" s="20" t="s">
        <v>125</v>
      </c>
      <c r="FE78"/>
      <c r="FF78" s="199" t="s">
        <v>197</v>
      </c>
      <c r="FG78"/>
      <c r="FH78" s="206">
        <f t="shared" ca="1" si="13"/>
        <v>0</v>
      </c>
      <c r="FI78" s="198">
        <f t="shared" si="14"/>
        <v>3.0333333333333332</v>
      </c>
      <c r="FJ78"/>
      <c r="FK78" t="str">
        <f t="shared" si="15"/>
        <v>Atmo Comercializadora de Energia Ltda</v>
      </c>
      <c r="FL78" s="191">
        <f t="shared" ca="1" si="16"/>
        <v>0</v>
      </c>
      <c r="FM78" s="191">
        <f t="shared" ca="1" si="17"/>
        <v>-463680</v>
      </c>
      <c r="FN78" s="190">
        <f>AB78*AB$2*IF($FC78="V",1,-1)*IF($Q78="Fixo",(CP78-INDEX('Curva Forward'!$C$5:$AN$13,MATCH(CONCATENATE(BD_COMERCIAL!$K78," ",BD_COMERCIAL!$L78),'Curva Forward'!$B$5:$B$13,0),MATCH(FN$4,'Curva Forward'!$C$4:$AN$4,0))),CP78)</f>
        <v>0</v>
      </c>
      <c r="FO78" s="190">
        <f>AC78*AC$2*IF($FC78="V",1,-1)*IF($Q78="Fixo",(CQ78-INDEX('Curva Forward'!$C$5:$AN$13,MATCH(CONCATENATE(BD_COMERCIAL!$K78," ",BD_COMERCIAL!$L78),'Curva Forward'!$B$5:$B$13,0),MATCH(FO$4,'Curva Forward'!$C$4:$AN$4,0))),CQ78)</f>
        <v>0</v>
      </c>
      <c r="FP78" s="190">
        <f>AD78*AD$2*IF($FC78="V",1,-1)*IF($Q78="Fixo",(CR78-INDEX('Curva Forward'!$C$5:$AN$13,MATCH(CONCATENATE(BD_COMERCIAL!$K78," ",BD_COMERCIAL!$L78),'Curva Forward'!$B$5:$B$13,0),MATCH(FP$4,'Curva Forward'!$C$4:$AN$4,0))),CR78)</f>
        <v>0</v>
      </c>
      <c r="FQ78" s="190">
        <f>AE78*AE$2*IF($FC78="V",1,-1)*IF($Q78="Fixo",(CS78-INDEX('Curva Forward'!$C$5:$AN$13,MATCH(CONCATENATE(BD_COMERCIAL!$K78," ",BD_COMERCIAL!$L78),'Curva Forward'!$B$5:$B$13,0),MATCH(FQ$4,'Curva Forward'!$C$4:$AN$4,0))),CS78)</f>
        <v>0</v>
      </c>
      <c r="FR78" s="190">
        <f>AF78*AF$2*IF($FC78="V",1,-1)*IF($Q78="Fixo",(CT78-INDEX('Curva Forward'!$C$5:$AN$13,MATCH(CONCATENATE(BD_COMERCIAL!$K78," ",BD_COMERCIAL!$L78),'Curva Forward'!$B$5:$B$13,0),MATCH(FR$4,'Curva Forward'!$C$4:$AN$4,0))),CT78)</f>
        <v>0</v>
      </c>
      <c r="FS78" s="190">
        <f>AG78*AG$2*IF($FC78="V",1,-1)*IF($Q78="Fixo",(CU78-INDEX('Curva Forward'!$C$5:$AN$13,MATCH(CONCATENATE(BD_COMERCIAL!$K78," ",BD_COMERCIAL!$L78),'Curva Forward'!$B$5:$B$13,0),MATCH(FS$4,'Curva Forward'!$C$4:$AN$4,0))),CU78)</f>
        <v>0</v>
      </c>
      <c r="FT78" s="190">
        <f>AH78*AH$2*IF($FC78="V",1,-1)*IF($Q78="Fixo",(CV78-INDEX('Curva Forward'!$C$5:$AN$13,MATCH(CONCATENATE(BD_COMERCIAL!$K78," ",BD_COMERCIAL!$L78),'Curva Forward'!$B$5:$B$13,0),MATCH(FT$4,'Curva Forward'!$C$4:$AN$4,0))),CV78)</f>
        <v>-156240</v>
      </c>
      <c r="FU78" s="190">
        <f>AI78*AI$2*IF($FC78="V",1,-1)*IF($Q78="Fixo",(CW78-INDEX('Curva Forward'!$C$5:$AN$13,MATCH(CONCATENATE(BD_COMERCIAL!$K78," ",BD_COMERCIAL!$L78),'Curva Forward'!$B$5:$B$13,0),MATCH(FU$4,'Curva Forward'!$C$4:$AN$4,0))),CW78)</f>
        <v>-156240</v>
      </c>
      <c r="FV78" s="190">
        <f>AJ78*AJ$2*IF($FC78="V",1,-1)*IF($Q78="Fixo",(CX78-INDEX('Curva Forward'!$C$5:$AN$13,MATCH(CONCATENATE(BD_COMERCIAL!$K78," ",BD_COMERCIAL!$L78),'Curva Forward'!$B$5:$B$13,0),MATCH(FV$4,'Curva Forward'!$C$4:$AN$4,0))),CX78)</f>
        <v>-151200</v>
      </c>
      <c r="FW78" s="190">
        <f>AK78*AK$2*IF($FC78="V",1,-1)*IF($Q78="Fixo",(CY78-INDEX('Curva Forward'!$C$5:$AN$13,MATCH(CONCATENATE(BD_COMERCIAL!$K78," ",BD_COMERCIAL!$L78),'Curva Forward'!$B$5:$B$13,0),MATCH(FW$4,'Curva Forward'!$C$4:$AN$4,0))),CY78)</f>
        <v>0</v>
      </c>
      <c r="FX78" s="190">
        <f>AL78*AL$2*IF($FC78="V",1,-1)*IF($Q78="Fixo",(CZ78-INDEX('Curva Forward'!$C$5:$AN$13,MATCH(CONCATENATE(BD_COMERCIAL!$K78," ",BD_COMERCIAL!$L78),'Curva Forward'!$B$5:$B$13,0),MATCH(FX$4,'Curva Forward'!$C$4:$AN$4,0))),CZ78)</f>
        <v>0</v>
      </c>
      <c r="FY78" s="190">
        <f>AM78*AM$2*IF($FC78="V",1,-1)*IF($Q78="Fixo",(DA78-INDEX('Curva Forward'!$C$5:$AN$13,MATCH(CONCATENATE(BD_COMERCIAL!$K78," ",BD_COMERCIAL!$L78),'Curva Forward'!$B$5:$B$13,0),MATCH(FY$4,'Curva Forward'!$C$4:$AN$4,0))),DA78)</f>
        <v>0</v>
      </c>
      <c r="FZ78" s="190">
        <f>AN78*AN$2*IF($FC78="V",1,-1)*IF($Q78="Fixo",(DB78-INDEX('Curva Forward'!$C$5:$AN$13,MATCH(CONCATENATE(BD_COMERCIAL!$K78," ",BD_COMERCIAL!$L78),'Curva Forward'!$B$5:$B$13,0),MATCH(FZ$4,'Curva Forward'!$C$4:$AN$4,0))),DB78)</f>
        <v>0</v>
      </c>
      <c r="GA78" s="190">
        <f>AO78*AO$2*IF($FC78="V",1,-1)*IF($Q78="Fixo",(DC78-INDEX('Curva Forward'!$C$5:$AN$13,MATCH(CONCATENATE(BD_COMERCIAL!$K78," ",BD_COMERCIAL!$L78),'Curva Forward'!$B$5:$B$13,0),MATCH(GA$4,'Curva Forward'!$C$4:$AN$4,0))),DC78)</f>
        <v>0</v>
      </c>
      <c r="GB78" s="190">
        <f>AP78*AP$2*IF($FC78="V",1,-1)*IF($Q78="Fixo",(DD78-INDEX('Curva Forward'!$C$5:$AN$13,MATCH(CONCATENATE(BD_COMERCIAL!$K78," ",BD_COMERCIAL!$L78),'Curva Forward'!$B$5:$B$13,0),MATCH(GB$4,'Curva Forward'!$C$4:$AN$4,0))),DD78)</f>
        <v>0</v>
      </c>
      <c r="GC78" s="190">
        <f>AQ78*AQ$2*IF($FC78="V",1,-1)*IF($Q78="Fixo",(DE78-INDEX('Curva Forward'!$C$5:$AN$13,MATCH(CONCATENATE(BD_COMERCIAL!$K78," ",BD_COMERCIAL!$L78),'Curva Forward'!$B$5:$B$13,0),MATCH(GC$4,'Curva Forward'!$C$4:$AN$4,0))),DE78)</f>
        <v>0</v>
      </c>
      <c r="GD78" s="190">
        <f>AR78*AR$2*IF($FC78="V",1,-1)*IF($Q78="Fixo",(DF78-INDEX('Curva Forward'!$C$5:$AN$13,MATCH(CONCATENATE(BD_COMERCIAL!$K78," ",BD_COMERCIAL!$L78),'Curva Forward'!$B$5:$B$13,0),MATCH(GD$4,'Curva Forward'!$C$4:$AN$4,0))),DF78)</f>
        <v>0</v>
      </c>
      <c r="GE78" s="190">
        <f>AS78*AS$2*IF($FC78="V",1,-1)*IF($Q78="Fixo",(DG78-INDEX('Curva Forward'!$C$5:$AN$13,MATCH(CONCATENATE(BD_COMERCIAL!$K78," ",BD_COMERCIAL!$L78),'Curva Forward'!$B$5:$B$13,0),MATCH(GE$4,'Curva Forward'!$C$4:$AN$4,0))),DG78)</f>
        <v>0</v>
      </c>
      <c r="GF78" s="190">
        <f>AT78*AT$2*IF($FC78="V",1,-1)*IF($Q78="Fixo",(DH78-INDEX('Curva Forward'!$C$5:$AN$13,MATCH(CONCATENATE(BD_COMERCIAL!$K78," ",BD_COMERCIAL!$L78),'Curva Forward'!$B$5:$B$13,0),MATCH(GF$4,'Curva Forward'!$C$4:$AN$4,0))),DH78)</f>
        <v>0</v>
      </c>
      <c r="GG78" s="190">
        <f>AU78*AU$2*IF($FC78="V",1,-1)*IF($Q78="Fixo",(DI78-INDEX('Curva Forward'!$C$5:$AN$13,MATCH(CONCATENATE(BD_COMERCIAL!$K78," ",BD_COMERCIAL!$L78),'Curva Forward'!$B$5:$B$13,0),MATCH(GG$4,'Curva Forward'!$C$4:$AN$4,0))),DI78)</f>
        <v>0</v>
      </c>
      <c r="GH78" s="190">
        <f>AV78*AV$2*IF($FC78="V",1,-1)*IF($Q78="Fixo",(DJ78-INDEX('Curva Forward'!$C$5:$AN$13,MATCH(CONCATENATE(BD_COMERCIAL!$K78," ",BD_COMERCIAL!$L78),'Curva Forward'!$B$5:$B$13,0),MATCH(GH$4,'Curva Forward'!$C$4:$AN$4,0))),DJ78)</f>
        <v>0</v>
      </c>
      <c r="GI78" s="190">
        <f>AW78*AW$2*IF($FC78="V",1,-1)*IF($Q78="Fixo",(DK78-INDEX('Curva Forward'!$C$5:$AN$13,MATCH(CONCATENATE(BD_COMERCIAL!$K78," ",BD_COMERCIAL!$L78),'Curva Forward'!$B$5:$B$13,0),MATCH(GI$4,'Curva Forward'!$C$4:$AN$4,0))),DK78)</f>
        <v>0</v>
      </c>
      <c r="GJ78" s="190">
        <f>AX78*AX$2*IF($FC78="V",1,-1)*IF($Q78="Fixo",(DL78-INDEX('Curva Forward'!$C$5:$AN$13,MATCH(CONCATENATE(BD_COMERCIAL!$K78," ",BD_COMERCIAL!$L78),'Curva Forward'!$B$5:$B$13,0),MATCH(GJ$4,'Curva Forward'!$C$4:$AN$4,0))),DL78)</f>
        <v>0</v>
      </c>
      <c r="GK78" s="190">
        <f>AY78*AY$2*IF($FC78="V",1,-1)*IF($Q78="Fixo",(DM78-INDEX('Curva Forward'!$C$5:$AN$13,MATCH(CONCATENATE(BD_COMERCIAL!$K78," ",BD_COMERCIAL!$L78),'Curva Forward'!$B$5:$B$13,0),MATCH(GK$4,'Curva Forward'!$C$4:$AN$4,0))),DM78)</f>
        <v>0</v>
      </c>
      <c r="GL78" s="190">
        <f>IF(EZ78="",0,CL78*CL$2*IF($FC78="V",1,-1)*IF($Q78="Fixo",(EZ78-INDEX('Curva Forward'!$C$5:$AN$13,MATCH(CONCATENATE(BD_COMERCIAL!$K78," ",BD_COMERCIAL!$L78),'Curva Forward'!$B$5:$B$13,0),MATCH(GL$4,'Curva Forward'!$C$4:$AN$4,0))),EZ78))</f>
        <v>0</v>
      </c>
      <c r="GM78" s="190">
        <f>IF(FA78="",0,CM78*CM$2*IF($FC78="V",1,-1)*IF($Q78="Fixo",(FA78-INDEX('Curva Forward'!$C$5:$AN$13,MATCH(CONCATENATE(BD_COMERCIAL!$K78," ",BD_COMERCIAL!$L78),'Curva Forward'!$B$5:$B$13,0),MATCH(GM$4,'Curva Forward'!$C$4:$AN$4,0))),FA78))</f>
        <v>0</v>
      </c>
      <c r="GN78" s="190">
        <f>IF(FB78="",0,CN78*CN$2*IF($FC78="V",1,-1)*IF($Q78="Fixo",(FB78-INDEX('Curva Forward'!$C$5:$AN$13,MATCH(CONCATENATE(BD_COMERCIAL!$K78," ",BD_COMERCIAL!$L78),'Curva Forward'!$B$5:$B$13,0),MATCH(GN$4,'Curva Forward'!$C$4:$AN$4,0))),FB78))</f>
        <v>0</v>
      </c>
      <c r="GO78" s="191">
        <f t="shared" ca="1" si="18"/>
        <v>0</v>
      </c>
      <c r="GP78" s="191">
        <f t="shared" ca="1" si="19"/>
        <v>-463680</v>
      </c>
      <c r="GQ78" s="115"/>
      <c r="GR78" s="115"/>
      <c r="GS78"/>
      <c r="GT78" s="65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</row>
    <row r="79" spans="1:236" s="265" customFormat="1" ht="15" customHeight="1" x14ac:dyDescent="0.35">
      <c r="A79" s="251"/>
      <c r="B79" s="7" t="s">
        <v>435</v>
      </c>
      <c r="C79" s="8">
        <v>44852</v>
      </c>
      <c r="D79" s="9" t="s">
        <v>130</v>
      </c>
      <c r="E79" s="9" t="s">
        <v>304</v>
      </c>
      <c r="F79" s="112" t="s">
        <v>351</v>
      </c>
      <c r="G79" s="10" t="s">
        <v>381</v>
      </c>
      <c r="H79" s="112" t="s">
        <v>348</v>
      </c>
      <c r="I79" s="9" t="s">
        <v>125</v>
      </c>
      <c r="J79" s="158" t="s">
        <v>416</v>
      </c>
      <c r="K79" s="10" t="s">
        <v>126</v>
      </c>
      <c r="L79" s="84" t="s">
        <v>22</v>
      </c>
      <c r="M79" s="11">
        <v>45261</v>
      </c>
      <c r="N79" s="12">
        <v>45291</v>
      </c>
      <c r="O79" s="10">
        <v>10</v>
      </c>
      <c r="P79" s="84">
        <v>106.1</v>
      </c>
      <c r="Q79" s="84" t="s">
        <v>127</v>
      </c>
      <c r="R79" s="10" t="s">
        <v>128</v>
      </c>
      <c r="S79" s="14" t="s">
        <v>133</v>
      </c>
      <c r="T79" s="11"/>
      <c r="U79" s="12"/>
      <c r="V79" s="202" t="str">
        <f ca="1">IF(U79="","",
IF(U79="NA","",
IFERROR(VLOOKUP(EOMONTH(M79,-2)+1,IPCA!$A:$B,2,0),
VLOOKUP(EOMONTH(TODAY(),-2)+1,IPCA!$A:$B,2,0))/
VLOOKUP(EOMONTH(U79,-2)+1,IPCA!$A:$B,2,0)*
P79))</f>
        <v/>
      </c>
      <c r="W79" s="84"/>
      <c r="X79" s="13" t="s">
        <v>132</v>
      </c>
      <c r="Y79" s="158"/>
      <c r="Z79" s="106"/>
      <c r="AA79" s="107"/>
      <c r="AB79" s="15"/>
      <c r="AC79"/>
      <c r="AD79"/>
      <c r="AE79"/>
      <c r="AF79"/>
      <c r="AG79"/>
      <c r="AH79"/>
      <c r="AI79"/>
      <c r="AJ79"/>
      <c r="AK79"/>
      <c r="AL79"/>
      <c r="AM79" s="6">
        <v>10</v>
      </c>
      <c r="AN79" s="15"/>
      <c r="AO79"/>
      <c r="AP79"/>
      <c r="AQ79"/>
      <c r="AR79"/>
      <c r="AS79"/>
      <c r="AT79"/>
      <c r="AU79"/>
      <c r="AV79"/>
      <c r="AW79"/>
      <c r="AX79"/>
      <c r="AY79" s="6"/>
      <c r="AZ79" s="15"/>
      <c r="BA79"/>
      <c r="BB79"/>
      <c r="BC79"/>
      <c r="BD79"/>
      <c r="BE79"/>
      <c r="BF79"/>
      <c r="BG79"/>
      <c r="BH79"/>
      <c r="BI79"/>
      <c r="BJ79"/>
      <c r="BK79" s="6"/>
      <c r="BL79" s="15"/>
      <c r="BM79"/>
      <c r="BN79"/>
      <c r="BO79"/>
      <c r="BP79"/>
      <c r="BQ79"/>
      <c r="BR79"/>
      <c r="BS79"/>
      <c r="BT79"/>
      <c r="BU79"/>
      <c r="BV79"/>
      <c r="BW79" s="6"/>
      <c r="BX79" s="15"/>
      <c r="BY79"/>
      <c r="BZ79"/>
      <c r="CA79"/>
      <c r="CB79"/>
      <c r="CC79"/>
      <c r="CD79"/>
      <c r="CE79"/>
      <c r="CF79"/>
      <c r="CG79"/>
      <c r="CH79"/>
      <c r="CI79" s="6"/>
      <c r="CJ79" s="16">
        <v>0.84931506849315064</v>
      </c>
      <c r="CK79" s="16" t="s">
        <v>578</v>
      </c>
      <c r="CL79" s="16" t="s">
        <v>578</v>
      </c>
      <c r="CM79" s="16" t="s">
        <v>578</v>
      </c>
      <c r="CN79" s="16" t="s">
        <v>578</v>
      </c>
      <c r="CO79" s="18"/>
      <c r="CP79" s="15"/>
      <c r="CQ79"/>
      <c r="CR79"/>
      <c r="CS79"/>
      <c r="CT79"/>
      <c r="CU79"/>
      <c r="CV79"/>
      <c r="CW79"/>
      <c r="CX79"/>
      <c r="CY79"/>
      <c r="CZ79"/>
      <c r="DA79" s="6">
        <v>106.1</v>
      </c>
      <c r="DB79" s="15"/>
      <c r="DC79"/>
      <c r="DD79"/>
      <c r="DE79"/>
      <c r="DF79"/>
      <c r="DG79"/>
      <c r="DH79"/>
      <c r="DI79"/>
      <c r="DJ79"/>
      <c r="DK79"/>
      <c r="DL79"/>
      <c r="DM79" s="6"/>
      <c r="DN79" s="15"/>
      <c r="DO79"/>
      <c r="DP79"/>
      <c r="DQ79"/>
      <c r="DR79"/>
      <c r="DS79"/>
      <c r="DT79"/>
      <c r="DU79"/>
      <c r="DV79"/>
      <c r="DW79"/>
      <c r="DX79"/>
      <c r="DY79" s="6"/>
      <c r="DZ79" s="15"/>
      <c r="EA79"/>
      <c r="EB79"/>
      <c r="EC79"/>
      <c r="ED79"/>
      <c r="EE79"/>
      <c r="EF79"/>
      <c r="EG79"/>
      <c r="EH79"/>
      <c r="EI79"/>
      <c r="EJ79"/>
      <c r="EK79" s="6"/>
      <c r="EL79" s="15"/>
      <c r="EM79"/>
      <c r="EN79"/>
      <c r="EO79"/>
      <c r="EP79"/>
      <c r="EQ79"/>
      <c r="ER79"/>
      <c r="ES79"/>
      <c r="ET79"/>
      <c r="EU79"/>
      <c r="EV79"/>
      <c r="EW79" s="6"/>
      <c r="EX79" s="16">
        <v>9.0112328767123273</v>
      </c>
      <c r="EY79" s="16" t="s">
        <v>578</v>
      </c>
      <c r="EZ79" s="16" t="s">
        <v>578</v>
      </c>
      <c r="FA79" s="154" t="s">
        <v>578</v>
      </c>
      <c r="FB79" s="154" t="s">
        <v>578</v>
      </c>
      <c r="FC79" t="s">
        <v>196</v>
      </c>
      <c r="FD79" s="20" t="s">
        <v>125</v>
      </c>
      <c r="FE79"/>
      <c r="FF79" s="199" t="s">
        <v>197</v>
      </c>
      <c r="FG79"/>
      <c r="FH79" s="206">
        <f t="shared" ca="1" si="13"/>
        <v>0</v>
      </c>
      <c r="FI79" s="198">
        <f t="shared" si="14"/>
        <v>1</v>
      </c>
      <c r="FJ79"/>
      <c r="FK79" t="str">
        <f t="shared" si="15"/>
        <v>GERDAU AÇOS LONGOS S.A. - Filial</v>
      </c>
      <c r="FL79" s="191">
        <f t="shared" ca="1" si="16"/>
        <v>0</v>
      </c>
      <c r="FM79" s="191">
        <f t="shared" ca="1" si="17"/>
        <v>-231383.99999999997</v>
      </c>
      <c r="FN79" s="190">
        <f>AB79*AB$2*IF($FC79="V",1,-1)*IF($Q79="Fixo",(CP79-INDEX('Curva Forward'!$C$5:$AN$13,MATCH(CONCATENATE(BD_COMERCIAL!$K79," ",BD_COMERCIAL!$L79),'Curva Forward'!$B$5:$B$13,0),MATCH(FN$4,'Curva Forward'!$C$4:$AN$4,0))),CP79)</f>
        <v>0</v>
      </c>
      <c r="FO79" s="190">
        <f>AC79*AC$2*IF($FC79="V",1,-1)*IF($Q79="Fixo",(CQ79-INDEX('Curva Forward'!$C$5:$AN$13,MATCH(CONCATENATE(BD_COMERCIAL!$K79," ",BD_COMERCIAL!$L79),'Curva Forward'!$B$5:$B$13,0),MATCH(FO$4,'Curva Forward'!$C$4:$AN$4,0))),CQ79)</f>
        <v>0</v>
      </c>
      <c r="FP79" s="190">
        <f>AD79*AD$2*IF($FC79="V",1,-1)*IF($Q79="Fixo",(CR79-INDEX('Curva Forward'!$C$5:$AN$13,MATCH(CONCATENATE(BD_COMERCIAL!$K79," ",BD_COMERCIAL!$L79),'Curva Forward'!$B$5:$B$13,0),MATCH(FP$4,'Curva Forward'!$C$4:$AN$4,0))),CR79)</f>
        <v>0</v>
      </c>
      <c r="FQ79" s="190">
        <f>AE79*AE$2*IF($FC79="V",1,-1)*IF($Q79="Fixo",(CS79-INDEX('Curva Forward'!$C$5:$AN$13,MATCH(CONCATENATE(BD_COMERCIAL!$K79," ",BD_COMERCIAL!$L79),'Curva Forward'!$B$5:$B$13,0),MATCH(FQ$4,'Curva Forward'!$C$4:$AN$4,0))),CS79)</f>
        <v>0</v>
      </c>
      <c r="FR79" s="190">
        <f>AF79*AF$2*IF($FC79="V",1,-1)*IF($Q79="Fixo",(CT79-INDEX('Curva Forward'!$C$5:$AN$13,MATCH(CONCATENATE(BD_COMERCIAL!$K79," ",BD_COMERCIAL!$L79),'Curva Forward'!$B$5:$B$13,0),MATCH(FR$4,'Curva Forward'!$C$4:$AN$4,0))),CT79)</f>
        <v>0</v>
      </c>
      <c r="FS79" s="190">
        <f>AG79*AG$2*IF($FC79="V",1,-1)*IF($Q79="Fixo",(CU79-INDEX('Curva Forward'!$C$5:$AN$13,MATCH(CONCATENATE(BD_COMERCIAL!$K79," ",BD_COMERCIAL!$L79),'Curva Forward'!$B$5:$B$13,0),MATCH(FS$4,'Curva Forward'!$C$4:$AN$4,0))),CU79)</f>
        <v>0</v>
      </c>
      <c r="FT79" s="190">
        <f>AH79*AH$2*IF($FC79="V",1,-1)*IF($Q79="Fixo",(CV79-INDEX('Curva Forward'!$C$5:$AN$13,MATCH(CONCATENATE(BD_COMERCIAL!$K79," ",BD_COMERCIAL!$L79),'Curva Forward'!$B$5:$B$13,0),MATCH(FT$4,'Curva Forward'!$C$4:$AN$4,0))),CV79)</f>
        <v>0</v>
      </c>
      <c r="FU79" s="190">
        <f>AI79*AI$2*IF($FC79="V",1,-1)*IF($Q79="Fixo",(CW79-INDEX('Curva Forward'!$C$5:$AN$13,MATCH(CONCATENATE(BD_COMERCIAL!$K79," ",BD_COMERCIAL!$L79),'Curva Forward'!$B$5:$B$13,0),MATCH(FU$4,'Curva Forward'!$C$4:$AN$4,0))),CW79)</f>
        <v>0</v>
      </c>
      <c r="FV79" s="190">
        <f>AJ79*AJ$2*IF($FC79="V",1,-1)*IF($Q79="Fixo",(CX79-INDEX('Curva Forward'!$C$5:$AN$13,MATCH(CONCATENATE(BD_COMERCIAL!$K79," ",BD_COMERCIAL!$L79),'Curva Forward'!$B$5:$B$13,0),MATCH(FV$4,'Curva Forward'!$C$4:$AN$4,0))),CX79)</f>
        <v>0</v>
      </c>
      <c r="FW79" s="190">
        <f>AK79*AK$2*IF($FC79="V",1,-1)*IF($Q79="Fixo",(CY79-INDEX('Curva Forward'!$C$5:$AN$13,MATCH(CONCATENATE(BD_COMERCIAL!$K79," ",BD_COMERCIAL!$L79),'Curva Forward'!$B$5:$B$13,0),MATCH(FW$4,'Curva Forward'!$C$4:$AN$4,0))),CY79)</f>
        <v>0</v>
      </c>
      <c r="FX79" s="190">
        <f>AL79*AL$2*IF($FC79="V",1,-1)*IF($Q79="Fixo",(CZ79-INDEX('Curva Forward'!$C$5:$AN$13,MATCH(CONCATENATE(BD_COMERCIAL!$K79," ",BD_COMERCIAL!$L79),'Curva Forward'!$B$5:$B$13,0),MATCH(FX$4,'Curva Forward'!$C$4:$AN$4,0))),CZ79)</f>
        <v>0</v>
      </c>
      <c r="FY79" s="190">
        <f>AM79*AM$2*IF($FC79="V",1,-1)*IF($Q79="Fixo",(DA79-INDEX('Curva Forward'!$C$5:$AN$13,MATCH(CONCATENATE(BD_COMERCIAL!$K79," ",BD_COMERCIAL!$L79),'Curva Forward'!$B$5:$B$13,0),MATCH(FY$4,'Curva Forward'!$C$4:$AN$4,0))),DA79)</f>
        <v>-231383.99999999997</v>
      </c>
      <c r="FZ79" s="190">
        <f>AN79*AN$2*IF($FC79="V",1,-1)*IF($Q79="Fixo",(DB79-INDEX('Curva Forward'!$C$5:$AN$13,MATCH(CONCATENATE(BD_COMERCIAL!$K79," ",BD_COMERCIAL!$L79),'Curva Forward'!$B$5:$B$13,0),MATCH(FZ$4,'Curva Forward'!$C$4:$AN$4,0))),DB79)</f>
        <v>0</v>
      </c>
      <c r="GA79" s="190">
        <f>AO79*AO$2*IF($FC79="V",1,-1)*IF($Q79="Fixo",(DC79-INDEX('Curva Forward'!$C$5:$AN$13,MATCH(CONCATENATE(BD_COMERCIAL!$K79," ",BD_COMERCIAL!$L79),'Curva Forward'!$B$5:$B$13,0),MATCH(GA$4,'Curva Forward'!$C$4:$AN$4,0))),DC79)</f>
        <v>0</v>
      </c>
      <c r="GB79" s="190">
        <f>AP79*AP$2*IF($FC79="V",1,-1)*IF($Q79="Fixo",(DD79-INDEX('Curva Forward'!$C$5:$AN$13,MATCH(CONCATENATE(BD_COMERCIAL!$K79," ",BD_COMERCIAL!$L79),'Curva Forward'!$B$5:$B$13,0),MATCH(GB$4,'Curva Forward'!$C$4:$AN$4,0))),DD79)</f>
        <v>0</v>
      </c>
      <c r="GC79" s="190">
        <f>AQ79*AQ$2*IF($FC79="V",1,-1)*IF($Q79="Fixo",(DE79-INDEX('Curva Forward'!$C$5:$AN$13,MATCH(CONCATENATE(BD_COMERCIAL!$K79," ",BD_COMERCIAL!$L79),'Curva Forward'!$B$5:$B$13,0),MATCH(GC$4,'Curva Forward'!$C$4:$AN$4,0))),DE79)</f>
        <v>0</v>
      </c>
      <c r="GD79" s="190">
        <f>AR79*AR$2*IF($FC79="V",1,-1)*IF($Q79="Fixo",(DF79-INDEX('Curva Forward'!$C$5:$AN$13,MATCH(CONCATENATE(BD_COMERCIAL!$K79," ",BD_COMERCIAL!$L79),'Curva Forward'!$B$5:$B$13,0),MATCH(GD$4,'Curva Forward'!$C$4:$AN$4,0))),DF79)</f>
        <v>0</v>
      </c>
      <c r="GE79" s="190">
        <f>AS79*AS$2*IF($FC79="V",1,-1)*IF($Q79="Fixo",(DG79-INDEX('Curva Forward'!$C$5:$AN$13,MATCH(CONCATENATE(BD_COMERCIAL!$K79," ",BD_COMERCIAL!$L79),'Curva Forward'!$B$5:$B$13,0),MATCH(GE$4,'Curva Forward'!$C$4:$AN$4,0))),DG79)</f>
        <v>0</v>
      </c>
      <c r="GF79" s="190">
        <f>AT79*AT$2*IF($FC79="V",1,-1)*IF($Q79="Fixo",(DH79-INDEX('Curva Forward'!$C$5:$AN$13,MATCH(CONCATENATE(BD_COMERCIAL!$K79," ",BD_COMERCIAL!$L79),'Curva Forward'!$B$5:$B$13,0),MATCH(GF$4,'Curva Forward'!$C$4:$AN$4,0))),DH79)</f>
        <v>0</v>
      </c>
      <c r="GG79" s="190">
        <f>AU79*AU$2*IF($FC79="V",1,-1)*IF($Q79="Fixo",(DI79-INDEX('Curva Forward'!$C$5:$AN$13,MATCH(CONCATENATE(BD_COMERCIAL!$K79," ",BD_COMERCIAL!$L79),'Curva Forward'!$B$5:$B$13,0),MATCH(GG$4,'Curva Forward'!$C$4:$AN$4,0))),DI79)</f>
        <v>0</v>
      </c>
      <c r="GH79" s="190">
        <f>AV79*AV$2*IF($FC79="V",1,-1)*IF($Q79="Fixo",(DJ79-INDEX('Curva Forward'!$C$5:$AN$13,MATCH(CONCATENATE(BD_COMERCIAL!$K79," ",BD_COMERCIAL!$L79),'Curva Forward'!$B$5:$B$13,0),MATCH(GH$4,'Curva Forward'!$C$4:$AN$4,0))),DJ79)</f>
        <v>0</v>
      </c>
      <c r="GI79" s="190">
        <f>AW79*AW$2*IF($FC79="V",1,-1)*IF($Q79="Fixo",(DK79-INDEX('Curva Forward'!$C$5:$AN$13,MATCH(CONCATENATE(BD_COMERCIAL!$K79," ",BD_COMERCIAL!$L79),'Curva Forward'!$B$5:$B$13,0),MATCH(GI$4,'Curva Forward'!$C$4:$AN$4,0))),DK79)</f>
        <v>0</v>
      </c>
      <c r="GJ79" s="190">
        <f>AX79*AX$2*IF($FC79="V",1,-1)*IF($Q79="Fixo",(DL79-INDEX('Curva Forward'!$C$5:$AN$13,MATCH(CONCATENATE(BD_COMERCIAL!$K79," ",BD_COMERCIAL!$L79),'Curva Forward'!$B$5:$B$13,0),MATCH(GJ$4,'Curva Forward'!$C$4:$AN$4,0))),DL79)</f>
        <v>0</v>
      </c>
      <c r="GK79" s="190">
        <f>AY79*AY$2*IF($FC79="V",1,-1)*IF($Q79="Fixo",(DM79-INDEX('Curva Forward'!$C$5:$AN$13,MATCH(CONCATENATE(BD_COMERCIAL!$K79," ",BD_COMERCIAL!$L79),'Curva Forward'!$B$5:$B$13,0),MATCH(GK$4,'Curva Forward'!$C$4:$AN$4,0))),DM79)</f>
        <v>0</v>
      </c>
      <c r="GL79" s="190">
        <f>IF(EZ79="",0,CL79*CL$2*IF($FC79="V",1,-1)*IF($Q79="Fixo",(EZ79-INDEX('Curva Forward'!$C$5:$AN$13,MATCH(CONCATENATE(BD_COMERCIAL!$K79," ",BD_COMERCIAL!$L79),'Curva Forward'!$B$5:$B$13,0),MATCH(GL$4,'Curva Forward'!$C$4:$AN$4,0))),EZ79))</f>
        <v>0</v>
      </c>
      <c r="GM79" s="190">
        <f>IF(FA79="",0,CM79*CM$2*IF($FC79="V",1,-1)*IF($Q79="Fixo",(FA79-INDEX('Curva Forward'!$C$5:$AN$13,MATCH(CONCATENATE(BD_COMERCIAL!$K79," ",BD_COMERCIAL!$L79),'Curva Forward'!$B$5:$B$13,0),MATCH(GM$4,'Curva Forward'!$C$4:$AN$4,0))),FA79))</f>
        <v>0</v>
      </c>
      <c r="GN79" s="190">
        <f>IF(FB79="",0,CN79*CN$2*IF($FC79="V",1,-1)*IF($Q79="Fixo",(FB79-INDEX('Curva Forward'!$C$5:$AN$13,MATCH(CONCATENATE(BD_COMERCIAL!$K79," ",BD_COMERCIAL!$L79),'Curva Forward'!$B$5:$B$13,0),MATCH(GN$4,'Curva Forward'!$C$4:$AN$4,0))),FB79))</f>
        <v>0</v>
      </c>
      <c r="GO79" s="191">
        <f t="shared" ca="1" si="18"/>
        <v>0</v>
      </c>
      <c r="GP79" s="191">
        <f t="shared" ca="1" si="19"/>
        <v>-231383.99999999997</v>
      </c>
      <c r="GQ79" s="115"/>
      <c r="GR79" s="115"/>
      <c r="GS79"/>
      <c r="GT79" s="65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</row>
    <row r="80" spans="1:236" s="265" customFormat="1" ht="15" customHeight="1" x14ac:dyDescent="0.35">
      <c r="A80" s="251"/>
      <c r="B80" s="7" t="s">
        <v>436</v>
      </c>
      <c r="C80" s="8">
        <v>44852</v>
      </c>
      <c r="D80" s="9" t="s">
        <v>123</v>
      </c>
      <c r="E80" s="9" t="s">
        <v>381</v>
      </c>
      <c r="F80" s="112" t="s">
        <v>348</v>
      </c>
      <c r="G80" s="10" t="s">
        <v>138</v>
      </c>
      <c r="H80" s="112" t="s">
        <v>437</v>
      </c>
      <c r="I80" s="9" t="s">
        <v>125</v>
      </c>
      <c r="J80" s="158" t="s">
        <v>438</v>
      </c>
      <c r="K80" s="10" t="s">
        <v>126</v>
      </c>
      <c r="L80" s="84" t="s">
        <v>22</v>
      </c>
      <c r="M80" s="11">
        <v>44958</v>
      </c>
      <c r="N80" s="12">
        <v>44985</v>
      </c>
      <c r="O80" s="10">
        <v>1</v>
      </c>
      <c r="P80" s="84">
        <v>72.5</v>
      </c>
      <c r="Q80" s="84" t="s">
        <v>127</v>
      </c>
      <c r="R80" s="10" t="s">
        <v>128</v>
      </c>
      <c r="S80" s="14" t="s">
        <v>133</v>
      </c>
      <c r="T80" s="11"/>
      <c r="U80" s="12"/>
      <c r="V80" s="202" t="str">
        <f ca="1">IF(U80="","",
IF(U80="NA","",
IFERROR(VLOOKUP(EOMONTH(M80,-2)+1,IPCA!$A:$B,2,0),
VLOOKUP(EOMONTH(TODAY(),-2)+1,IPCA!$A:$B,2,0))/
VLOOKUP(EOMONTH(U80,-2)+1,IPCA!$A:$B,2,0)*
P80))</f>
        <v/>
      </c>
      <c r="W80" s="84"/>
      <c r="X80" s="13" t="s">
        <v>6</v>
      </c>
      <c r="Y80" s="158"/>
      <c r="Z80" s="106"/>
      <c r="AA80" s="107"/>
      <c r="AB80" s="15"/>
      <c r="AC80">
        <v>1</v>
      </c>
      <c r="AD80"/>
      <c r="AE80"/>
      <c r="AF80"/>
      <c r="AG80"/>
      <c r="AH80"/>
      <c r="AI80"/>
      <c r="AJ80"/>
      <c r="AK80"/>
      <c r="AL80"/>
      <c r="AM80" s="6"/>
      <c r="AN80" s="15"/>
      <c r="AO80"/>
      <c r="AP80"/>
      <c r="AQ80"/>
      <c r="AR80"/>
      <c r="AS80"/>
      <c r="AT80"/>
      <c r="AU80"/>
      <c r="AV80"/>
      <c r="AW80"/>
      <c r="AX80"/>
      <c r="AY80" s="6"/>
      <c r="AZ80" s="15"/>
      <c r="BA80"/>
      <c r="BB80"/>
      <c r="BC80"/>
      <c r="BD80"/>
      <c r="BE80"/>
      <c r="BF80"/>
      <c r="BG80"/>
      <c r="BH80"/>
      <c r="BI80"/>
      <c r="BJ80"/>
      <c r="BK80" s="6"/>
      <c r="BL80" s="15"/>
      <c r="BM80"/>
      <c r="BN80"/>
      <c r="BO80"/>
      <c r="BP80"/>
      <c r="BQ80"/>
      <c r="BR80"/>
      <c r="BS80"/>
      <c r="BT80"/>
      <c r="BU80"/>
      <c r="BV80"/>
      <c r="BW80" s="6"/>
      <c r="BX80" s="15"/>
      <c r="BY80"/>
      <c r="BZ80"/>
      <c r="CA80"/>
      <c r="CB80"/>
      <c r="CC80"/>
      <c r="CD80"/>
      <c r="CE80"/>
      <c r="CF80"/>
      <c r="CG80"/>
      <c r="CH80"/>
      <c r="CI80" s="6"/>
      <c r="CJ80" s="16">
        <v>7.6712328767123292E-2</v>
      </c>
      <c r="CK80" s="16" t="s">
        <v>578</v>
      </c>
      <c r="CL80" s="16" t="s">
        <v>578</v>
      </c>
      <c r="CM80" s="16" t="s">
        <v>578</v>
      </c>
      <c r="CN80" s="16" t="s">
        <v>578</v>
      </c>
      <c r="CO80" s="18"/>
      <c r="CP80" s="15"/>
      <c r="CQ80">
        <v>72.5</v>
      </c>
      <c r="CR80"/>
      <c r="CS80"/>
      <c r="CT80"/>
      <c r="CU80"/>
      <c r="CV80"/>
      <c r="CW80"/>
      <c r="CX80"/>
      <c r="CY80"/>
      <c r="CZ80"/>
      <c r="DA80" s="6"/>
      <c r="DB80" s="15"/>
      <c r="DC80"/>
      <c r="DD80"/>
      <c r="DE80"/>
      <c r="DF80"/>
      <c r="DG80"/>
      <c r="DH80"/>
      <c r="DI80"/>
      <c r="DJ80"/>
      <c r="DK80"/>
      <c r="DL80"/>
      <c r="DM80" s="6"/>
      <c r="DN80" s="15"/>
      <c r="DO80"/>
      <c r="DP80"/>
      <c r="DQ80"/>
      <c r="DR80"/>
      <c r="DS80"/>
      <c r="DT80"/>
      <c r="DU80"/>
      <c r="DV80"/>
      <c r="DW80"/>
      <c r="DX80"/>
      <c r="DY80" s="6"/>
      <c r="DZ80" s="15"/>
      <c r="EA80"/>
      <c r="EB80"/>
      <c r="EC80"/>
      <c r="ED80"/>
      <c r="EE80"/>
      <c r="EF80"/>
      <c r="EG80"/>
      <c r="EH80"/>
      <c r="EI80"/>
      <c r="EJ80"/>
      <c r="EK80" s="6"/>
      <c r="EL80" s="15"/>
      <c r="EM80"/>
      <c r="EN80"/>
      <c r="EO80"/>
      <c r="EP80"/>
      <c r="EQ80"/>
      <c r="ER80"/>
      <c r="ES80"/>
      <c r="ET80"/>
      <c r="EU80"/>
      <c r="EV80"/>
      <c r="EW80" s="6"/>
      <c r="EX80" s="16">
        <v>5.5616438356164384</v>
      </c>
      <c r="EY80" s="16" t="s">
        <v>578</v>
      </c>
      <c r="EZ80" s="16" t="s">
        <v>578</v>
      </c>
      <c r="FA80" s="154" t="s">
        <v>578</v>
      </c>
      <c r="FB80" s="154" t="s">
        <v>578</v>
      </c>
      <c r="FC80" t="s">
        <v>195</v>
      </c>
      <c r="FD80" s="20" t="s">
        <v>125</v>
      </c>
      <c r="FE80"/>
      <c r="FF80" s="199" t="s">
        <v>197</v>
      </c>
      <c r="FG80"/>
      <c r="FH80" s="206">
        <f t="shared" ca="1" si="13"/>
        <v>0</v>
      </c>
      <c r="FI80" s="198">
        <f t="shared" si="14"/>
        <v>0.9</v>
      </c>
      <c r="FJ80"/>
      <c r="FK80" t="str">
        <f t="shared" si="15"/>
        <v>Energisa Comercializadora de Energia Ltda</v>
      </c>
      <c r="FL80" s="191">
        <f t="shared" ca="1" si="16"/>
        <v>0</v>
      </c>
      <c r="FM80" s="191">
        <f t="shared" ca="1" si="17"/>
        <v>2352</v>
      </c>
      <c r="FN80" s="190">
        <f>AB80*AB$2*IF($FC80="V",1,-1)*IF($Q80="Fixo",(CP80-INDEX('Curva Forward'!$C$5:$AN$13,MATCH(CONCATENATE(BD_COMERCIAL!$K80," ",BD_COMERCIAL!$L80),'Curva Forward'!$B$5:$B$13,0),MATCH(FN$4,'Curva Forward'!$C$4:$AN$4,0))),CP80)</f>
        <v>0</v>
      </c>
      <c r="FO80" s="190">
        <f>AC80*AC$2*IF($FC80="V",1,-1)*IF($Q80="Fixo",(CQ80-INDEX('Curva Forward'!$C$5:$AN$13,MATCH(CONCATENATE(BD_COMERCIAL!$K80," ",BD_COMERCIAL!$L80),'Curva Forward'!$B$5:$B$13,0),MATCH(FO$4,'Curva Forward'!$C$4:$AN$4,0))),CQ80)</f>
        <v>2352</v>
      </c>
      <c r="FP80" s="190">
        <f>AD80*AD$2*IF($FC80="V",1,-1)*IF($Q80="Fixo",(CR80-INDEX('Curva Forward'!$C$5:$AN$13,MATCH(CONCATENATE(BD_COMERCIAL!$K80," ",BD_COMERCIAL!$L80),'Curva Forward'!$B$5:$B$13,0),MATCH(FP$4,'Curva Forward'!$C$4:$AN$4,0))),CR80)</f>
        <v>0</v>
      </c>
      <c r="FQ80" s="190">
        <f>AE80*AE$2*IF($FC80="V",1,-1)*IF($Q80="Fixo",(CS80-INDEX('Curva Forward'!$C$5:$AN$13,MATCH(CONCATENATE(BD_COMERCIAL!$K80," ",BD_COMERCIAL!$L80),'Curva Forward'!$B$5:$B$13,0),MATCH(FQ$4,'Curva Forward'!$C$4:$AN$4,0))),CS80)</f>
        <v>0</v>
      </c>
      <c r="FR80" s="190">
        <f>AF80*AF$2*IF($FC80="V",1,-1)*IF($Q80="Fixo",(CT80-INDEX('Curva Forward'!$C$5:$AN$13,MATCH(CONCATENATE(BD_COMERCIAL!$K80," ",BD_COMERCIAL!$L80),'Curva Forward'!$B$5:$B$13,0),MATCH(FR$4,'Curva Forward'!$C$4:$AN$4,0))),CT80)</f>
        <v>0</v>
      </c>
      <c r="FS80" s="190">
        <f>AG80*AG$2*IF($FC80="V",1,-1)*IF($Q80="Fixo",(CU80-INDEX('Curva Forward'!$C$5:$AN$13,MATCH(CONCATENATE(BD_COMERCIAL!$K80," ",BD_COMERCIAL!$L80),'Curva Forward'!$B$5:$B$13,0),MATCH(FS$4,'Curva Forward'!$C$4:$AN$4,0))),CU80)</f>
        <v>0</v>
      </c>
      <c r="FT80" s="190">
        <f>AH80*AH$2*IF($FC80="V",1,-1)*IF($Q80="Fixo",(CV80-INDEX('Curva Forward'!$C$5:$AN$13,MATCH(CONCATENATE(BD_COMERCIAL!$K80," ",BD_COMERCIAL!$L80),'Curva Forward'!$B$5:$B$13,0),MATCH(FT$4,'Curva Forward'!$C$4:$AN$4,0))),CV80)</f>
        <v>0</v>
      </c>
      <c r="FU80" s="190">
        <f>AI80*AI$2*IF($FC80="V",1,-1)*IF($Q80="Fixo",(CW80-INDEX('Curva Forward'!$C$5:$AN$13,MATCH(CONCATENATE(BD_COMERCIAL!$K80," ",BD_COMERCIAL!$L80),'Curva Forward'!$B$5:$B$13,0),MATCH(FU$4,'Curva Forward'!$C$4:$AN$4,0))),CW80)</f>
        <v>0</v>
      </c>
      <c r="FV80" s="190">
        <f>AJ80*AJ$2*IF($FC80="V",1,-1)*IF($Q80="Fixo",(CX80-INDEX('Curva Forward'!$C$5:$AN$13,MATCH(CONCATENATE(BD_COMERCIAL!$K80," ",BD_COMERCIAL!$L80),'Curva Forward'!$B$5:$B$13,0),MATCH(FV$4,'Curva Forward'!$C$4:$AN$4,0))),CX80)</f>
        <v>0</v>
      </c>
      <c r="FW80" s="190">
        <f>AK80*AK$2*IF($FC80="V",1,-1)*IF($Q80="Fixo",(CY80-INDEX('Curva Forward'!$C$5:$AN$13,MATCH(CONCATENATE(BD_COMERCIAL!$K80," ",BD_COMERCIAL!$L80),'Curva Forward'!$B$5:$B$13,0),MATCH(FW$4,'Curva Forward'!$C$4:$AN$4,0))),CY80)</f>
        <v>0</v>
      </c>
      <c r="FX80" s="190">
        <f>AL80*AL$2*IF($FC80="V",1,-1)*IF($Q80="Fixo",(CZ80-INDEX('Curva Forward'!$C$5:$AN$13,MATCH(CONCATENATE(BD_COMERCIAL!$K80," ",BD_COMERCIAL!$L80),'Curva Forward'!$B$5:$B$13,0),MATCH(FX$4,'Curva Forward'!$C$4:$AN$4,0))),CZ80)</f>
        <v>0</v>
      </c>
      <c r="FY80" s="190">
        <f>AM80*AM$2*IF($FC80="V",1,-1)*IF($Q80="Fixo",(DA80-INDEX('Curva Forward'!$C$5:$AN$13,MATCH(CONCATENATE(BD_COMERCIAL!$K80," ",BD_COMERCIAL!$L80),'Curva Forward'!$B$5:$B$13,0),MATCH(FY$4,'Curva Forward'!$C$4:$AN$4,0))),DA80)</f>
        <v>0</v>
      </c>
      <c r="FZ80" s="190">
        <f>AN80*AN$2*IF($FC80="V",1,-1)*IF($Q80="Fixo",(DB80-INDEX('Curva Forward'!$C$5:$AN$13,MATCH(CONCATENATE(BD_COMERCIAL!$K80," ",BD_COMERCIAL!$L80),'Curva Forward'!$B$5:$B$13,0),MATCH(FZ$4,'Curva Forward'!$C$4:$AN$4,0))),DB80)</f>
        <v>0</v>
      </c>
      <c r="GA80" s="190">
        <f>AO80*AO$2*IF($FC80="V",1,-1)*IF($Q80="Fixo",(DC80-INDEX('Curva Forward'!$C$5:$AN$13,MATCH(CONCATENATE(BD_COMERCIAL!$K80," ",BD_COMERCIAL!$L80),'Curva Forward'!$B$5:$B$13,0),MATCH(GA$4,'Curva Forward'!$C$4:$AN$4,0))),DC80)</f>
        <v>0</v>
      </c>
      <c r="GB80" s="190">
        <f>AP80*AP$2*IF($FC80="V",1,-1)*IF($Q80="Fixo",(DD80-INDEX('Curva Forward'!$C$5:$AN$13,MATCH(CONCATENATE(BD_COMERCIAL!$K80," ",BD_COMERCIAL!$L80),'Curva Forward'!$B$5:$B$13,0),MATCH(GB$4,'Curva Forward'!$C$4:$AN$4,0))),DD80)</f>
        <v>0</v>
      </c>
      <c r="GC80" s="190">
        <f>AQ80*AQ$2*IF($FC80="V",1,-1)*IF($Q80="Fixo",(DE80-INDEX('Curva Forward'!$C$5:$AN$13,MATCH(CONCATENATE(BD_COMERCIAL!$K80," ",BD_COMERCIAL!$L80),'Curva Forward'!$B$5:$B$13,0),MATCH(GC$4,'Curva Forward'!$C$4:$AN$4,0))),DE80)</f>
        <v>0</v>
      </c>
      <c r="GD80" s="190">
        <f>AR80*AR$2*IF($FC80="V",1,-1)*IF($Q80="Fixo",(DF80-INDEX('Curva Forward'!$C$5:$AN$13,MATCH(CONCATENATE(BD_COMERCIAL!$K80," ",BD_COMERCIAL!$L80),'Curva Forward'!$B$5:$B$13,0),MATCH(GD$4,'Curva Forward'!$C$4:$AN$4,0))),DF80)</f>
        <v>0</v>
      </c>
      <c r="GE80" s="190">
        <f>AS80*AS$2*IF($FC80="V",1,-1)*IF($Q80="Fixo",(DG80-INDEX('Curva Forward'!$C$5:$AN$13,MATCH(CONCATENATE(BD_COMERCIAL!$K80," ",BD_COMERCIAL!$L80),'Curva Forward'!$B$5:$B$13,0),MATCH(GE$4,'Curva Forward'!$C$4:$AN$4,0))),DG80)</f>
        <v>0</v>
      </c>
      <c r="GF80" s="190">
        <f>AT80*AT$2*IF($FC80="V",1,-1)*IF($Q80="Fixo",(DH80-INDEX('Curva Forward'!$C$5:$AN$13,MATCH(CONCATENATE(BD_COMERCIAL!$K80," ",BD_COMERCIAL!$L80),'Curva Forward'!$B$5:$B$13,0),MATCH(GF$4,'Curva Forward'!$C$4:$AN$4,0))),DH80)</f>
        <v>0</v>
      </c>
      <c r="GG80" s="190">
        <f>AU80*AU$2*IF($FC80="V",1,-1)*IF($Q80="Fixo",(DI80-INDEX('Curva Forward'!$C$5:$AN$13,MATCH(CONCATENATE(BD_COMERCIAL!$K80," ",BD_COMERCIAL!$L80),'Curva Forward'!$B$5:$B$13,0),MATCH(GG$4,'Curva Forward'!$C$4:$AN$4,0))),DI80)</f>
        <v>0</v>
      </c>
      <c r="GH80" s="190">
        <f>AV80*AV$2*IF($FC80="V",1,-1)*IF($Q80="Fixo",(DJ80-INDEX('Curva Forward'!$C$5:$AN$13,MATCH(CONCATENATE(BD_COMERCIAL!$K80," ",BD_COMERCIAL!$L80),'Curva Forward'!$B$5:$B$13,0),MATCH(GH$4,'Curva Forward'!$C$4:$AN$4,0))),DJ80)</f>
        <v>0</v>
      </c>
      <c r="GI80" s="190">
        <f>AW80*AW$2*IF($FC80="V",1,-1)*IF($Q80="Fixo",(DK80-INDEX('Curva Forward'!$C$5:$AN$13,MATCH(CONCATENATE(BD_COMERCIAL!$K80," ",BD_COMERCIAL!$L80),'Curva Forward'!$B$5:$B$13,0),MATCH(GI$4,'Curva Forward'!$C$4:$AN$4,0))),DK80)</f>
        <v>0</v>
      </c>
      <c r="GJ80" s="190">
        <f>AX80*AX$2*IF($FC80="V",1,-1)*IF($Q80="Fixo",(DL80-INDEX('Curva Forward'!$C$5:$AN$13,MATCH(CONCATENATE(BD_COMERCIAL!$K80," ",BD_COMERCIAL!$L80),'Curva Forward'!$B$5:$B$13,0),MATCH(GJ$4,'Curva Forward'!$C$4:$AN$4,0))),DL80)</f>
        <v>0</v>
      </c>
      <c r="GK80" s="190">
        <f>AY80*AY$2*IF($FC80="V",1,-1)*IF($Q80="Fixo",(DM80-INDEX('Curva Forward'!$C$5:$AN$13,MATCH(CONCATENATE(BD_COMERCIAL!$K80," ",BD_COMERCIAL!$L80),'Curva Forward'!$B$5:$B$13,0),MATCH(GK$4,'Curva Forward'!$C$4:$AN$4,0))),DM80)</f>
        <v>0</v>
      </c>
      <c r="GL80" s="190">
        <f>IF(EZ80="",0,CL80*CL$2*IF($FC80="V",1,-1)*IF($Q80="Fixo",(EZ80-INDEX('Curva Forward'!$C$5:$AN$13,MATCH(CONCATENATE(BD_COMERCIAL!$K80," ",BD_COMERCIAL!$L80),'Curva Forward'!$B$5:$B$13,0),MATCH(GL$4,'Curva Forward'!$C$4:$AN$4,0))),EZ80))</f>
        <v>0</v>
      </c>
      <c r="GM80" s="190">
        <f>IF(FA80="",0,CM80*CM$2*IF($FC80="V",1,-1)*IF($Q80="Fixo",(FA80-INDEX('Curva Forward'!$C$5:$AN$13,MATCH(CONCATENATE(BD_COMERCIAL!$K80," ",BD_COMERCIAL!$L80),'Curva Forward'!$B$5:$B$13,0),MATCH(GM$4,'Curva Forward'!$C$4:$AN$4,0))),FA80))</f>
        <v>0</v>
      </c>
      <c r="GN80" s="190">
        <f>IF(FB80="",0,CN80*CN$2*IF($FC80="V",1,-1)*IF($Q80="Fixo",(FB80-INDEX('Curva Forward'!$C$5:$AN$13,MATCH(CONCATENATE(BD_COMERCIAL!$K80," ",BD_COMERCIAL!$L80),'Curva Forward'!$B$5:$B$13,0),MATCH(GN$4,'Curva Forward'!$C$4:$AN$4,0))),FB80))</f>
        <v>0</v>
      </c>
      <c r="GO80" s="191">
        <f t="shared" ca="1" si="18"/>
        <v>2352</v>
      </c>
      <c r="GP80" s="191">
        <f t="shared" ca="1" si="19"/>
        <v>0</v>
      </c>
      <c r="GQ80" s="115"/>
      <c r="GR80" s="115"/>
      <c r="GS80"/>
      <c r="GT80" s="65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</row>
    <row r="81" spans="1:236" s="265" customFormat="1" ht="15" customHeight="1" x14ac:dyDescent="0.35">
      <c r="A81" s="251"/>
      <c r="B81" s="7" t="s">
        <v>439</v>
      </c>
      <c r="C81" s="8">
        <v>44853</v>
      </c>
      <c r="D81" s="9" t="s">
        <v>130</v>
      </c>
      <c r="E81" s="9" t="s">
        <v>205</v>
      </c>
      <c r="F81" s="112" t="s">
        <v>347</v>
      </c>
      <c r="G81" s="10" t="s">
        <v>381</v>
      </c>
      <c r="H81" s="112" t="s">
        <v>348</v>
      </c>
      <c r="I81" s="9" t="s">
        <v>125</v>
      </c>
      <c r="J81" s="158" t="s">
        <v>438</v>
      </c>
      <c r="K81" s="10" t="s">
        <v>126</v>
      </c>
      <c r="L81" s="84" t="s">
        <v>22</v>
      </c>
      <c r="M81" s="11">
        <v>45261</v>
      </c>
      <c r="N81" s="12">
        <v>45291</v>
      </c>
      <c r="O81" s="10">
        <v>4.8387099999999998</v>
      </c>
      <c r="P81" s="84">
        <v>109</v>
      </c>
      <c r="Q81" s="84" t="s">
        <v>127</v>
      </c>
      <c r="R81" s="10" t="s">
        <v>128</v>
      </c>
      <c r="S81" s="14" t="s">
        <v>133</v>
      </c>
      <c r="T81" s="11"/>
      <c r="U81" s="12"/>
      <c r="V81" s="202" t="str">
        <f ca="1">IF(U81="","",
IF(U81="NA","",
IFERROR(VLOOKUP(EOMONTH(M81,-2)+1,IPCA!$A:$B,2,0),
VLOOKUP(EOMONTH(TODAY(),-2)+1,IPCA!$A:$B,2,0))/
VLOOKUP(EOMONTH(U81,-2)+1,IPCA!$A:$B,2,0)*
P81))</f>
        <v/>
      </c>
      <c r="W81" s="84"/>
      <c r="X81" s="13" t="s">
        <v>132</v>
      </c>
      <c r="Y81" s="158"/>
      <c r="Z81" s="106"/>
      <c r="AA81" s="107"/>
      <c r="AB81" s="15"/>
      <c r="AC81"/>
      <c r="AD81"/>
      <c r="AE81"/>
      <c r="AF81"/>
      <c r="AG81"/>
      <c r="AH81"/>
      <c r="AI81"/>
      <c r="AJ81"/>
      <c r="AK81"/>
      <c r="AL81"/>
      <c r="AM81" s="6">
        <v>4.8387099999999998</v>
      </c>
      <c r="AN81" s="15"/>
      <c r="AO81"/>
      <c r="AP81"/>
      <c r="AQ81"/>
      <c r="AR81"/>
      <c r="AS81"/>
      <c r="AT81"/>
      <c r="AU81"/>
      <c r="AV81"/>
      <c r="AW81"/>
      <c r="AX81"/>
      <c r="AY81" s="6"/>
      <c r="AZ81" s="15"/>
      <c r="BA81"/>
      <c r="BB81"/>
      <c r="BC81"/>
      <c r="BD81"/>
      <c r="BE81"/>
      <c r="BF81"/>
      <c r="BG81"/>
      <c r="BH81"/>
      <c r="BI81"/>
      <c r="BJ81"/>
      <c r="BK81" s="6"/>
      <c r="BL81" s="15"/>
      <c r="BM81"/>
      <c r="BN81"/>
      <c r="BO81"/>
      <c r="BP81"/>
      <c r="BQ81"/>
      <c r="BR81"/>
      <c r="BS81"/>
      <c r="BT81"/>
      <c r="BU81"/>
      <c r="BV81"/>
      <c r="BW81" s="6"/>
      <c r="BX81" s="15"/>
      <c r="BY81"/>
      <c r="BZ81"/>
      <c r="CA81"/>
      <c r="CB81"/>
      <c r="CC81"/>
      <c r="CD81"/>
      <c r="CE81"/>
      <c r="CF81"/>
      <c r="CG81"/>
      <c r="CH81"/>
      <c r="CI81" s="6"/>
      <c r="CJ81" s="16">
        <v>0.41095893150684931</v>
      </c>
      <c r="CK81" s="16" t="s">
        <v>578</v>
      </c>
      <c r="CL81" s="16" t="s">
        <v>578</v>
      </c>
      <c r="CM81" s="16" t="s">
        <v>578</v>
      </c>
      <c r="CN81" s="16" t="s">
        <v>578</v>
      </c>
      <c r="CO81" s="18"/>
      <c r="CP81" s="15"/>
      <c r="CQ81"/>
      <c r="CR81"/>
      <c r="CS81"/>
      <c r="CT81"/>
      <c r="CU81"/>
      <c r="CV81"/>
      <c r="CW81"/>
      <c r="CX81"/>
      <c r="CY81"/>
      <c r="CZ81"/>
      <c r="DA81" s="6">
        <v>109</v>
      </c>
      <c r="DB81" s="15"/>
      <c r="DC81"/>
      <c r="DD81"/>
      <c r="DE81"/>
      <c r="DF81"/>
      <c r="DG81"/>
      <c r="DH81"/>
      <c r="DI81"/>
      <c r="DJ81"/>
      <c r="DK81"/>
      <c r="DL81"/>
      <c r="DM81" s="6"/>
      <c r="DN81" s="15"/>
      <c r="DO81"/>
      <c r="DP81"/>
      <c r="DQ81"/>
      <c r="DR81"/>
      <c r="DS81"/>
      <c r="DT81"/>
      <c r="DU81"/>
      <c r="DV81"/>
      <c r="DW81"/>
      <c r="DX81"/>
      <c r="DY81" s="6"/>
      <c r="DZ81" s="15"/>
      <c r="EA81"/>
      <c r="EB81"/>
      <c r="EC81"/>
      <c r="ED81"/>
      <c r="EE81"/>
      <c r="EF81"/>
      <c r="EG81"/>
      <c r="EH81"/>
      <c r="EI81"/>
      <c r="EJ81"/>
      <c r="EK81" s="6"/>
      <c r="EL81" s="15"/>
      <c r="EM81"/>
      <c r="EN81"/>
      <c r="EO81"/>
      <c r="EP81"/>
      <c r="EQ81"/>
      <c r="ER81"/>
      <c r="ES81"/>
      <c r="ET81"/>
      <c r="EU81"/>
      <c r="EV81"/>
      <c r="EW81" s="6"/>
      <c r="EX81" s="16">
        <v>9.257534246575343</v>
      </c>
      <c r="EY81" s="16" t="s">
        <v>578</v>
      </c>
      <c r="EZ81" s="16" t="s">
        <v>578</v>
      </c>
      <c r="FA81" s="154" t="s">
        <v>578</v>
      </c>
      <c r="FB81" s="154" t="s">
        <v>578</v>
      </c>
      <c r="FC81" t="s">
        <v>196</v>
      </c>
      <c r="FD81" s="20" t="s">
        <v>125</v>
      </c>
      <c r="FE81"/>
      <c r="FF81" s="199" t="s">
        <v>197</v>
      </c>
      <c r="FG81"/>
      <c r="FH81" s="206">
        <f t="shared" ca="1" si="13"/>
        <v>0</v>
      </c>
      <c r="FI81" s="198">
        <f t="shared" si="14"/>
        <v>1</v>
      </c>
      <c r="FJ81"/>
      <c r="FK81" t="str">
        <f t="shared" si="15"/>
        <v>True Comercializadora de Energia LTDA</v>
      </c>
      <c r="FL81" s="191">
        <f t="shared" ca="1" si="16"/>
        <v>0</v>
      </c>
      <c r="FM81" s="191">
        <f t="shared" ca="1" si="17"/>
        <v>-122400.00816</v>
      </c>
      <c r="FN81" s="190">
        <f>AB81*AB$2*IF($FC81="V",1,-1)*IF($Q81="Fixo",(CP81-INDEX('Curva Forward'!$C$5:$AN$13,MATCH(CONCATENATE(BD_COMERCIAL!$K81," ",BD_COMERCIAL!$L81),'Curva Forward'!$B$5:$B$13,0),MATCH(FN$4,'Curva Forward'!$C$4:$AN$4,0))),CP81)</f>
        <v>0</v>
      </c>
      <c r="FO81" s="190">
        <f>AC81*AC$2*IF($FC81="V",1,-1)*IF($Q81="Fixo",(CQ81-INDEX('Curva Forward'!$C$5:$AN$13,MATCH(CONCATENATE(BD_COMERCIAL!$K81," ",BD_COMERCIAL!$L81),'Curva Forward'!$B$5:$B$13,0),MATCH(FO$4,'Curva Forward'!$C$4:$AN$4,0))),CQ81)</f>
        <v>0</v>
      </c>
      <c r="FP81" s="190">
        <f>AD81*AD$2*IF($FC81="V",1,-1)*IF($Q81="Fixo",(CR81-INDEX('Curva Forward'!$C$5:$AN$13,MATCH(CONCATENATE(BD_COMERCIAL!$K81," ",BD_COMERCIAL!$L81),'Curva Forward'!$B$5:$B$13,0),MATCH(FP$4,'Curva Forward'!$C$4:$AN$4,0))),CR81)</f>
        <v>0</v>
      </c>
      <c r="FQ81" s="190">
        <f>AE81*AE$2*IF($FC81="V",1,-1)*IF($Q81="Fixo",(CS81-INDEX('Curva Forward'!$C$5:$AN$13,MATCH(CONCATENATE(BD_COMERCIAL!$K81," ",BD_COMERCIAL!$L81),'Curva Forward'!$B$5:$B$13,0),MATCH(FQ$4,'Curva Forward'!$C$4:$AN$4,0))),CS81)</f>
        <v>0</v>
      </c>
      <c r="FR81" s="190">
        <f>AF81*AF$2*IF($FC81="V",1,-1)*IF($Q81="Fixo",(CT81-INDEX('Curva Forward'!$C$5:$AN$13,MATCH(CONCATENATE(BD_COMERCIAL!$K81," ",BD_COMERCIAL!$L81),'Curva Forward'!$B$5:$B$13,0),MATCH(FR$4,'Curva Forward'!$C$4:$AN$4,0))),CT81)</f>
        <v>0</v>
      </c>
      <c r="FS81" s="190">
        <f>AG81*AG$2*IF($FC81="V",1,-1)*IF($Q81="Fixo",(CU81-INDEX('Curva Forward'!$C$5:$AN$13,MATCH(CONCATENATE(BD_COMERCIAL!$K81," ",BD_COMERCIAL!$L81),'Curva Forward'!$B$5:$B$13,0),MATCH(FS$4,'Curva Forward'!$C$4:$AN$4,0))),CU81)</f>
        <v>0</v>
      </c>
      <c r="FT81" s="190">
        <f>AH81*AH$2*IF($FC81="V",1,-1)*IF($Q81="Fixo",(CV81-INDEX('Curva Forward'!$C$5:$AN$13,MATCH(CONCATENATE(BD_COMERCIAL!$K81," ",BD_COMERCIAL!$L81),'Curva Forward'!$B$5:$B$13,0),MATCH(FT$4,'Curva Forward'!$C$4:$AN$4,0))),CV81)</f>
        <v>0</v>
      </c>
      <c r="FU81" s="190">
        <f>AI81*AI$2*IF($FC81="V",1,-1)*IF($Q81="Fixo",(CW81-INDEX('Curva Forward'!$C$5:$AN$13,MATCH(CONCATENATE(BD_COMERCIAL!$K81," ",BD_COMERCIAL!$L81),'Curva Forward'!$B$5:$B$13,0),MATCH(FU$4,'Curva Forward'!$C$4:$AN$4,0))),CW81)</f>
        <v>0</v>
      </c>
      <c r="FV81" s="190">
        <f>AJ81*AJ$2*IF($FC81="V",1,-1)*IF($Q81="Fixo",(CX81-INDEX('Curva Forward'!$C$5:$AN$13,MATCH(CONCATENATE(BD_COMERCIAL!$K81," ",BD_COMERCIAL!$L81),'Curva Forward'!$B$5:$B$13,0),MATCH(FV$4,'Curva Forward'!$C$4:$AN$4,0))),CX81)</f>
        <v>0</v>
      </c>
      <c r="FW81" s="190">
        <f>AK81*AK$2*IF($FC81="V",1,-1)*IF($Q81="Fixo",(CY81-INDEX('Curva Forward'!$C$5:$AN$13,MATCH(CONCATENATE(BD_COMERCIAL!$K81," ",BD_COMERCIAL!$L81),'Curva Forward'!$B$5:$B$13,0),MATCH(FW$4,'Curva Forward'!$C$4:$AN$4,0))),CY81)</f>
        <v>0</v>
      </c>
      <c r="FX81" s="190">
        <f>AL81*AL$2*IF($FC81="V",1,-1)*IF($Q81="Fixo",(CZ81-INDEX('Curva Forward'!$C$5:$AN$13,MATCH(CONCATENATE(BD_COMERCIAL!$K81," ",BD_COMERCIAL!$L81),'Curva Forward'!$B$5:$B$13,0),MATCH(FX$4,'Curva Forward'!$C$4:$AN$4,0))),CZ81)</f>
        <v>0</v>
      </c>
      <c r="FY81" s="190">
        <f>AM81*AM$2*IF($FC81="V",1,-1)*IF($Q81="Fixo",(DA81-INDEX('Curva Forward'!$C$5:$AN$13,MATCH(CONCATENATE(BD_COMERCIAL!$K81," ",BD_COMERCIAL!$L81),'Curva Forward'!$B$5:$B$13,0),MATCH(FY$4,'Curva Forward'!$C$4:$AN$4,0))),DA81)</f>
        <v>-122400.00816</v>
      </c>
      <c r="FZ81" s="190">
        <f>AN81*AN$2*IF($FC81="V",1,-1)*IF($Q81="Fixo",(DB81-INDEX('Curva Forward'!$C$5:$AN$13,MATCH(CONCATENATE(BD_COMERCIAL!$K81," ",BD_COMERCIAL!$L81),'Curva Forward'!$B$5:$B$13,0),MATCH(FZ$4,'Curva Forward'!$C$4:$AN$4,0))),DB81)</f>
        <v>0</v>
      </c>
      <c r="GA81" s="190">
        <f>AO81*AO$2*IF($FC81="V",1,-1)*IF($Q81="Fixo",(DC81-INDEX('Curva Forward'!$C$5:$AN$13,MATCH(CONCATENATE(BD_COMERCIAL!$K81," ",BD_COMERCIAL!$L81),'Curva Forward'!$B$5:$B$13,0),MATCH(GA$4,'Curva Forward'!$C$4:$AN$4,0))),DC81)</f>
        <v>0</v>
      </c>
      <c r="GB81" s="190">
        <f>AP81*AP$2*IF($FC81="V",1,-1)*IF($Q81="Fixo",(DD81-INDEX('Curva Forward'!$C$5:$AN$13,MATCH(CONCATENATE(BD_COMERCIAL!$K81," ",BD_COMERCIAL!$L81),'Curva Forward'!$B$5:$B$13,0),MATCH(GB$4,'Curva Forward'!$C$4:$AN$4,0))),DD81)</f>
        <v>0</v>
      </c>
      <c r="GC81" s="190">
        <f>AQ81*AQ$2*IF($FC81="V",1,-1)*IF($Q81="Fixo",(DE81-INDEX('Curva Forward'!$C$5:$AN$13,MATCH(CONCATENATE(BD_COMERCIAL!$K81," ",BD_COMERCIAL!$L81),'Curva Forward'!$B$5:$B$13,0),MATCH(GC$4,'Curva Forward'!$C$4:$AN$4,0))),DE81)</f>
        <v>0</v>
      </c>
      <c r="GD81" s="190">
        <f>AR81*AR$2*IF($FC81="V",1,-1)*IF($Q81="Fixo",(DF81-INDEX('Curva Forward'!$C$5:$AN$13,MATCH(CONCATENATE(BD_COMERCIAL!$K81," ",BD_COMERCIAL!$L81),'Curva Forward'!$B$5:$B$13,0),MATCH(GD$4,'Curva Forward'!$C$4:$AN$4,0))),DF81)</f>
        <v>0</v>
      </c>
      <c r="GE81" s="190">
        <f>AS81*AS$2*IF($FC81="V",1,-1)*IF($Q81="Fixo",(DG81-INDEX('Curva Forward'!$C$5:$AN$13,MATCH(CONCATENATE(BD_COMERCIAL!$K81," ",BD_COMERCIAL!$L81),'Curva Forward'!$B$5:$B$13,0),MATCH(GE$4,'Curva Forward'!$C$4:$AN$4,0))),DG81)</f>
        <v>0</v>
      </c>
      <c r="GF81" s="190">
        <f>AT81*AT$2*IF($FC81="V",1,-1)*IF($Q81="Fixo",(DH81-INDEX('Curva Forward'!$C$5:$AN$13,MATCH(CONCATENATE(BD_COMERCIAL!$K81," ",BD_COMERCIAL!$L81),'Curva Forward'!$B$5:$B$13,0),MATCH(GF$4,'Curva Forward'!$C$4:$AN$4,0))),DH81)</f>
        <v>0</v>
      </c>
      <c r="GG81" s="190">
        <f>AU81*AU$2*IF($FC81="V",1,-1)*IF($Q81="Fixo",(DI81-INDEX('Curva Forward'!$C$5:$AN$13,MATCH(CONCATENATE(BD_COMERCIAL!$K81," ",BD_COMERCIAL!$L81),'Curva Forward'!$B$5:$B$13,0),MATCH(GG$4,'Curva Forward'!$C$4:$AN$4,0))),DI81)</f>
        <v>0</v>
      </c>
      <c r="GH81" s="190">
        <f>AV81*AV$2*IF($FC81="V",1,-1)*IF($Q81="Fixo",(DJ81-INDEX('Curva Forward'!$C$5:$AN$13,MATCH(CONCATENATE(BD_COMERCIAL!$K81," ",BD_COMERCIAL!$L81),'Curva Forward'!$B$5:$B$13,0),MATCH(GH$4,'Curva Forward'!$C$4:$AN$4,0))),DJ81)</f>
        <v>0</v>
      </c>
      <c r="GI81" s="190">
        <f>AW81*AW$2*IF($FC81="V",1,-1)*IF($Q81="Fixo",(DK81-INDEX('Curva Forward'!$C$5:$AN$13,MATCH(CONCATENATE(BD_COMERCIAL!$K81," ",BD_COMERCIAL!$L81),'Curva Forward'!$B$5:$B$13,0),MATCH(GI$4,'Curva Forward'!$C$4:$AN$4,0))),DK81)</f>
        <v>0</v>
      </c>
      <c r="GJ81" s="190">
        <f>AX81*AX$2*IF($FC81="V",1,-1)*IF($Q81="Fixo",(DL81-INDEX('Curva Forward'!$C$5:$AN$13,MATCH(CONCATENATE(BD_COMERCIAL!$K81," ",BD_COMERCIAL!$L81),'Curva Forward'!$B$5:$B$13,0),MATCH(GJ$4,'Curva Forward'!$C$4:$AN$4,0))),DL81)</f>
        <v>0</v>
      </c>
      <c r="GK81" s="190">
        <f>AY81*AY$2*IF($FC81="V",1,-1)*IF($Q81="Fixo",(DM81-INDEX('Curva Forward'!$C$5:$AN$13,MATCH(CONCATENATE(BD_COMERCIAL!$K81," ",BD_COMERCIAL!$L81),'Curva Forward'!$B$5:$B$13,0),MATCH(GK$4,'Curva Forward'!$C$4:$AN$4,0))),DM81)</f>
        <v>0</v>
      </c>
      <c r="GL81" s="190">
        <f>IF(EZ81="",0,CL81*CL$2*IF($FC81="V",1,-1)*IF($Q81="Fixo",(EZ81-INDEX('Curva Forward'!$C$5:$AN$13,MATCH(CONCATENATE(BD_COMERCIAL!$K81," ",BD_COMERCIAL!$L81),'Curva Forward'!$B$5:$B$13,0),MATCH(GL$4,'Curva Forward'!$C$4:$AN$4,0))),EZ81))</f>
        <v>0</v>
      </c>
      <c r="GM81" s="190">
        <f>IF(FA81="",0,CM81*CM$2*IF($FC81="V",1,-1)*IF($Q81="Fixo",(FA81-INDEX('Curva Forward'!$C$5:$AN$13,MATCH(CONCATENATE(BD_COMERCIAL!$K81," ",BD_COMERCIAL!$L81),'Curva Forward'!$B$5:$B$13,0),MATCH(GM$4,'Curva Forward'!$C$4:$AN$4,0))),FA81))</f>
        <v>0</v>
      </c>
      <c r="GN81" s="190">
        <f>IF(FB81="",0,CN81*CN$2*IF($FC81="V",1,-1)*IF($Q81="Fixo",(FB81-INDEX('Curva Forward'!$C$5:$AN$13,MATCH(CONCATENATE(BD_COMERCIAL!$K81," ",BD_COMERCIAL!$L81),'Curva Forward'!$B$5:$B$13,0),MATCH(GN$4,'Curva Forward'!$C$4:$AN$4,0))),FB81))</f>
        <v>0</v>
      </c>
      <c r="GO81" s="191">
        <f t="shared" ca="1" si="18"/>
        <v>0</v>
      </c>
      <c r="GP81" s="191">
        <f t="shared" ca="1" si="19"/>
        <v>-122400.00816</v>
      </c>
      <c r="GQ81" s="115"/>
      <c r="GR81" s="115"/>
      <c r="GS81"/>
      <c r="GT81" s="65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</row>
    <row r="82" spans="1:236" s="265" customFormat="1" ht="15" customHeight="1" x14ac:dyDescent="0.35">
      <c r="A82" s="251"/>
      <c r="B82" s="7" t="s">
        <v>440</v>
      </c>
      <c r="C82" s="8">
        <v>44853</v>
      </c>
      <c r="D82" s="9" t="s">
        <v>123</v>
      </c>
      <c r="E82" s="9" t="s">
        <v>381</v>
      </c>
      <c r="F82" s="112" t="s">
        <v>348</v>
      </c>
      <c r="G82" s="10" t="s">
        <v>205</v>
      </c>
      <c r="H82" s="112" t="s">
        <v>347</v>
      </c>
      <c r="I82" s="9" t="s">
        <v>125</v>
      </c>
      <c r="J82" s="158" t="s">
        <v>438</v>
      </c>
      <c r="K82" s="10" t="s">
        <v>126</v>
      </c>
      <c r="L82" s="84" t="s">
        <v>22</v>
      </c>
      <c r="M82" s="11">
        <v>45231</v>
      </c>
      <c r="N82" s="12">
        <v>45260</v>
      </c>
      <c r="O82" s="10">
        <v>5</v>
      </c>
      <c r="P82" s="84">
        <v>115</v>
      </c>
      <c r="Q82" s="84" t="s">
        <v>127</v>
      </c>
      <c r="R82" s="10" t="s">
        <v>128</v>
      </c>
      <c r="S82" s="14" t="s">
        <v>133</v>
      </c>
      <c r="T82" s="11"/>
      <c r="U82" s="12"/>
      <c r="V82" s="202" t="str">
        <f ca="1">IF(U82="","",
IF(U82="NA","",
IFERROR(VLOOKUP(EOMONTH(M82,-2)+1,IPCA!$A:$B,2,0),
VLOOKUP(EOMONTH(TODAY(),-2)+1,IPCA!$A:$B,2,0))/
VLOOKUP(EOMONTH(U82,-2)+1,IPCA!$A:$B,2,0)*
P82))</f>
        <v/>
      </c>
      <c r="W82" s="84"/>
      <c r="X82" s="13" t="s">
        <v>132</v>
      </c>
      <c r="Y82" s="158"/>
      <c r="Z82" s="106"/>
      <c r="AA82" s="107"/>
      <c r="AB82" s="15"/>
      <c r="AC82"/>
      <c r="AD82"/>
      <c r="AE82"/>
      <c r="AF82"/>
      <c r="AG82"/>
      <c r="AH82"/>
      <c r="AI82"/>
      <c r="AJ82"/>
      <c r="AK82"/>
      <c r="AL82">
        <v>5</v>
      </c>
      <c r="AM82" s="6"/>
      <c r="AN82" s="15"/>
      <c r="AO82"/>
      <c r="AP82"/>
      <c r="AQ82"/>
      <c r="AR82"/>
      <c r="AS82"/>
      <c r="AT82"/>
      <c r="AU82"/>
      <c r="AV82"/>
      <c r="AW82"/>
      <c r="AX82"/>
      <c r="AY82" s="6"/>
      <c r="AZ82" s="15"/>
      <c r="BA82"/>
      <c r="BB82"/>
      <c r="BC82"/>
      <c r="BD82"/>
      <c r="BE82"/>
      <c r="BF82"/>
      <c r="BG82"/>
      <c r="BH82"/>
      <c r="BI82"/>
      <c r="BJ82"/>
      <c r="BK82" s="6"/>
      <c r="BL82" s="15"/>
      <c r="BM82"/>
      <c r="BN82"/>
      <c r="BO82"/>
      <c r="BP82"/>
      <c r="BQ82"/>
      <c r="BR82"/>
      <c r="BS82"/>
      <c r="BT82"/>
      <c r="BU82"/>
      <c r="BV82"/>
      <c r="BW82" s="6"/>
      <c r="BX82" s="15"/>
      <c r="BY82"/>
      <c r="BZ82"/>
      <c r="CA82"/>
      <c r="CB82"/>
      <c r="CC82"/>
      <c r="CD82"/>
      <c r="CE82"/>
      <c r="CF82"/>
      <c r="CG82"/>
      <c r="CH82"/>
      <c r="CI82" s="6"/>
      <c r="CJ82" s="16">
        <v>0.41095890410958902</v>
      </c>
      <c r="CK82" s="16" t="s">
        <v>578</v>
      </c>
      <c r="CL82" s="16" t="s">
        <v>578</v>
      </c>
      <c r="CM82" s="16" t="s">
        <v>578</v>
      </c>
      <c r="CN82" s="16" t="s">
        <v>578</v>
      </c>
      <c r="CO82" s="18"/>
      <c r="CP82" s="15"/>
      <c r="CQ82"/>
      <c r="CR82"/>
      <c r="CS82"/>
      <c r="CT82"/>
      <c r="CU82"/>
      <c r="CV82"/>
      <c r="CW82"/>
      <c r="CX82"/>
      <c r="CY82"/>
      <c r="CZ82">
        <v>115</v>
      </c>
      <c r="DA82" s="6"/>
      <c r="DB82" s="15"/>
      <c r="DC82"/>
      <c r="DD82"/>
      <c r="DE82"/>
      <c r="DF82"/>
      <c r="DG82"/>
      <c r="DH82"/>
      <c r="DI82"/>
      <c r="DJ82"/>
      <c r="DK82"/>
      <c r="DL82"/>
      <c r="DM82" s="6"/>
      <c r="DN82" s="15"/>
      <c r="DO82"/>
      <c r="DP82"/>
      <c r="DQ82"/>
      <c r="DR82"/>
      <c r="DS82"/>
      <c r="DT82"/>
      <c r="DU82"/>
      <c r="DV82"/>
      <c r="DW82"/>
      <c r="DX82"/>
      <c r="DY82" s="6"/>
      <c r="DZ82" s="15"/>
      <c r="EA82"/>
      <c r="EB82"/>
      <c r="EC82"/>
      <c r="ED82"/>
      <c r="EE82"/>
      <c r="EF82"/>
      <c r="EG82"/>
      <c r="EH82"/>
      <c r="EI82"/>
      <c r="EJ82"/>
      <c r="EK82" s="6"/>
      <c r="EL82" s="15"/>
      <c r="EM82"/>
      <c r="EN82"/>
      <c r="EO82"/>
      <c r="EP82"/>
      <c r="EQ82"/>
      <c r="ER82"/>
      <c r="ES82"/>
      <c r="ET82"/>
      <c r="EU82"/>
      <c r="EV82"/>
      <c r="EW82" s="6"/>
      <c r="EX82" s="16">
        <v>9.4520547945205475</v>
      </c>
      <c r="EY82" s="16" t="s">
        <v>578</v>
      </c>
      <c r="EZ82" s="16" t="s">
        <v>578</v>
      </c>
      <c r="FA82" s="154" t="s">
        <v>578</v>
      </c>
      <c r="FB82" s="154" t="s">
        <v>578</v>
      </c>
      <c r="FC82" t="s">
        <v>195</v>
      </c>
      <c r="FD82" s="20" t="s">
        <v>125</v>
      </c>
      <c r="FE82"/>
      <c r="FF82" s="199" t="s">
        <v>197</v>
      </c>
      <c r="FG82"/>
      <c r="FH82" s="206">
        <f t="shared" ca="1" si="13"/>
        <v>0</v>
      </c>
      <c r="FI82" s="198">
        <f t="shared" si="14"/>
        <v>0.96666666666666667</v>
      </c>
      <c r="FJ82"/>
      <c r="FK82" t="str">
        <f t="shared" si="15"/>
        <v>True Comercializadora de Energia LTDA</v>
      </c>
      <c r="FL82" s="191">
        <f t="shared" ca="1" si="16"/>
        <v>0</v>
      </c>
      <c r="FM82" s="191">
        <f t="shared" ca="1" si="17"/>
        <v>144000</v>
      </c>
      <c r="FN82" s="190">
        <f>AB82*AB$2*IF($FC82="V",1,-1)*IF($Q82="Fixo",(CP82-INDEX('Curva Forward'!$C$5:$AN$13,MATCH(CONCATENATE(BD_COMERCIAL!$K82," ",BD_COMERCIAL!$L82),'Curva Forward'!$B$5:$B$13,0),MATCH(FN$4,'Curva Forward'!$C$4:$AN$4,0))),CP82)</f>
        <v>0</v>
      </c>
      <c r="FO82" s="190">
        <f>AC82*AC$2*IF($FC82="V",1,-1)*IF($Q82="Fixo",(CQ82-INDEX('Curva Forward'!$C$5:$AN$13,MATCH(CONCATENATE(BD_COMERCIAL!$K82," ",BD_COMERCIAL!$L82),'Curva Forward'!$B$5:$B$13,0),MATCH(FO$4,'Curva Forward'!$C$4:$AN$4,0))),CQ82)</f>
        <v>0</v>
      </c>
      <c r="FP82" s="190">
        <f>AD82*AD$2*IF($FC82="V",1,-1)*IF($Q82="Fixo",(CR82-INDEX('Curva Forward'!$C$5:$AN$13,MATCH(CONCATENATE(BD_COMERCIAL!$K82," ",BD_COMERCIAL!$L82),'Curva Forward'!$B$5:$B$13,0),MATCH(FP$4,'Curva Forward'!$C$4:$AN$4,0))),CR82)</f>
        <v>0</v>
      </c>
      <c r="FQ82" s="190">
        <f>AE82*AE$2*IF($FC82="V",1,-1)*IF($Q82="Fixo",(CS82-INDEX('Curva Forward'!$C$5:$AN$13,MATCH(CONCATENATE(BD_COMERCIAL!$K82," ",BD_COMERCIAL!$L82),'Curva Forward'!$B$5:$B$13,0),MATCH(FQ$4,'Curva Forward'!$C$4:$AN$4,0))),CS82)</f>
        <v>0</v>
      </c>
      <c r="FR82" s="190">
        <f>AF82*AF$2*IF($FC82="V",1,-1)*IF($Q82="Fixo",(CT82-INDEX('Curva Forward'!$C$5:$AN$13,MATCH(CONCATENATE(BD_COMERCIAL!$K82," ",BD_COMERCIAL!$L82),'Curva Forward'!$B$5:$B$13,0),MATCH(FR$4,'Curva Forward'!$C$4:$AN$4,0))),CT82)</f>
        <v>0</v>
      </c>
      <c r="FS82" s="190">
        <f>AG82*AG$2*IF($FC82="V",1,-1)*IF($Q82="Fixo",(CU82-INDEX('Curva Forward'!$C$5:$AN$13,MATCH(CONCATENATE(BD_COMERCIAL!$K82," ",BD_COMERCIAL!$L82),'Curva Forward'!$B$5:$B$13,0),MATCH(FS$4,'Curva Forward'!$C$4:$AN$4,0))),CU82)</f>
        <v>0</v>
      </c>
      <c r="FT82" s="190">
        <f>AH82*AH$2*IF($FC82="V",1,-1)*IF($Q82="Fixo",(CV82-INDEX('Curva Forward'!$C$5:$AN$13,MATCH(CONCATENATE(BD_COMERCIAL!$K82," ",BD_COMERCIAL!$L82),'Curva Forward'!$B$5:$B$13,0),MATCH(FT$4,'Curva Forward'!$C$4:$AN$4,0))),CV82)</f>
        <v>0</v>
      </c>
      <c r="FU82" s="190">
        <f>AI82*AI$2*IF($FC82="V",1,-1)*IF($Q82="Fixo",(CW82-INDEX('Curva Forward'!$C$5:$AN$13,MATCH(CONCATENATE(BD_COMERCIAL!$K82," ",BD_COMERCIAL!$L82),'Curva Forward'!$B$5:$B$13,0),MATCH(FU$4,'Curva Forward'!$C$4:$AN$4,0))),CW82)</f>
        <v>0</v>
      </c>
      <c r="FV82" s="190">
        <f>AJ82*AJ$2*IF($FC82="V",1,-1)*IF($Q82="Fixo",(CX82-INDEX('Curva Forward'!$C$5:$AN$13,MATCH(CONCATENATE(BD_COMERCIAL!$K82," ",BD_COMERCIAL!$L82),'Curva Forward'!$B$5:$B$13,0),MATCH(FV$4,'Curva Forward'!$C$4:$AN$4,0))),CX82)</f>
        <v>0</v>
      </c>
      <c r="FW82" s="190">
        <f>AK82*AK$2*IF($FC82="V",1,-1)*IF($Q82="Fixo",(CY82-INDEX('Curva Forward'!$C$5:$AN$13,MATCH(CONCATENATE(BD_COMERCIAL!$K82," ",BD_COMERCIAL!$L82),'Curva Forward'!$B$5:$B$13,0),MATCH(FW$4,'Curva Forward'!$C$4:$AN$4,0))),CY82)</f>
        <v>0</v>
      </c>
      <c r="FX82" s="190">
        <f>AL82*AL$2*IF($FC82="V",1,-1)*IF($Q82="Fixo",(CZ82-INDEX('Curva Forward'!$C$5:$AN$13,MATCH(CONCATENATE(BD_COMERCIAL!$K82," ",BD_COMERCIAL!$L82),'Curva Forward'!$B$5:$B$13,0),MATCH(FX$4,'Curva Forward'!$C$4:$AN$4,0))),CZ82)</f>
        <v>144000</v>
      </c>
      <c r="FY82" s="190">
        <f>AM82*AM$2*IF($FC82="V",1,-1)*IF($Q82="Fixo",(DA82-INDEX('Curva Forward'!$C$5:$AN$13,MATCH(CONCATENATE(BD_COMERCIAL!$K82," ",BD_COMERCIAL!$L82),'Curva Forward'!$B$5:$B$13,0),MATCH(FY$4,'Curva Forward'!$C$4:$AN$4,0))),DA82)</f>
        <v>0</v>
      </c>
      <c r="FZ82" s="190">
        <f>AN82*AN$2*IF($FC82="V",1,-1)*IF($Q82="Fixo",(DB82-INDEX('Curva Forward'!$C$5:$AN$13,MATCH(CONCATENATE(BD_COMERCIAL!$K82," ",BD_COMERCIAL!$L82),'Curva Forward'!$B$5:$B$13,0),MATCH(FZ$4,'Curva Forward'!$C$4:$AN$4,0))),DB82)</f>
        <v>0</v>
      </c>
      <c r="GA82" s="190">
        <f>AO82*AO$2*IF($FC82="V",1,-1)*IF($Q82="Fixo",(DC82-INDEX('Curva Forward'!$C$5:$AN$13,MATCH(CONCATENATE(BD_COMERCIAL!$K82," ",BD_COMERCIAL!$L82),'Curva Forward'!$B$5:$B$13,0),MATCH(GA$4,'Curva Forward'!$C$4:$AN$4,0))),DC82)</f>
        <v>0</v>
      </c>
      <c r="GB82" s="190">
        <f>AP82*AP$2*IF($FC82="V",1,-1)*IF($Q82="Fixo",(DD82-INDEX('Curva Forward'!$C$5:$AN$13,MATCH(CONCATENATE(BD_COMERCIAL!$K82," ",BD_COMERCIAL!$L82),'Curva Forward'!$B$5:$B$13,0),MATCH(GB$4,'Curva Forward'!$C$4:$AN$4,0))),DD82)</f>
        <v>0</v>
      </c>
      <c r="GC82" s="190">
        <f>AQ82*AQ$2*IF($FC82="V",1,-1)*IF($Q82="Fixo",(DE82-INDEX('Curva Forward'!$C$5:$AN$13,MATCH(CONCATENATE(BD_COMERCIAL!$K82," ",BD_COMERCIAL!$L82),'Curva Forward'!$B$5:$B$13,0),MATCH(GC$4,'Curva Forward'!$C$4:$AN$4,0))),DE82)</f>
        <v>0</v>
      </c>
      <c r="GD82" s="190">
        <f>AR82*AR$2*IF($FC82="V",1,-1)*IF($Q82="Fixo",(DF82-INDEX('Curva Forward'!$C$5:$AN$13,MATCH(CONCATENATE(BD_COMERCIAL!$K82," ",BD_COMERCIAL!$L82),'Curva Forward'!$B$5:$B$13,0),MATCH(GD$4,'Curva Forward'!$C$4:$AN$4,0))),DF82)</f>
        <v>0</v>
      </c>
      <c r="GE82" s="190">
        <f>AS82*AS$2*IF($FC82="V",1,-1)*IF($Q82="Fixo",(DG82-INDEX('Curva Forward'!$C$5:$AN$13,MATCH(CONCATENATE(BD_COMERCIAL!$K82," ",BD_COMERCIAL!$L82),'Curva Forward'!$B$5:$B$13,0),MATCH(GE$4,'Curva Forward'!$C$4:$AN$4,0))),DG82)</f>
        <v>0</v>
      </c>
      <c r="GF82" s="190">
        <f>AT82*AT$2*IF($FC82="V",1,-1)*IF($Q82="Fixo",(DH82-INDEX('Curva Forward'!$C$5:$AN$13,MATCH(CONCATENATE(BD_COMERCIAL!$K82," ",BD_COMERCIAL!$L82),'Curva Forward'!$B$5:$B$13,0),MATCH(GF$4,'Curva Forward'!$C$4:$AN$4,0))),DH82)</f>
        <v>0</v>
      </c>
      <c r="GG82" s="190">
        <f>AU82*AU$2*IF($FC82="V",1,-1)*IF($Q82="Fixo",(DI82-INDEX('Curva Forward'!$C$5:$AN$13,MATCH(CONCATENATE(BD_COMERCIAL!$K82," ",BD_COMERCIAL!$L82),'Curva Forward'!$B$5:$B$13,0),MATCH(GG$4,'Curva Forward'!$C$4:$AN$4,0))),DI82)</f>
        <v>0</v>
      </c>
      <c r="GH82" s="190">
        <f>AV82*AV$2*IF($FC82="V",1,-1)*IF($Q82="Fixo",(DJ82-INDEX('Curva Forward'!$C$5:$AN$13,MATCH(CONCATENATE(BD_COMERCIAL!$K82," ",BD_COMERCIAL!$L82),'Curva Forward'!$B$5:$B$13,0),MATCH(GH$4,'Curva Forward'!$C$4:$AN$4,0))),DJ82)</f>
        <v>0</v>
      </c>
      <c r="GI82" s="190">
        <f>AW82*AW$2*IF($FC82="V",1,-1)*IF($Q82="Fixo",(DK82-INDEX('Curva Forward'!$C$5:$AN$13,MATCH(CONCATENATE(BD_COMERCIAL!$K82," ",BD_COMERCIAL!$L82),'Curva Forward'!$B$5:$B$13,0),MATCH(GI$4,'Curva Forward'!$C$4:$AN$4,0))),DK82)</f>
        <v>0</v>
      </c>
      <c r="GJ82" s="190">
        <f>AX82*AX$2*IF($FC82="V",1,-1)*IF($Q82="Fixo",(DL82-INDEX('Curva Forward'!$C$5:$AN$13,MATCH(CONCATENATE(BD_COMERCIAL!$K82," ",BD_COMERCIAL!$L82),'Curva Forward'!$B$5:$B$13,0),MATCH(GJ$4,'Curva Forward'!$C$4:$AN$4,0))),DL82)</f>
        <v>0</v>
      </c>
      <c r="GK82" s="190">
        <f>AY82*AY$2*IF($FC82="V",1,-1)*IF($Q82="Fixo",(DM82-INDEX('Curva Forward'!$C$5:$AN$13,MATCH(CONCATENATE(BD_COMERCIAL!$K82," ",BD_COMERCIAL!$L82),'Curva Forward'!$B$5:$B$13,0),MATCH(GK$4,'Curva Forward'!$C$4:$AN$4,0))),DM82)</f>
        <v>0</v>
      </c>
      <c r="GL82" s="190">
        <f>IF(EZ82="",0,CL82*CL$2*IF($FC82="V",1,-1)*IF($Q82="Fixo",(EZ82-INDEX('Curva Forward'!$C$5:$AN$13,MATCH(CONCATENATE(BD_COMERCIAL!$K82," ",BD_COMERCIAL!$L82),'Curva Forward'!$B$5:$B$13,0),MATCH(GL$4,'Curva Forward'!$C$4:$AN$4,0))),EZ82))</f>
        <v>0</v>
      </c>
      <c r="GM82" s="190">
        <f>IF(FA82="",0,CM82*CM$2*IF($FC82="V",1,-1)*IF($Q82="Fixo",(FA82-INDEX('Curva Forward'!$C$5:$AN$13,MATCH(CONCATENATE(BD_COMERCIAL!$K82," ",BD_COMERCIAL!$L82),'Curva Forward'!$B$5:$B$13,0),MATCH(GM$4,'Curva Forward'!$C$4:$AN$4,0))),FA82))</f>
        <v>0</v>
      </c>
      <c r="GN82" s="190">
        <f>IF(FB82="",0,CN82*CN$2*IF($FC82="V",1,-1)*IF($Q82="Fixo",(FB82-INDEX('Curva Forward'!$C$5:$AN$13,MATCH(CONCATENATE(BD_COMERCIAL!$K82," ",BD_COMERCIAL!$L82),'Curva Forward'!$B$5:$B$13,0),MATCH(GN$4,'Curva Forward'!$C$4:$AN$4,0))),FB82))</f>
        <v>0</v>
      </c>
      <c r="GO82" s="191">
        <f t="shared" ca="1" si="18"/>
        <v>144000</v>
      </c>
      <c r="GP82" s="191">
        <f t="shared" ca="1" si="19"/>
        <v>0</v>
      </c>
      <c r="GQ82" s="115"/>
      <c r="GR82" s="115"/>
      <c r="GS82"/>
      <c r="GT82" s="65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</row>
    <row r="83" spans="1:236" s="265" customFormat="1" ht="15" customHeight="1" x14ac:dyDescent="0.35">
      <c r="A83" s="251"/>
      <c r="B83" s="7" t="s">
        <v>441</v>
      </c>
      <c r="C83" s="8">
        <v>44853</v>
      </c>
      <c r="D83" s="9" t="s">
        <v>130</v>
      </c>
      <c r="E83" s="9" t="s">
        <v>222</v>
      </c>
      <c r="F83" s="112" t="s">
        <v>311</v>
      </c>
      <c r="G83" s="10" t="s">
        <v>381</v>
      </c>
      <c r="H83" s="112" t="s">
        <v>348</v>
      </c>
      <c r="I83" s="9" t="s">
        <v>125</v>
      </c>
      <c r="J83" s="158" t="s">
        <v>438</v>
      </c>
      <c r="K83" s="10" t="s">
        <v>126</v>
      </c>
      <c r="L83" s="84" t="s">
        <v>22</v>
      </c>
      <c r="M83" s="11">
        <v>45078</v>
      </c>
      <c r="N83" s="12">
        <v>45107</v>
      </c>
      <c r="O83" s="10">
        <v>12</v>
      </c>
      <c r="P83" s="84">
        <v>85</v>
      </c>
      <c r="Q83" s="84" t="s">
        <v>127</v>
      </c>
      <c r="R83" s="10" t="s">
        <v>128</v>
      </c>
      <c r="S83" s="14" t="s">
        <v>133</v>
      </c>
      <c r="T83" s="11"/>
      <c r="U83" s="12"/>
      <c r="V83" s="202" t="str">
        <f ca="1">IF(U83="","",
IF(U83="NA","",
IFERROR(VLOOKUP(EOMONTH(M83,-2)+1,IPCA!$A:$B,2,0),
VLOOKUP(EOMONTH(TODAY(),-2)+1,IPCA!$A:$B,2,0))/
VLOOKUP(EOMONTH(U83,-2)+1,IPCA!$A:$B,2,0)*
P83))</f>
        <v/>
      </c>
      <c r="W83" s="84"/>
      <c r="X83" s="13" t="s">
        <v>132</v>
      </c>
      <c r="Y83" s="158"/>
      <c r="Z83" s="106"/>
      <c r="AA83" s="107"/>
      <c r="AB83" s="15"/>
      <c r="AC83"/>
      <c r="AD83"/>
      <c r="AE83"/>
      <c r="AF83"/>
      <c r="AG83">
        <v>12</v>
      </c>
      <c r="AH83"/>
      <c r="AI83"/>
      <c r="AJ83"/>
      <c r="AK83"/>
      <c r="AL83"/>
      <c r="AM83" s="6"/>
      <c r="AN83" s="15"/>
      <c r="AO83"/>
      <c r="AP83"/>
      <c r="AQ83"/>
      <c r="AR83"/>
      <c r="AS83"/>
      <c r="AT83"/>
      <c r="AU83"/>
      <c r="AV83"/>
      <c r="AW83"/>
      <c r="AX83"/>
      <c r="AY83" s="6"/>
      <c r="AZ83" s="15"/>
      <c r="BA83"/>
      <c r="BB83"/>
      <c r="BC83"/>
      <c r="BD83"/>
      <c r="BE83"/>
      <c r="BF83"/>
      <c r="BG83"/>
      <c r="BH83"/>
      <c r="BI83"/>
      <c r="BJ83"/>
      <c r="BK83" s="6"/>
      <c r="BL83" s="15"/>
      <c r="BM83"/>
      <c r="BN83"/>
      <c r="BO83"/>
      <c r="BP83"/>
      <c r="BQ83"/>
      <c r="BR83"/>
      <c r="BS83"/>
      <c r="BT83"/>
      <c r="BU83"/>
      <c r="BV83"/>
      <c r="BW83" s="6"/>
      <c r="BX83" s="15"/>
      <c r="BY83"/>
      <c r="BZ83"/>
      <c r="CA83"/>
      <c r="CB83"/>
      <c r="CC83"/>
      <c r="CD83"/>
      <c r="CE83"/>
      <c r="CF83"/>
      <c r="CG83"/>
      <c r="CH83"/>
      <c r="CI83" s="6"/>
      <c r="CJ83" s="16">
        <v>0.98630136986301364</v>
      </c>
      <c r="CK83" s="16" t="s">
        <v>578</v>
      </c>
      <c r="CL83" s="16" t="s">
        <v>578</v>
      </c>
      <c r="CM83" s="16" t="s">
        <v>578</v>
      </c>
      <c r="CN83" s="16" t="s">
        <v>578</v>
      </c>
      <c r="CO83" s="18"/>
      <c r="CP83" s="15"/>
      <c r="CQ83"/>
      <c r="CR83"/>
      <c r="CS83"/>
      <c r="CT83"/>
      <c r="CU83">
        <v>85</v>
      </c>
      <c r="CV83"/>
      <c r="CW83"/>
      <c r="CX83"/>
      <c r="CY83"/>
      <c r="CZ83"/>
      <c r="DA83" s="6"/>
      <c r="DB83" s="15"/>
      <c r="DC83"/>
      <c r="DD83"/>
      <c r="DE83"/>
      <c r="DF83"/>
      <c r="DG83"/>
      <c r="DH83"/>
      <c r="DI83"/>
      <c r="DJ83"/>
      <c r="DK83"/>
      <c r="DL83"/>
      <c r="DM83" s="6"/>
      <c r="DN83" s="15"/>
      <c r="DO83"/>
      <c r="DP83"/>
      <c r="DQ83"/>
      <c r="DR83"/>
      <c r="DS83"/>
      <c r="DT83"/>
      <c r="DU83"/>
      <c r="DV83"/>
      <c r="DW83"/>
      <c r="DX83"/>
      <c r="DY83" s="6"/>
      <c r="DZ83" s="15"/>
      <c r="EA83"/>
      <c r="EB83"/>
      <c r="EC83"/>
      <c r="ED83"/>
      <c r="EE83"/>
      <c r="EF83"/>
      <c r="EG83"/>
      <c r="EH83"/>
      <c r="EI83"/>
      <c r="EJ83"/>
      <c r="EK83" s="6"/>
      <c r="EL83" s="15"/>
      <c r="EM83"/>
      <c r="EN83"/>
      <c r="EO83"/>
      <c r="EP83"/>
      <c r="EQ83"/>
      <c r="ER83"/>
      <c r="ES83"/>
      <c r="ET83"/>
      <c r="EU83"/>
      <c r="EV83"/>
      <c r="EW83" s="6"/>
      <c r="EX83" s="16">
        <v>6.9863013698630141</v>
      </c>
      <c r="EY83" s="16" t="s">
        <v>578</v>
      </c>
      <c r="EZ83" s="16" t="s">
        <v>578</v>
      </c>
      <c r="FA83" s="154" t="s">
        <v>578</v>
      </c>
      <c r="FB83" s="154" t="s">
        <v>578</v>
      </c>
      <c r="FC83" t="s">
        <v>196</v>
      </c>
      <c r="FD83" s="20" t="s">
        <v>125</v>
      </c>
      <c r="FE83"/>
      <c r="FF83" s="199" t="s">
        <v>197</v>
      </c>
      <c r="FG83"/>
      <c r="FH83" s="206">
        <f t="shared" ca="1" si="13"/>
        <v>0</v>
      </c>
      <c r="FI83" s="198">
        <f t="shared" si="14"/>
        <v>0.96666666666666667</v>
      </c>
      <c r="FJ83"/>
      <c r="FK83" t="str">
        <f t="shared" si="15"/>
        <v>OMEGA GERACAO S.A.</v>
      </c>
      <c r="FL83" s="191">
        <f t="shared" ca="1" si="16"/>
        <v>0</v>
      </c>
      <c r="FM83" s="191">
        <f t="shared" ca="1" si="17"/>
        <v>-129600</v>
      </c>
      <c r="FN83" s="190">
        <f>AB83*AB$2*IF($FC83="V",1,-1)*IF($Q83="Fixo",(CP83-INDEX('Curva Forward'!$C$5:$AN$13,MATCH(CONCATENATE(BD_COMERCIAL!$K83," ",BD_COMERCIAL!$L83),'Curva Forward'!$B$5:$B$13,0),MATCH(FN$4,'Curva Forward'!$C$4:$AN$4,0))),CP83)</f>
        <v>0</v>
      </c>
      <c r="FO83" s="190">
        <f>AC83*AC$2*IF($FC83="V",1,-1)*IF($Q83="Fixo",(CQ83-INDEX('Curva Forward'!$C$5:$AN$13,MATCH(CONCATENATE(BD_COMERCIAL!$K83," ",BD_COMERCIAL!$L83),'Curva Forward'!$B$5:$B$13,0),MATCH(FO$4,'Curva Forward'!$C$4:$AN$4,0))),CQ83)</f>
        <v>0</v>
      </c>
      <c r="FP83" s="190">
        <f>AD83*AD$2*IF($FC83="V",1,-1)*IF($Q83="Fixo",(CR83-INDEX('Curva Forward'!$C$5:$AN$13,MATCH(CONCATENATE(BD_COMERCIAL!$K83," ",BD_COMERCIAL!$L83),'Curva Forward'!$B$5:$B$13,0),MATCH(FP$4,'Curva Forward'!$C$4:$AN$4,0))),CR83)</f>
        <v>0</v>
      </c>
      <c r="FQ83" s="190">
        <f>AE83*AE$2*IF($FC83="V",1,-1)*IF($Q83="Fixo",(CS83-INDEX('Curva Forward'!$C$5:$AN$13,MATCH(CONCATENATE(BD_COMERCIAL!$K83," ",BD_COMERCIAL!$L83),'Curva Forward'!$B$5:$B$13,0),MATCH(FQ$4,'Curva Forward'!$C$4:$AN$4,0))),CS83)</f>
        <v>0</v>
      </c>
      <c r="FR83" s="190">
        <f>AF83*AF$2*IF($FC83="V",1,-1)*IF($Q83="Fixo",(CT83-INDEX('Curva Forward'!$C$5:$AN$13,MATCH(CONCATENATE(BD_COMERCIAL!$K83," ",BD_COMERCIAL!$L83),'Curva Forward'!$B$5:$B$13,0),MATCH(FR$4,'Curva Forward'!$C$4:$AN$4,0))),CT83)</f>
        <v>0</v>
      </c>
      <c r="FS83" s="190">
        <f>AG83*AG$2*IF($FC83="V",1,-1)*IF($Q83="Fixo",(CU83-INDEX('Curva Forward'!$C$5:$AN$13,MATCH(CONCATENATE(BD_COMERCIAL!$K83," ",BD_COMERCIAL!$L83),'Curva Forward'!$B$5:$B$13,0),MATCH(FS$4,'Curva Forward'!$C$4:$AN$4,0))),CU83)</f>
        <v>-129600</v>
      </c>
      <c r="FT83" s="190">
        <f>AH83*AH$2*IF($FC83="V",1,-1)*IF($Q83="Fixo",(CV83-INDEX('Curva Forward'!$C$5:$AN$13,MATCH(CONCATENATE(BD_COMERCIAL!$K83," ",BD_COMERCIAL!$L83),'Curva Forward'!$B$5:$B$13,0),MATCH(FT$4,'Curva Forward'!$C$4:$AN$4,0))),CV83)</f>
        <v>0</v>
      </c>
      <c r="FU83" s="190">
        <f>AI83*AI$2*IF($FC83="V",1,-1)*IF($Q83="Fixo",(CW83-INDEX('Curva Forward'!$C$5:$AN$13,MATCH(CONCATENATE(BD_COMERCIAL!$K83," ",BD_COMERCIAL!$L83),'Curva Forward'!$B$5:$B$13,0),MATCH(FU$4,'Curva Forward'!$C$4:$AN$4,0))),CW83)</f>
        <v>0</v>
      </c>
      <c r="FV83" s="190">
        <f>AJ83*AJ$2*IF($FC83="V",1,-1)*IF($Q83="Fixo",(CX83-INDEX('Curva Forward'!$C$5:$AN$13,MATCH(CONCATENATE(BD_COMERCIAL!$K83," ",BD_COMERCIAL!$L83),'Curva Forward'!$B$5:$B$13,0),MATCH(FV$4,'Curva Forward'!$C$4:$AN$4,0))),CX83)</f>
        <v>0</v>
      </c>
      <c r="FW83" s="190">
        <f>AK83*AK$2*IF($FC83="V",1,-1)*IF($Q83="Fixo",(CY83-INDEX('Curva Forward'!$C$5:$AN$13,MATCH(CONCATENATE(BD_COMERCIAL!$K83," ",BD_COMERCIAL!$L83),'Curva Forward'!$B$5:$B$13,0),MATCH(FW$4,'Curva Forward'!$C$4:$AN$4,0))),CY83)</f>
        <v>0</v>
      </c>
      <c r="FX83" s="190">
        <f>AL83*AL$2*IF($FC83="V",1,-1)*IF($Q83="Fixo",(CZ83-INDEX('Curva Forward'!$C$5:$AN$13,MATCH(CONCATENATE(BD_COMERCIAL!$K83," ",BD_COMERCIAL!$L83),'Curva Forward'!$B$5:$B$13,0),MATCH(FX$4,'Curva Forward'!$C$4:$AN$4,0))),CZ83)</f>
        <v>0</v>
      </c>
      <c r="FY83" s="190">
        <f>AM83*AM$2*IF($FC83="V",1,-1)*IF($Q83="Fixo",(DA83-INDEX('Curva Forward'!$C$5:$AN$13,MATCH(CONCATENATE(BD_COMERCIAL!$K83," ",BD_COMERCIAL!$L83),'Curva Forward'!$B$5:$B$13,0),MATCH(FY$4,'Curva Forward'!$C$4:$AN$4,0))),DA83)</f>
        <v>0</v>
      </c>
      <c r="FZ83" s="190">
        <f>AN83*AN$2*IF($FC83="V",1,-1)*IF($Q83="Fixo",(DB83-INDEX('Curva Forward'!$C$5:$AN$13,MATCH(CONCATENATE(BD_COMERCIAL!$K83," ",BD_COMERCIAL!$L83),'Curva Forward'!$B$5:$B$13,0),MATCH(FZ$4,'Curva Forward'!$C$4:$AN$4,0))),DB83)</f>
        <v>0</v>
      </c>
      <c r="GA83" s="190">
        <f>AO83*AO$2*IF($FC83="V",1,-1)*IF($Q83="Fixo",(DC83-INDEX('Curva Forward'!$C$5:$AN$13,MATCH(CONCATENATE(BD_COMERCIAL!$K83," ",BD_COMERCIAL!$L83),'Curva Forward'!$B$5:$B$13,0),MATCH(GA$4,'Curva Forward'!$C$4:$AN$4,0))),DC83)</f>
        <v>0</v>
      </c>
      <c r="GB83" s="190">
        <f>AP83*AP$2*IF($FC83="V",1,-1)*IF($Q83="Fixo",(DD83-INDEX('Curva Forward'!$C$5:$AN$13,MATCH(CONCATENATE(BD_COMERCIAL!$K83," ",BD_COMERCIAL!$L83),'Curva Forward'!$B$5:$B$13,0),MATCH(GB$4,'Curva Forward'!$C$4:$AN$4,0))),DD83)</f>
        <v>0</v>
      </c>
      <c r="GC83" s="190">
        <f>AQ83*AQ$2*IF($FC83="V",1,-1)*IF($Q83="Fixo",(DE83-INDEX('Curva Forward'!$C$5:$AN$13,MATCH(CONCATENATE(BD_COMERCIAL!$K83," ",BD_COMERCIAL!$L83),'Curva Forward'!$B$5:$B$13,0),MATCH(GC$4,'Curva Forward'!$C$4:$AN$4,0))),DE83)</f>
        <v>0</v>
      </c>
      <c r="GD83" s="190">
        <f>AR83*AR$2*IF($FC83="V",1,-1)*IF($Q83="Fixo",(DF83-INDEX('Curva Forward'!$C$5:$AN$13,MATCH(CONCATENATE(BD_COMERCIAL!$K83," ",BD_COMERCIAL!$L83),'Curva Forward'!$B$5:$B$13,0),MATCH(GD$4,'Curva Forward'!$C$4:$AN$4,0))),DF83)</f>
        <v>0</v>
      </c>
      <c r="GE83" s="190">
        <f>AS83*AS$2*IF($FC83="V",1,-1)*IF($Q83="Fixo",(DG83-INDEX('Curva Forward'!$C$5:$AN$13,MATCH(CONCATENATE(BD_COMERCIAL!$K83," ",BD_COMERCIAL!$L83),'Curva Forward'!$B$5:$B$13,0),MATCH(GE$4,'Curva Forward'!$C$4:$AN$4,0))),DG83)</f>
        <v>0</v>
      </c>
      <c r="GF83" s="190">
        <f>AT83*AT$2*IF($FC83="V",1,-1)*IF($Q83="Fixo",(DH83-INDEX('Curva Forward'!$C$5:$AN$13,MATCH(CONCATENATE(BD_COMERCIAL!$K83," ",BD_COMERCIAL!$L83),'Curva Forward'!$B$5:$B$13,0),MATCH(GF$4,'Curva Forward'!$C$4:$AN$4,0))),DH83)</f>
        <v>0</v>
      </c>
      <c r="GG83" s="190">
        <f>AU83*AU$2*IF($FC83="V",1,-1)*IF($Q83="Fixo",(DI83-INDEX('Curva Forward'!$C$5:$AN$13,MATCH(CONCATENATE(BD_COMERCIAL!$K83," ",BD_COMERCIAL!$L83),'Curva Forward'!$B$5:$B$13,0),MATCH(GG$4,'Curva Forward'!$C$4:$AN$4,0))),DI83)</f>
        <v>0</v>
      </c>
      <c r="GH83" s="190">
        <f>AV83*AV$2*IF($FC83="V",1,-1)*IF($Q83="Fixo",(DJ83-INDEX('Curva Forward'!$C$5:$AN$13,MATCH(CONCATENATE(BD_COMERCIAL!$K83," ",BD_COMERCIAL!$L83),'Curva Forward'!$B$5:$B$13,0),MATCH(GH$4,'Curva Forward'!$C$4:$AN$4,0))),DJ83)</f>
        <v>0</v>
      </c>
      <c r="GI83" s="190">
        <f>AW83*AW$2*IF($FC83="V",1,-1)*IF($Q83="Fixo",(DK83-INDEX('Curva Forward'!$C$5:$AN$13,MATCH(CONCATENATE(BD_COMERCIAL!$K83," ",BD_COMERCIAL!$L83),'Curva Forward'!$B$5:$B$13,0),MATCH(GI$4,'Curva Forward'!$C$4:$AN$4,0))),DK83)</f>
        <v>0</v>
      </c>
      <c r="GJ83" s="190">
        <f>AX83*AX$2*IF($FC83="V",1,-1)*IF($Q83="Fixo",(DL83-INDEX('Curva Forward'!$C$5:$AN$13,MATCH(CONCATENATE(BD_COMERCIAL!$K83," ",BD_COMERCIAL!$L83),'Curva Forward'!$B$5:$B$13,0),MATCH(GJ$4,'Curva Forward'!$C$4:$AN$4,0))),DL83)</f>
        <v>0</v>
      </c>
      <c r="GK83" s="190">
        <f>AY83*AY$2*IF($FC83="V",1,-1)*IF($Q83="Fixo",(DM83-INDEX('Curva Forward'!$C$5:$AN$13,MATCH(CONCATENATE(BD_COMERCIAL!$K83," ",BD_COMERCIAL!$L83),'Curva Forward'!$B$5:$B$13,0),MATCH(GK$4,'Curva Forward'!$C$4:$AN$4,0))),DM83)</f>
        <v>0</v>
      </c>
      <c r="GL83" s="190">
        <f>IF(EZ83="",0,CL83*CL$2*IF($FC83="V",1,-1)*IF($Q83="Fixo",(EZ83-INDEX('Curva Forward'!$C$5:$AN$13,MATCH(CONCATENATE(BD_COMERCIAL!$K83," ",BD_COMERCIAL!$L83),'Curva Forward'!$B$5:$B$13,0),MATCH(GL$4,'Curva Forward'!$C$4:$AN$4,0))),EZ83))</f>
        <v>0</v>
      </c>
      <c r="GM83" s="190">
        <f>IF(FA83="",0,CM83*CM$2*IF($FC83="V",1,-1)*IF($Q83="Fixo",(FA83-INDEX('Curva Forward'!$C$5:$AN$13,MATCH(CONCATENATE(BD_COMERCIAL!$K83," ",BD_COMERCIAL!$L83),'Curva Forward'!$B$5:$B$13,0),MATCH(GM$4,'Curva Forward'!$C$4:$AN$4,0))),FA83))</f>
        <v>0</v>
      </c>
      <c r="GN83" s="190">
        <f>IF(FB83="",0,CN83*CN$2*IF($FC83="V",1,-1)*IF($Q83="Fixo",(FB83-INDEX('Curva Forward'!$C$5:$AN$13,MATCH(CONCATENATE(BD_COMERCIAL!$K83," ",BD_COMERCIAL!$L83),'Curva Forward'!$B$5:$B$13,0),MATCH(GN$4,'Curva Forward'!$C$4:$AN$4,0))),FB83))</f>
        <v>0</v>
      </c>
      <c r="GO83" s="191">
        <f t="shared" ca="1" si="18"/>
        <v>0</v>
      </c>
      <c r="GP83" s="191">
        <f t="shared" ca="1" si="19"/>
        <v>-129600</v>
      </c>
      <c r="GQ83" s="115"/>
      <c r="GR83" s="115"/>
      <c r="GS83"/>
      <c r="GT83" s="65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</row>
    <row r="84" spans="1:236" s="265" customFormat="1" ht="15" customHeight="1" x14ac:dyDescent="0.35">
      <c r="A84" s="251"/>
      <c r="B84" s="7" t="s">
        <v>442</v>
      </c>
      <c r="C84" s="8">
        <v>44853</v>
      </c>
      <c r="D84" s="9" t="s">
        <v>123</v>
      </c>
      <c r="E84" s="9" t="s">
        <v>381</v>
      </c>
      <c r="F84" s="112" t="s">
        <v>348</v>
      </c>
      <c r="G84" s="10" t="s">
        <v>222</v>
      </c>
      <c r="H84" s="112" t="s">
        <v>311</v>
      </c>
      <c r="I84" s="9" t="s">
        <v>125</v>
      </c>
      <c r="J84" s="158" t="s">
        <v>438</v>
      </c>
      <c r="K84" s="10" t="s">
        <v>126</v>
      </c>
      <c r="L84" s="84" t="s">
        <v>22</v>
      </c>
      <c r="M84" s="11">
        <v>45017</v>
      </c>
      <c r="N84" s="12">
        <v>45046</v>
      </c>
      <c r="O84" s="10">
        <v>12</v>
      </c>
      <c r="P84" s="84">
        <v>70</v>
      </c>
      <c r="Q84" s="84" t="s">
        <v>127</v>
      </c>
      <c r="R84" s="10" t="s">
        <v>128</v>
      </c>
      <c r="S84" s="14" t="s">
        <v>133</v>
      </c>
      <c r="T84" s="11"/>
      <c r="U84" s="12"/>
      <c r="V84" s="202" t="str">
        <f ca="1">IF(U84="","",
IF(U84="NA","",
IFERROR(VLOOKUP(EOMONTH(M84,-2)+1,IPCA!$A:$B,2,0),
VLOOKUP(EOMONTH(TODAY(),-2)+1,IPCA!$A:$B,2,0))/
VLOOKUP(EOMONTH(U84,-2)+1,IPCA!$A:$B,2,0)*
P84))</f>
        <v/>
      </c>
      <c r="W84" s="84"/>
      <c r="X84" s="13" t="s">
        <v>132</v>
      </c>
      <c r="Y84" s="158"/>
      <c r="Z84" s="106"/>
      <c r="AA84" s="107"/>
      <c r="AB84" s="15"/>
      <c r="AC84"/>
      <c r="AD84"/>
      <c r="AE84">
        <v>12</v>
      </c>
      <c r="AF84"/>
      <c r="AG84"/>
      <c r="AH84"/>
      <c r="AI84"/>
      <c r="AJ84"/>
      <c r="AK84"/>
      <c r="AL84"/>
      <c r="AM84" s="6"/>
      <c r="AN84" s="15"/>
      <c r="AO84"/>
      <c r="AP84"/>
      <c r="AQ84"/>
      <c r="AR84"/>
      <c r="AS84"/>
      <c r="AT84"/>
      <c r="AU84"/>
      <c r="AV84"/>
      <c r="AW84"/>
      <c r="AX84"/>
      <c r="AY84" s="6"/>
      <c r="AZ84" s="15"/>
      <c r="BA84"/>
      <c r="BB84"/>
      <c r="BC84"/>
      <c r="BD84"/>
      <c r="BE84"/>
      <c r="BF84"/>
      <c r="BG84"/>
      <c r="BH84"/>
      <c r="BI84"/>
      <c r="BJ84"/>
      <c r="BK84" s="6"/>
      <c r="BL84" s="15"/>
      <c r="BM84"/>
      <c r="BN84"/>
      <c r="BO84"/>
      <c r="BP84"/>
      <c r="BQ84"/>
      <c r="BR84"/>
      <c r="BS84"/>
      <c r="BT84"/>
      <c r="BU84"/>
      <c r="BV84"/>
      <c r="BW84" s="6"/>
      <c r="BX84" s="15"/>
      <c r="BY84"/>
      <c r="BZ84"/>
      <c r="CA84"/>
      <c r="CB84"/>
      <c r="CC84"/>
      <c r="CD84"/>
      <c r="CE84"/>
      <c r="CF84"/>
      <c r="CG84"/>
      <c r="CH84"/>
      <c r="CI84" s="6"/>
      <c r="CJ84" s="16">
        <v>0.98630136986301364</v>
      </c>
      <c r="CK84" s="16" t="s">
        <v>578</v>
      </c>
      <c r="CL84" s="16" t="s">
        <v>578</v>
      </c>
      <c r="CM84" s="16" t="s">
        <v>578</v>
      </c>
      <c r="CN84" s="16" t="s">
        <v>578</v>
      </c>
      <c r="CO84" s="18"/>
      <c r="CP84" s="15"/>
      <c r="CQ84"/>
      <c r="CR84"/>
      <c r="CS84">
        <v>70</v>
      </c>
      <c r="CT84"/>
      <c r="CU84"/>
      <c r="CV84"/>
      <c r="CW84"/>
      <c r="CX84"/>
      <c r="CY84"/>
      <c r="CZ84"/>
      <c r="DA84" s="6"/>
      <c r="DB84" s="15"/>
      <c r="DC84"/>
      <c r="DD84"/>
      <c r="DE84"/>
      <c r="DF84"/>
      <c r="DG84"/>
      <c r="DH84"/>
      <c r="DI84"/>
      <c r="DJ84"/>
      <c r="DK84"/>
      <c r="DL84"/>
      <c r="DM84" s="6"/>
      <c r="DN84" s="15"/>
      <c r="DO84"/>
      <c r="DP84"/>
      <c r="DQ84"/>
      <c r="DR84"/>
      <c r="DS84"/>
      <c r="DT84"/>
      <c r="DU84"/>
      <c r="DV84"/>
      <c r="DW84"/>
      <c r="DX84"/>
      <c r="DY84" s="6"/>
      <c r="DZ84" s="15"/>
      <c r="EA84"/>
      <c r="EB84"/>
      <c r="EC84"/>
      <c r="ED84"/>
      <c r="EE84"/>
      <c r="EF84"/>
      <c r="EG84"/>
      <c r="EH84"/>
      <c r="EI84"/>
      <c r="EJ84"/>
      <c r="EK84" s="6"/>
      <c r="EL84" s="15"/>
      <c r="EM84"/>
      <c r="EN84"/>
      <c r="EO84"/>
      <c r="EP84"/>
      <c r="EQ84"/>
      <c r="ER84"/>
      <c r="ES84"/>
      <c r="ET84"/>
      <c r="EU84"/>
      <c r="EV84"/>
      <c r="EW84" s="6"/>
      <c r="EX84" s="16">
        <v>5.7534246575342465</v>
      </c>
      <c r="EY84" s="16" t="s">
        <v>578</v>
      </c>
      <c r="EZ84" s="16" t="s">
        <v>578</v>
      </c>
      <c r="FA84" s="154" t="s">
        <v>578</v>
      </c>
      <c r="FB84" s="154" t="s">
        <v>578</v>
      </c>
      <c r="FC84" t="s">
        <v>195</v>
      </c>
      <c r="FD84" s="20" t="s">
        <v>125</v>
      </c>
      <c r="FE84"/>
      <c r="FF84" s="199" t="s">
        <v>197</v>
      </c>
      <c r="FG84"/>
      <c r="FH84" s="206">
        <f t="shared" ca="1" si="13"/>
        <v>0</v>
      </c>
      <c r="FI84" s="198">
        <f t="shared" si="14"/>
        <v>0.96666666666666667</v>
      </c>
      <c r="FJ84"/>
      <c r="FK84" t="str">
        <f t="shared" si="15"/>
        <v>OMEGA GERACAO S.A.</v>
      </c>
      <c r="FL84" s="191">
        <f t="shared" ca="1" si="16"/>
        <v>0</v>
      </c>
      <c r="FM84" s="191">
        <f t="shared" ca="1" si="17"/>
        <v>8640</v>
      </c>
      <c r="FN84" s="190">
        <f>AB84*AB$2*IF($FC84="V",1,-1)*IF($Q84="Fixo",(CP84-INDEX('Curva Forward'!$C$5:$AN$13,MATCH(CONCATENATE(BD_COMERCIAL!$K84," ",BD_COMERCIAL!$L84),'Curva Forward'!$B$5:$B$13,0),MATCH(FN$4,'Curva Forward'!$C$4:$AN$4,0))),CP84)</f>
        <v>0</v>
      </c>
      <c r="FO84" s="190">
        <f>AC84*AC$2*IF($FC84="V",1,-1)*IF($Q84="Fixo",(CQ84-INDEX('Curva Forward'!$C$5:$AN$13,MATCH(CONCATENATE(BD_COMERCIAL!$K84," ",BD_COMERCIAL!$L84),'Curva Forward'!$B$5:$B$13,0),MATCH(FO$4,'Curva Forward'!$C$4:$AN$4,0))),CQ84)</f>
        <v>0</v>
      </c>
      <c r="FP84" s="190">
        <f>AD84*AD$2*IF($FC84="V",1,-1)*IF($Q84="Fixo",(CR84-INDEX('Curva Forward'!$C$5:$AN$13,MATCH(CONCATENATE(BD_COMERCIAL!$K84," ",BD_COMERCIAL!$L84),'Curva Forward'!$B$5:$B$13,0),MATCH(FP$4,'Curva Forward'!$C$4:$AN$4,0))),CR84)</f>
        <v>0</v>
      </c>
      <c r="FQ84" s="190">
        <f>AE84*AE$2*IF($FC84="V",1,-1)*IF($Q84="Fixo",(CS84-INDEX('Curva Forward'!$C$5:$AN$13,MATCH(CONCATENATE(BD_COMERCIAL!$K84," ",BD_COMERCIAL!$L84),'Curva Forward'!$B$5:$B$13,0),MATCH(FQ$4,'Curva Forward'!$C$4:$AN$4,0))),CS84)</f>
        <v>8640</v>
      </c>
      <c r="FR84" s="190">
        <f>AF84*AF$2*IF($FC84="V",1,-1)*IF($Q84="Fixo",(CT84-INDEX('Curva Forward'!$C$5:$AN$13,MATCH(CONCATENATE(BD_COMERCIAL!$K84," ",BD_COMERCIAL!$L84),'Curva Forward'!$B$5:$B$13,0),MATCH(FR$4,'Curva Forward'!$C$4:$AN$4,0))),CT84)</f>
        <v>0</v>
      </c>
      <c r="FS84" s="190">
        <f>AG84*AG$2*IF($FC84="V",1,-1)*IF($Q84="Fixo",(CU84-INDEX('Curva Forward'!$C$5:$AN$13,MATCH(CONCATENATE(BD_COMERCIAL!$K84," ",BD_COMERCIAL!$L84),'Curva Forward'!$B$5:$B$13,0),MATCH(FS$4,'Curva Forward'!$C$4:$AN$4,0))),CU84)</f>
        <v>0</v>
      </c>
      <c r="FT84" s="190">
        <f>AH84*AH$2*IF($FC84="V",1,-1)*IF($Q84="Fixo",(CV84-INDEX('Curva Forward'!$C$5:$AN$13,MATCH(CONCATENATE(BD_COMERCIAL!$K84," ",BD_COMERCIAL!$L84),'Curva Forward'!$B$5:$B$13,0),MATCH(FT$4,'Curva Forward'!$C$4:$AN$4,0))),CV84)</f>
        <v>0</v>
      </c>
      <c r="FU84" s="190">
        <f>AI84*AI$2*IF($FC84="V",1,-1)*IF($Q84="Fixo",(CW84-INDEX('Curva Forward'!$C$5:$AN$13,MATCH(CONCATENATE(BD_COMERCIAL!$K84," ",BD_COMERCIAL!$L84),'Curva Forward'!$B$5:$B$13,0),MATCH(FU$4,'Curva Forward'!$C$4:$AN$4,0))),CW84)</f>
        <v>0</v>
      </c>
      <c r="FV84" s="190">
        <f>AJ84*AJ$2*IF($FC84="V",1,-1)*IF($Q84="Fixo",(CX84-INDEX('Curva Forward'!$C$5:$AN$13,MATCH(CONCATENATE(BD_COMERCIAL!$K84," ",BD_COMERCIAL!$L84),'Curva Forward'!$B$5:$B$13,0),MATCH(FV$4,'Curva Forward'!$C$4:$AN$4,0))),CX84)</f>
        <v>0</v>
      </c>
      <c r="FW84" s="190">
        <f>AK84*AK$2*IF($FC84="V",1,-1)*IF($Q84="Fixo",(CY84-INDEX('Curva Forward'!$C$5:$AN$13,MATCH(CONCATENATE(BD_COMERCIAL!$K84," ",BD_COMERCIAL!$L84),'Curva Forward'!$B$5:$B$13,0),MATCH(FW$4,'Curva Forward'!$C$4:$AN$4,0))),CY84)</f>
        <v>0</v>
      </c>
      <c r="FX84" s="190">
        <f>AL84*AL$2*IF($FC84="V",1,-1)*IF($Q84="Fixo",(CZ84-INDEX('Curva Forward'!$C$5:$AN$13,MATCH(CONCATENATE(BD_COMERCIAL!$K84," ",BD_COMERCIAL!$L84),'Curva Forward'!$B$5:$B$13,0),MATCH(FX$4,'Curva Forward'!$C$4:$AN$4,0))),CZ84)</f>
        <v>0</v>
      </c>
      <c r="FY84" s="190">
        <f>AM84*AM$2*IF($FC84="V",1,-1)*IF($Q84="Fixo",(DA84-INDEX('Curva Forward'!$C$5:$AN$13,MATCH(CONCATENATE(BD_COMERCIAL!$K84," ",BD_COMERCIAL!$L84),'Curva Forward'!$B$5:$B$13,0),MATCH(FY$4,'Curva Forward'!$C$4:$AN$4,0))),DA84)</f>
        <v>0</v>
      </c>
      <c r="FZ84" s="190">
        <f>AN84*AN$2*IF($FC84="V",1,-1)*IF($Q84="Fixo",(DB84-INDEX('Curva Forward'!$C$5:$AN$13,MATCH(CONCATENATE(BD_COMERCIAL!$K84," ",BD_COMERCIAL!$L84),'Curva Forward'!$B$5:$B$13,0),MATCH(FZ$4,'Curva Forward'!$C$4:$AN$4,0))),DB84)</f>
        <v>0</v>
      </c>
      <c r="GA84" s="190">
        <f>AO84*AO$2*IF($FC84="V",1,-1)*IF($Q84="Fixo",(DC84-INDEX('Curva Forward'!$C$5:$AN$13,MATCH(CONCATENATE(BD_COMERCIAL!$K84," ",BD_COMERCIAL!$L84),'Curva Forward'!$B$5:$B$13,0),MATCH(GA$4,'Curva Forward'!$C$4:$AN$4,0))),DC84)</f>
        <v>0</v>
      </c>
      <c r="GB84" s="190">
        <f>AP84*AP$2*IF($FC84="V",1,-1)*IF($Q84="Fixo",(DD84-INDEX('Curva Forward'!$C$5:$AN$13,MATCH(CONCATENATE(BD_COMERCIAL!$K84," ",BD_COMERCIAL!$L84),'Curva Forward'!$B$5:$B$13,0),MATCH(GB$4,'Curva Forward'!$C$4:$AN$4,0))),DD84)</f>
        <v>0</v>
      </c>
      <c r="GC84" s="190">
        <f>AQ84*AQ$2*IF($FC84="V",1,-1)*IF($Q84="Fixo",(DE84-INDEX('Curva Forward'!$C$5:$AN$13,MATCH(CONCATENATE(BD_COMERCIAL!$K84," ",BD_COMERCIAL!$L84),'Curva Forward'!$B$5:$B$13,0),MATCH(GC$4,'Curva Forward'!$C$4:$AN$4,0))),DE84)</f>
        <v>0</v>
      </c>
      <c r="GD84" s="190">
        <f>AR84*AR$2*IF($FC84="V",1,-1)*IF($Q84="Fixo",(DF84-INDEX('Curva Forward'!$C$5:$AN$13,MATCH(CONCATENATE(BD_COMERCIAL!$K84," ",BD_COMERCIAL!$L84),'Curva Forward'!$B$5:$B$13,0),MATCH(GD$4,'Curva Forward'!$C$4:$AN$4,0))),DF84)</f>
        <v>0</v>
      </c>
      <c r="GE84" s="190">
        <f>AS84*AS$2*IF($FC84="V",1,-1)*IF($Q84="Fixo",(DG84-INDEX('Curva Forward'!$C$5:$AN$13,MATCH(CONCATENATE(BD_COMERCIAL!$K84," ",BD_COMERCIAL!$L84),'Curva Forward'!$B$5:$B$13,0),MATCH(GE$4,'Curva Forward'!$C$4:$AN$4,0))),DG84)</f>
        <v>0</v>
      </c>
      <c r="GF84" s="190">
        <f>AT84*AT$2*IF($FC84="V",1,-1)*IF($Q84="Fixo",(DH84-INDEX('Curva Forward'!$C$5:$AN$13,MATCH(CONCATENATE(BD_COMERCIAL!$K84," ",BD_COMERCIAL!$L84),'Curva Forward'!$B$5:$B$13,0),MATCH(GF$4,'Curva Forward'!$C$4:$AN$4,0))),DH84)</f>
        <v>0</v>
      </c>
      <c r="GG84" s="190">
        <f>AU84*AU$2*IF($FC84="V",1,-1)*IF($Q84="Fixo",(DI84-INDEX('Curva Forward'!$C$5:$AN$13,MATCH(CONCATENATE(BD_COMERCIAL!$K84," ",BD_COMERCIAL!$L84),'Curva Forward'!$B$5:$B$13,0),MATCH(GG$4,'Curva Forward'!$C$4:$AN$4,0))),DI84)</f>
        <v>0</v>
      </c>
      <c r="GH84" s="190">
        <f>AV84*AV$2*IF($FC84="V",1,-1)*IF($Q84="Fixo",(DJ84-INDEX('Curva Forward'!$C$5:$AN$13,MATCH(CONCATENATE(BD_COMERCIAL!$K84," ",BD_COMERCIAL!$L84),'Curva Forward'!$B$5:$B$13,0),MATCH(GH$4,'Curva Forward'!$C$4:$AN$4,0))),DJ84)</f>
        <v>0</v>
      </c>
      <c r="GI84" s="190">
        <f>AW84*AW$2*IF($FC84="V",1,-1)*IF($Q84="Fixo",(DK84-INDEX('Curva Forward'!$C$5:$AN$13,MATCH(CONCATENATE(BD_COMERCIAL!$K84," ",BD_COMERCIAL!$L84),'Curva Forward'!$B$5:$B$13,0),MATCH(GI$4,'Curva Forward'!$C$4:$AN$4,0))),DK84)</f>
        <v>0</v>
      </c>
      <c r="GJ84" s="190">
        <f>AX84*AX$2*IF($FC84="V",1,-1)*IF($Q84="Fixo",(DL84-INDEX('Curva Forward'!$C$5:$AN$13,MATCH(CONCATENATE(BD_COMERCIAL!$K84," ",BD_COMERCIAL!$L84),'Curva Forward'!$B$5:$B$13,0),MATCH(GJ$4,'Curva Forward'!$C$4:$AN$4,0))),DL84)</f>
        <v>0</v>
      </c>
      <c r="GK84" s="190">
        <f>AY84*AY$2*IF($FC84="V",1,-1)*IF($Q84="Fixo",(DM84-INDEX('Curva Forward'!$C$5:$AN$13,MATCH(CONCATENATE(BD_COMERCIAL!$K84," ",BD_COMERCIAL!$L84),'Curva Forward'!$B$5:$B$13,0),MATCH(GK$4,'Curva Forward'!$C$4:$AN$4,0))),DM84)</f>
        <v>0</v>
      </c>
      <c r="GL84" s="190">
        <f>IF(EZ84="",0,CL84*CL$2*IF($FC84="V",1,-1)*IF($Q84="Fixo",(EZ84-INDEX('Curva Forward'!$C$5:$AN$13,MATCH(CONCATENATE(BD_COMERCIAL!$K84," ",BD_COMERCIAL!$L84),'Curva Forward'!$B$5:$B$13,0),MATCH(GL$4,'Curva Forward'!$C$4:$AN$4,0))),EZ84))</f>
        <v>0</v>
      </c>
      <c r="GM84" s="190">
        <f>IF(FA84="",0,CM84*CM$2*IF($FC84="V",1,-1)*IF($Q84="Fixo",(FA84-INDEX('Curva Forward'!$C$5:$AN$13,MATCH(CONCATENATE(BD_COMERCIAL!$K84," ",BD_COMERCIAL!$L84),'Curva Forward'!$B$5:$B$13,0),MATCH(GM$4,'Curva Forward'!$C$4:$AN$4,0))),FA84))</f>
        <v>0</v>
      </c>
      <c r="GN84" s="190">
        <f>IF(FB84="",0,CN84*CN$2*IF($FC84="V",1,-1)*IF($Q84="Fixo",(FB84-INDEX('Curva Forward'!$C$5:$AN$13,MATCH(CONCATENATE(BD_COMERCIAL!$K84," ",BD_COMERCIAL!$L84),'Curva Forward'!$B$5:$B$13,0),MATCH(GN$4,'Curva Forward'!$C$4:$AN$4,0))),FB84))</f>
        <v>0</v>
      </c>
      <c r="GO84" s="191">
        <f t="shared" ca="1" si="18"/>
        <v>8640</v>
      </c>
      <c r="GP84" s="191">
        <f t="shared" ca="1" si="19"/>
        <v>0</v>
      </c>
      <c r="GQ84" s="115"/>
      <c r="GR84" s="115"/>
      <c r="GS84"/>
      <c r="GT84" s="65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</row>
    <row r="85" spans="1:236" s="265" customFormat="1" ht="15" customHeight="1" x14ac:dyDescent="0.35">
      <c r="A85" s="251"/>
      <c r="B85" s="7" t="s">
        <v>443</v>
      </c>
      <c r="C85" s="8">
        <v>44853</v>
      </c>
      <c r="D85" s="9" t="s">
        <v>123</v>
      </c>
      <c r="E85" s="9" t="s">
        <v>381</v>
      </c>
      <c r="F85" s="112" t="s">
        <v>348</v>
      </c>
      <c r="G85" s="10" t="s">
        <v>190</v>
      </c>
      <c r="H85" s="112" t="s">
        <v>444</v>
      </c>
      <c r="I85" s="9" t="s">
        <v>125</v>
      </c>
      <c r="J85" s="158" t="s">
        <v>438</v>
      </c>
      <c r="K85" s="10" t="s">
        <v>126</v>
      </c>
      <c r="L85" s="84" t="s">
        <v>22</v>
      </c>
      <c r="M85" s="11">
        <v>44958</v>
      </c>
      <c r="N85" s="12">
        <v>44985</v>
      </c>
      <c r="O85" s="10">
        <v>3.3</v>
      </c>
      <c r="P85" s="84">
        <v>72.5</v>
      </c>
      <c r="Q85" s="84" t="s">
        <v>127</v>
      </c>
      <c r="R85" s="10" t="s">
        <v>128</v>
      </c>
      <c r="S85" s="14" t="s">
        <v>133</v>
      </c>
      <c r="T85" s="11"/>
      <c r="U85" s="12"/>
      <c r="V85" s="202" t="str">
        <f ca="1">IF(U85="","",
IF(U85="NA","",
IFERROR(VLOOKUP(EOMONTH(M85,-2)+1,IPCA!$A:$B,2,0),
VLOOKUP(EOMONTH(TODAY(),-2)+1,IPCA!$A:$B,2,0))/
VLOOKUP(EOMONTH(U85,-2)+1,IPCA!$A:$B,2,0)*
P85))</f>
        <v/>
      </c>
      <c r="W85" s="84"/>
      <c r="X85" s="13" t="s">
        <v>132</v>
      </c>
      <c r="Y85" s="158"/>
      <c r="Z85" s="106"/>
      <c r="AA85" s="107"/>
      <c r="AB85" s="15"/>
      <c r="AC85">
        <v>3.3</v>
      </c>
      <c r="AD85"/>
      <c r="AE85"/>
      <c r="AF85"/>
      <c r="AG85"/>
      <c r="AH85"/>
      <c r="AI85"/>
      <c r="AJ85"/>
      <c r="AK85"/>
      <c r="AL85"/>
      <c r="AM85" s="6"/>
      <c r="AN85" s="15"/>
      <c r="AO85"/>
      <c r="AP85"/>
      <c r="AQ85"/>
      <c r="AR85"/>
      <c r="AS85"/>
      <c r="AT85"/>
      <c r="AU85"/>
      <c r="AV85"/>
      <c r="AW85"/>
      <c r="AX85"/>
      <c r="AY85" s="6"/>
      <c r="AZ85" s="15"/>
      <c r="BA85"/>
      <c r="BB85"/>
      <c r="BC85"/>
      <c r="BD85"/>
      <c r="BE85"/>
      <c r="BF85"/>
      <c r="BG85"/>
      <c r="BH85"/>
      <c r="BI85"/>
      <c r="BJ85"/>
      <c r="BK85" s="6"/>
      <c r="BL85" s="15"/>
      <c r="BM85"/>
      <c r="BN85"/>
      <c r="BO85"/>
      <c r="BP85"/>
      <c r="BQ85"/>
      <c r="BR85"/>
      <c r="BS85"/>
      <c r="BT85"/>
      <c r="BU85"/>
      <c r="BV85"/>
      <c r="BW85" s="6"/>
      <c r="BX85" s="15"/>
      <c r="BY85"/>
      <c r="BZ85"/>
      <c r="CA85"/>
      <c r="CB85"/>
      <c r="CC85"/>
      <c r="CD85"/>
      <c r="CE85"/>
      <c r="CF85"/>
      <c r="CG85"/>
      <c r="CH85"/>
      <c r="CI85" s="6"/>
      <c r="CJ85" s="16">
        <v>0.25315068493150683</v>
      </c>
      <c r="CK85" s="16" t="s">
        <v>578</v>
      </c>
      <c r="CL85" s="16" t="s">
        <v>578</v>
      </c>
      <c r="CM85" s="16" t="s">
        <v>578</v>
      </c>
      <c r="CN85" s="16" t="s">
        <v>578</v>
      </c>
      <c r="CO85" s="18"/>
      <c r="CP85" s="15"/>
      <c r="CQ85">
        <v>72.5</v>
      </c>
      <c r="CR85"/>
      <c r="CS85"/>
      <c r="CT85"/>
      <c r="CU85"/>
      <c r="CV85"/>
      <c r="CW85"/>
      <c r="CX85"/>
      <c r="CY85"/>
      <c r="CZ85"/>
      <c r="DA85" s="6"/>
      <c r="DB85" s="15"/>
      <c r="DC85"/>
      <c r="DD85"/>
      <c r="DE85"/>
      <c r="DF85"/>
      <c r="DG85"/>
      <c r="DH85"/>
      <c r="DI85"/>
      <c r="DJ85"/>
      <c r="DK85"/>
      <c r="DL85"/>
      <c r="DM85" s="6"/>
      <c r="DN85" s="15"/>
      <c r="DO85"/>
      <c r="DP85"/>
      <c r="DQ85"/>
      <c r="DR85"/>
      <c r="DS85"/>
      <c r="DT85"/>
      <c r="DU85"/>
      <c r="DV85"/>
      <c r="DW85"/>
      <c r="DX85"/>
      <c r="DY85" s="6"/>
      <c r="DZ85" s="15"/>
      <c r="EA85"/>
      <c r="EB85"/>
      <c r="EC85"/>
      <c r="ED85"/>
      <c r="EE85"/>
      <c r="EF85"/>
      <c r="EG85"/>
      <c r="EH85"/>
      <c r="EI85"/>
      <c r="EJ85"/>
      <c r="EK85" s="6"/>
      <c r="EL85" s="15"/>
      <c r="EM85"/>
      <c r="EN85"/>
      <c r="EO85"/>
      <c r="EP85"/>
      <c r="EQ85"/>
      <c r="ER85"/>
      <c r="ES85"/>
      <c r="ET85"/>
      <c r="EU85"/>
      <c r="EV85"/>
      <c r="EW85" s="6"/>
      <c r="EX85" s="16">
        <v>5.5616438356164384</v>
      </c>
      <c r="EY85" s="16" t="s">
        <v>578</v>
      </c>
      <c r="EZ85" s="16" t="s">
        <v>578</v>
      </c>
      <c r="FA85" s="154" t="s">
        <v>578</v>
      </c>
      <c r="FB85" s="154" t="s">
        <v>578</v>
      </c>
      <c r="FC85" t="s">
        <v>195</v>
      </c>
      <c r="FD85" s="20" t="s">
        <v>125</v>
      </c>
      <c r="FE85"/>
      <c r="FF85" s="199" t="s">
        <v>197</v>
      </c>
      <c r="FG85"/>
      <c r="FH85" s="206">
        <f t="shared" ca="1" si="13"/>
        <v>0</v>
      </c>
      <c r="FI85" s="198">
        <f t="shared" si="14"/>
        <v>0.9</v>
      </c>
      <c r="FJ85"/>
      <c r="FK85" t="str">
        <f t="shared" si="15"/>
        <v>America Energia S/A</v>
      </c>
      <c r="FL85" s="191">
        <f t="shared" ca="1" si="16"/>
        <v>0</v>
      </c>
      <c r="FM85" s="191">
        <f t="shared" ca="1" si="17"/>
        <v>7761.5999999999995</v>
      </c>
      <c r="FN85" s="190">
        <f>AB85*AB$2*IF($FC85="V",1,-1)*IF($Q85="Fixo",(CP85-INDEX('Curva Forward'!$C$5:$AN$13,MATCH(CONCATENATE(BD_COMERCIAL!$K85," ",BD_COMERCIAL!$L85),'Curva Forward'!$B$5:$B$13,0),MATCH(FN$4,'Curva Forward'!$C$4:$AN$4,0))),CP85)</f>
        <v>0</v>
      </c>
      <c r="FO85" s="190">
        <f>AC85*AC$2*IF($FC85="V",1,-1)*IF($Q85="Fixo",(CQ85-INDEX('Curva Forward'!$C$5:$AN$13,MATCH(CONCATENATE(BD_COMERCIAL!$K85," ",BD_COMERCIAL!$L85),'Curva Forward'!$B$5:$B$13,0),MATCH(FO$4,'Curva Forward'!$C$4:$AN$4,0))),CQ85)</f>
        <v>7761.5999999999995</v>
      </c>
      <c r="FP85" s="190">
        <f>AD85*AD$2*IF($FC85="V",1,-1)*IF($Q85="Fixo",(CR85-INDEX('Curva Forward'!$C$5:$AN$13,MATCH(CONCATENATE(BD_COMERCIAL!$K85," ",BD_COMERCIAL!$L85),'Curva Forward'!$B$5:$B$13,0),MATCH(FP$4,'Curva Forward'!$C$4:$AN$4,0))),CR85)</f>
        <v>0</v>
      </c>
      <c r="FQ85" s="190">
        <f>AE85*AE$2*IF($FC85="V",1,-1)*IF($Q85="Fixo",(CS85-INDEX('Curva Forward'!$C$5:$AN$13,MATCH(CONCATENATE(BD_COMERCIAL!$K85," ",BD_COMERCIAL!$L85),'Curva Forward'!$B$5:$B$13,0),MATCH(FQ$4,'Curva Forward'!$C$4:$AN$4,0))),CS85)</f>
        <v>0</v>
      </c>
      <c r="FR85" s="190">
        <f>AF85*AF$2*IF($FC85="V",1,-1)*IF($Q85="Fixo",(CT85-INDEX('Curva Forward'!$C$5:$AN$13,MATCH(CONCATENATE(BD_COMERCIAL!$K85," ",BD_COMERCIAL!$L85),'Curva Forward'!$B$5:$B$13,0),MATCH(FR$4,'Curva Forward'!$C$4:$AN$4,0))),CT85)</f>
        <v>0</v>
      </c>
      <c r="FS85" s="190">
        <f>AG85*AG$2*IF($FC85="V",1,-1)*IF($Q85="Fixo",(CU85-INDEX('Curva Forward'!$C$5:$AN$13,MATCH(CONCATENATE(BD_COMERCIAL!$K85," ",BD_COMERCIAL!$L85),'Curva Forward'!$B$5:$B$13,0),MATCH(FS$4,'Curva Forward'!$C$4:$AN$4,0))),CU85)</f>
        <v>0</v>
      </c>
      <c r="FT85" s="190">
        <f>AH85*AH$2*IF($FC85="V",1,-1)*IF($Q85="Fixo",(CV85-INDEX('Curva Forward'!$C$5:$AN$13,MATCH(CONCATENATE(BD_COMERCIAL!$K85," ",BD_COMERCIAL!$L85),'Curva Forward'!$B$5:$B$13,0),MATCH(FT$4,'Curva Forward'!$C$4:$AN$4,0))),CV85)</f>
        <v>0</v>
      </c>
      <c r="FU85" s="190">
        <f>AI85*AI$2*IF($FC85="V",1,-1)*IF($Q85="Fixo",(CW85-INDEX('Curva Forward'!$C$5:$AN$13,MATCH(CONCATENATE(BD_COMERCIAL!$K85," ",BD_COMERCIAL!$L85),'Curva Forward'!$B$5:$B$13,0),MATCH(FU$4,'Curva Forward'!$C$4:$AN$4,0))),CW85)</f>
        <v>0</v>
      </c>
      <c r="FV85" s="190">
        <f>AJ85*AJ$2*IF($FC85="V",1,-1)*IF($Q85="Fixo",(CX85-INDEX('Curva Forward'!$C$5:$AN$13,MATCH(CONCATENATE(BD_COMERCIAL!$K85," ",BD_COMERCIAL!$L85),'Curva Forward'!$B$5:$B$13,0),MATCH(FV$4,'Curva Forward'!$C$4:$AN$4,0))),CX85)</f>
        <v>0</v>
      </c>
      <c r="FW85" s="190">
        <f>AK85*AK$2*IF($FC85="V",1,-1)*IF($Q85="Fixo",(CY85-INDEX('Curva Forward'!$C$5:$AN$13,MATCH(CONCATENATE(BD_COMERCIAL!$K85," ",BD_COMERCIAL!$L85),'Curva Forward'!$B$5:$B$13,0),MATCH(FW$4,'Curva Forward'!$C$4:$AN$4,0))),CY85)</f>
        <v>0</v>
      </c>
      <c r="FX85" s="190">
        <f>AL85*AL$2*IF($FC85="V",1,-1)*IF($Q85="Fixo",(CZ85-INDEX('Curva Forward'!$C$5:$AN$13,MATCH(CONCATENATE(BD_COMERCIAL!$K85," ",BD_COMERCIAL!$L85),'Curva Forward'!$B$5:$B$13,0),MATCH(FX$4,'Curva Forward'!$C$4:$AN$4,0))),CZ85)</f>
        <v>0</v>
      </c>
      <c r="FY85" s="190">
        <f>AM85*AM$2*IF($FC85="V",1,-1)*IF($Q85="Fixo",(DA85-INDEX('Curva Forward'!$C$5:$AN$13,MATCH(CONCATENATE(BD_COMERCIAL!$K85," ",BD_COMERCIAL!$L85),'Curva Forward'!$B$5:$B$13,0),MATCH(FY$4,'Curva Forward'!$C$4:$AN$4,0))),DA85)</f>
        <v>0</v>
      </c>
      <c r="FZ85" s="190">
        <f>AN85*AN$2*IF($FC85="V",1,-1)*IF($Q85="Fixo",(DB85-INDEX('Curva Forward'!$C$5:$AN$13,MATCH(CONCATENATE(BD_COMERCIAL!$K85," ",BD_COMERCIAL!$L85),'Curva Forward'!$B$5:$B$13,0),MATCH(FZ$4,'Curva Forward'!$C$4:$AN$4,0))),DB85)</f>
        <v>0</v>
      </c>
      <c r="GA85" s="190">
        <f>AO85*AO$2*IF($FC85="V",1,-1)*IF($Q85="Fixo",(DC85-INDEX('Curva Forward'!$C$5:$AN$13,MATCH(CONCATENATE(BD_COMERCIAL!$K85," ",BD_COMERCIAL!$L85),'Curva Forward'!$B$5:$B$13,0),MATCH(GA$4,'Curva Forward'!$C$4:$AN$4,0))),DC85)</f>
        <v>0</v>
      </c>
      <c r="GB85" s="190">
        <f>AP85*AP$2*IF($FC85="V",1,-1)*IF($Q85="Fixo",(DD85-INDEX('Curva Forward'!$C$5:$AN$13,MATCH(CONCATENATE(BD_COMERCIAL!$K85," ",BD_COMERCIAL!$L85),'Curva Forward'!$B$5:$B$13,0),MATCH(GB$4,'Curva Forward'!$C$4:$AN$4,0))),DD85)</f>
        <v>0</v>
      </c>
      <c r="GC85" s="190">
        <f>AQ85*AQ$2*IF($FC85="V",1,-1)*IF($Q85="Fixo",(DE85-INDEX('Curva Forward'!$C$5:$AN$13,MATCH(CONCATENATE(BD_COMERCIAL!$K85," ",BD_COMERCIAL!$L85),'Curva Forward'!$B$5:$B$13,0),MATCH(GC$4,'Curva Forward'!$C$4:$AN$4,0))),DE85)</f>
        <v>0</v>
      </c>
      <c r="GD85" s="190">
        <f>AR85*AR$2*IF($FC85="V",1,-1)*IF($Q85="Fixo",(DF85-INDEX('Curva Forward'!$C$5:$AN$13,MATCH(CONCATENATE(BD_COMERCIAL!$K85," ",BD_COMERCIAL!$L85),'Curva Forward'!$B$5:$B$13,0),MATCH(GD$4,'Curva Forward'!$C$4:$AN$4,0))),DF85)</f>
        <v>0</v>
      </c>
      <c r="GE85" s="190">
        <f>AS85*AS$2*IF($FC85="V",1,-1)*IF($Q85="Fixo",(DG85-INDEX('Curva Forward'!$C$5:$AN$13,MATCH(CONCATENATE(BD_COMERCIAL!$K85," ",BD_COMERCIAL!$L85),'Curva Forward'!$B$5:$B$13,0),MATCH(GE$4,'Curva Forward'!$C$4:$AN$4,0))),DG85)</f>
        <v>0</v>
      </c>
      <c r="GF85" s="190">
        <f>AT85*AT$2*IF($FC85="V",1,-1)*IF($Q85="Fixo",(DH85-INDEX('Curva Forward'!$C$5:$AN$13,MATCH(CONCATENATE(BD_COMERCIAL!$K85," ",BD_COMERCIAL!$L85),'Curva Forward'!$B$5:$B$13,0),MATCH(GF$4,'Curva Forward'!$C$4:$AN$4,0))),DH85)</f>
        <v>0</v>
      </c>
      <c r="GG85" s="190">
        <f>AU85*AU$2*IF($FC85="V",1,-1)*IF($Q85="Fixo",(DI85-INDEX('Curva Forward'!$C$5:$AN$13,MATCH(CONCATENATE(BD_COMERCIAL!$K85," ",BD_COMERCIAL!$L85),'Curva Forward'!$B$5:$B$13,0),MATCH(GG$4,'Curva Forward'!$C$4:$AN$4,0))),DI85)</f>
        <v>0</v>
      </c>
      <c r="GH85" s="190">
        <f>AV85*AV$2*IF($FC85="V",1,-1)*IF($Q85="Fixo",(DJ85-INDEX('Curva Forward'!$C$5:$AN$13,MATCH(CONCATENATE(BD_COMERCIAL!$K85," ",BD_COMERCIAL!$L85),'Curva Forward'!$B$5:$B$13,0),MATCH(GH$4,'Curva Forward'!$C$4:$AN$4,0))),DJ85)</f>
        <v>0</v>
      </c>
      <c r="GI85" s="190">
        <f>AW85*AW$2*IF($FC85="V",1,-1)*IF($Q85="Fixo",(DK85-INDEX('Curva Forward'!$C$5:$AN$13,MATCH(CONCATENATE(BD_COMERCIAL!$K85," ",BD_COMERCIAL!$L85),'Curva Forward'!$B$5:$B$13,0),MATCH(GI$4,'Curva Forward'!$C$4:$AN$4,0))),DK85)</f>
        <v>0</v>
      </c>
      <c r="GJ85" s="190">
        <f>AX85*AX$2*IF($FC85="V",1,-1)*IF($Q85="Fixo",(DL85-INDEX('Curva Forward'!$C$5:$AN$13,MATCH(CONCATENATE(BD_COMERCIAL!$K85," ",BD_COMERCIAL!$L85),'Curva Forward'!$B$5:$B$13,0),MATCH(GJ$4,'Curva Forward'!$C$4:$AN$4,0))),DL85)</f>
        <v>0</v>
      </c>
      <c r="GK85" s="190">
        <f>AY85*AY$2*IF($FC85="V",1,-1)*IF($Q85="Fixo",(DM85-INDEX('Curva Forward'!$C$5:$AN$13,MATCH(CONCATENATE(BD_COMERCIAL!$K85," ",BD_COMERCIAL!$L85),'Curva Forward'!$B$5:$B$13,0),MATCH(GK$4,'Curva Forward'!$C$4:$AN$4,0))),DM85)</f>
        <v>0</v>
      </c>
      <c r="GL85" s="190">
        <f>IF(EZ85="",0,CL85*CL$2*IF($FC85="V",1,-1)*IF($Q85="Fixo",(EZ85-INDEX('Curva Forward'!$C$5:$AN$13,MATCH(CONCATENATE(BD_COMERCIAL!$K85," ",BD_COMERCIAL!$L85),'Curva Forward'!$B$5:$B$13,0),MATCH(GL$4,'Curva Forward'!$C$4:$AN$4,0))),EZ85))</f>
        <v>0</v>
      </c>
      <c r="GM85" s="190">
        <f>IF(FA85="",0,CM85*CM$2*IF($FC85="V",1,-1)*IF($Q85="Fixo",(FA85-INDEX('Curva Forward'!$C$5:$AN$13,MATCH(CONCATENATE(BD_COMERCIAL!$K85," ",BD_COMERCIAL!$L85),'Curva Forward'!$B$5:$B$13,0),MATCH(GM$4,'Curva Forward'!$C$4:$AN$4,0))),FA85))</f>
        <v>0</v>
      </c>
      <c r="GN85" s="190">
        <f>IF(FB85="",0,CN85*CN$2*IF($FC85="V",1,-1)*IF($Q85="Fixo",(FB85-INDEX('Curva Forward'!$C$5:$AN$13,MATCH(CONCATENATE(BD_COMERCIAL!$K85," ",BD_COMERCIAL!$L85),'Curva Forward'!$B$5:$B$13,0),MATCH(GN$4,'Curva Forward'!$C$4:$AN$4,0))),FB85))</f>
        <v>0</v>
      </c>
      <c r="GO85" s="191">
        <f t="shared" ca="1" si="18"/>
        <v>7761.5999999999995</v>
      </c>
      <c r="GP85" s="191">
        <f t="shared" ca="1" si="19"/>
        <v>0</v>
      </c>
      <c r="GQ85" s="115"/>
      <c r="GR85" s="115"/>
      <c r="GS85"/>
      <c r="GT85" s="6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</row>
    <row r="86" spans="1:236" s="265" customFormat="1" ht="15" customHeight="1" x14ac:dyDescent="0.35">
      <c r="A86" s="251"/>
      <c r="B86" s="7" t="s">
        <v>445</v>
      </c>
      <c r="C86" s="8">
        <v>44853</v>
      </c>
      <c r="D86" s="9" t="s">
        <v>123</v>
      </c>
      <c r="E86" s="9" t="s">
        <v>381</v>
      </c>
      <c r="F86" s="112" t="s">
        <v>348</v>
      </c>
      <c r="G86" s="10" t="s">
        <v>190</v>
      </c>
      <c r="H86" s="112" t="s">
        <v>444</v>
      </c>
      <c r="I86" s="9" t="s">
        <v>125</v>
      </c>
      <c r="J86" s="158" t="s">
        <v>438</v>
      </c>
      <c r="K86" s="10" t="s">
        <v>126</v>
      </c>
      <c r="L86" s="84" t="s">
        <v>22</v>
      </c>
      <c r="M86" s="11">
        <v>44986</v>
      </c>
      <c r="N86" s="12">
        <v>45016</v>
      </c>
      <c r="O86" s="10">
        <v>1.3</v>
      </c>
      <c r="P86" s="84">
        <v>74</v>
      </c>
      <c r="Q86" s="84" t="s">
        <v>127</v>
      </c>
      <c r="R86" s="10" t="s">
        <v>128</v>
      </c>
      <c r="S86" s="14" t="s">
        <v>133</v>
      </c>
      <c r="T86" s="11"/>
      <c r="U86" s="12"/>
      <c r="V86" s="202" t="str">
        <f ca="1">IF(U86="","",
IF(U86="NA","",
IFERROR(VLOOKUP(EOMONTH(M86,-2)+1,IPCA!$A:$B,2,0),
VLOOKUP(EOMONTH(TODAY(),-2)+1,IPCA!$A:$B,2,0))/
VLOOKUP(EOMONTH(U86,-2)+1,IPCA!$A:$B,2,0)*
P86))</f>
        <v/>
      </c>
      <c r="W86" s="84"/>
      <c r="X86" s="13" t="s">
        <v>132</v>
      </c>
      <c r="Y86" s="158"/>
      <c r="Z86" s="106"/>
      <c r="AA86" s="107"/>
      <c r="AB86" s="15"/>
      <c r="AC86"/>
      <c r="AD86">
        <v>1.3</v>
      </c>
      <c r="AE86"/>
      <c r="AF86"/>
      <c r="AG86"/>
      <c r="AH86"/>
      <c r="AI86"/>
      <c r="AJ86"/>
      <c r="AK86"/>
      <c r="AL86"/>
      <c r="AM86" s="6"/>
      <c r="AN86" s="15"/>
      <c r="AO86"/>
      <c r="AP86"/>
      <c r="AQ86"/>
      <c r="AR86"/>
      <c r="AS86"/>
      <c r="AT86"/>
      <c r="AU86"/>
      <c r="AV86"/>
      <c r="AW86"/>
      <c r="AX86"/>
      <c r="AY86" s="6"/>
      <c r="AZ86" s="15"/>
      <c r="BA86"/>
      <c r="BB86"/>
      <c r="BC86"/>
      <c r="BD86"/>
      <c r="BE86"/>
      <c r="BF86"/>
      <c r="BG86"/>
      <c r="BH86"/>
      <c r="BI86"/>
      <c r="BJ86"/>
      <c r="BK86" s="6"/>
      <c r="BL86" s="15"/>
      <c r="BM86"/>
      <c r="BN86"/>
      <c r="BO86"/>
      <c r="BP86"/>
      <c r="BQ86"/>
      <c r="BR86"/>
      <c r="BS86"/>
      <c r="BT86"/>
      <c r="BU86"/>
      <c r="BV86"/>
      <c r="BW86" s="6"/>
      <c r="BX86" s="15"/>
      <c r="BY86"/>
      <c r="BZ86"/>
      <c r="CA86"/>
      <c r="CB86"/>
      <c r="CC86"/>
      <c r="CD86"/>
      <c r="CE86"/>
      <c r="CF86"/>
      <c r="CG86"/>
      <c r="CH86"/>
      <c r="CI86" s="6"/>
      <c r="CJ86" s="16">
        <v>0.1104109589041096</v>
      </c>
      <c r="CK86" s="16" t="s">
        <v>578</v>
      </c>
      <c r="CL86" s="16" t="s">
        <v>578</v>
      </c>
      <c r="CM86" s="16" t="s">
        <v>578</v>
      </c>
      <c r="CN86" s="16" t="s">
        <v>578</v>
      </c>
      <c r="CO86" s="18"/>
      <c r="CP86" s="15"/>
      <c r="CQ86"/>
      <c r="CR86">
        <v>74</v>
      </c>
      <c r="CS86"/>
      <c r="CT86"/>
      <c r="CU86"/>
      <c r="CV86"/>
      <c r="CW86"/>
      <c r="CX86"/>
      <c r="CY86"/>
      <c r="CZ86"/>
      <c r="DA86" s="6"/>
      <c r="DB86" s="15"/>
      <c r="DC86"/>
      <c r="DD86"/>
      <c r="DE86"/>
      <c r="DF86"/>
      <c r="DG86"/>
      <c r="DH86"/>
      <c r="DI86"/>
      <c r="DJ86"/>
      <c r="DK86"/>
      <c r="DL86"/>
      <c r="DM86" s="6"/>
      <c r="DN86" s="15"/>
      <c r="DO86"/>
      <c r="DP86"/>
      <c r="DQ86"/>
      <c r="DR86"/>
      <c r="DS86"/>
      <c r="DT86"/>
      <c r="DU86"/>
      <c r="DV86"/>
      <c r="DW86"/>
      <c r="DX86"/>
      <c r="DY86" s="6"/>
      <c r="DZ86" s="15"/>
      <c r="EA86"/>
      <c r="EB86"/>
      <c r="EC86"/>
      <c r="ED86"/>
      <c r="EE86"/>
      <c r="EF86"/>
      <c r="EG86"/>
      <c r="EH86"/>
      <c r="EI86"/>
      <c r="EJ86"/>
      <c r="EK86" s="6"/>
      <c r="EL86" s="15"/>
      <c r="EM86"/>
      <c r="EN86"/>
      <c r="EO86"/>
      <c r="EP86"/>
      <c r="EQ86"/>
      <c r="ER86"/>
      <c r="ES86"/>
      <c r="ET86"/>
      <c r="EU86"/>
      <c r="EV86"/>
      <c r="EW86" s="6"/>
      <c r="EX86" s="16">
        <v>6.2849315068493148</v>
      </c>
      <c r="EY86" s="16" t="s">
        <v>578</v>
      </c>
      <c r="EZ86" s="16" t="s">
        <v>578</v>
      </c>
      <c r="FA86" s="154" t="s">
        <v>578</v>
      </c>
      <c r="FB86" s="154" t="s">
        <v>578</v>
      </c>
      <c r="FC86" t="s">
        <v>195</v>
      </c>
      <c r="FD86" s="20" t="s">
        <v>125</v>
      </c>
      <c r="FE86"/>
      <c r="FF86" s="199" t="s">
        <v>197</v>
      </c>
      <c r="FG86"/>
      <c r="FH86" s="206">
        <f t="shared" ca="1" si="13"/>
        <v>0</v>
      </c>
      <c r="FI86" s="198">
        <f t="shared" si="14"/>
        <v>1</v>
      </c>
      <c r="FJ86"/>
      <c r="FK86" t="str">
        <f t="shared" si="15"/>
        <v>America Energia S/A</v>
      </c>
      <c r="FL86" s="191">
        <f t="shared" ca="1" si="16"/>
        <v>0</v>
      </c>
      <c r="FM86" s="191">
        <f t="shared" ca="1" si="17"/>
        <v>4836</v>
      </c>
      <c r="FN86" s="190">
        <f>AB86*AB$2*IF($FC86="V",1,-1)*IF($Q86="Fixo",(CP86-INDEX('Curva Forward'!$C$5:$AN$13,MATCH(CONCATENATE(BD_COMERCIAL!$K86," ",BD_COMERCIAL!$L86),'Curva Forward'!$B$5:$B$13,0),MATCH(FN$4,'Curva Forward'!$C$4:$AN$4,0))),CP86)</f>
        <v>0</v>
      </c>
      <c r="FO86" s="190">
        <f>AC86*AC$2*IF($FC86="V",1,-1)*IF($Q86="Fixo",(CQ86-INDEX('Curva Forward'!$C$5:$AN$13,MATCH(CONCATENATE(BD_COMERCIAL!$K86," ",BD_COMERCIAL!$L86),'Curva Forward'!$B$5:$B$13,0),MATCH(FO$4,'Curva Forward'!$C$4:$AN$4,0))),CQ86)</f>
        <v>0</v>
      </c>
      <c r="FP86" s="190">
        <f>AD86*AD$2*IF($FC86="V",1,-1)*IF($Q86="Fixo",(CR86-INDEX('Curva Forward'!$C$5:$AN$13,MATCH(CONCATENATE(BD_COMERCIAL!$K86," ",BD_COMERCIAL!$L86),'Curva Forward'!$B$5:$B$13,0),MATCH(FP$4,'Curva Forward'!$C$4:$AN$4,0))),CR86)</f>
        <v>4836</v>
      </c>
      <c r="FQ86" s="190">
        <f>AE86*AE$2*IF($FC86="V",1,-1)*IF($Q86="Fixo",(CS86-INDEX('Curva Forward'!$C$5:$AN$13,MATCH(CONCATENATE(BD_COMERCIAL!$K86," ",BD_COMERCIAL!$L86),'Curva Forward'!$B$5:$B$13,0),MATCH(FQ$4,'Curva Forward'!$C$4:$AN$4,0))),CS86)</f>
        <v>0</v>
      </c>
      <c r="FR86" s="190">
        <f>AF86*AF$2*IF($FC86="V",1,-1)*IF($Q86="Fixo",(CT86-INDEX('Curva Forward'!$C$5:$AN$13,MATCH(CONCATENATE(BD_COMERCIAL!$K86," ",BD_COMERCIAL!$L86),'Curva Forward'!$B$5:$B$13,0),MATCH(FR$4,'Curva Forward'!$C$4:$AN$4,0))),CT86)</f>
        <v>0</v>
      </c>
      <c r="FS86" s="190">
        <f>AG86*AG$2*IF($FC86="V",1,-1)*IF($Q86="Fixo",(CU86-INDEX('Curva Forward'!$C$5:$AN$13,MATCH(CONCATENATE(BD_COMERCIAL!$K86," ",BD_COMERCIAL!$L86),'Curva Forward'!$B$5:$B$13,0),MATCH(FS$4,'Curva Forward'!$C$4:$AN$4,0))),CU86)</f>
        <v>0</v>
      </c>
      <c r="FT86" s="190">
        <f>AH86*AH$2*IF($FC86="V",1,-1)*IF($Q86="Fixo",(CV86-INDEX('Curva Forward'!$C$5:$AN$13,MATCH(CONCATENATE(BD_COMERCIAL!$K86," ",BD_COMERCIAL!$L86),'Curva Forward'!$B$5:$B$13,0),MATCH(FT$4,'Curva Forward'!$C$4:$AN$4,0))),CV86)</f>
        <v>0</v>
      </c>
      <c r="FU86" s="190">
        <f>AI86*AI$2*IF($FC86="V",1,-1)*IF($Q86="Fixo",(CW86-INDEX('Curva Forward'!$C$5:$AN$13,MATCH(CONCATENATE(BD_COMERCIAL!$K86," ",BD_COMERCIAL!$L86),'Curva Forward'!$B$5:$B$13,0),MATCH(FU$4,'Curva Forward'!$C$4:$AN$4,0))),CW86)</f>
        <v>0</v>
      </c>
      <c r="FV86" s="190">
        <f>AJ86*AJ$2*IF($FC86="V",1,-1)*IF($Q86="Fixo",(CX86-INDEX('Curva Forward'!$C$5:$AN$13,MATCH(CONCATENATE(BD_COMERCIAL!$K86," ",BD_COMERCIAL!$L86),'Curva Forward'!$B$5:$B$13,0),MATCH(FV$4,'Curva Forward'!$C$4:$AN$4,0))),CX86)</f>
        <v>0</v>
      </c>
      <c r="FW86" s="190">
        <f>AK86*AK$2*IF($FC86="V",1,-1)*IF($Q86="Fixo",(CY86-INDEX('Curva Forward'!$C$5:$AN$13,MATCH(CONCATENATE(BD_COMERCIAL!$K86," ",BD_COMERCIAL!$L86),'Curva Forward'!$B$5:$B$13,0),MATCH(FW$4,'Curva Forward'!$C$4:$AN$4,0))),CY86)</f>
        <v>0</v>
      </c>
      <c r="FX86" s="190">
        <f>AL86*AL$2*IF($FC86="V",1,-1)*IF($Q86="Fixo",(CZ86-INDEX('Curva Forward'!$C$5:$AN$13,MATCH(CONCATENATE(BD_COMERCIAL!$K86," ",BD_COMERCIAL!$L86),'Curva Forward'!$B$5:$B$13,0),MATCH(FX$4,'Curva Forward'!$C$4:$AN$4,0))),CZ86)</f>
        <v>0</v>
      </c>
      <c r="FY86" s="190">
        <f>AM86*AM$2*IF($FC86="V",1,-1)*IF($Q86="Fixo",(DA86-INDEX('Curva Forward'!$C$5:$AN$13,MATCH(CONCATENATE(BD_COMERCIAL!$K86," ",BD_COMERCIAL!$L86),'Curva Forward'!$B$5:$B$13,0),MATCH(FY$4,'Curva Forward'!$C$4:$AN$4,0))),DA86)</f>
        <v>0</v>
      </c>
      <c r="FZ86" s="190">
        <f>AN86*AN$2*IF($FC86="V",1,-1)*IF($Q86="Fixo",(DB86-INDEX('Curva Forward'!$C$5:$AN$13,MATCH(CONCATENATE(BD_COMERCIAL!$K86," ",BD_COMERCIAL!$L86),'Curva Forward'!$B$5:$B$13,0),MATCH(FZ$4,'Curva Forward'!$C$4:$AN$4,0))),DB86)</f>
        <v>0</v>
      </c>
      <c r="GA86" s="190">
        <f>AO86*AO$2*IF($FC86="V",1,-1)*IF($Q86="Fixo",(DC86-INDEX('Curva Forward'!$C$5:$AN$13,MATCH(CONCATENATE(BD_COMERCIAL!$K86," ",BD_COMERCIAL!$L86),'Curva Forward'!$B$5:$B$13,0),MATCH(GA$4,'Curva Forward'!$C$4:$AN$4,0))),DC86)</f>
        <v>0</v>
      </c>
      <c r="GB86" s="190">
        <f>AP86*AP$2*IF($FC86="V",1,-1)*IF($Q86="Fixo",(DD86-INDEX('Curva Forward'!$C$5:$AN$13,MATCH(CONCATENATE(BD_COMERCIAL!$K86," ",BD_COMERCIAL!$L86),'Curva Forward'!$B$5:$B$13,0),MATCH(GB$4,'Curva Forward'!$C$4:$AN$4,0))),DD86)</f>
        <v>0</v>
      </c>
      <c r="GC86" s="190">
        <f>AQ86*AQ$2*IF($FC86="V",1,-1)*IF($Q86="Fixo",(DE86-INDEX('Curva Forward'!$C$5:$AN$13,MATCH(CONCATENATE(BD_COMERCIAL!$K86," ",BD_COMERCIAL!$L86),'Curva Forward'!$B$5:$B$13,0),MATCH(GC$4,'Curva Forward'!$C$4:$AN$4,0))),DE86)</f>
        <v>0</v>
      </c>
      <c r="GD86" s="190">
        <f>AR86*AR$2*IF($FC86="V",1,-1)*IF($Q86="Fixo",(DF86-INDEX('Curva Forward'!$C$5:$AN$13,MATCH(CONCATENATE(BD_COMERCIAL!$K86," ",BD_COMERCIAL!$L86),'Curva Forward'!$B$5:$B$13,0),MATCH(GD$4,'Curva Forward'!$C$4:$AN$4,0))),DF86)</f>
        <v>0</v>
      </c>
      <c r="GE86" s="190">
        <f>AS86*AS$2*IF($FC86="V",1,-1)*IF($Q86="Fixo",(DG86-INDEX('Curva Forward'!$C$5:$AN$13,MATCH(CONCATENATE(BD_COMERCIAL!$K86," ",BD_COMERCIAL!$L86),'Curva Forward'!$B$5:$B$13,0),MATCH(GE$4,'Curva Forward'!$C$4:$AN$4,0))),DG86)</f>
        <v>0</v>
      </c>
      <c r="GF86" s="190">
        <f>AT86*AT$2*IF($FC86="V",1,-1)*IF($Q86="Fixo",(DH86-INDEX('Curva Forward'!$C$5:$AN$13,MATCH(CONCATENATE(BD_COMERCIAL!$K86," ",BD_COMERCIAL!$L86),'Curva Forward'!$B$5:$B$13,0),MATCH(GF$4,'Curva Forward'!$C$4:$AN$4,0))),DH86)</f>
        <v>0</v>
      </c>
      <c r="GG86" s="190">
        <f>AU86*AU$2*IF($FC86="V",1,-1)*IF($Q86="Fixo",(DI86-INDEX('Curva Forward'!$C$5:$AN$13,MATCH(CONCATENATE(BD_COMERCIAL!$K86," ",BD_COMERCIAL!$L86),'Curva Forward'!$B$5:$B$13,0),MATCH(GG$4,'Curva Forward'!$C$4:$AN$4,0))),DI86)</f>
        <v>0</v>
      </c>
      <c r="GH86" s="190">
        <f>AV86*AV$2*IF($FC86="V",1,-1)*IF($Q86="Fixo",(DJ86-INDEX('Curva Forward'!$C$5:$AN$13,MATCH(CONCATENATE(BD_COMERCIAL!$K86," ",BD_COMERCIAL!$L86),'Curva Forward'!$B$5:$B$13,0),MATCH(GH$4,'Curva Forward'!$C$4:$AN$4,0))),DJ86)</f>
        <v>0</v>
      </c>
      <c r="GI86" s="190">
        <f>AW86*AW$2*IF($FC86="V",1,-1)*IF($Q86="Fixo",(DK86-INDEX('Curva Forward'!$C$5:$AN$13,MATCH(CONCATENATE(BD_COMERCIAL!$K86," ",BD_COMERCIAL!$L86),'Curva Forward'!$B$5:$B$13,0),MATCH(GI$4,'Curva Forward'!$C$4:$AN$4,0))),DK86)</f>
        <v>0</v>
      </c>
      <c r="GJ86" s="190">
        <f>AX86*AX$2*IF($FC86="V",1,-1)*IF($Q86="Fixo",(DL86-INDEX('Curva Forward'!$C$5:$AN$13,MATCH(CONCATENATE(BD_COMERCIAL!$K86," ",BD_COMERCIAL!$L86),'Curva Forward'!$B$5:$B$13,0),MATCH(GJ$4,'Curva Forward'!$C$4:$AN$4,0))),DL86)</f>
        <v>0</v>
      </c>
      <c r="GK86" s="190">
        <f>AY86*AY$2*IF($FC86="V",1,-1)*IF($Q86="Fixo",(DM86-INDEX('Curva Forward'!$C$5:$AN$13,MATCH(CONCATENATE(BD_COMERCIAL!$K86," ",BD_COMERCIAL!$L86),'Curva Forward'!$B$5:$B$13,0),MATCH(GK$4,'Curva Forward'!$C$4:$AN$4,0))),DM86)</f>
        <v>0</v>
      </c>
      <c r="GL86" s="190">
        <f>IF(EZ86="",0,CL86*CL$2*IF($FC86="V",1,-1)*IF($Q86="Fixo",(EZ86-INDEX('Curva Forward'!$C$5:$AN$13,MATCH(CONCATENATE(BD_COMERCIAL!$K86," ",BD_COMERCIAL!$L86),'Curva Forward'!$B$5:$B$13,0),MATCH(GL$4,'Curva Forward'!$C$4:$AN$4,0))),EZ86))</f>
        <v>0</v>
      </c>
      <c r="GM86" s="190">
        <f>IF(FA86="",0,CM86*CM$2*IF($FC86="V",1,-1)*IF($Q86="Fixo",(FA86-INDEX('Curva Forward'!$C$5:$AN$13,MATCH(CONCATENATE(BD_COMERCIAL!$K86," ",BD_COMERCIAL!$L86),'Curva Forward'!$B$5:$B$13,0),MATCH(GM$4,'Curva Forward'!$C$4:$AN$4,0))),FA86))</f>
        <v>0</v>
      </c>
      <c r="GN86" s="190">
        <f>IF(FB86="",0,CN86*CN$2*IF($FC86="V",1,-1)*IF($Q86="Fixo",(FB86-INDEX('Curva Forward'!$C$5:$AN$13,MATCH(CONCATENATE(BD_COMERCIAL!$K86," ",BD_COMERCIAL!$L86),'Curva Forward'!$B$5:$B$13,0),MATCH(GN$4,'Curva Forward'!$C$4:$AN$4,0))),FB86))</f>
        <v>0</v>
      </c>
      <c r="GO86" s="191">
        <f t="shared" ca="1" si="18"/>
        <v>4836</v>
      </c>
      <c r="GP86" s="191">
        <f t="shared" ca="1" si="19"/>
        <v>0</v>
      </c>
      <c r="GQ86" s="115"/>
      <c r="GR86" s="115"/>
      <c r="GS86"/>
      <c r="GT86" s="65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</row>
    <row r="87" spans="1:236" s="265" customFormat="1" ht="15" customHeight="1" x14ac:dyDescent="0.35">
      <c r="A87" s="251"/>
      <c r="B87" s="7" t="s">
        <v>446</v>
      </c>
      <c r="C87" s="8">
        <v>44853</v>
      </c>
      <c r="D87" s="9" t="s">
        <v>123</v>
      </c>
      <c r="E87" s="9" t="s">
        <v>381</v>
      </c>
      <c r="F87" s="112" t="s">
        <v>348</v>
      </c>
      <c r="G87" s="10" t="s">
        <v>190</v>
      </c>
      <c r="H87" s="112" t="s">
        <v>444</v>
      </c>
      <c r="I87" s="9" t="s">
        <v>125</v>
      </c>
      <c r="J87" s="158" t="s">
        <v>438</v>
      </c>
      <c r="K87" s="10" t="s">
        <v>126</v>
      </c>
      <c r="L87" s="84" t="s">
        <v>22</v>
      </c>
      <c r="M87" s="11">
        <v>44986</v>
      </c>
      <c r="N87" s="12">
        <v>45016</v>
      </c>
      <c r="O87" s="10">
        <v>2</v>
      </c>
      <c r="P87" s="84">
        <v>74</v>
      </c>
      <c r="Q87" s="84" t="s">
        <v>127</v>
      </c>
      <c r="R87" s="10" t="s">
        <v>128</v>
      </c>
      <c r="S87" s="14" t="s">
        <v>133</v>
      </c>
      <c r="T87" s="11"/>
      <c r="U87" s="12"/>
      <c r="V87" s="202" t="str">
        <f ca="1">IF(U87="","",
IF(U87="NA","",
IFERROR(VLOOKUP(EOMONTH(M87,-2)+1,IPCA!$A:$B,2,0),
VLOOKUP(EOMONTH(TODAY(),-2)+1,IPCA!$A:$B,2,0))/
VLOOKUP(EOMONTH(U87,-2)+1,IPCA!$A:$B,2,0)*
P87))</f>
        <v/>
      </c>
      <c r="W87" s="84"/>
      <c r="X87" s="13" t="s">
        <v>6</v>
      </c>
      <c r="Y87" s="158"/>
      <c r="Z87" s="106"/>
      <c r="AA87" s="107"/>
      <c r="AB87" s="15"/>
      <c r="AC87"/>
      <c r="AD87">
        <v>2</v>
      </c>
      <c r="AE87"/>
      <c r="AF87"/>
      <c r="AG87"/>
      <c r="AH87"/>
      <c r="AI87"/>
      <c r="AJ87"/>
      <c r="AK87"/>
      <c r="AL87"/>
      <c r="AM87" s="6"/>
      <c r="AN87" s="15"/>
      <c r="AO87"/>
      <c r="AP87"/>
      <c r="AQ87"/>
      <c r="AR87"/>
      <c r="AS87"/>
      <c r="AT87"/>
      <c r="AU87"/>
      <c r="AV87"/>
      <c r="AW87"/>
      <c r="AX87"/>
      <c r="AY87" s="6"/>
      <c r="AZ87" s="15"/>
      <c r="BA87"/>
      <c r="BB87"/>
      <c r="BC87"/>
      <c r="BD87"/>
      <c r="BE87"/>
      <c r="BF87"/>
      <c r="BG87"/>
      <c r="BH87"/>
      <c r="BI87"/>
      <c r="BJ87"/>
      <c r="BK87" s="6"/>
      <c r="BL87" s="15"/>
      <c r="BM87"/>
      <c r="BN87"/>
      <c r="BO87"/>
      <c r="BP87"/>
      <c r="BQ87"/>
      <c r="BR87"/>
      <c r="BS87"/>
      <c r="BT87"/>
      <c r="BU87"/>
      <c r="BV87"/>
      <c r="BW87" s="6"/>
      <c r="BX87" s="15"/>
      <c r="BY87"/>
      <c r="BZ87"/>
      <c r="CA87"/>
      <c r="CB87"/>
      <c r="CC87"/>
      <c r="CD87"/>
      <c r="CE87"/>
      <c r="CF87"/>
      <c r="CG87"/>
      <c r="CH87"/>
      <c r="CI87" s="6"/>
      <c r="CJ87" s="16">
        <v>0.16986301369863013</v>
      </c>
      <c r="CK87" s="16" t="s">
        <v>578</v>
      </c>
      <c r="CL87" s="16" t="s">
        <v>578</v>
      </c>
      <c r="CM87" s="16" t="s">
        <v>578</v>
      </c>
      <c r="CN87" s="16" t="s">
        <v>578</v>
      </c>
      <c r="CO87" s="18"/>
      <c r="CP87" s="15"/>
      <c r="CQ87"/>
      <c r="CR87">
        <v>74</v>
      </c>
      <c r="CS87"/>
      <c r="CT87"/>
      <c r="CU87"/>
      <c r="CV87"/>
      <c r="CW87"/>
      <c r="CX87"/>
      <c r="CY87"/>
      <c r="CZ87"/>
      <c r="DA87" s="6"/>
      <c r="DB87" s="15"/>
      <c r="DC87"/>
      <c r="DD87"/>
      <c r="DE87"/>
      <c r="DF87"/>
      <c r="DG87"/>
      <c r="DH87"/>
      <c r="DI87"/>
      <c r="DJ87"/>
      <c r="DK87"/>
      <c r="DL87"/>
      <c r="DM87" s="6"/>
      <c r="DN87" s="15"/>
      <c r="DO87"/>
      <c r="DP87"/>
      <c r="DQ87"/>
      <c r="DR87"/>
      <c r="DS87"/>
      <c r="DT87"/>
      <c r="DU87"/>
      <c r="DV87"/>
      <c r="DW87"/>
      <c r="DX87"/>
      <c r="DY87" s="6"/>
      <c r="DZ87" s="15"/>
      <c r="EA87"/>
      <c r="EB87"/>
      <c r="EC87"/>
      <c r="ED87"/>
      <c r="EE87"/>
      <c r="EF87"/>
      <c r="EG87"/>
      <c r="EH87"/>
      <c r="EI87"/>
      <c r="EJ87"/>
      <c r="EK87" s="6"/>
      <c r="EL87" s="15"/>
      <c r="EM87"/>
      <c r="EN87"/>
      <c r="EO87"/>
      <c r="EP87"/>
      <c r="EQ87"/>
      <c r="ER87"/>
      <c r="ES87"/>
      <c r="ET87"/>
      <c r="EU87"/>
      <c r="EV87"/>
      <c r="EW87" s="6"/>
      <c r="EX87" s="16">
        <v>6.2849315068493148</v>
      </c>
      <c r="EY87" s="16" t="s">
        <v>578</v>
      </c>
      <c r="EZ87" s="16" t="s">
        <v>578</v>
      </c>
      <c r="FA87" s="154" t="s">
        <v>578</v>
      </c>
      <c r="FB87" s="154" t="s">
        <v>578</v>
      </c>
      <c r="FC87" t="s">
        <v>195</v>
      </c>
      <c r="FD87" s="20" t="s">
        <v>125</v>
      </c>
      <c r="FE87"/>
      <c r="FF87" s="199" t="s">
        <v>197</v>
      </c>
      <c r="FG87"/>
      <c r="FH87" s="206">
        <f t="shared" ca="1" si="13"/>
        <v>0</v>
      </c>
      <c r="FI87" s="198">
        <f t="shared" si="14"/>
        <v>1</v>
      </c>
      <c r="FJ87"/>
      <c r="FK87" t="str">
        <f t="shared" si="15"/>
        <v>America Energia S/A</v>
      </c>
      <c r="FL87" s="191">
        <f t="shared" ca="1" si="16"/>
        <v>0</v>
      </c>
      <c r="FM87" s="191">
        <f t="shared" ca="1" si="17"/>
        <v>7440</v>
      </c>
      <c r="FN87" s="190">
        <f>AB87*AB$2*IF($FC87="V",1,-1)*IF($Q87="Fixo",(CP87-INDEX('Curva Forward'!$C$5:$AN$13,MATCH(CONCATENATE(BD_COMERCIAL!$K87," ",BD_COMERCIAL!$L87),'Curva Forward'!$B$5:$B$13,0),MATCH(FN$4,'Curva Forward'!$C$4:$AN$4,0))),CP87)</f>
        <v>0</v>
      </c>
      <c r="FO87" s="190">
        <f>AC87*AC$2*IF($FC87="V",1,-1)*IF($Q87="Fixo",(CQ87-INDEX('Curva Forward'!$C$5:$AN$13,MATCH(CONCATENATE(BD_COMERCIAL!$K87," ",BD_COMERCIAL!$L87),'Curva Forward'!$B$5:$B$13,0),MATCH(FO$4,'Curva Forward'!$C$4:$AN$4,0))),CQ87)</f>
        <v>0</v>
      </c>
      <c r="FP87" s="190">
        <f>AD87*AD$2*IF($FC87="V",1,-1)*IF($Q87="Fixo",(CR87-INDEX('Curva Forward'!$C$5:$AN$13,MATCH(CONCATENATE(BD_COMERCIAL!$K87," ",BD_COMERCIAL!$L87),'Curva Forward'!$B$5:$B$13,0),MATCH(FP$4,'Curva Forward'!$C$4:$AN$4,0))),CR87)</f>
        <v>7440</v>
      </c>
      <c r="FQ87" s="190">
        <f>AE87*AE$2*IF($FC87="V",1,-1)*IF($Q87="Fixo",(CS87-INDEX('Curva Forward'!$C$5:$AN$13,MATCH(CONCATENATE(BD_COMERCIAL!$K87," ",BD_COMERCIAL!$L87),'Curva Forward'!$B$5:$B$13,0),MATCH(FQ$4,'Curva Forward'!$C$4:$AN$4,0))),CS87)</f>
        <v>0</v>
      </c>
      <c r="FR87" s="190">
        <f>AF87*AF$2*IF($FC87="V",1,-1)*IF($Q87="Fixo",(CT87-INDEX('Curva Forward'!$C$5:$AN$13,MATCH(CONCATENATE(BD_COMERCIAL!$K87," ",BD_COMERCIAL!$L87),'Curva Forward'!$B$5:$B$13,0),MATCH(FR$4,'Curva Forward'!$C$4:$AN$4,0))),CT87)</f>
        <v>0</v>
      </c>
      <c r="FS87" s="190">
        <f>AG87*AG$2*IF($FC87="V",1,-1)*IF($Q87="Fixo",(CU87-INDEX('Curva Forward'!$C$5:$AN$13,MATCH(CONCATENATE(BD_COMERCIAL!$K87," ",BD_COMERCIAL!$L87),'Curva Forward'!$B$5:$B$13,0),MATCH(FS$4,'Curva Forward'!$C$4:$AN$4,0))),CU87)</f>
        <v>0</v>
      </c>
      <c r="FT87" s="190">
        <f>AH87*AH$2*IF($FC87="V",1,-1)*IF($Q87="Fixo",(CV87-INDEX('Curva Forward'!$C$5:$AN$13,MATCH(CONCATENATE(BD_COMERCIAL!$K87," ",BD_COMERCIAL!$L87),'Curva Forward'!$B$5:$B$13,0),MATCH(FT$4,'Curva Forward'!$C$4:$AN$4,0))),CV87)</f>
        <v>0</v>
      </c>
      <c r="FU87" s="190">
        <f>AI87*AI$2*IF($FC87="V",1,-1)*IF($Q87="Fixo",(CW87-INDEX('Curva Forward'!$C$5:$AN$13,MATCH(CONCATENATE(BD_COMERCIAL!$K87," ",BD_COMERCIAL!$L87),'Curva Forward'!$B$5:$B$13,0),MATCH(FU$4,'Curva Forward'!$C$4:$AN$4,0))),CW87)</f>
        <v>0</v>
      </c>
      <c r="FV87" s="190">
        <f>AJ87*AJ$2*IF($FC87="V",1,-1)*IF($Q87="Fixo",(CX87-INDEX('Curva Forward'!$C$5:$AN$13,MATCH(CONCATENATE(BD_COMERCIAL!$K87," ",BD_COMERCIAL!$L87),'Curva Forward'!$B$5:$B$13,0),MATCH(FV$4,'Curva Forward'!$C$4:$AN$4,0))),CX87)</f>
        <v>0</v>
      </c>
      <c r="FW87" s="190">
        <f>AK87*AK$2*IF($FC87="V",1,-1)*IF($Q87="Fixo",(CY87-INDEX('Curva Forward'!$C$5:$AN$13,MATCH(CONCATENATE(BD_COMERCIAL!$K87," ",BD_COMERCIAL!$L87),'Curva Forward'!$B$5:$B$13,0),MATCH(FW$4,'Curva Forward'!$C$4:$AN$4,0))),CY87)</f>
        <v>0</v>
      </c>
      <c r="FX87" s="190">
        <f>AL87*AL$2*IF($FC87="V",1,-1)*IF($Q87="Fixo",(CZ87-INDEX('Curva Forward'!$C$5:$AN$13,MATCH(CONCATENATE(BD_COMERCIAL!$K87," ",BD_COMERCIAL!$L87),'Curva Forward'!$B$5:$B$13,0),MATCH(FX$4,'Curva Forward'!$C$4:$AN$4,0))),CZ87)</f>
        <v>0</v>
      </c>
      <c r="FY87" s="190">
        <f>AM87*AM$2*IF($FC87="V",1,-1)*IF($Q87="Fixo",(DA87-INDEX('Curva Forward'!$C$5:$AN$13,MATCH(CONCATENATE(BD_COMERCIAL!$K87," ",BD_COMERCIAL!$L87),'Curva Forward'!$B$5:$B$13,0),MATCH(FY$4,'Curva Forward'!$C$4:$AN$4,0))),DA87)</f>
        <v>0</v>
      </c>
      <c r="FZ87" s="190">
        <f>AN87*AN$2*IF($FC87="V",1,-1)*IF($Q87="Fixo",(DB87-INDEX('Curva Forward'!$C$5:$AN$13,MATCH(CONCATENATE(BD_COMERCIAL!$K87," ",BD_COMERCIAL!$L87),'Curva Forward'!$B$5:$B$13,0),MATCH(FZ$4,'Curva Forward'!$C$4:$AN$4,0))),DB87)</f>
        <v>0</v>
      </c>
      <c r="GA87" s="190">
        <f>AO87*AO$2*IF($FC87="V",1,-1)*IF($Q87="Fixo",(DC87-INDEX('Curva Forward'!$C$5:$AN$13,MATCH(CONCATENATE(BD_COMERCIAL!$K87," ",BD_COMERCIAL!$L87),'Curva Forward'!$B$5:$B$13,0),MATCH(GA$4,'Curva Forward'!$C$4:$AN$4,0))),DC87)</f>
        <v>0</v>
      </c>
      <c r="GB87" s="190">
        <f>AP87*AP$2*IF($FC87="V",1,-1)*IF($Q87="Fixo",(DD87-INDEX('Curva Forward'!$C$5:$AN$13,MATCH(CONCATENATE(BD_COMERCIAL!$K87," ",BD_COMERCIAL!$L87),'Curva Forward'!$B$5:$B$13,0),MATCH(GB$4,'Curva Forward'!$C$4:$AN$4,0))),DD87)</f>
        <v>0</v>
      </c>
      <c r="GC87" s="190">
        <f>AQ87*AQ$2*IF($FC87="V",1,-1)*IF($Q87="Fixo",(DE87-INDEX('Curva Forward'!$C$5:$AN$13,MATCH(CONCATENATE(BD_COMERCIAL!$K87," ",BD_COMERCIAL!$L87),'Curva Forward'!$B$5:$B$13,0),MATCH(GC$4,'Curva Forward'!$C$4:$AN$4,0))),DE87)</f>
        <v>0</v>
      </c>
      <c r="GD87" s="190">
        <f>AR87*AR$2*IF($FC87="V",1,-1)*IF($Q87="Fixo",(DF87-INDEX('Curva Forward'!$C$5:$AN$13,MATCH(CONCATENATE(BD_COMERCIAL!$K87," ",BD_COMERCIAL!$L87),'Curva Forward'!$B$5:$B$13,0),MATCH(GD$4,'Curva Forward'!$C$4:$AN$4,0))),DF87)</f>
        <v>0</v>
      </c>
      <c r="GE87" s="190">
        <f>AS87*AS$2*IF($FC87="V",1,-1)*IF($Q87="Fixo",(DG87-INDEX('Curva Forward'!$C$5:$AN$13,MATCH(CONCATENATE(BD_COMERCIAL!$K87," ",BD_COMERCIAL!$L87),'Curva Forward'!$B$5:$B$13,0),MATCH(GE$4,'Curva Forward'!$C$4:$AN$4,0))),DG87)</f>
        <v>0</v>
      </c>
      <c r="GF87" s="190">
        <f>AT87*AT$2*IF($FC87="V",1,-1)*IF($Q87="Fixo",(DH87-INDEX('Curva Forward'!$C$5:$AN$13,MATCH(CONCATENATE(BD_COMERCIAL!$K87," ",BD_COMERCIAL!$L87),'Curva Forward'!$B$5:$B$13,0),MATCH(GF$4,'Curva Forward'!$C$4:$AN$4,0))),DH87)</f>
        <v>0</v>
      </c>
      <c r="GG87" s="190">
        <f>AU87*AU$2*IF($FC87="V",1,-1)*IF($Q87="Fixo",(DI87-INDEX('Curva Forward'!$C$5:$AN$13,MATCH(CONCATENATE(BD_COMERCIAL!$K87," ",BD_COMERCIAL!$L87),'Curva Forward'!$B$5:$B$13,0),MATCH(GG$4,'Curva Forward'!$C$4:$AN$4,0))),DI87)</f>
        <v>0</v>
      </c>
      <c r="GH87" s="190">
        <f>AV87*AV$2*IF($FC87="V",1,-1)*IF($Q87="Fixo",(DJ87-INDEX('Curva Forward'!$C$5:$AN$13,MATCH(CONCATENATE(BD_COMERCIAL!$K87," ",BD_COMERCIAL!$L87),'Curva Forward'!$B$5:$B$13,0),MATCH(GH$4,'Curva Forward'!$C$4:$AN$4,0))),DJ87)</f>
        <v>0</v>
      </c>
      <c r="GI87" s="190">
        <f>AW87*AW$2*IF($FC87="V",1,-1)*IF($Q87="Fixo",(DK87-INDEX('Curva Forward'!$C$5:$AN$13,MATCH(CONCATENATE(BD_COMERCIAL!$K87," ",BD_COMERCIAL!$L87),'Curva Forward'!$B$5:$B$13,0),MATCH(GI$4,'Curva Forward'!$C$4:$AN$4,0))),DK87)</f>
        <v>0</v>
      </c>
      <c r="GJ87" s="190">
        <f>AX87*AX$2*IF($FC87="V",1,-1)*IF($Q87="Fixo",(DL87-INDEX('Curva Forward'!$C$5:$AN$13,MATCH(CONCATENATE(BD_COMERCIAL!$K87," ",BD_COMERCIAL!$L87),'Curva Forward'!$B$5:$B$13,0),MATCH(GJ$4,'Curva Forward'!$C$4:$AN$4,0))),DL87)</f>
        <v>0</v>
      </c>
      <c r="GK87" s="190">
        <f>AY87*AY$2*IF($FC87="V",1,-1)*IF($Q87="Fixo",(DM87-INDEX('Curva Forward'!$C$5:$AN$13,MATCH(CONCATENATE(BD_COMERCIAL!$K87," ",BD_COMERCIAL!$L87),'Curva Forward'!$B$5:$B$13,0),MATCH(GK$4,'Curva Forward'!$C$4:$AN$4,0))),DM87)</f>
        <v>0</v>
      </c>
      <c r="GL87" s="190">
        <f>IF(EZ87="",0,CL87*CL$2*IF($FC87="V",1,-1)*IF($Q87="Fixo",(EZ87-INDEX('Curva Forward'!$C$5:$AN$13,MATCH(CONCATENATE(BD_COMERCIAL!$K87," ",BD_COMERCIAL!$L87),'Curva Forward'!$B$5:$B$13,0),MATCH(GL$4,'Curva Forward'!$C$4:$AN$4,0))),EZ87))</f>
        <v>0</v>
      </c>
      <c r="GM87" s="190">
        <f>IF(FA87="",0,CM87*CM$2*IF($FC87="V",1,-1)*IF($Q87="Fixo",(FA87-INDEX('Curva Forward'!$C$5:$AN$13,MATCH(CONCATENATE(BD_COMERCIAL!$K87," ",BD_COMERCIAL!$L87),'Curva Forward'!$B$5:$B$13,0),MATCH(GM$4,'Curva Forward'!$C$4:$AN$4,0))),FA87))</f>
        <v>0</v>
      </c>
      <c r="GN87" s="190">
        <f>IF(FB87="",0,CN87*CN$2*IF($FC87="V",1,-1)*IF($Q87="Fixo",(FB87-INDEX('Curva Forward'!$C$5:$AN$13,MATCH(CONCATENATE(BD_COMERCIAL!$K87," ",BD_COMERCIAL!$L87),'Curva Forward'!$B$5:$B$13,0),MATCH(GN$4,'Curva Forward'!$C$4:$AN$4,0))),FB87))</f>
        <v>0</v>
      </c>
      <c r="GO87" s="191">
        <f t="shared" ca="1" si="18"/>
        <v>7440</v>
      </c>
      <c r="GP87" s="191">
        <f t="shared" ca="1" si="19"/>
        <v>0</v>
      </c>
      <c r="GQ87" s="115"/>
      <c r="GR87" s="115"/>
      <c r="GS87"/>
      <c r="GT87" s="65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</row>
    <row r="88" spans="1:236" s="265" customFormat="1" ht="15" customHeight="1" x14ac:dyDescent="0.35">
      <c r="A88" s="251"/>
      <c r="B88" s="7" t="s">
        <v>447</v>
      </c>
      <c r="C88" s="8">
        <v>44853</v>
      </c>
      <c r="D88" s="9" t="s">
        <v>123</v>
      </c>
      <c r="E88" s="9" t="s">
        <v>381</v>
      </c>
      <c r="F88" s="112" t="s">
        <v>348</v>
      </c>
      <c r="G88" s="10" t="s">
        <v>190</v>
      </c>
      <c r="H88" s="112" t="s">
        <v>444</v>
      </c>
      <c r="I88" s="9" t="s">
        <v>125</v>
      </c>
      <c r="J88" s="158" t="s">
        <v>438</v>
      </c>
      <c r="K88" s="10" t="s">
        <v>126</v>
      </c>
      <c r="L88" s="84" t="s">
        <v>22</v>
      </c>
      <c r="M88" s="11">
        <v>44958</v>
      </c>
      <c r="N88" s="12">
        <v>44985</v>
      </c>
      <c r="O88" s="10">
        <v>2</v>
      </c>
      <c r="P88" s="84">
        <v>72.5</v>
      </c>
      <c r="Q88" s="84" t="s">
        <v>127</v>
      </c>
      <c r="R88" s="10" t="s">
        <v>128</v>
      </c>
      <c r="S88" s="14" t="s">
        <v>133</v>
      </c>
      <c r="T88" s="11"/>
      <c r="U88" s="12"/>
      <c r="V88" s="202" t="str">
        <f ca="1">IF(U88="","",
IF(U88="NA","",
IFERROR(VLOOKUP(EOMONTH(M88,-2)+1,IPCA!$A:$B,2,0),
VLOOKUP(EOMONTH(TODAY(),-2)+1,IPCA!$A:$B,2,0))/
VLOOKUP(EOMONTH(U88,-2)+1,IPCA!$A:$B,2,0)*
P88))</f>
        <v/>
      </c>
      <c r="W88" s="84"/>
      <c r="X88" s="13" t="s">
        <v>6</v>
      </c>
      <c r="Y88" s="158"/>
      <c r="Z88" s="106"/>
      <c r="AA88" s="107"/>
      <c r="AB88" s="15"/>
      <c r="AC88">
        <v>2</v>
      </c>
      <c r="AD88"/>
      <c r="AE88"/>
      <c r="AF88"/>
      <c r="AG88"/>
      <c r="AH88"/>
      <c r="AI88"/>
      <c r="AJ88"/>
      <c r="AK88"/>
      <c r="AL88"/>
      <c r="AM88" s="6"/>
      <c r="AN88" s="15"/>
      <c r="AO88"/>
      <c r="AP88"/>
      <c r="AQ88"/>
      <c r="AR88"/>
      <c r="AS88"/>
      <c r="AT88"/>
      <c r="AU88"/>
      <c r="AV88"/>
      <c r="AW88"/>
      <c r="AX88"/>
      <c r="AY88" s="6"/>
      <c r="AZ88" s="15"/>
      <c r="BA88"/>
      <c r="BB88"/>
      <c r="BC88"/>
      <c r="BD88"/>
      <c r="BE88"/>
      <c r="BF88"/>
      <c r="BG88"/>
      <c r="BH88"/>
      <c r="BI88"/>
      <c r="BJ88"/>
      <c r="BK88" s="6"/>
      <c r="BL88" s="15"/>
      <c r="BM88"/>
      <c r="BN88"/>
      <c r="BO88"/>
      <c r="BP88"/>
      <c r="BQ88"/>
      <c r="BR88"/>
      <c r="BS88"/>
      <c r="BT88"/>
      <c r="BU88"/>
      <c r="BV88"/>
      <c r="BW88" s="6"/>
      <c r="BX88" s="15"/>
      <c r="BY88"/>
      <c r="BZ88"/>
      <c r="CA88"/>
      <c r="CB88"/>
      <c r="CC88"/>
      <c r="CD88"/>
      <c r="CE88"/>
      <c r="CF88"/>
      <c r="CG88"/>
      <c r="CH88"/>
      <c r="CI88" s="6"/>
      <c r="CJ88" s="16">
        <v>0.15342465753424658</v>
      </c>
      <c r="CK88" s="16" t="s">
        <v>578</v>
      </c>
      <c r="CL88" s="16" t="s">
        <v>578</v>
      </c>
      <c r="CM88" s="16" t="s">
        <v>578</v>
      </c>
      <c r="CN88" s="16" t="s">
        <v>578</v>
      </c>
      <c r="CO88" s="18"/>
      <c r="CP88" s="15"/>
      <c r="CQ88">
        <v>72.5</v>
      </c>
      <c r="CR88"/>
      <c r="CS88"/>
      <c r="CT88"/>
      <c r="CU88"/>
      <c r="CV88"/>
      <c r="CW88"/>
      <c r="CX88"/>
      <c r="CY88"/>
      <c r="CZ88"/>
      <c r="DA88" s="6"/>
      <c r="DB88" s="15"/>
      <c r="DC88"/>
      <c r="DD88"/>
      <c r="DE88"/>
      <c r="DF88"/>
      <c r="DG88"/>
      <c r="DH88"/>
      <c r="DI88"/>
      <c r="DJ88"/>
      <c r="DK88"/>
      <c r="DL88"/>
      <c r="DM88" s="6"/>
      <c r="DN88" s="15"/>
      <c r="DO88"/>
      <c r="DP88"/>
      <c r="DQ88"/>
      <c r="DR88"/>
      <c r="DS88"/>
      <c r="DT88"/>
      <c r="DU88"/>
      <c r="DV88"/>
      <c r="DW88"/>
      <c r="DX88"/>
      <c r="DY88" s="6"/>
      <c r="DZ88" s="15"/>
      <c r="EA88"/>
      <c r="EB88"/>
      <c r="EC88"/>
      <c r="ED88"/>
      <c r="EE88"/>
      <c r="EF88"/>
      <c r="EG88"/>
      <c r="EH88"/>
      <c r="EI88"/>
      <c r="EJ88"/>
      <c r="EK88" s="6"/>
      <c r="EL88" s="15"/>
      <c r="EM88"/>
      <c r="EN88"/>
      <c r="EO88"/>
      <c r="EP88"/>
      <c r="EQ88"/>
      <c r="ER88"/>
      <c r="ES88"/>
      <c r="ET88"/>
      <c r="EU88"/>
      <c r="EV88"/>
      <c r="EW88" s="6"/>
      <c r="EX88" s="16">
        <v>5.5616438356164384</v>
      </c>
      <c r="EY88" s="16" t="s">
        <v>578</v>
      </c>
      <c r="EZ88" s="16" t="s">
        <v>578</v>
      </c>
      <c r="FA88" s="154" t="s">
        <v>578</v>
      </c>
      <c r="FB88" s="154" t="s">
        <v>578</v>
      </c>
      <c r="FC88" t="s">
        <v>195</v>
      </c>
      <c r="FD88" s="20" t="s">
        <v>125</v>
      </c>
      <c r="FE88"/>
      <c r="FF88" s="199" t="s">
        <v>197</v>
      </c>
      <c r="FG88"/>
      <c r="FH88" s="206">
        <f t="shared" ca="1" si="13"/>
        <v>0</v>
      </c>
      <c r="FI88" s="198">
        <f t="shared" si="14"/>
        <v>0.9</v>
      </c>
      <c r="FJ88"/>
      <c r="FK88" t="str">
        <f t="shared" si="15"/>
        <v>America Energia S/A</v>
      </c>
      <c r="FL88" s="191">
        <f t="shared" ca="1" si="16"/>
        <v>0</v>
      </c>
      <c r="FM88" s="191">
        <f t="shared" ca="1" si="17"/>
        <v>4704</v>
      </c>
      <c r="FN88" s="190">
        <f>AB88*AB$2*IF($FC88="V",1,-1)*IF($Q88="Fixo",(CP88-INDEX('Curva Forward'!$C$5:$AN$13,MATCH(CONCATENATE(BD_COMERCIAL!$K88," ",BD_COMERCIAL!$L88),'Curva Forward'!$B$5:$B$13,0),MATCH(FN$4,'Curva Forward'!$C$4:$AN$4,0))),CP88)</f>
        <v>0</v>
      </c>
      <c r="FO88" s="190">
        <f>AC88*AC$2*IF($FC88="V",1,-1)*IF($Q88="Fixo",(CQ88-INDEX('Curva Forward'!$C$5:$AN$13,MATCH(CONCATENATE(BD_COMERCIAL!$K88," ",BD_COMERCIAL!$L88),'Curva Forward'!$B$5:$B$13,0),MATCH(FO$4,'Curva Forward'!$C$4:$AN$4,0))),CQ88)</f>
        <v>4704</v>
      </c>
      <c r="FP88" s="190">
        <f>AD88*AD$2*IF($FC88="V",1,-1)*IF($Q88="Fixo",(CR88-INDEX('Curva Forward'!$C$5:$AN$13,MATCH(CONCATENATE(BD_COMERCIAL!$K88," ",BD_COMERCIAL!$L88),'Curva Forward'!$B$5:$B$13,0),MATCH(FP$4,'Curva Forward'!$C$4:$AN$4,0))),CR88)</f>
        <v>0</v>
      </c>
      <c r="FQ88" s="190">
        <f>AE88*AE$2*IF($FC88="V",1,-1)*IF($Q88="Fixo",(CS88-INDEX('Curva Forward'!$C$5:$AN$13,MATCH(CONCATENATE(BD_COMERCIAL!$K88," ",BD_COMERCIAL!$L88),'Curva Forward'!$B$5:$B$13,0),MATCH(FQ$4,'Curva Forward'!$C$4:$AN$4,0))),CS88)</f>
        <v>0</v>
      </c>
      <c r="FR88" s="190">
        <f>AF88*AF$2*IF($FC88="V",1,-1)*IF($Q88="Fixo",(CT88-INDEX('Curva Forward'!$C$5:$AN$13,MATCH(CONCATENATE(BD_COMERCIAL!$K88," ",BD_COMERCIAL!$L88),'Curva Forward'!$B$5:$B$13,0),MATCH(FR$4,'Curva Forward'!$C$4:$AN$4,0))),CT88)</f>
        <v>0</v>
      </c>
      <c r="FS88" s="190">
        <f>AG88*AG$2*IF($FC88="V",1,-1)*IF($Q88="Fixo",(CU88-INDEX('Curva Forward'!$C$5:$AN$13,MATCH(CONCATENATE(BD_COMERCIAL!$K88," ",BD_COMERCIAL!$L88),'Curva Forward'!$B$5:$B$13,0),MATCH(FS$4,'Curva Forward'!$C$4:$AN$4,0))),CU88)</f>
        <v>0</v>
      </c>
      <c r="FT88" s="190">
        <f>AH88*AH$2*IF($FC88="V",1,-1)*IF($Q88="Fixo",(CV88-INDEX('Curva Forward'!$C$5:$AN$13,MATCH(CONCATENATE(BD_COMERCIAL!$K88," ",BD_COMERCIAL!$L88),'Curva Forward'!$B$5:$B$13,0),MATCH(FT$4,'Curva Forward'!$C$4:$AN$4,0))),CV88)</f>
        <v>0</v>
      </c>
      <c r="FU88" s="190">
        <f>AI88*AI$2*IF($FC88="V",1,-1)*IF($Q88="Fixo",(CW88-INDEX('Curva Forward'!$C$5:$AN$13,MATCH(CONCATENATE(BD_COMERCIAL!$K88," ",BD_COMERCIAL!$L88),'Curva Forward'!$B$5:$B$13,0),MATCH(FU$4,'Curva Forward'!$C$4:$AN$4,0))),CW88)</f>
        <v>0</v>
      </c>
      <c r="FV88" s="190">
        <f>AJ88*AJ$2*IF($FC88="V",1,-1)*IF($Q88="Fixo",(CX88-INDEX('Curva Forward'!$C$5:$AN$13,MATCH(CONCATENATE(BD_COMERCIAL!$K88," ",BD_COMERCIAL!$L88),'Curva Forward'!$B$5:$B$13,0),MATCH(FV$4,'Curva Forward'!$C$4:$AN$4,0))),CX88)</f>
        <v>0</v>
      </c>
      <c r="FW88" s="190">
        <f>AK88*AK$2*IF($FC88="V",1,-1)*IF($Q88="Fixo",(CY88-INDEX('Curva Forward'!$C$5:$AN$13,MATCH(CONCATENATE(BD_COMERCIAL!$K88," ",BD_COMERCIAL!$L88),'Curva Forward'!$B$5:$B$13,0),MATCH(FW$4,'Curva Forward'!$C$4:$AN$4,0))),CY88)</f>
        <v>0</v>
      </c>
      <c r="FX88" s="190">
        <f>AL88*AL$2*IF($FC88="V",1,-1)*IF($Q88="Fixo",(CZ88-INDEX('Curva Forward'!$C$5:$AN$13,MATCH(CONCATENATE(BD_COMERCIAL!$K88," ",BD_COMERCIAL!$L88),'Curva Forward'!$B$5:$B$13,0),MATCH(FX$4,'Curva Forward'!$C$4:$AN$4,0))),CZ88)</f>
        <v>0</v>
      </c>
      <c r="FY88" s="190">
        <f>AM88*AM$2*IF($FC88="V",1,-1)*IF($Q88="Fixo",(DA88-INDEX('Curva Forward'!$C$5:$AN$13,MATCH(CONCATENATE(BD_COMERCIAL!$K88," ",BD_COMERCIAL!$L88),'Curva Forward'!$B$5:$B$13,0),MATCH(FY$4,'Curva Forward'!$C$4:$AN$4,0))),DA88)</f>
        <v>0</v>
      </c>
      <c r="FZ88" s="190">
        <f>AN88*AN$2*IF($FC88="V",1,-1)*IF($Q88="Fixo",(DB88-INDEX('Curva Forward'!$C$5:$AN$13,MATCH(CONCATENATE(BD_COMERCIAL!$K88," ",BD_COMERCIAL!$L88),'Curva Forward'!$B$5:$B$13,0),MATCH(FZ$4,'Curva Forward'!$C$4:$AN$4,0))),DB88)</f>
        <v>0</v>
      </c>
      <c r="GA88" s="190">
        <f>AO88*AO$2*IF($FC88="V",1,-1)*IF($Q88="Fixo",(DC88-INDEX('Curva Forward'!$C$5:$AN$13,MATCH(CONCATENATE(BD_COMERCIAL!$K88," ",BD_COMERCIAL!$L88),'Curva Forward'!$B$5:$B$13,0),MATCH(GA$4,'Curva Forward'!$C$4:$AN$4,0))),DC88)</f>
        <v>0</v>
      </c>
      <c r="GB88" s="190">
        <f>AP88*AP$2*IF($FC88="V",1,-1)*IF($Q88="Fixo",(DD88-INDEX('Curva Forward'!$C$5:$AN$13,MATCH(CONCATENATE(BD_COMERCIAL!$K88," ",BD_COMERCIAL!$L88),'Curva Forward'!$B$5:$B$13,0),MATCH(GB$4,'Curva Forward'!$C$4:$AN$4,0))),DD88)</f>
        <v>0</v>
      </c>
      <c r="GC88" s="190">
        <f>AQ88*AQ$2*IF($FC88="V",1,-1)*IF($Q88="Fixo",(DE88-INDEX('Curva Forward'!$C$5:$AN$13,MATCH(CONCATENATE(BD_COMERCIAL!$K88," ",BD_COMERCIAL!$L88),'Curva Forward'!$B$5:$B$13,0),MATCH(GC$4,'Curva Forward'!$C$4:$AN$4,0))),DE88)</f>
        <v>0</v>
      </c>
      <c r="GD88" s="190">
        <f>AR88*AR$2*IF($FC88="V",1,-1)*IF($Q88="Fixo",(DF88-INDEX('Curva Forward'!$C$5:$AN$13,MATCH(CONCATENATE(BD_COMERCIAL!$K88," ",BD_COMERCIAL!$L88),'Curva Forward'!$B$5:$B$13,0),MATCH(GD$4,'Curva Forward'!$C$4:$AN$4,0))),DF88)</f>
        <v>0</v>
      </c>
      <c r="GE88" s="190">
        <f>AS88*AS$2*IF($FC88="V",1,-1)*IF($Q88="Fixo",(DG88-INDEX('Curva Forward'!$C$5:$AN$13,MATCH(CONCATENATE(BD_COMERCIAL!$K88," ",BD_COMERCIAL!$L88),'Curva Forward'!$B$5:$B$13,0),MATCH(GE$4,'Curva Forward'!$C$4:$AN$4,0))),DG88)</f>
        <v>0</v>
      </c>
      <c r="GF88" s="190">
        <f>AT88*AT$2*IF($FC88="V",1,-1)*IF($Q88="Fixo",(DH88-INDEX('Curva Forward'!$C$5:$AN$13,MATCH(CONCATENATE(BD_COMERCIAL!$K88," ",BD_COMERCIAL!$L88),'Curva Forward'!$B$5:$B$13,0),MATCH(GF$4,'Curva Forward'!$C$4:$AN$4,0))),DH88)</f>
        <v>0</v>
      </c>
      <c r="GG88" s="190">
        <f>AU88*AU$2*IF($FC88="V",1,-1)*IF($Q88="Fixo",(DI88-INDEX('Curva Forward'!$C$5:$AN$13,MATCH(CONCATENATE(BD_COMERCIAL!$K88," ",BD_COMERCIAL!$L88),'Curva Forward'!$B$5:$B$13,0),MATCH(GG$4,'Curva Forward'!$C$4:$AN$4,0))),DI88)</f>
        <v>0</v>
      </c>
      <c r="GH88" s="190">
        <f>AV88*AV$2*IF($FC88="V",1,-1)*IF($Q88="Fixo",(DJ88-INDEX('Curva Forward'!$C$5:$AN$13,MATCH(CONCATENATE(BD_COMERCIAL!$K88," ",BD_COMERCIAL!$L88),'Curva Forward'!$B$5:$B$13,0),MATCH(GH$4,'Curva Forward'!$C$4:$AN$4,0))),DJ88)</f>
        <v>0</v>
      </c>
      <c r="GI88" s="190">
        <f>AW88*AW$2*IF($FC88="V",1,-1)*IF($Q88="Fixo",(DK88-INDEX('Curva Forward'!$C$5:$AN$13,MATCH(CONCATENATE(BD_COMERCIAL!$K88," ",BD_COMERCIAL!$L88),'Curva Forward'!$B$5:$B$13,0),MATCH(GI$4,'Curva Forward'!$C$4:$AN$4,0))),DK88)</f>
        <v>0</v>
      </c>
      <c r="GJ88" s="190">
        <f>AX88*AX$2*IF($FC88="V",1,-1)*IF($Q88="Fixo",(DL88-INDEX('Curva Forward'!$C$5:$AN$13,MATCH(CONCATENATE(BD_COMERCIAL!$K88," ",BD_COMERCIAL!$L88),'Curva Forward'!$B$5:$B$13,0),MATCH(GJ$4,'Curva Forward'!$C$4:$AN$4,0))),DL88)</f>
        <v>0</v>
      </c>
      <c r="GK88" s="190">
        <f>AY88*AY$2*IF($FC88="V",1,-1)*IF($Q88="Fixo",(DM88-INDEX('Curva Forward'!$C$5:$AN$13,MATCH(CONCATENATE(BD_COMERCIAL!$K88," ",BD_COMERCIAL!$L88),'Curva Forward'!$B$5:$B$13,0),MATCH(GK$4,'Curva Forward'!$C$4:$AN$4,0))),DM88)</f>
        <v>0</v>
      </c>
      <c r="GL88" s="190">
        <f>IF(EZ88="",0,CL88*CL$2*IF($FC88="V",1,-1)*IF($Q88="Fixo",(EZ88-INDEX('Curva Forward'!$C$5:$AN$13,MATCH(CONCATENATE(BD_COMERCIAL!$K88," ",BD_COMERCIAL!$L88),'Curva Forward'!$B$5:$B$13,0),MATCH(GL$4,'Curva Forward'!$C$4:$AN$4,0))),EZ88))</f>
        <v>0</v>
      </c>
      <c r="GM88" s="190">
        <f>IF(FA88="",0,CM88*CM$2*IF($FC88="V",1,-1)*IF($Q88="Fixo",(FA88-INDEX('Curva Forward'!$C$5:$AN$13,MATCH(CONCATENATE(BD_COMERCIAL!$K88," ",BD_COMERCIAL!$L88),'Curva Forward'!$B$5:$B$13,0),MATCH(GM$4,'Curva Forward'!$C$4:$AN$4,0))),FA88))</f>
        <v>0</v>
      </c>
      <c r="GN88" s="190">
        <f>IF(FB88="",0,CN88*CN$2*IF($FC88="V",1,-1)*IF($Q88="Fixo",(FB88-INDEX('Curva Forward'!$C$5:$AN$13,MATCH(CONCATENATE(BD_COMERCIAL!$K88," ",BD_COMERCIAL!$L88),'Curva Forward'!$B$5:$B$13,0),MATCH(GN$4,'Curva Forward'!$C$4:$AN$4,0))),FB88))</f>
        <v>0</v>
      </c>
      <c r="GO88" s="191">
        <f t="shared" ca="1" si="18"/>
        <v>4704</v>
      </c>
      <c r="GP88" s="191">
        <f t="shared" ca="1" si="19"/>
        <v>0</v>
      </c>
      <c r="GQ88" s="115"/>
      <c r="GR88" s="115"/>
      <c r="GS88"/>
      <c r="GT88" s="65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</row>
    <row r="89" spans="1:236" s="265" customFormat="1" ht="15" customHeight="1" x14ac:dyDescent="0.35">
      <c r="A89" s="251"/>
      <c r="B89" s="7" t="s">
        <v>448</v>
      </c>
      <c r="C89" s="8">
        <v>44853</v>
      </c>
      <c r="D89" s="9" t="s">
        <v>123</v>
      </c>
      <c r="E89" s="9" t="s">
        <v>381</v>
      </c>
      <c r="F89" s="112" t="s">
        <v>348</v>
      </c>
      <c r="G89" s="10" t="s">
        <v>343</v>
      </c>
      <c r="H89" s="112" t="s">
        <v>379</v>
      </c>
      <c r="I89" s="9" t="s">
        <v>125</v>
      </c>
      <c r="J89" s="158" t="s">
        <v>438</v>
      </c>
      <c r="K89" s="10" t="s">
        <v>126</v>
      </c>
      <c r="L89" s="84" t="s">
        <v>22</v>
      </c>
      <c r="M89" s="11">
        <v>44927</v>
      </c>
      <c r="N89" s="12">
        <v>45016</v>
      </c>
      <c r="O89" s="10">
        <v>8</v>
      </c>
      <c r="P89" s="84">
        <v>71</v>
      </c>
      <c r="Q89" s="84" t="s">
        <v>127</v>
      </c>
      <c r="R89" s="10" t="s">
        <v>128</v>
      </c>
      <c r="S89" s="14" t="s">
        <v>133</v>
      </c>
      <c r="T89" s="11"/>
      <c r="U89" s="12"/>
      <c r="V89" s="202" t="str">
        <f ca="1">IF(U89="","",
IF(U89="NA","",
IFERROR(VLOOKUP(EOMONTH(M89,-2)+1,IPCA!$A:$B,2,0),
VLOOKUP(EOMONTH(TODAY(),-2)+1,IPCA!$A:$B,2,0))/
VLOOKUP(EOMONTH(U89,-2)+1,IPCA!$A:$B,2,0)*
P89))</f>
        <v/>
      </c>
      <c r="W89" s="84"/>
      <c r="X89" s="13" t="s">
        <v>132</v>
      </c>
      <c r="Y89" s="158"/>
      <c r="Z89" s="106"/>
      <c r="AA89" s="107"/>
      <c r="AB89" s="15">
        <v>8</v>
      </c>
      <c r="AC89">
        <v>8</v>
      </c>
      <c r="AD89">
        <v>8</v>
      </c>
      <c r="AE89"/>
      <c r="AF89"/>
      <c r="AG89"/>
      <c r="AH89"/>
      <c r="AI89"/>
      <c r="AJ89"/>
      <c r="AK89"/>
      <c r="AL89"/>
      <c r="AM89" s="6"/>
      <c r="AN89" s="15"/>
      <c r="AO89"/>
      <c r="AP89"/>
      <c r="AQ89"/>
      <c r="AR89"/>
      <c r="AS89"/>
      <c r="AT89"/>
      <c r="AU89"/>
      <c r="AV89"/>
      <c r="AW89"/>
      <c r="AX89"/>
      <c r="AY89" s="6"/>
      <c r="AZ89" s="15"/>
      <c r="BA89"/>
      <c r="BB89"/>
      <c r="BC89"/>
      <c r="BD89"/>
      <c r="BE89"/>
      <c r="BF89"/>
      <c r="BG89"/>
      <c r="BH89"/>
      <c r="BI89"/>
      <c r="BJ89"/>
      <c r="BK89" s="6"/>
      <c r="BL89" s="15"/>
      <c r="BM89"/>
      <c r="BN89"/>
      <c r="BO89"/>
      <c r="BP89"/>
      <c r="BQ89"/>
      <c r="BR89"/>
      <c r="BS89"/>
      <c r="BT89"/>
      <c r="BU89"/>
      <c r="BV89"/>
      <c r="BW89" s="6"/>
      <c r="BX89" s="15"/>
      <c r="BY89"/>
      <c r="BZ89"/>
      <c r="CA89"/>
      <c r="CB89"/>
      <c r="CC89"/>
      <c r="CD89"/>
      <c r="CE89"/>
      <c r="CF89"/>
      <c r="CG89"/>
      <c r="CH89"/>
      <c r="CI89" s="6"/>
      <c r="CJ89" s="16">
        <v>1.9726027397260273</v>
      </c>
      <c r="CK89" s="16" t="s">
        <v>578</v>
      </c>
      <c r="CL89" s="16" t="s">
        <v>578</v>
      </c>
      <c r="CM89" s="16" t="s">
        <v>578</v>
      </c>
      <c r="CN89" s="16" t="s">
        <v>578</v>
      </c>
      <c r="CO89" s="18"/>
      <c r="CP89" s="15">
        <v>71</v>
      </c>
      <c r="CQ89">
        <v>71</v>
      </c>
      <c r="CR89">
        <v>71</v>
      </c>
      <c r="CS89"/>
      <c r="CT89"/>
      <c r="CU89"/>
      <c r="CV89"/>
      <c r="CW89"/>
      <c r="CX89"/>
      <c r="CY89"/>
      <c r="CZ89"/>
      <c r="DA89" s="6"/>
      <c r="DB89" s="15"/>
      <c r="DC89"/>
      <c r="DD89"/>
      <c r="DE89"/>
      <c r="DF89"/>
      <c r="DG89"/>
      <c r="DH89"/>
      <c r="DI89"/>
      <c r="DJ89"/>
      <c r="DK89"/>
      <c r="DL89"/>
      <c r="DM89" s="6"/>
      <c r="DN89" s="15"/>
      <c r="DO89"/>
      <c r="DP89"/>
      <c r="DQ89"/>
      <c r="DR89"/>
      <c r="DS89"/>
      <c r="DT89"/>
      <c r="DU89"/>
      <c r="DV89"/>
      <c r="DW89"/>
      <c r="DX89"/>
      <c r="DY89" s="6"/>
      <c r="DZ89" s="15"/>
      <c r="EA89"/>
      <c r="EB89"/>
      <c r="EC89"/>
      <c r="ED89"/>
      <c r="EE89"/>
      <c r="EF89"/>
      <c r="EG89"/>
      <c r="EH89"/>
      <c r="EI89"/>
      <c r="EJ89"/>
      <c r="EK89" s="6"/>
      <c r="EL89" s="15"/>
      <c r="EM89"/>
      <c r="EN89"/>
      <c r="EO89"/>
      <c r="EP89"/>
      <c r="EQ89"/>
      <c r="ER89"/>
      <c r="ES89"/>
      <c r="ET89"/>
      <c r="EU89"/>
      <c r="EV89"/>
      <c r="EW89" s="6"/>
      <c r="EX89" s="16">
        <v>17.506849315068493</v>
      </c>
      <c r="EY89" s="16" t="s">
        <v>578</v>
      </c>
      <c r="EZ89" s="16" t="s">
        <v>578</v>
      </c>
      <c r="FA89" s="154" t="s">
        <v>578</v>
      </c>
      <c r="FB89" s="154" t="s">
        <v>578</v>
      </c>
      <c r="FC89" t="s">
        <v>195</v>
      </c>
      <c r="FD89" s="20" t="s">
        <v>125</v>
      </c>
      <c r="FE89"/>
      <c r="FF89" s="199" t="s">
        <v>197</v>
      </c>
      <c r="FG89"/>
      <c r="FH89" s="206">
        <f t="shared" ca="1" si="13"/>
        <v>0</v>
      </c>
      <c r="FI89" s="198">
        <f t="shared" si="14"/>
        <v>2.9666666666666668</v>
      </c>
      <c r="FJ89"/>
      <c r="FK89" t="str">
        <f t="shared" si="15"/>
        <v>ECEL ELETRON COMERCIALIZADORA DE ENERGIA S.A</v>
      </c>
      <c r="FL89" s="191">
        <f t="shared" ca="1" si="16"/>
        <v>11904</v>
      </c>
      <c r="FM89" s="191">
        <f t="shared" ca="1" si="17"/>
        <v>22656</v>
      </c>
      <c r="FN89" s="190">
        <f>AB89*AB$2*IF($FC89="V",1,-1)*IF($Q89="Fixo",(CP89-INDEX('Curva Forward'!$C$5:$AN$13,MATCH(CONCATENATE(BD_COMERCIAL!$K89," ",BD_COMERCIAL!$L89),'Curva Forward'!$B$5:$B$13,0),MATCH(FN$4,'Curva Forward'!$C$4:$AN$4,0))),CP89)</f>
        <v>11904</v>
      </c>
      <c r="FO89" s="190">
        <f>AC89*AC$2*IF($FC89="V",1,-1)*IF($Q89="Fixo",(CQ89-INDEX('Curva Forward'!$C$5:$AN$13,MATCH(CONCATENATE(BD_COMERCIAL!$K89," ",BD_COMERCIAL!$L89),'Curva Forward'!$B$5:$B$13,0),MATCH(FO$4,'Curva Forward'!$C$4:$AN$4,0))),CQ89)</f>
        <v>10752</v>
      </c>
      <c r="FP89" s="190">
        <f>AD89*AD$2*IF($FC89="V",1,-1)*IF($Q89="Fixo",(CR89-INDEX('Curva Forward'!$C$5:$AN$13,MATCH(CONCATENATE(BD_COMERCIAL!$K89," ",BD_COMERCIAL!$L89),'Curva Forward'!$B$5:$B$13,0),MATCH(FP$4,'Curva Forward'!$C$4:$AN$4,0))),CR89)</f>
        <v>11904</v>
      </c>
      <c r="FQ89" s="190">
        <f>AE89*AE$2*IF($FC89="V",1,-1)*IF($Q89="Fixo",(CS89-INDEX('Curva Forward'!$C$5:$AN$13,MATCH(CONCATENATE(BD_COMERCIAL!$K89," ",BD_COMERCIAL!$L89),'Curva Forward'!$B$5:$B$13,0),MATCH(FQ$4,'Curva Forward'!$C$4:$AN$4,0))),CS89)</f>
        <v>0</v>
      </c>
      <c r="FR89" s="190">
        <f>AF89*AF$2*IF($FC89="V",1,-1)*IF($Q89="Fixo",(CT89-INDEX('Curva Forward'!$C$5:$AN$13,MATCH(CONCATENATE(BD_COMERCIAL!$K89," ",BD_COMERCIAL!$L89),'Curva Forward'!$B$5:$B$13,0),MATCH(FR$4,'Curva Forward'!$C$4:$AN$4,0))),CT89)</f>
        <v>0</v>
      </c>
      <c r="FS89" s="190">
        <f>AG89*AG$2*IF($FC89="V",1,-1)*IF($Q89="Fixo",(CU89-INDEX('Curva Forward'!$C$5:$AN$13,MATCH(CONCATENATE(BD_COMERCIAL!$K89," ",BD_COMERCIAL!$L89),'Curva Forward'!$B$5:$B$13,0),MATCH(FS$4,'Curva Forward'!$C$4:$AN$4,0))),CU89)</f>
        <v>0</v>
      </c>
      <c r="FT89" s="190">
        <f>AH89*AH$2*IF($FC89="V",1,-1)*IF($Q89="Fixo",(CV89-INDEX('Curva Forward'!$C$5:$AN$13,MATCH(CONCATENATE(BD_COMERCIAL!$K89," ",BD_COMERCIAL!$L89),'Curva Forward'!$B$5:$B$13,0),MATCH(FT$4,'Curva Forward'!$C$4:$AN$4,0))),CV89)</f>
        <v>0</v>
      </c>
      <c r="FU89" s="190">
        <f>AI89*AI$2*IF($FC89="V",1,-1)*IF($Q89="Fixo",(CW89-INDEX('Curva Forward'!$C$5:$AN$13,MATCH(CONCATENATE(BD_COMERCIAL!$K89," ",BD_COMERCIAL!$L89),'Curva Forward'!$B$5:$B$13,0),MATCH(FU$4,'Curva Forward'!$C$4:$AN$4,0))),CW89)</f>
        <v>0</v>
      </c>
      <c r="FV89" s="190">
        <f>AJ89*AJ$2*IF($FC89="V",1,-1)*IF($Q89="Fixo",(CX89-INDEX('Curva Forward'!$C$5:$AN$13,MATCH(CONCATENATE(BD_COMERCIAL!$K89," ",BD_COMERCIAL!$L89),'Curva Forward'!$B$5:$B$13,0),MATCH(FV$4,'Curva Forward'!$C$4:$AN$4,0))),CX89)</f>
        <v>0</v>
      </c>
      <c r="FW89" s="190">
        <f>AK89*AK$2*IF($FC89="V",1,-1)*IF($Q89="Fixo",(CY89-INDEX('Curva Forward'!$C$5:$AN$13,MATCH(CONCATENATE(BD_COMERCIAL!$K89," ",BD_COMERCIAL!$L89),'Curva Forward'!$B$5:$B$13,0),MATCH(FW$4,'Curva Forward'!$C$4:$AN$4,0))),CY89)</f>
        <v>0</v>
      </c>
      <c r="FX89" s="190">
        <f>AL89*AL$2*IF($FC89="V",1,-1)*IF($Q89="Fixo",(CZ89-INDEX('Curva Forward'!$C$5:$AN$13,MATCH(CONCATENATE(BD_COMERCIAL!$K89," ",BD_COMERCIAL!$L89),'Curva Forward'!$B$5:$B$13,0),MATCH(FX$4,'Curva Forward'!$C$4:$AN$4,0))),CZ89)</f>
        <v>0</v>
      </c>
      <c r="FY89" s="190">
        <f>AM89*AM$2*IF($FC89="V",1,-1)*IF($Q89="Fixo",(DA89-INDEX('Curva Forward'!$C$5:$AN$13,MATCH(CONCATENATE(BD_COMERCIAL!$K89," ",BD_COMERCIAL!$L89),'Curva Forward'!$B$5:$B$13,0),MATCH(FY$4,'Curva Forward'!$C$4:$AN$4,0))),DA89)</f>
        <v>0</v>
      </c>
      <c r="FZ89" s="190">
        <f>AN89*AN$2*IF($FC89="V",1,-1)*IF($Q89="Fixo",(DB89-INDEX('Curva Forward'!$C$5:$AN$13,MATCH(CONCATENATE(BD_COMERCIAL!$K89," ",BD_COMERCIAL!$L89),'Curva Forward'!$B$5:$B$13,0),MATCH(FZ$4,'Curva Forward'!$C$4:$AN$4,0))),DB89)</f>
        <v>0</v>
      </c>
      <c r="GA89" s="190">
        <f>AO89*AO$2*IF($FC89="V",1,-1)*IF($Q89="Fixo",(DC89-INDEX('Curva Forward'!$C$5:$AN$13,MATCH(CONCATENATE(BD_COMERCIAL!$K89," ",BD_COMERCIAL!$L89),'Curva Forward'!$B$5:$B$13,0),MATCH(GA$4,'Curva Forward'!$C$4:$AN$4,0))),DC89)</f>
        <v>0</v>
      </c>
      <c r="GB89" s="190">
        <f>AP89*AP$2*IF($FC89="V",1,-1)*IF($Q89="Fixo",(DD89-INDEX('Curva Forward'!$C$5:$AN$13,MATCH(CONCATENATE(BD_COMERCIAL!$K89," ",BD_COMERCIAL!$L89),'Curva Forward'!$B$5:$B$13,0),MATCH(GB$4,'Curva Forward'!$C$4:$AN$4,0))),DD89)</f>
        <v>0</v>
      </c>
      <c r="GC89" s="190">
        <f>AQ89*AQ$2*IF($FC89="V",1,-1)*IF($Q89="Fixo",(DE89-INDEX('Curva Forward'!$C$5:$AN$13,MATCH(CONCATENATE(BD_COMERCIAL!$K89," ",BD_COMERCIAL!$L89),'Curva Forward'!$B$5:$B$13,0),MATCH(GC$4,'Curva Forward'!$C$4:$AN$4,0))),DE89)</f>
        <v>0</v>
      </c>
      <c r="GD89" s="190">
        <f>AR89*AR$2*IF($FC89="V",1,-1)*IF($Q89="Fixo",(DF89-INDEX('Curva Forward'!$C$5:$AN$13,MATCH(CONCATENATE(BD_COMERCIAL!$K89," ",BD_COMERCIAL!$L89),'Curva Forward'!$B$5:$B$13,0),MATCH(GD$4,'Curva Forward'!$C$4:$AN$4,0))),DF89)</f>
        <v>0</v>
      </c>
      <c r="GE89" s="190">
        <f>AS89*AS$2*IF($FC89="V",1,-1)*IF($Q89="Fixo",(DG89-INDEX('Curva Forward'!$C$5:$AN$13,MATCH(CONCATENATE(BD_COMERCIAL!$K89," ",BD_COMERCIAL!$L89),'Curva Forward'!$B$5:$B$13,0),MATCH(GE$4,'Curva Forward'!$C$4:$AN$4,0))),DG89)</f>
        <v>0</v>
      </c>
      <c r="GF89" s="190">
        <f>AT89*AT$2*IF($FC89="V",1,-1)*IF($Q89="Fixo",(DH89-INDEX('Curva Forward'!$C$5:$AN$13,MATCH(CONCATENATE(BD_COMERCIAL!$K89," ",BD_COMERCIAL!$L89),'Curva Forward'!$B$5:$B$13,0),MATCH(GF$4,'Curva Forward'!$C$4:$AN$4,0))),DH89)</f>
        <v>0</v>
      </c>
      <c r="GG89" s="190">
        <f>AU89*AU$2*IF($FC89="V",1,-1)*IF($Q89="Fixo",(DI89-INDEX('Curva Forward'!$C$5:$AN$13,MATCH(CONCATENATE(BD_COMERCIAL!$K89," ",BD_COMERCIAL!$L89),'Curva Forward'!$B$5:$B$13,0),MATCH(GG$4,'Curva Forward'!$C$4:$AN$4,0))),DI89)</f>
        <v>0</v>
      </c>
      <c r="GH89" s="190">
        <f>AV89*AV$2*IF($FC89="V",1,-1)*IF($Q89="Fixo",(DJ89-INDEX('Curva Forward'!$C$5:$AN$13,MATCH(CONCATENATE(BD_COMERCIAL!$K89," ",BD_COMERCIAL!$L89),'Curva Forward'!$B$5:$B$13,0),MATCH(GH$4,'Curva Forward'!$C$4:$AN$4,0))),DJ89)</f>
        <v>0</v>
      </c>
      <c r="GI89" s="190">
        <f>AW89*AW$2*IF($FC89="V",1,-1)*IF($Q89="Fixo",(DK89-INDEX('Curva Forward'!$C$5:$AN$13,MATCH(CONCATENATE(BD_COMERCIAL!$K89," ",BD_COMERCIAL!$L89),'Curva Forward'!$B$5:$B$13,0),MATCH(GI$4,'Curva Forward'!$C$4:$AN$4,0))),DK89)</f>
        <v>0</v>
      </c>
      <c r="GJ89" s="190">
        <f>AX89*AX$2*IF($FC89="V",1,-1)*IF($Q89="Fixo",(DL89-INDEX('Curva Forward'!$C$5:$AN$13,MATCH(CONCATENATE(BD_COMERCIAL!$K89," ",BD_COMERCIAL!$L89),'Curva Forward'!$B$5:$B$13,0),MATCH(GJ$4,'Curva Forward'!$C$4:$AN$4,0))),DL89)</f>
        <v>0</v>
      </c>
      <c r="GK89" s="190">
        <f>AY89*AY$2*IF($FC89="V",1,-1)*IF($Q89="Fixo",(DM89-INDEX('Curva Forward'!$C$5:$AN$13,MATCH(CONCATENATE(BD_COMERCIAL!$K89," ",BD_COMERCIAL!$L89),'Curva Forward'!$B$5:$B$13,0),MATCH(GK$4,'Curva Forward'!$C$4:$AN$4,0))),DM89)</f>
        <v>0</v>
      </c>
      <c r="GL89" s="190">
        <f>IF(EZ89="",0,CL89*CL$2*IF($FC89="V",1,-1)*IF($Q89="Fixo",(EZ89-INDEX('Curva Forward'!$C$5:$AN$13,MATCH(CONCATENATE(BD_COMERCIAL!$K89," ",BD_COMERCIAL!$L89),'Curva Forward'!$B$5:$B$13,0),MATCH(GL$4,'Curva Forward'!$C$4:$AN$4,0))),EZ89))</f>
        <v>0</v>
      </c>
      <c r="GM89" s="190">
        <f>IF(FA89="",0,CM89*CM$2*IF($FC89="V",1,-1)*IF($Q89="Fixo",(FA89-INDEX('Curva Forward'!$C$5:$AN$13,MATCH(CONCATENATE(BD_COMERCIAL!$K89," ",BD_COMERCIAL!$L89),'Curva Forward'!$B$5:$B$13,0),MATCH(GM$4,'Curva Forward'!$C$4:$AN$4,0))),FA89))</f>
        <v>0</v>
      </c>
      <c r="GN89" s="190">
        <f>IF(FB89="",0,CN89*CN$2*IF($FC89="V",1,-1)*IF($Q89="Fixo",(FB89-INDEX('Curva Forward'!$C$5:$AN$13,MATCH(CONCATENATE(BD_COMERCIAL!$K89," ",BD_COMERCIAL!$L89),'Curva Forward'!$B$5:$B$13,0),MATCH(GN$4,'Curva Forward'!$C$4:$AN$4,0))),FB89))</f>
        <v>0</v>
      </c>
      <c r="GO89" s="191">
        <f t="shared" ca="1" si="18"/>
        <v>22656</v>
      </c>
      <c r="GP89" s="191">
        <f t="shared" ca="1" si="19"/>
        <v>0</v>
      </c>
      <c r="GQ89" s="115"/>
      <c r="GR89" s="115"/>
      <c r="GS89"/>
      <c r="GT89" s="65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</row>
    <row r="90" spans="1:236" s="265" customFormat="1" ht="15" customHeight="1" x14ac:dyDescent="0.35">
      <c r="A90" s="251"/>
      <c r="B90" s="7" t="s">
        <v>449</v>
      </c>
      <c r="C90" s="8">
        <v>44853</v>
      </c>
      <c r="D90" s="9" t="s">
        <v>123</v>
      </c>
      <c r="E90" s="9" t="s">
        <v>381</v>
      </c>
      <c r="F90" s="112" t="s">
        <v>348</v>
      </c>
      <c r="G90" s="10" t="s">
        <v>190</v>
      </c>
      <c r="H90" s="112" t="s">
        <v>444</v>
      </c>
      <c r="I90" s="9" t="s">
        <v>125</v>
      </c>
      <c r="J90" s="158" t="s">
        <v>438</v>
      </c>
      <c r="K90" s="10" t="s">
        <v>126</v>
      </c>
      <c r="L90" s="84" t="s">
        <v>22</v>
      </c>
      <c r="M90" s="11">
        <v>45231</v>
      </c>
      <c r="N90" s="12">
        <v>45260</v>
      </c>
      <c r="O90" s="10">
        <v>15</v>
      </c>
      <c r="P90" s="84">
        <v>115</v>
      </c>
      <c r="Q90" s="84" t="s">
        <v>127</v>
      </c>
      <c r="R90" s="10" t="s">
        <v>128</v>
      </c>
      <c r="S90" s="14" t="s">
        <v>133</v>
      </c>
      <c r="T90" s="11"/>
      <c r="U90" s="12"/>
      <c r="V90" s="202" t="str">
        <f ca="1">IF(U90="","",
IF(U90="NA","",
IFERROR(VLOOKUP(EOMONTH(M90,-2)+1,IPCA!$A:$B,2,0),
VLOOKUP(EOMONTH(TODAY(),-2)+1,IPCA!$A:$B,2,0))/
VLOOKUP(EOMONTH(U90,-2)+1,IPCA!$A:$B,2,0)*
P90))</f>
        <v/>
      </c>
      <c r="W90" s="84"/>
      <c r="X90" s="13" t="s">
        <v>132</v>
      </c>
      <c r="Y90" s="158"/>
      <c r="Z90" s="106"/>
      <c r="AA90" s="107"/>
      <c r="AB90" s="15"/>
      <c r="AC90"/>
      <c r="AD90"/>
      <c r="AE90"/>
      <c r="AF90"/>
      <c r="AG90"/>
      <c r="AH90"/>
      <c r="AI90"/>
      <c r="AJ90"/>
      <c r="AK90"/>
      <c r="AL90">
        <v>15</v>
      </c>
      <c r="AM90" s="6"/>
      <c r="AN90" s="15"/>
      <c r="AO90"/>
      <c r="AP90"/>
      <c r="AQ90"/>
      <c r="AR90"/>
      <c r="AS90"/>
      <c r="AT90"/>
      <c r="AU90"/>
      <c r="AV90"/>
      <c r="AW90"/>
      <c r="AX90"/>
      <c r="AY90" s="6"/>
      <c r="AZ90" s="15"/>
      <c r="BA90"/>
      <c r="BB90"/>
      <c r="BC90"/>
      <c r="BD90"/>
      <c r="BE90"/>
      <c r="BF90"/>
      <c r="BG90"/>
      <c r="BH90"/>
      <c r="BI90"/>
      <c r="BJ90"/>
      <c r="BK90" s="6"/>
      <c r="BL90" s="15"/>
      <c r="BM90"/>
      <c r="BN90"/>
      <c r="BO90"/>
      <c r="BP90"/>
      <c r="BQ90"/>
      <c r="BR90"/>
      <c r="BS90"/>
      <c r="BT90"/>
      <c r="BU90"/>
      <c r="BV90"/>
      <c r="BW90" s="6"/>
      <c r="BX90" s="15"/>
      <c r="BY90"/>
      <c r="BZ90"/>
      <c r="CA90"/>
      <c r="CB90"/>
      <c r="CC90"/>
      <c r="CD90"/>
      <c r="CE90"/>
      <c r="CF90"/>
      <c r="CG90"/>
      <c r="CH90"/>
      <c r="CI90" s="6"/>
      <c r="CJ90" s="16">
        <v>1.2328767123287672</v>
      </c>
      <c r="CK90" s="16" t="s">
        <v>578</v>
      </c>
      <c r="CL90" s="16" t="s">
        <v>578</v>
      </c>
      <c r="CM90" s="16" t="s">
        <v>578</v>
      </c>
      <c r="CN90" s="16" t="s">
        <v>578</v>
      </c>
      <c r="CO90" s="18"/>
      <c r="CP90" s="15"/>
      <c r="CQ90"/>
      <c r="CR90"/>
      <c r="CS90"/>
      <c r="CT90"/>
      <c r="CU90"/>
      <c r="CV90"/>
      <c r="CW90"/>
      <c r="CX90"/>
      <c r="CY90"/>
      <c r="CZ90">
        <v>115</v>
      </c>
      <c r="DA90" s="6"/>
      <c r="DB90" s="15"/>
      <c r="DC90"/>
      <c r="DD90"/>
      <c r="DE90"/>
      <c r="DF90"/>
      <c r="DG90"/>
      <c r="DH90"/>
      <c r="DI90"/>
      <c r="DJ90"/>
      <c r="DK90"/>
      <c r="DL90"/>
      <c r="DM90" s="6"/>
      <c r="DN90" s="15"/>
      <c r="DO90"/>
      <c r="DP90"/>
      <c r="DQ90"/>
      <c r="DR90"/>
      <c r="DS90"/>
      <c r="DT90"/>
      <c r="DU90"/>
      <c r="DV90"/>
      <c r="DW90"/>
      <c r="DX90"/>
      <c r="DY90" s="6"/>
      <c r="DZ90" s="15"/>
      <c r="EA90"/>
      <c r="EB90"/>
      <c r="EC90"/>
      <c r="ED90"/>
      <c r="EE90"/>
      <c r="EF90"/>
      <c r="EG90"/>
      <c r="EH90"/>
      <c r="EI90"/>
      <c r="EJ90"/>
      <c r="EK90" s="6"/>
      <c r="EL90" s="15"/>
      <c r="EM90"/>
      <c r="EN90"/>
      <c r="EO90"/>
      <c r="EP90"/>
      <c r="EQ90"/>
      <c r="ER90"/>
      <c r="ES90"/>
      <c r="ET90"/>
      <c r="EU90"/>
      <c r="EV90"/>
      <c r="EW90" s="6"/>
      <c r="EX90" s="16">
        <v>9.4520547945205475</v>
      </c>
      <c r="EY90" s="16" t="s">
        <v>578</v>
      </c>
      <c r="EZ90" s="16" t="s">
        <v>578</v>
      </c>
      <c r="FA90" s="154" t="s">
        <v>578</v>
      </c>
      <c r="FB90" s="154" t="s">
        <v>578</v>
      </c>
      <c r="FC90" t="s">
        <v>195</v>
      </c>
      <c r="FD90" s="20" t="s">
        <v>125</v>
      </c>
      <c r="FE90"/>
      <c r="FF90" s="199" t="s">
        <v>197</v>
      </c>
      <c r="FG90"/>
      <c r="FH90" s="206">
        <f t="shared" ca="1" si="13"/>
        <v>0</v>
      </c>
      <c r="FI90" s="198">
        <f t="shared" si="14"/>
        <v>0.96666666666666667</v>
      </c>
      <c r="FJ90"/>
      <c r="FK90" t="str">
        <f t="shared" si="15"/>
        <v>America Energia S/A</v>
      </c>
      <c r="FL90" s="191">
        <f t="shared" ca="1" si="16"/>
        <v>0</v>
      </c>
      <c r="FM90" s="191">
        <f t="shared" ca="1" si="17"/>
        <v>432000</v>
      </c>
      <c r="FN90" s="190">
        <f>AB90*AB$2*IF($FC90="V",1,-1)*IF($Q90="Fixo",(CP90-INDEX('Curva Forward'!$C$5:$AN$13,MATCH(CONCATENATE(BD_COMERCIAL!$K90," ",BD_COMERCIAL!$L90),'Curva Forward'!$B$5:$B$13,0),MATCH(FN$4,'Curva Forward'!$C$4:$AN$4,0))),CP90)</f>
        <v>0</v>
      </c>
      <c r="FO90" s="190">
        <f>AC90*AC$2*IF($FC90="V",1,-1)*IF($Q90="Fixo",(CQ90-INDEX('Curva Forward'!$C$5:$AN$13,MATCH(CONCATENATE(BD_COMERCIAL!$K90," ",BD_COMERCIAL!$L90),'Curva Forward'!$B$5:$B$13,0),MATCH(FO$4,'Curva Forward'!$C$4:$AN$4,0))),CQ90)</f>
        <v>0</v>
      </c>
      <c r="FP90" s="190">
        <f>AD90*AD$2*IF($FC90="V",1,-1)*IF($Q90="Fixo",(CR90-INDEX('Curva Forward'!$C$5:$AN$13,MATCH(CONCATENATE(BD_COMERCIAL!$K90," ",BD_COMERCIAL!$L90),'Curva Forward'!$B$5:$B$13,0),MATCH(FP$4,'Curva Forward'!$C$4:$AN$4,0))),CR90)</f>
        <v>0</v>
      </c>
      <c r="FQ90" s="190">
        <f>AE90*AE$2*IF($FC90="V",1,-1)*IF($Q90="Fixo",(CS90-INDEX('Curva Forward'!$C$5:$AN$13,MATCH(CONCATENATE(BD_COMERCIAL!$K90," ",BD_COMERCIAL!$L90),'Curva Forward'!$B$5:$B$13,0),MATCH(FQ$4,'Curva Forward'!$C$4:$AN$4,0))),CS90)</f>
        <v>0</v>
      </c>
      <c r="FR90" s="190">
        <f>AF90*AF$2*IF($FC90="V",1,-1)*IF($Q90="Fixo",(CT90-INDEX('Curva Forward'!$C$5:$AN$13,MATCH(CONCATENATE(BD_COMERCIAL!$K90," ",BD_COMERCIAL!$L90),'Curva Forward'!$B$5:$B$13,0),MATCH(FR$4,'Curva Forward'!$C$4:$AN$4,0))),CT90)</f>
        <v>0</v>
      </c>
      <c r="FS90" s="190">
        <f>AG90*AG$2*IF($FC90="V",1,-1)*IF($Q90="Fixo",(CU90-INDEX('Curva Forward'!$C$5:$AN$13,MATCH(CONCATENATE(BD_COMERCIAL!$K90," ",BD_COMERCIAL!$L90),'Curva Forward'!$B$5:$B$13,0),MATCH(FS$4,'Curva Forward'!$C$4:$AN$4,0))),CU90)</f>
        <v>0</v>
      </c>
      <c r="FT90" s="190">
        <f>AH90*AH$2*IF($FC90="V",1,-1)*IF($Q90="Fixo",(CV90-INDEX('Curva Forward'!$C$5:$AN$13,MATCH(CONCATENATE(BD_COMERCIAL!$K90," ",BD_COMERCIAL!$L90),'Curva Forward'!$B$5:$B$13,0),MATCH(FT$4,'Curva Forward'!$C$4:$AN$4,0))),CV90)</f>
        <v>0</v>
      </c>
      <c r="FU90" s="190">
        <f>AI90*AI$2*IF($FC90="V",1,-1)*IF($Q90="Fixo",(CW90-INDEX('Curva Forward'!$C$5:$AN$13,MATCH(CONCATENATE(BD_COMERCIAL!$K90," ",BD_COMERCIAL!$L90),'Curva Forward'!$B$5:$B$13,0),MATCH(FU$4,'Curva Forward'!$C$4:$AN$4,0))),CW90)</f>
        <v>0</v>
      </c>
      <c r="FV90" s="190">
        <f>AJ90*AJ$2*IF($FC90="V",1,-1)*IF($Q90="Fixo",(CX90-INDEX('Curva Forward'!$C$5:$AN$13,MATCH(CONCATENATE(BD_COMERCIAL!$K90," ",BD_COMERCIAL!$L90),'Curva Forward'!$B$5:$B$13,0),MATCH(FV$4,'Curva Forward'!$C$4:$AN$4,0))),CX90)</f>
        <v>0</v>
      </c>
      <c r="FW90" s="190">
        <f>AK90*AK$2*IF($FC90="V",1,-1)*IF($Q90="Fixo",(CY90-INDEX('Curva Forward'!$C$5:$AN$13,MATCH(CONCATENATE(BD_COMERCIAL!$K90," ",BD_COMERCIAL!$L90),'Curva Forward'!$B$5:$B$13,0),MATCH(FW$4,'Curva Forward'!$C$4:$AN$4,0))),CY90)</f>
        <v>0</v>
      </c>
      <c r="FX90" s="190">
        <f>AL90*AL$2*IF($FC90="V",1,-1)*IF($Q90="Fixo",(CZ90-INDEX('Curva Forward'!$C$5:$AN$13,MATCH(CONCATENATE(BD_COMERCIAL!$K90," ",BD_COMERCIAL!$L90),'Curva Forward'!$B$5:$B$13,0),MATCH(FX$4,'Curva Forward'!$C$4:$AN$4,0))),CZ90)</f>
        <v>432000</v>
      </c>
      <c r="FY90" s="190">
        <f>AM90*AM$2*IF($FC90="V",1,-1)*IF($Q90="Fixo",(DA90-INDEX('Curva Forward'!$C$5:$AN$13,MATCH(CONCATENATE(BD_COMERCIAL!$K90," ",BD_COMERCIAL!$L90),'Curva Forward'!$B$5:$B$13,0),MATCH(FY$4,'Curva Forward'!$C$4:$AN$4,0))),DA90)</f>
        <v>0</v>
      </c>
      <c r="FZ90" s="190">
        <f>AN90*AN$2*IF($FC90="V",1,-1)*IF($Q90="Fixo",(DB90-INDEX('Curva Forward'!$C$5:$AN$13,MATCH(CONCATENATE(BD_COMERCIAL!$K90," ",BD_COMERCIAL!$L90),'Curva Forward'!$B$5:$B$13,0),MATCH(FZ$4,'Curva Forward'!$C$4:$AN$4,0))),DB90)</f>
        <v>0</v>
      </c>
      <c r="GA90" s="190">
        <f>AO90*AO$2*IF($FC90="V",1,-1)*IF($Q90="Fixo",(DC90-INDEX('Curva Forward'!$C$5:$AN$13,MATCH(CONCATENATE(BD_COMERCIAL!$K90," ",BD_COMERCIAL!$L90),'Curva Forward'!$B$5:$B$13,0),MATCH(GA$4,'Curva Forward'!$C$4:$AN$4,0))),DC90)</f>
        <v>0</v>
      </c>
      <c r="GB90" s="190">
        <f>AP90*AP$2*IF($FC90="V",1,-1)*IF($Q90="Fixo",(DD90-INDEX('Curva Forward'!$C$5:$AN$13,MATCH(CONCATENATE(BD_COMERCIAL!$K90," ",BD_COMERCIAL!$L90),'Curva Forward'!$B$5:$B$13,0),MATCH(GB$4,'Curva Forward'!$C$4:$AN$4,0))),DD90)</f>
        <v>0</v>
      </c>
      <c r="GC90" s="190">
        <f>AQ90*AQ$2*IF($FC90="V",1,-1)*IF($Q90="Fixo",(DE90-INDEX('Curva Forward'!$C$5:$AN$13,MATCH(CONCATENATE(BD_COMERCIAL!$K90," ",BD_COMERCIAL!$L90),'Curva Forward'!$B$5:$B$13,0),MATCH(GC$4,'Curva Forward'!$C$4:$AN$4,0))),DE90)</f>
        <v>0</v>
      </c>
      <c r="GD90" s="190">
        <f>AR90*AR$2*IF($FC90="V",1,-1)*IF($Q90="Fixo",(DF90-INDEX('Curva Forward'!$C$5:$AN$13,MATCH(CONCATENATE(BD_COMERCIAL!$K90," ",BD_COMERCIAL!$L90),'Curva Forward'!$B$5:$B$13,0),MATCH(GD$4,'Curva Forward'!$C$4:$AN$4,0))),DF90)</f>
        <v>0</v>
      </c>
      <c r="GE90" s="190">
        <f>AS90*AS$2*IF($FC90="V",1,-1)*IF($Q90="Fixo",(DG90-INDEX('Curva Forward'!$C$5:$AN$13,MATCH(CONCATENATE(BD_COMERCIAL!$K90," ",BD_COMERCIAL!$L90),'Curva Forward'!$B$5:$B$13,0),MATCH(GE$4,'Curva Forward'!$C$4:$AN$4,0))),DG90)</f>
        <v>0</v>
      </c>
      <c r="GF90" s="190">
        <f>AT90*AT$2*IF($FC90="V",1,-1)*IF($Q90="Fixo",(DH90-INDEX('Curva Forward'!$C$5:$AN$13,MATCH(CONCATENATE(BD_COMERCIAL!$K90," ",BD_COMERCIAL!$L90),'Curva Forward'!$B$5:$B$13,0),MATCH(GF$4,'Curva Forward'!$C$4:$AN$4,0))),DH90)</f>
        <v>0</v>
      </c>
      <c r="GG90" s="190">
        <f>AU90*AU$2*IF($FC90="V",1,-1)*IF($Q90="Fixo",(DI90-INDEX('Curva Forward'!$C$5:$AN$13,MATCH(CONCATENATE(BD_COMERCIAL!$K90," ",BD_COMERCIAL!$L90),'Curva Forward'!$B$5:$B$13,0),MATCH(GG$4,'Curva Forward'!$C$4:$AN$4,0))),DI90)</f>
        <v>0</v>
      </c>
      <c r="GH90" s="190">
        <f>AV90*AV$2*IF($FC90="V",1,-1)*IF($Q90="Fixo",(DJ90-INDEX('Curva Forward'!$C$5:$AN$13,MATCH(CONCATENATE(BD_COMERCIAL!$K90," ",BD_COMERCIAL!$L90),'Curva Forward'!$B$5:$B$13,0),MATCH(GH$4,'Curva Forward'!$C$4:$AN$4,0))),DJ90)</f>
        <v>0</v>
      </c>
      <c r="GI90" s="190">
        <f>AW90*AW$2*IF($FC90="V",1,-1)*IF($Q90="Fixo",(DK90-INDEX('Curva Forward'!$C$5:$AN$13,MATCH(CONCATENATE(BD_COMERCIAL!$K90," ",BD_COMERCIAL!$L90),'Curva Forward'!$B$5:$B$13,0),MATCH(GI$4,'Curva Forward'!$C$4:$AN$4,0))),DK90)</f>
        <v>0</v>
      </c>
      <c r="GJ90" s="190">
        <f>AX90*AX$2*IF($FC90="V",1,-1)*IF($Q90="Fixo",(DL90-INDEX('Curva Forward'!$C$5:$AN$13,MATCH(CONCATENATE(BD_COMERCIAL!$K90," ",BD_COMERCIAL!$L90),'Curva Forward'!$B$5:$B$13,0),MATCH(GJ$4,'Curva Forward'!$C$4:$AN$4,0))),DL90)</f>
        <v>0</v>
      </c>
      <c r="GK90" s="190">
        <f>AY90*AY$2*IF($FC90="V",1,-1)*IF($Q90="Fixo",(DM90-INDEX('Curva Forward'!$C$5:$AN$13,MATCH(CONCATENATE(BD_COMERCIAL!$K90," ",BD_COMERCIAL!$L90),'Curva Forward'!$B$5:$B$13,0),MATCH(GK$4,'Curva Forward'!$C$4:$AN$4,0))),DM90)</f>
        <v>0</v>
      </c>
      <c r="GL90" s="190">
        <f>IF(EZ90="",0,CL90*CL$2*IF($FC90="V",1,-1)*IF($Q90="Fixo",(EZ90-INDEX('Curva Forward'!$C$5:$AN$13,MATCH(CONCATENATE(BD_COMERCIAL!$K90," ",BD_COMERCIAL!$L90),'Curva Forward'!$B$5:$B$13,0),MATCH(GL$4,'Curva Forward'!$C$4:$AN$4,0))),EZ90))</f>
        <v>0</v>
      </c>
      <c r="GM90" s="190">
        <f>IF(FA90="",0,CM90*CM$2*IF($FC90="V",1,-1)*IF($Q90="Fixo",(FA90-INDEX('Curva Forward'!$C$5:$AN$13,MATCH(CONCATENATE(BD_COMERCIAL!$K90," ",BD_COMERCIAL!$L90),'Curva Forward'!$B$5:$B$13,0),MATCH(GM$4,'Curva Forward'!$C$4:$AN$4,0))),FA90))</f>
        <v>0</v>
      </c>
      <c r="GN90" s="190">
        <f>IF(FB90="",0,CN90*CN$2*IF($FC90="V",1,-1)*IF($Q90="Fixo",(FB90-INDEX('Curva Forward'!$C$5:$AN$13,MATCH(CONCATENATE(BD_COMERCIAL!$K90," ",BD_COMERCIAL!$L90),'Curva Forward'!$B$5:$B$13,0),MATCH(GN$4,'Curva Forward'!$C$4:$AN$4,0))),FB90))</f>
        <v>0</v>
      </c>
      <c r="GO90" s="191">
        <f t="shared" ca="1" si="18"/>
        <v>432000</v>
      </c>
      <c r="GP90" s="191">
        <f t="shared" ca="1" si="19"/>
        <v>0</v>
      </c>
      <c r="GQ90" s="115"/>
      <c r="GR90" s="115"/>
      <c r="GS90"/>
      <c r="GT90" s="65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</row>
    <row r="91" spans="1:236" s="265" customFormat="1" ht="15" customHeight="1" x14ac:dyDescent="0.35">
      <c r="A91" s="251"/>
      <c r="B91" s="7" t="s">
        <v>450</v>
      </c>
      <c r="C91" s="8">
        <v>44853</v>
      </c>
      <c r="D91" s="9" t="s">
        <v>130</v>
      </c>
      <c r="E91" s="9" t="s">
        <v>190</v>
      </c>
      <c r="F91" s="112" t="s">
        <v>444</v>
      </c>
      <c r="G91" s="10" t="s">
        <v>381</v>
      </c>
      <c r="H91" s="112" t="s">
        <v>348</v>
      </c>
      <c r="I91" s="9" t="s">
        <v>125</v>
      </c>
      <c r="J91" s="158" t="s">
        <v>416</v>
      </c>
      <c r="K91" s="10" t="s">
        <v>126</v>
      </c>
      <c r="L91" s="84" t="s">
        <v>22</v>
      </c>
      <c r="M91" s="11">
        <v>45261</v>
      </c>
      <c r="N91" s="12">
        <v>45291</v>
      </c>
      <c r="O91" s="10">
        <v>15</v>
      </c>
      <c r="P91" s="84">
        <v>109</v>
      </c>
      <c r="Q91" s="84" t="s">
        <v>127</v>
      </c>
      <c r="R91" s="10" t="s">
        <v>128</v>
      </c>
      <c r="S91" s="14" t="s">
        <v>133</v>
      </c>
      <c r="T91" s="11"/>
      <c r="U91" s="12"/>
      <c r="V91" s="202" t="str">
        <f ca="1">IF(U91="","",
IF(U91="NA","",
IFERROR(VLOOKUP(EOMONTH(M91,-2)+1,IPCA!$A:$B,2,0),
VLOOKUP(EOMONTH(TODAY(),-2)+1,IPCA!$A:$B,2,0))/
VLOOKUP(EOMONTH(U91,-2)+1,IPCA!$A:$B,2,0)*
P91))</f>
        <v/>
      </c>
      <c r="W91" s="84"/>
      <c r="X91" s="13" t="s">
        <v>132</v>
      </c>
      <c r="Y91" s="158"/>
      <c r="Z91" s="106"/>
      <c r="AA91" s="107"/>
      <c r="AB91" s="15"/>
      <c r="AC91"/>
      <c r="AD91"/>
      <c r="AE91"/>
      <c r="AF91"/>
      <c r="AG91"/>
      <c r="AH91"/>
      <c r="AI91"/>
      <c r="AJ91"/>
      <c r="AK91"/>
      <c r="AL91"/>
      <c r="AM91" s="6">
        <v>15</v>
      </c>
      <c r="AN91" s="15"/>
      <c r="AO91"/>
      <c r="AP91"/>
      <c r="AQ91"/>
      <c r="AR91"/>
      <c r="AS91"/>
      <c r="AT91"/>
      <c r="AU91"/>
      <c r="AV91"/>
      <c r="AW91"/>
      <c r="AX91"/>
      <c r="AY91" s="6"/>
      <c r="AZ91" s="15"/>
      <c r="BA91"/>
      <c r="BB91"/>
      <c r="BC91"/>
      <c r="BD91"/>
      <c r="BE91"/>
      <c r="BF91"/>
      <c r="BG91"/>
      <c r="BH91"/>
      <c r="BI91"/>
      <c r="BJ91"/>
      <c r="BK91" s="6"/>
      <c r="BL91" s="15"/>
      <c r="BM91"/>
      <c r="BN91"/>
      <c r="BO91"/>
      <c r="BP91"/>
      <c r="BQ91"/>
      <c r="BR91"/>
      <c r="BS91"/>
      <c r="BT91"/>
      <c r="BU91"/>
      <c r="BV91"/>
      <c r="BW91" s="6"/>
      <c r="BX91" s="15"/>
      <c r="BY91"/>
      <c r="BZ91"/>
      <c r="CA91"/>
      <c r="CB91"/>
      <c r="CC91"/>
      <c r="CD91"/>
      <c r="CE91"/>
      <c r="CF91"/>
      <c r="CG91"/>
      <c r="CH91"/>
      <c r="CI91" s="6"/>
      <c r="CJ91" s="16">
        <v>1.273972602739726</v>
      </c>
      <c r="CK91" s="16" t="s">
        <v>578</v>
      </c>
      <c r="CL91" s="16" t="s">
        <v>578</v>
      </c>
      <c r="CM91" s="16" t="s">
        <v>578</v>
      </c>
      <c r="CN91" s="16" t="s">
        <v>578</v>
      </c>
      <c r="CO91" s="18"/>
      <c r="CP91" s="15"/>
      <c r="CQ91"/>
      <c r="CR91"/>
      <c r="CS91"/>
      <c r="CT91"/>
      <c r="CU91"/>
      <c r="CV91"/>
      <c r="CW91"/>
      <c r="CX91"/>
      <c r="CY91"/>
      <c r="CZ91"/>
      <c r="DA91" s="6">
        <v>109</v>
      </c>
      <c r="DB91" s="15"/>
      <c r="DC91"/>
      <c r="DD91"/>
      <c r="DE91"/>
      <c r="DF91"/>
      <c r="DG91"/>
      <c r="DH91"/>
      <c r="DI91"/>
      <c r="DJ91"/>
      <c r="DK91"/>
      <c r="DL91"/>
      <c r="DM91" s="6"/>
      <c r="DN91" s="15"/>
      <c r="DO91"/>
      <c r="DP91"/>
      <c r="DQ91"/>
      <c r="DR91"/>
      <c r="DS91"/>
      <c r="DT91"/>
      <c r="DU91"/>
      <c r="DV91"/>
      <c r="DW91"/>
      <c r="DX91"/>
      <c r="DY91" s="6"/>
      <c r="DZ91" s="15"/>
      <c r="EA91"/>
      <c r="EB91"/>
      <c r="EC91"/>
      <c r="ED91"/>
      <c r="EE91"/>
      <c r="EF91"/>
      <c r="EG91"/>
      <c r="EH91"/>
      <c r="EI91"/>
      <c r="EJ91"/>
      <c r="EK91" s="6"/>
      <c r="EL91" s="15"/>
      <c r="EM91"/>
      <c r="EN91"/>
      <c r="EO91"/>
      <c r="EP91"/>
      <c r="EQ91"/>
      <c r="ER91"/>
      <c r="ES91"/>
      <c r="ET91"/>
      <c r="EU91"/>
      <c r="EV91"/>
      <c r="EW91" s="6"/>
      <c r="EX91" s="16">
        <v>9.257534246575343</v>
      </c>
      <c r="EY91" s="16" t="s">
        <v>578</v>
      </c>
      <c r="EZ91" s="16" t="s">
        <v>578</v>
      </c>
      <c r="FA91" s="154" t="s">
        <v>578</v>
      </c>
      <c r="FB91" s="154" t="s">
        <v>578</v>
      </c>
      <c r="FC91" t="s">
        <v>196</v>
      </c>
      <c r="FD91" s="20" t="s">
        <v>125</v>
      </c>
      <c r="FE91"/>
      <c r="FF91" s="199" t="s">
        <v>197</v>
      </c>
      <c r="FG91"/>
      <c r="FH91" s="206">
        <f t="shared" ca="1" si="13"/>
        <v>0</v>
      </c>
      <c r="FI91" s="198">
        <f t="shared" si="14"/>
        <v>1</v>
      </c>
      <c r="FJ91"/>
      <c r="FK91" t="str">
        <f t="shared" si="15"/>
        <v>America Energia S/A</v>
      </c>
      <c r="FL91" s="191">
        <f t="shared" ca="1" si="16"/>
        <v>0</v>
      </c>
      <c r="FM91" s="191">
        <f t="shared" ca="1" si="17"/>
        <v>-379440</v>
      </c>
      <c r="FN91" s="190">
        <f>AB91*AB$2*IF($FC91="V",1,-1)*IF($Q91="Fixo",(CP91-INDEX('Curva Forward'!$C$5:$AN$13,MATCH(CONCATENATE(BD_COMERCIAL!$K91," ",BD_COMERCIAL!$L91),'Curva Forward'!$B$5:$B$13,0),MATCH(FN$4,'Curva Forward'!$C$4:$AN$4,0))),CP91)</f>
        <v>0</v>
      </c>
      <c r="FO91" s="190">
        <f>AC91*AC$2*IF($FC91="V",1,-1)*IF($Q91="Fixo",(CQ91-INDEX('Curva Forward'!$C$5:$AN$13,MATCH(CONCATENATE(BD_COMERCIAL!$K91," ",BD_COMERCIAL!$L91),'Curva Forward'!$B$5:$B$13,0),MATCH(FO$4,'Curva Forward'!$C$4:$AN$4,0))),CQ91)</f>
        <v>0</v>
      </c>
      <c r="FP91" s="190">
        <f>AD91*AD$2*IF($FC91="V",1,-1)*IF($Q91="Fixo",(CR91-INDEX('Curva Forward'!$C$5:$AN$13,MATCH(CONCATENATE(BD_COMERCIAL!$K91," ",BD_COMERCIAL!$L91),'Curva Forward'!$B$5:$B$13,0),MATCH(FP$4,'Curva Forward'!$C$4:$AN$4,0))),CR91)</f>
        <v>0</v>
      </c>
      <c r="FQ91" s="190">
        <f>AE91*AE$2*IF($FC91="V",1,-1)*IF($Q91="Fixo",(CS91-INDEX('Curva Forward'!$C$5:$AN$13,MATCH(CONCATENATE(BD_COMERCIAL!$K91," ",BD_COMERCIAL!$L91),'Curva Forward'!$B$5:$B$13,0),MATCH(FQ$4,'Curva Forward'!$C$4:$AN$4,0))),CS91)</f>
        <v>0</v>
      </c>
      <c r="FR91" s="190">
        <f>AF91*AF$2*IF($FC91="V",1,-1)*IF($Q91="Fixo",(CT91-INDEX('Curva Forward'!$C$5:$AN$13,MATCH(CONCATENATE(BD_COMERCIAL!$K91," ",BD_COMERCIAL!$L91),'Curva Forward'!$B$5:$B$13,0),MATCH(FR$4,'Curva Forward'!$C$4:$AN$4,0))),CT91)</f>
        <v>0</v>
      </c>
      <c r="FS91" s="190">
        <f>AG91*AG$2*IF($FC91="V",1,-1)*IF($Q91="Fixo",(CU91-INDEX('Curva Forward'!$C$5:$AN$13,MATCH(CONCATENATE(BD_COMERCIAL!$K91," ",BD_COMERCIAL!$L91),'Curva Forward'!$B$5:$B$13,0),MATCH(FS$4,'Curva Forward'!$C$4:$AN$4,0))),CU91)</f>
        <v>0</v>
      </c>
      <c r="FT91" s="190">
        <f>AH91*AH$2*IF($FC91="V",1,-1)*IF($Q91="Fixo",(CV91-INDEX('Curva Forward'!$C$5:$AN$13,MATCH(CONCATENATE(BD_COMERCIAL!$K91," ",BD_COMERCIAL!$L91),'Curva Forward'!$B$5:$B$13,0),MATCH(FT$4,'Curva Forward'!$C$4:$AN$4,0))),CV91)</f>
        <v>0</v>
      </c>
      <c r="FU91" s="190">
        <f>AI91*AI$2*IF($FC91="V",1,-1)*IF($Q91="Fixo",(CW91-INDEX('Curva Forward'!$C$5:$AN$13,MATCH(CONCATENATE(BD_COMERCIAL!$K91," ",BD_COMERCIAL!$L91),'Curva Forward'!$B$5:$B$13,0),MATCH(FU$4,'Curva Forward'!$C$4:$AN$4,0))),CW91)</f>
        <v>0</v>
      </c>
      <c r="FV91" s="190">
        <f>AJ91*AJ$2*IF($FC91="V",1,-1)*IF($Q91="Fixo",(CX91-INDEX('Curva Forward'!$C$5:$AN$13,MATCH(CONCATENATE(BD_COMERCIAL!$K91," ",BD_COMERCIAL!$L91),'Curva Forward'!$B$5:$B$13,0),MATCH(FV$4,'Curva Forward'!$C$4:$AN$4,0))),CX91)</f>
        <v>0</v>
      </c>
      <c r="FW91" s="190">
        <f>AK91*AK$2*IF($FC91="V",1,-1)*IF($Q91="Fixo",(CY91-INDEX('Curva Forward'!$C$5:$AN$13,MATCH(CONCATENATE(BD_COMERCIAL!$K91," ",BD_COMERCIAL!$L91),'Curva Forward'!$B$5:$B$13,0),MATCH(FW$4,'Curva Forward'!$C$4:$AN$4,0))),CY91)</f>
        <v>0</v>
      </c>
      <c r="FX91" s="190">
        <f>AL91*AL$2*IF($FC91="V",1,-1)*IF($Q91="Fixo",(CZ91-INDEX('Curva Forward'!$C$5:$AN$13,MATCH(CONCATENATE(BD_COMERCIAL!$K91," ",BD_COMERCIAL!$L91),'Curva Forward'!$B$5:$B$13,0),MATCH(FX$4,'Curva Forward'!$C$4:$AN$4,0))),CZ91)</f>
        <v>0</v>
      </c>
      <c r="FY91" s="190">
        <f>AM91*AM$2*IF($FC91="V",1,-1)*IF($Q91="Fixo",(DA91-INDEX('Curva Forward'!$C$5:$AN$13,MATCH(CONCATENATE(BD_COMERCIAL!$K91," ",BD_COMERCIAL!$L91),'Curva Forward'!$B$5:$B$13,0),MATCH(FY$4,'Curva Forward'!$C$4:$AN$4,0))),DA91)</f>
        <v>-379440</v>
      </c>
      <c r="FZ91" s="190">
        <f>AN91*AN$2*IF($FC91="V",1,-1)*IF($Q91="Fixo",(DB91-INDEX('Curva Forward'!$C$5:$AN$13,MATCH(CONCATENATE(BD_COMERCIAL!$K91," ",BD_COMERCIAL!$L91),'Curva Forward'!$B$5:$B$13,0),MATCH(FZ$4,'Curva Forward'!$C$4:$AN$4,0))),DB91)</f>
        <v>0</v>
      </c>
      <c r="GA91" s="190">
        <f>AO91*AO$2*IF($FC91="V",1,-1)*IF($Q91="Fixo",(DC91-INDEX('Curva Forward'!$C$5:$AN$13,MATCH(CONCATENATE(BD_COMERCIAL!$K91," ",BD_COMERCIAL!$L91),'Curva Forward'!$B$5:$B$13,0),MATCH(GA$4,'Curva Forward'!$C$4:$AN$4,0))),DC91)</f>
        <v>0</v>
      </c>
      <c r="GB91" s="190">
        <f>AP91*AP$2*IF($FC91="V",1,-1)*IF($Q91="Fixo",(DD91-INDEX('Curva Forward'!$C$5:$AN$13,MATCH(CONCATENATE(BD_COMERCIAL!$K91," ",BD_COMERCIAL!$L91),'Curva Forward'!$B$5:$B$13,0),MATCH(GB$4,'Curva Forward'!$C$4:$AN$4,0))),DD91)</f>
        <v>0</v>
      </c>
      <c r="GC91" s="190">
        <f>AQ91*AQ$2*IF($FC91="V",1,-1)*IF($Q91="Fixo",(DE91-INDEX('Curva Forward'!$C$5:$AN$13,MATCH(CONCATENATE(BD_COMERCIAL!$K91," ",BD_COMERCIAL!$L91),'Curva Forward'!$B$5:$B$13,0),MATCH(GC$4,'Curva Forward'!$C$4:$AN$4,0))),DE91)</f>
        <v>0</v>
      </c>
      <c r="GD91" s="190">
        <f>AR91*AR$2*IF($FC91="V",1,-1)*IF($Q91="Fixo",(DF91-INDEX('Curva Forward'!$C$5:$AN$13,MATCH(CONCATENATE(BD_COMERCIAL!$K91," ",BD_COMERCIAL!$L91),'Curva Forward'!$B$5:$B$13,0),MATCH(GD$4,'Curva Forward'!$C$4:$AN$4,0))),DF91)</f>
        <v>0</v>
      </c>
      <c r="GE91" s="190">
        <f>AS91*AS$2*IF($FC91="V",1,-1)*IF($Q91="Fixo",(DG91-INDEX('Curva Forward'!$C$5:$AN$13,MATCH(CONCATENATE(BD_COMERCIAL!$K91," ",BD_COMERCIAL!$L91),'Curva Forward'!$B$5:$B$13,0),MATCH(GE$4,'Curva Forward'!$C$4:$AN$4,0))),DG91)</f>
        <v>0</v>
      </c>
      <c r="GF91" s="190">
        <f>AT91*AT$2*IF($FC91="V",1,-1)*IF($Q91="Fixo",(DH91-INDEX('Curva Forward'!$C$5:$AN$13,MATCH(CONCATENATE(BD_COMERCIAL!$K91," ",BD_COMERCIAL!$L91),'Curva Forward'!$B$5:$B$13,0),MATCH(GF$4,'Curva Forward'!$C$4:$AN$4,0))),DH91)</f>
        <v>0</v>
      </c>
      <c r="GG91" s="190">
        <f>AU91*AU$2*IF($FC91="V",1,-1)*IF($Q91="Fixo",(DI91-INDEX('Curva Forward'!$C$5:$AN$13,MATCH(CONCATENATE(BD_COMERCIAL!$K91," ",BD_COMERCIAL!$L91),'Curva Forward'!$B$5:$B$13,0),MATCH(GG$4,'Curva Forward'!$C$4:$AN$4,0))),DI91)</f>
        <v>0</v>
      </c>
      <c r="GH91" s="190">
        <f>AV91*AV$2*IF($FC91="V",1,-1)*IF($Q91="Fixo",(DJ91-INDEX('Curva Forward'!$C$5:$AN$13,MATCH(CONCATENATE(BD_COMERCIAL!$K91," ",BD_COMERCIAL!$L91),'Curva Forward'!$B$5:$B$13,0),MATCH(GH$4,'Curva Forward'!$C$4:$AN$4,0))),DJ91)</f>
        <v>0</v>
      </c>
      <c r="GI91" s="190">
        <f>AW91*AW$2*IF($FC91="V",1,-1)*IF($Q91="Fixo",(DK91-INDEX('Curva Forward'!$C$5:$AN$13,MATCH(CONCATENATE(BD_COMERCIAL!$K91," ",BD_COMERCIAL!$L91),'Curva Forward'!$B$5:$B$13,0),MATCH(GI$4,'Curva Forward'!$C$4:$AN$4,0))),DK91)</f>
        <v>0</v>
      </c>
      <c r="GJ91" s="190">
        <f>AX91*AX$2*IF($FC91="V",1,-1)*IF($Q91="Fixo",(DL91-INDEX('Curva Forward'!$C$5:$AN$13,MATCH(CONCATENATE(BD_COMERCIAL!$K91," ",BD_COMERCIAL!$L91),'Curva Forward'!$B$5:$B$13,0),MATCH(GJ$4,'Curva Forward'!$C$4:$AN$4,0))),DL91)</f>
        <v>0</v>
      </c>
      <c r="GK91" s="190">
        <f>AY91*AY$2*IF($FC91="V",1,-1)*IF($Q91="Fixo",(DM91-INDEX('Curva Forward'!$C$5:$AN$13,MATCH(CONCATENATE(BD_COMERCIAL!$K91," ",BD_COMERCIAL!$L91),'Curva Forward'!$B$5:$B$13,0),MATCH(GK$4,'Curva Forward'!$C$4:$AN$4,0))),DM91)</f>
        <v>0</v>
      </c>
      <c r="GL91" s="190">
        <f>IF(EZ91="",0,CL91*CL$2*IF($FC91="V",1,-1)*IF($Q91="Fixo",(EZ91-INDEX('Curva Forward'!$C$5:$AN$13,MATCH(CONCATENATE(BD_COMERCIAL!$K91," ",BD_COMERCIAL!$L91),'Curva Forward'!$B$5:$B$13,0),MATCH(GL$4,'Curva Forward'!$C$4:$AN$4,0))),EZ91))</f>
        <v>0</v>
      </c>
      <c r="GM91" s="190">
        <f>IF(FA91="",0,CM91*CM$2*IF($FC91="V",1,-1)*IF($Q91="Fixo",(FA91-INDEX('Curva Forward'!$C$5:$AN$13,MATCH(CONCATENATE(BD_COMERCIAL!$K91," ",BD_COMERCIAL!$L91),'Curva Forward'!$B$5:$B$13,0),MATCH(GM$4,'Curva Forward'!$C$4:$AN$4,0))),FA91))</f>
        <v>0</v>
      </c>
      <c r="GN91" s="190">
        <f>IF(FB91="",0,CN91*CN$2*IF($FC91="V",1,-1)*IF($Q91="Fixo",(FB91-INDEX('Curva Forward'!$C$5:$AN$13,MATCH(CONCATENATE(BD_COMERCIAL!$K91," ",BD_COMERCIAL!$L91),'Curva Forward'!$B$5:$B$13,0),MATCH(GN$4,'Curva Forward'!$C$4:$AN$4,0))),FB91))</f>
        <v>0</v>
      </c>
      <c r="GO91" s="191">
        <f t="shared" ca="1" si="18"/>
        <v>0</v>
      </c>
      <c r="GP91" s="191">
        <f t="shared" ca="1" si="19"/>
        <v>-379440</v>
      </c>
      <c r="GQ91" s="115"/>
      <c r="GR91" s="115"/>
      <c r="GS91"/>
      <c r="GT91" s="65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</row>
    <row r="92" spans="1:236" s="265" customFormat="1" ht="15" customHeight="1" x14ac:dyDescent="0.35">
      <c r="A92" s="251"/>
      <c r="B92" s="7" t="s">
        <v>451</v>
      </c>
      <c r="C92" s="8">
        <v>44854</v>
      </c>
      <c r="D92" s="9" t="s">
        <v>123</v>
      </c>
      <c r="E92" s="9" t="s">
        <v>381</v>
      </c>
      <c r="F92" s="112" t="s">
        <v>348</v>
      </c>
      <c r="G92" s="10" t="s">
        <v>160</v>
      </c>
      <c r="H92" s="112" t="s">
        <v>452</v>
      </c>
      <c r="I92" s="9" t="s">
        <v>125</v>
      </c>
      <c r="J92" s="158" t="s">
        <v>438</v>
      </c>
      <c r="K92" s="10" t="s">
        <v>126</v>
      </c>
      <c r="L92" s="84" t="s">
        <v>22</v>
      </c>
      <c r="M92" s="11">
        <v>45200</v>
      </c>
      <c r="N92" s="12">
        <v>45230</v>
      </c>
      <c r="O92" s="10">
        <v>12</v>
      </c>
      <c r="P92" s="84">
        <v>120</v>
      </c>
      <c r="Q92" s="84" t="s">
        <v>127</v>
      </c>
      <c r="R92" s="10" t="s">
        <v>128</v>
      </c>
      <c r="S92" s="14" t="s">
        <v>133</v>
      </c>
      <c r="T92" s="11"/>
      <c r="U92" s="12"/>
      <c r="V92" s="202" t="str">
        <f ca="1">IF(U92="","",
IF(U92="NA","",
IFERROR(VLOOKUP(EOMONTH(M92,-2)+1,IPCA!$A:$B,2,0),
VLOOKUP(EOMONTH(TODAY(),-2)+1,IPCA!$A:$B,2,0))/
VLOOKUP(EOMONTH(U92,-2)+1,IPCA!$A:$B,2,0)*
P92))</f>
        <v/>
      </c>
      <c r="W92" s="84"/>
      <c r="X92" s="13" t="s">
        <v>132</v>
      </c>
      <c r="Y92" s="158"/>
      <c r="Z92" s="106"/>
      <c r="AA92" s="107"/>
      <c r="AB92" s="15"/>
      <c r="AC92"/>
      <c r="AD92"/>
      <c r="AE92"/>
      <c r="AF92"/>
      <c r="AG92"/>
      <c r="AH92"/>
      <c r="AI92"/>
      <c r="AJ92"/>
      <c r="AK92">
        <v>12</v>
      </c>
      <c r="AL92"/>
      <c r="AM92" s="6"/>
      <c r="AN92" s="15"/>
      <c r="AO92"/>
      <c r="AP92"/>
      <c r="AQ92"/>
      <c r="AR92"/>
      <c r="AS92"/>
      <c r="AT92"/>
      <c r="AU92"/>
      <c r="AV92"/>
      <c r="AW92"/>
      <c r="AX92"/>
      <c r="AY92" s="6"/>
      <c r="AZ92" s="15"/>
      <c r="BA92"/>
      <c r="BB92"/>
      <c r="BC92"/>
      <c r="BD92"/>
      <c r="BE92"/>
      <c r="BF92"/>
      <c r="BG92"/>
      <c r="BH92"/>
      <c r="BI92"/>
      <c r="BJ92"/>
      <c r="BK92" s="6"/>
      <c r="BL92" s="15"/>
      <c r="BM92"/>
      <c r="BN92"/>
      <c r="BO92"/>
      <c r="BP92"/>
      <c r="BQ92"/>
      <c r="BR92"/>
      <c r="BS92"/>
      <c r="BT92"/>
      <c r="BU92"/>
      <c r="BV92"/>
      <c r="BW92" s="6"/>
      <c r="BX92" s="15"/>
      <c r="BY92"/>
      <c r="BZ92"/>
      <c r="CA92"/>
      <c r="CB92"/>
      <c r="CC92"/>
      <c r="CD92"/>
      <c r="CE92"/>
      <c r="CF92"/>
      <c r="CG92"/>
      <c r="CH92"/>
      <c r="CI92" s="6"/>
      <c r="CJ92" s="16">
        <v>1.0191780821917809</v>
      </c>
      <c r="CK92" s="16" t="s">
        <v>578</v>
      </c>
      <c r="CL92" s="16" t="s">
        <v>578</v>
      </c>
      <c r="CM92" s="16" t="s">
        <v>578</v>
      </c>
      <c r="CN92" s="16" t="s">
        <v>578</v>
      </c>
      <c r="CO92" s="18"/>
      <c r="CP92" s="15"/>
      <c r="CQ92"/>
      <c r="CR92"/>
      <c r="CS92"/>
      <c r="CT92"/>
      <c r="CU92"/>
      <c r="CV92"/>
      <c r="CW92"/>
      <c r="CX92"/>
      <c r="CY92">
        <v>120</v>
      </c>
      <c r="CZ92"/>
      <c r="DA92" s="6"/>
      <c r="DB92" s="15"/>
      <c r="DC92"/>
      <c r="DD92"/>
      <c r="DE92"/>
      <c r="DF92"/>
      <c r="DG92"/>
      <c r="DH92"/>
      <c r="DI92"/>
      <c r="DJ92"/>
      <c r="DK92"/>
      <c r="DL92"/>
      <c r="DM92" s="6"/>
      <c r="DN92" s="15"/>
      <c r="DO92"/>
      <c r="DP92"/>
      <c r="DQ92"/>
      <c r="DR92"/>
      <c r="DS92"/>
      <c r="DT92"/>
      <c r="DU92"/>
      <c r="DV92"/>
      <c r="DW92"/>
      <c r="DX92"/>
      <c r="DY92" s="6"/>
      <c r="DZ92" s="15"/>
      <c r="EA92"/>
      <c r="EB92"/>
      <c r="EC92"/>
      <c r="ED92"/>
      <c r="EE92"/>
      <c r="EF92"/>
      <c r="EG92"/>
      <c r="EH92"/>
      <c r="EI92"/>
      <c r="EJ92"/>
      <c r="EK92" s="6"/>
      <c r="EL92" s="15"/>
      <c r="EM92"/>
      <c r="EN92"/>
      <c r="EO92"/>
      <c r="EP92"/>
      <c r="EQ92"/>
      <c r="ER92"/>
      <c r="ES92"/>
      <c r="ET92"/>
      <c r="EU92"/>
      <c r="EV92"/>
      <c r="EW92" s="6"/>
      <c r="EX92" s="16">
        <v>10.191780821917808</v>
      </c>
      <c r="EY92" s="16" t="s">
        <v>578</v>
      </c>
      <c r="EZ92" s="16" t="s">
        <v>578</v>
      </c>
      <c r="FA92" s="154" t="s">
        <v>578</v>
      </c>
      <c r="FB92" s="154" t="s">
        <v>578</v>
      </c>
      <c r="FC92" t="s">
        <v>195</v>
      </c>
      <c r="FD92" s="20" t="s">
        <v>125</v>
      </c>
      <c r="FE92"/>
      <c r="FF92" s="199" t="s">
        <v>197</v>
      </c>
      <c r="FG92"/>
      <c r="FH92" s="206">
        <f t="shared" ca="1" si="13"/>
        <v>0</v>
      </c>
      <c r="FI92" s="198">
        <f t="shared" si="14"/>
        <v>1</v>
      </c>
      <c r="FJ92"/>
      <c r="FK92" t="str">
        <f t="shared" si="15"/>
        <v>CTG BRASIL TRADING LTDA.</v>
      </c>
      <c r="FL92" s="191">
        <f t="shared" ca="1" si="16"/>
        <v>0</v>
      </c>
      <c r="FM92" s="191">
        <f t="shared" ca="1" si="17"/>
        <v>401760</v>
      </c>
      <c r="FN92" s="190">
        <f>AB92*AB$2*IF($FC92="V",1,-1)*IF($Q92="Fixo",(CP92-INDEX('Curva Forward'!$C$5:$AN$13,MATCH(CONCATENATE(BD_COMERCIAL!$K92," ",BD_COMERCIAL!$L92),'Curva Forward'!$B$5:$B$13,0),MATCH(FN$4,'Curva Forward'!$C$4:$AN$4,0))),CP92)</f>
        <v>0</v>
      </c>
      <c r="FO92" s="190">
        <f>AC92*AC$2*IF($FC92="V",1,-1)*IF($Q92="Fixo",(CQ92-INDEX('Curva Forward'!$C$5:$AN$13,MATCH(CONCATENATE(BD_COMERCIAL!$K92," ",BD_COMERCIAL!$L92),'Curva Forward'!$B$5:$B$13,0),MATCH(FO$4,'Curva Forward'!$C$4:$AN$4,0))),CQ92)</f>
        <v>0</v>
      </c>
      <c r="FP92" s="190">
        <f>AD92*AD$2*IF($FC92="V",1,-1)*IF($Q92="Fixo",(CR92-INDEX('Curva Forward'!$C$5:$AN$13,MATCH(CONCATENATE(BD_COMERCIAL!$K92," ",BD_COMERCIAL!$L92),'Curva Forward'!$B$5:$B$13,0),MATCH(FP$4,'Curva Forward'!$C$4:$AN$4,0))),CR92)</f>
        <v>0</v>
      </c>
      <c r="FQ92" s="190">
        <f>AE92*AE$2*IF($FC92="V",1,-1)*IF($Q92="Fixo",(CS92-INDEX('Curva Forward'!$C$5:$AN$13,MATCH(CONCATENATE(BD_COMERCIAL!$K92," ",BD_COMERCIAL!$L92),'Curva Forward'!$B$5:$B$13,0),MATCH(FQ$4,'Curva Forward'!$C$4:$AN$4,0))),CS92)</f>
        <v>0</v>
      </c>
      <c r="FR92" s="190">
        <f>AF92*AF$2*IF($FC92="V",1,-1)*IF($Q92="Fixo",(CT92-INDEX('Curva Forward'!$C$5:$AN$13,MATCH(CONCATENATE(BD_COMERCIAL!$K92," ",BD_COMERCIAL!$L92),'Curva Forward'!$B$5:$B$13,0),MATCH(FR$4,'Curva Forward'!$C$4:$AN$4,0))),CT92)</f>
        <v>0</v>
      </c>
      <c r="FS92" s="190">
        <f>AG92*AG$2*IF($FC92="V",1,-1)*IF($Q92="Fixo",(CU92-INDEX('Curva Forward'!$C$5:$AN$13,MATCH(CONCATENATE(BD_COMERCIAL!$K92," ",BD_COMERCIAL!$L92),'Curva Forward'!$B$5:$B$13,0),MATCH(FS$4,'Curva Forward'!$C$4:$AN$4,0))),CU92)</f>
        <v>0</v>
      </c>
      <c r="FT92" s="190">
        <f>AH92*AH$2*IF($FC92="V",1,-1)*IF($Q92="Fixo",(CV92-INDEX('Curva Forward'!$C$5:$AN$13,MATCH(CONCATENATE(BD_COMERCIAL!$K92," ",BD_COMERCIAL!$L92),'Curva Forward'!$B$5:$B$13,0),MATCH(FT$4,'Curva Forward'!$C$4:$AN$4,0))),CV92)</f>
        <v>0</v>
      </c>
      <c r="FU92" s="190">
        <f>AI92*AI$2*IF($FC92="V",1,-1)*IF($Q92="Fixo",(CW92-INDEX('Curva Forward'!$C$5:$AN$13,MATCH(CONCATENATE(BD_COMERCIAL!$K92," ",BD_COMERCIAL!$L92),'Curva Forward'!$B$5:$B$13,0),MATCH(FU$4,'Curva Forward'!$C$4:$AN$4,0))),CW92)</f>
        <v>0</v>
      </c>
      <c r="FV92" s="190">
        <f>AJ92*AJ$2*IF($FC92="V",1,-1)*IF($Q92="Fixo",(CX92-INDEX('Curva Forward'!$C$5:$AN$13,MATCH(CONCATENATE(BD_COMERCIAL!$K92," ",BD_COMERCIAL!$L92),'Curva Forward'!$B$5:$B$13,0),MATCH(FV$4,'Curva Forward'!$C$4:$AN$4,0))),CX92)</f>
        <v>0</v>
      </c>
      <c r="FW92" s="190">
        <f>AK92*AK$2*IF($FC92="V",1,-1)*IF($Q92="Fixo",(CY92-INDEX('Curva Forward'!$C$5:$AN$13,MATCH(CONCATENATE(BD_COMERCIAL!$K92," ",BD_COMERCIAL!$L92),'Curva Forward'!$B$5:$B$13,0),MATCH(FW$4,'Curva Forward'!$C$4:$AN$4,0))),CY92)</f>
        <v>401760</v>
      </c>
      <c r="FX92" s="190">
        <f>AL92*AL$2*IF($FC92="V",1,-1)*IF($Q92="Fixo",(CZ92-INDEX('Curva Forward'!$C$5:$AN$13,MATCH(CONCATENATE(BD_COMERCIAL!$K92," ",BD_COMERCIAL!$L92),'Curva Forward'!$B$5:$B$13,0),MATCH(FX$4,'Curva Forward'!$C$4:$AN$4,0))),CZ92)</f>
        <v>0</v>
      </c>
      <c r="FY92" s="190">
        <f>AM92*AM$2*IF($FC92="V",1,-1)*IF($Q92="Fixo",(DA92-INDEX('Curva Forward'!$C$5:$AN$13,MATCH(CONCATENATE(BD_COMERCIAL!$K92," ",BD_COMERCIAL!$L92),'Curva Forward'!$B$5:$B$13,0),MATCH(FY$4,'Curva Forward'!$C$4:$AN$4,0))),DA92)</f>
        <v>0</v>
      </c>
      <c r="FZ92" s="190">
        <f>AN92*AN$2*IF($FC92="V",1,-1)*IF($Q92="Fixo",(DB92-INDEX('Curva Forward'!$C$5:$AN$13,MATCH(CONCATENATE(BD_COMERCIAL!$K92," ",BD_COMERCIAL!$L92),'Curva Forward'!$B$5:$B$13,0),MATCH(FZ$4,'Curva Forward'!$C$4:$AN$4,0))),DB92)</f>
        <v>0</v>
      </c>
      <c r="GA92" s="190">
        <f>AO92*AO$2*IF($FC92="V",1,-1)*IF($Q92="Fixo",(DC92-INDEX('Curva Forward'!$C$5:$AN$13,MATCH(CONCATENATE(BD_COMERCIAL!$K92," ",BD_COMERCIAL!$L92),'Curva Forward'!$B$5:$B$13,0),MATCH(GA$4,'Curva Forward'!$C$4:$AN$4,0))),DC92)</f>
        <v>0</v>
      </c>
      <c r="GB92" s="190">
        <f>AP92*AP$2*IF($FC92="V",1,-1)*IF($Q92="Fixo",(DD92-INDEX('Curva Forward'!$C$5:$AN$13,MATCH(CONCATENATE(BD_COMERCIAL!$K92," ",BD_COMERCIAL!$L92),'Curva Forward'!$B$5:$B$13,0),MATCH(GB$4,'Curva Forward'!$C$4:$AN$4,0))),DD92)</f>
        <v>0</v>
      </c>
      <c r="GC92" s="190">
        <f>AQ92*AQ$2*IF($FC92="V",1,-1)*IF($Q92="Fixo",(DE92-INDEX('Curva Forward'!$C$5:$AN$13,MATCH(CONCATENATE(BD_COMERCIAL!$K92," ",BD_COMERCIAL!$L92),'Curva Forward'!$B$5:$B$13,0),MATCH(GC$4,'Curva Forward'!$C$4:$AN$4,0))),DE92)</f>
        <v>0</v>
      </c>
      <c r="GD92" s="190">
        <f>AR92*AR$2*IF($FC92="V",1,-1)*IF($Q92="Fixo",(DF92-INDEX('Curva Forward'!$C$5:$AN$13,MATCH(CONCATENATE(BD_COMERCIAL!$K92," ",BD_COMERCIAL!$L92),'Curva Forward'!$B$5:$B$13,0),MATCH(GD$4,'Curva Forward'!$C$4:$AN$4,0))),DF92)</f>
        <v>0</v>
      </c>
      <c r="GE92" s="190">
        <f>AS92*AS$2*IF($FC92="V",1,-1)*IF($Q92="Fixo",(DG92-INDEX('Curva Forward'!$C$5:$AN$13,MATCH(CONCATENATE(BD_COMERCIAL!$K92," ",BD_COMERCIAL!$L92),'Curva Forward'!$B$5:$B$13,0),MATCH(GE$4,'Curva Forward'!$C$4:$AN$4,0))),DG92)</f>
        <v>0</v>
      </c>
      <c r="GF92" s="190">
        <f>AT92*AT$2*IF($FC92="V",1,-1)*IF($Q92="Fixo",(DH92-INDEX('Curva Forward'!$C$5:$AN$13,MATCH(CONCATENATE(BD_COMERCIAL!$K92," ",BD_COMERCIAL!$L92),'Curva Forward'!$B$5:$B$13,0),MATCH(GF$4,'Curva Forward'!$C$4:$AN$4,0))),DH92)</f>
        <v>0</v>
      </c>
      <c r="GG92" s="190">
        <f>AU92*AU$2*IF($FC92="V",1,-1)*IF($Q92="Fixo",(DI92-INDEX('Curva Forward'!$C$5:$AN$13,MATCH(CONCATENATE(BD_COMERCIAL!$K92," ",BD_COMERCIAL!$L92),'Curva Forward'!$B$5:$B$13,0),MATCH(GG$4,'Curva Forward'!$C$4:$AN$4,0))),DI92)</f>
        <v>0</v>
      </c>
      <c r="GH92" s="190">
        <f>AV92*AV$2*IF($FC92="V",1,-1)*IF($Q92="Fixo",(DJ92-INDEX('Curva Forward'!$C$5:$AN$13,MATCH(CONCATENATE(BD_COMERCIAL!$K92," ",BD_COMERCIAL!$L92),'Curva Forward'!$B$5:$B$13,0),MATCH(GH$4,'Curva Forward'!$C$4:$AN$4,0))),DJ92)</f>
        <v>0</v>
      </c>
      <c r="GI92" s="190">
        <f>AW92*AW$2*IF($FC92="V",1,-1)*IF($Q92="Fixo",(DK92-INDEX('Curva Forward'!$C$5:$AN$13,MATCH(CONCATENATE(BD_COMERCIAL!$K92," ",BD_COMERCIAL!$L92),'Curva Forward'!$B$5:$B$13,0),MATCH(GI$4,'Curva Forward'!$C$4:$AN$4,0))),DK92)</f>
        <v>0</v>
      </c>
      <c r="GJ92" s="190">
        <f>AX92*AX$2*IF($FC92="V",1,-1)*IF($Q92="Fixo",(DL92-INDEX('Curva Forward'!$C$5:$AN$13,MATCH(CONCATENATE(BD_COMERCIAL!$K92," ",BD_COMERCIAL!$L92),'Curva Forward'!$B$5:$B$13,0),MATCH(GJ$4,'Curva Forward'!$C$4:$AN$4,0))),DL92)</f>
        <v>0</v>
      </c>
      <c r="GK92" s="190">
        <f>AY92*AY$2*IF($FC92="V",1,-1)*IF($Q92="Fixo",(DM92-INDEX('Curva Forward'!$C$5:$AN$13,MATCH(CONCATENATE(BD_COMERCIAL!$K92," ",BD_COMERCIAL!$L92),'Curva Forward'!$B$5:$B$13,0),MATCH(GK$4,'Curva Forward'!$C$4:$AN$4,0))),DM92)</f>
        <v>0</v>
      </c>
      <c r="GL92" s="190">
        <f>IF(EZ92="",0,CL92*CL$2*IF($FC92="V",1,-1)*IF($Q92="Fixo",(EZ92-INDEX('Curva Forward'!$C$5:$AN$13,MATCH(CONCATENATE(BD_COMERCIAL!$K92," ",BD_COMERCIAL!$L92),'Curva Forward'!$B$5:$B$13,0),MATCH(GL$4,'Curva Forward'!$C$4:$AN$4,0))),EZ92))</f>
        <v>0</v>
      </c>
      <c r="GM92" s="190">
        <f>IF(FA92="",0,CM92*CM$2*IF($FC92="V",1,-1)*IF($Q92="Fixo",(FA92-INDEX('Curva Forward'!$C$5:$AN$13,MATCH(CONCATENATE(BD_COMERCIAL!$K92," ",BD_COMERCIAL!$L92),'Curva Forward'!$B$5:$B$13,0),MATCH(GM$4,'Curva Forward'!$C$4:$AN$4,0))),FA92))</f>
        <v>0</v>
      </c>
      <c r="GN92" s="190">
        <f>IF(FB92="",0,CN92*CN$2*IF($FC92="V",1,-1)*IF($Q92="Fixo",(FB92-INDEX('Curva Forward'!$C$5:$AN$13,MATCH(CONCATENATE(BD_COMERCIAL!$K92," ",BD_COMERCIAL!$L92),'Curva Forward'!$B$5:$B$13,0),MATCH(GN$4,'Curva Forward'!$C$4:$AN$4,0))),FB92))</f>
        <v>0</v>
      </c>
      <c r="GO92" s="191">
        <f t="shared" ca="1" si="18"/>
        <v>401760</v>
      </c>
      <c r="GP92" s="191">
        <f t="shared" ca="1" si="19"/>
        <v>0</v>
      </c>
      <c r="GQ92" s="115"/>
      <c r="GR92" s="115"/>
      <c r="GS92"/>
      <c r="GT92" s="65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</row>
    <row r="93" spans="1:236" s="265" customFormat="1" ht="15" customHeight="1" x14ac:dyDescent="0.35">
      <c r="A93" s="251"/>
      <c r="B93" s="7" t="s">
        <v>453</v>
      </c>
      <c r="C93" s="8">
        <v>44854</v>
      </c>
      <c r="D93" s="9" t="s">
        <v>130</v>
      </c>
      <c r="E93" s="9" t="s">
        <v>160</v>
      </c>
      <c r="F93" s="112" t="s">
        <v>452</v>
      </c>
      <c r="G93" s="10" t="s">
        <v>381</v>
      </c>
      <c r="H93" s="112" t="s">
        <v>348</v>
      </c>
      <c r="I93" s="9" t="s">
        <v>125</v>
      </c>
      <c r="J93" s="158" t="s">
        <v>438</v>
      </c>
      <c r="K93" s="10" t="s">
        <v>126</v>
      </c>
      <c r="L93" s="84" t="s">
        <v>22</v>
      </c>
      <c r="M93" s="11">
        <v>45139</v>
      </c>
      <c r="N93" s="12">
        <v>45169</v>
      </c>
      <c r="O93" s="10">
        <v>12</v>
      </c>
      <c r="P93" s="84">
        <v>120</v>
      </c>
      <c r="Q93" s="84" t="s">
        <v>127</v>
      </c>
      <c r="R93" s="10" t="s">
        <v>128</v>
      </c>
      <c r="S93" s="14" t="s">
        <v>133</v>
      </c>
      <c r="T93" s="11"/>
      <c r="U93" s="12"/>
      <c r="V93" s="202" t="str">
        <f ca="1">IF(U93="","",
IF(U93="NA","",
IFERROR(VLOOKUP(EOMONTH(M93,-2)+1,IPCA!$A:$B,2,0),
VLOOKUP(EOMONTH(TODAY(),-2)+1,IPCA!$A:$B,2,0))/
VLOOKUP(EOMONTH(U93,-2)+1,IPCA!$A:$B,2,0)*
P93))</f>
        <v/>
      </c>
      <c r="W93" s="84"/>
      <c r="X93" s="13" t="s">
        <v>132</v>
      </c>
      <c r="Y93" s="158"/>
      <c r="Z93" s="106"/>
      <c r="AA93" s="107"/>
      <c r="AB93" s="15"/>
      <c r="AC93"/>
      <c r="AD93"/>
      <c r="AE93"/>
      <c r="AF93"/>
      <c r="AG93"/>
      <c r="AH93"/>
      <c r="AI93">
        <v>12</v>
      </c>
      <c r="AJ93"/>
      <c r="AK93"/>
      <c r="AL93"/>
      <c r="AM93" s="6"/>
      <c r="AN93" s="15"/>
      <c r="AO93"/>
      <c r="AP93"/>
      <c r="AQ93"/>
      <c r="AR93"/>
      <c r="AS93"/>
      <c r="AT93"/>
      <c r="AU93"/>
      <c r="AV93"/>
      <c r="AW93"/>
      <c r="AX93"/>
      <c r="AY93" s="6"/>
      <c r="AZ93" s="15"/>
      <c r="BA93"/>
      <c r="BB93"/>
      <c r="BC93"/>
      <c r="BD93"/>
      <c r="BE93"/>
      <c r="BF93"/>
      <c r="BG93"/>
      <c r="BH93"/>
      <c r="BI93"/>
      <c r="BJ93"/>
      <c r="BK93" s="6"/>
      <c r="BL93" s="15"/>
      <c r="BM93"/>
      <c r="BN93"/>
      <c r="BO93"/>
      <c r="BP93"/>
      <c r="BQ93"/>
      <c r="BR93"/>
      <c r="BS93"/>
      <c r="BT93"/>
      <c r="BU93"/>
      <c r="BV93"/>
      <c r="BW93" s="6"/>
      <c r="BX93" s="15"/>
      <c r="BY93"/>
      <c r="BZ93"/>
      <c r="CA93"/>
      <c r="CB93"/>
      <c r="CC93"/>
      <c r="CD93"/>
      <c r="CE93"/>
      <c r="CF93"/>
      <c r="CG93"/>
      <c r="CH93"/>
      <c r="CI93" s="6"/>
      <c r="CJ93" s="16">
        <v>1.0191780821917809</v>
      </c>
      <c r="CK93" s="16" t="s">
        <v>578</v>
      </c>
      <c r="CL93" s="16" t="s">
        <v>578</v>
      </c>
      <c r="CM93" s="16" t="s">
        <v>578</v>
      </c>
      <c r="CN93" s="16" t="s">
        <v>578</v>
      </c>
      <c r="CO93" s="18"/>
      <c r="CP93" s="15"/>
      <c r="CQ93"/>
      <c r="CR93"/>
      <c r="CS93"/>
      <c r="CT93"/>
      <c r="CU93"/>
      <c r="CV93"/>
      <c r="CW93">
        <v>120</v>
      </c>
      <c r="CX93"/>
      <c r="CY93"/>
      <c r="CZ93"/>
      <c r="DA93" s="6"/>
      <c r="DB93" s="15"/>
      <c r="DC93"/>
      <c r="DD93"/>
      <c r="DE93"/>
      <c r="DF93"/>
      <c r="DG93"/>
      <c r="DH93"/>
      <c r="DI93"/>
      <c r="DJ93"/>
      <c r="DK93"/>
      <c r="DL93"/>
      <c r="DM93" s="6"/>
      <c r="DN93" s="15"/>
      <c r="DO93"/>
      <c r="DP93"/>
      <c r="DQ93"/>
      <c r="DR93"/>
      <c r="DS93"/>
      <c r="DT93"/>
      <c r="DU93"/>
      <c r="DV93"/>
      <c r="DW93"/>
      <c r="DX93"/>
      <c r="DY93" s="6"/>
      <c r="DZ93" s="15"/>
      <c r="EA93"/>
      <c r="EB93"/>
      <c r="EC93"/>
      <c r="ED93"/>
      <c r="EE93"/>
      <c r="EF93"/>
      <c r="EG93"/>
      <c r="EH93"/>
      <c r="EI93"/>
      <c r="EJ93"/>
      <c r="EK93" s="6"/>
      <c r="EL93" s="15"/>
      <c r="EM93"/>
      <c r="EN93"/>
      <c r="EO93"/>
      <c r="EP93"/>
      <c r="EQ93"/>
      <c r="ER93"/>
      <c r="ES93"/>
      <c r="ET93"/>
      <c r="EU93"/>
      <c r="EV93"/>
      <c r="EW93" s="6"/>
      <c r="EX93" s="16">
        <v>10.191780821917808</v>
      </c>
      <c r="EY93" s="16" t="s">
        <v>578</v>
      </c>
      <c r="EZ93" s="16" t="s">
        <v>578</v>
      </c>
      <c r="FA93" s="154" t="s">
        <v>578</v>
      </c>
      <c r="FB93" s="154" t="s">
        <v>578</v>
      </c>
      <c r="FC93" t="s">
        <v>196</v>
      </c>
      <c r="FD93" s="20" t="s">
        <v>125</v>
      </c>
      <c r="FE93"/>
      <c r="FF93" s="199" t="s">
        <v>197</v>
      </c>
      <c r="FG93"/>
      <c r="FH93" s="206">
        <f t="shared" ca="1" si="13"/>
        <v>0</v>
      </c>
      <c r="FI93" s="198">
        <f t="shared" si="14"/>
        <v>1</v>
      </c>
      <c r="FJ93"/>
      <c r="FK93" t="str">
        <f t="shared" si="15"/>
        <v>CTG BRASIL TRADING LTDA.</v>
      </c>
      <c r="FL93" s="191">
        <f t="shared" ca="1" si="16"/>
        <v>0</v>
      </c>
      <c r="FM93" s="191">
        <f t="shared" ca="1" si="17"/>
        <v>-419616</v>
      </c>
      <c r="FN93" s="190">
        <f>AB93*AB$2*IF($FC93="V",1,-1)*IF($Q93="Fixo",(CP93-INDEX('Curva Forward'!$C$5:$AN$13,MATCH(CONCATENATE(BD_COMERCIAL!$K93," ",BD_COMERCIAL!$L93),'Curva Forward'!$B$5:$B$13,0),MATCH(FN$4,'Curva Forward'!$C$4:$AN$4,0))),CP93)</f>
        <v>0</v>
      </c>
      <c r="FO93" s="190">
        <f>AC93*AC$2*IF($FC93="V",1,-1)*IF($Q93="Fixo",(CQ93-INDEX('Curva Forward'!$C$5:$AN$13,MATCH(CONCATENATE(BD_COMERCIAL!$K93," ",BD_COMERCIAL!$L93),'Curva Forward'!$B$5:$B$13,0),MATCH(FO$4,'Curva Forward'!$C$4:$AN$4,0))),CQ93)</f>
        <v>0</v>
      </c>
      <c r="FP93" s="190">
        <f>AD93*AD$2*IF($FC93="V",1,-1)*IF($Q93="Fixo",(CR93-INDEX('Curva Forward'!$C$5:$AN$13,MATCH(CONCATENATE(BD_COMERCIAL!$K93," ",BD_COMERCIAL!$L93),'Curva Forward'!$B$5:$B$13,0),MATCH(FP$4,'Curva Forward'!$C$4:$AN$4,0))),CR93)</f>
        <v>0</v>
      </c>
      <c r="FQ93" s="190">
        <f>AE93*AE$2*IF($FC93="V",1,-1)*IF($Q93="Fixo",(CS93-INDEX('Curva Forward'!$C$5:$AN$13,MATCH(CONCATENATE(BD_COMERCIAL!$K93," ",BD_COMERCIAL!$L93),'Curva Forward'!$B$5:$B$13,0),MATCH(FQ$4,'Curva Forward'!$C$4:$AN$4,0))),CS93)</f>
        <v>0</v>
      </c>
      <c r="FR93" s="190">
        <f>AF93*AF$2*IF($FC93="V",1,-1)*IF($Q93="Fixo",(CT93-INDEX('Curva Forward'!$C$5:$AN$13,MATCH(CONCATENATE(BD_COMERCIAL!$K93," ",BD_COMERCIAL!$L93),'Curva Forward'!$B$5:$B$13,0),MATCH(FR$4,'Curva Forward'!$C$4:$AN$4,0))),CT93)</f>
        <v>0</v>
      </c>
      <c r="FS93" s="190">
        <f>AG93*AG$2*IF($FC93="V",1,-1)*IF($Q93="Fixo",(CU93-INDEX('Curva Forward'!$C$5:$AN$13,MATCH(CONCATENATE(BD_COMERCIAL!$K93," ",BD_COMERCIAL!$L93),'Curva Forward'!$B$5:$B$13,0),MATCH(FS$4,'Curva Forward'!$C$4:$AN$4,0))),CU93)</f>
        <v>0</v>
      </c>
      <c r="FT93" s="190">
        <f>AH93*AH$2*IF($FC93="V",1,-1)*IF($Q93="Fixo",(CV93-INDEX('Curva Forward'!$C$5:$AN$13,MATCH(CONCATENATE(BD_COMERCIAL!$K93," ",BD_COMERCIAL!$L93),'Curva Forward'!$B$5:$B$13,0),MATCH(FT$4,'Curva Forward'!$C$4:$AN$4,0))),CV93)</f>
        <v>0</v>
      </c>
      <c r="FU93" s="190">
        <f>AI93*AI$2*IF($FC93="V",1,-1)*IF($Q93="Fixo",(CW93-INDEX('Curva Forward'!$C$5:$AN$13,MATCH(CONCATENATE(BD_COMERCIAL!$K93," ",BD_COMERCIAL!$L93),'Curva Forward'!$B$5:$B$13,0),MATCH(FU$4,'Curva Forward'!$C$4:$AN$4,0))),CW93)</f>
        <v>-419616</v>
      </c>
      <c r="FV93" s="190">
        <f>AJ93*AJ$2*IF($FC93="V",1,-1)*IF($Q93="Fixo",(CX93-INDEX('Curva Forward'!$C$5:$AN$13,MATCH(CONCATENATE(BD_COMERCIAL!$K93," ",BD_COMERCIAL!$L93),'Curva Forward'!$B$5:$B$13,0),MATCH(FV$4,'Curva Forward'!$C$4:$AN$4,0))),CX93)</f>
        <v>0</v>
      </c>
      <c r="FW93" s="190">
        <f>AK93*AK$2*IF($FC93="V",1,-1)*IF($Q93="Fixo",(CY93-INDEX('Curva Forward'!$C$5:$AN$13,MATCH(CONCATENATE(BD_COMERCIAL!$K93," ",BD_COMERCIAL!$L93),'Curva Forward'!$B$5:$B$13,0),MATCH(FW$4,'Curva Forward'!$C$4:$AN$4,0))),CY93)</f>
        <v>0</v>
      </c>
      <c r="FX93" s="190">
        <f>AL93*AL$2*IF($FC93="V",1,-1)*IF($Q93="Fixo",(CZ93-INDEX('Curva Forward'!$C$5:$AN$13,MATCH(CONCATENATE(BD_COMERCIAL!$K93," ",BD_COMERCIAL!$L93),'Curva Forward'!$B$5:$B$13,0),MATCH(FX$4,'Curva Forward'!$C$4:$AN$4,0))),CZ93)</f>
        <v>0</v>
      </c>
      <c r="FY93" s="190">
        <f>AM93*AM$2*IF($FC93="V",1,-1)*IF($Q93="Fixo",(DA93-INDEX('Curva Forward'!$C$5:$AN$13,MATCH(CONCATENATE(BD_COMERCIAL!$K93," ",BD_COMERCIAL!$L93),'Curva Forward'!$B$5:$B$13,0),MATCH(FY$4,'Curva Forward'!$C$4:$AN$4,0))),DA93)</f>
        <v>0</v>
      </c>
      <c r="FZ93" s="190">
        <f>AN93*AN$2*IF($FC93="V",1,-1)*IF($Q93="Fixo",(DB93-INDEX('Curva Forward'!$C$5:$AN$13,MATCH(CONCATENATE(BD_COMERCIAL!$K93," ",BD_COMERCIAL!$L93),'Curva Forward'!$B$5:$B$13,0),MATCH(FZ$4,'Curva Forward'!$C$4:$AN$4,0))),DB93)</f>
        <v>0</v>
      </c>
      <c r="GA93" s="190">
        <f>AO93*AO$2*IF($FC93="V",1,-1)*IF($Q93="Fixo",(DC93-INDEX('Curva Forward'!$C$5:$AN$13,MATCH(CONCATENATE(BD_COMERCIAL!$K93," ",BD_COMERCIAL!$L93),'Curva Forward'!$B$5:$B$13,0),MATCH(GA$4,'Curva Forward'!$C$4:$AN$4,0))),DC93)</f>
        <v>0</v>
      </c>
      <c r="GB93" s="190">
        <f>AP93*AP$2*IF($FC93="V",1,-1)*IF($Q93="Fixo",(DD93-INDEX('Curva Forward'!$C$5:$AN$13,MATCH(CONCATENATE(BD_COMERCIAL!$K93," ",BD_COMERCIAL!$L93),'Curva Forward'!$B$5:$B$13,0),MATCH(GB$4,'Curva Forward'!$C$4:$AN$4,0))),DD93)</f>
        <v>0</v>
      </c>
      <c r="GC93" s="190">
        <f>AQ93*AQ$2*IF($FC93="V",1,-1)*IF($Q93="Fixo",(DE93-INDEX('Curva Forward'!$C$5:$AN$13,MATCH(CONCATENATE(BD_COMERCIAL!$K93," ",BD_COMERCIAL!$L93),'Curva Forward'!$B$5:$B$13,0),MATCH(GC$4,'Curva Forward'!$C$4:$AN$4,0))),DE93)</f>
        <v>0</v>
      </c>
      <c r="GD93" s="190">
        <f>AR93*AR$2*IF($FC93="V",1,-1)*IF($Q93="Fixo",(DF93-INDEX('Curva Forward'!$C$5:$AN$13,MATCH(CONCATENATE(BD_COMERCIAL!$K93," ",BD_COMERCIAL!$L93),'Curva Forward'!$B$5:$B$13,0),MATCH(GD$4,'Curva Forward'!$C$4:$AN$4,0))),DF93)</f>
        <v>0</v>
      </c>
      <c r="GE93" s="190">
        <f>AS93*AS$2*IF($FC93="V",1,-1)*IF($Q93="Fixo",(DG93-INDEX('Curva Forward'!$C$5:$AN$13,MATCH(CONCATENATE(BD_COMERCIAL!$K93," ",BD_COMERCIAL!$L93),'Curva Forward'!$B$5:$B$13,0),MATCH(GE$4,'Curva Forward'!$C$4:$AN$4,0))),DG93)</f>
        <v>0</v>
      </c>
      <c r="GF93" s="190">
        <f>AT93*AT$2*IF($FC93="V",1,-1)*IF($Q93="Fixo",(DH93-INDEX('Curva Forward'!$C$5:$AN$13,MATCH(CONCATENATE(BD_COMERCIAL!$K93," ",BD_COMERCIAL!$L93),'Curva Forward'!$B$5:$B$13,0),MATCH(GF$4,'Curva Forward'!$C$4:$AN$4,0))),DH93)</f>
        <v>0</v>
      </c>
      <c r="GG93" s="190">
        <f>AU93*AU$2*IF($FC93="V",1,-1)*IF($Q93="Fixo",(DI93-INDEX('Curva Forward'!$C$5:$AN$13,MATCH(CONCATENATE(BD_COMERCIAL!$K93," ",BD_COMERCIAL!$L93),'Curva Forward'!$B$5:$B$13,0),MATCH(GG$4,'Curva Forward'!$C$4:$AN$4,0))),DI93)</f>
        <v>0</v>
      </c>
      <c r="GH93" s="190">
        <f>AV93*AV$2*IF($FC93="V",1,-1)*IF($Q93="Fixo",(DJ93-INDEX('Curva Forward'!$C$5:$AN$13,MATCH(CONCATENATE(BD_COMERCIAL!$K93," ",BD_COMERCIAL!$L93),'Curva Forward'!$B$5:$B$13,0),MATCH(GH$4,'Curva Forward'!$C$4:$AN$4,0))),DJ93)</f>
        <v>0</v>
      </c>
      <c r="GI93" s="190">
        <f>AW93*AW$2*IF($FC93="V",1,-1)*IF($Q93="Fixo",(DK93-INDEX('Curva Forward'!$C$5:$AN$13,MATCH(CONCATENATE(BD_COMERCIAL!$K93," ",BD_COMERCIAL!$L93),'Curva Forward'!$B$5:$B$13,0),MATCH(GI$4,'Curva Forward'!$C$4:$AN$4,0))),DK93)</f>
        <v>0</v>
      </c>
      <c r="GJ93" s="190">
        <f>AX93*AX$2*IF($FC93="V",1,-1)*IF($Q93="Fixo",(DL93-INDEX('Curva Forward'!$C$5:$AN$13,MATCH(CONCATENATE(BD_COMERCIAL!$K93," ",BD_COMERCIAL!$L93),'Curva Forward'!$B$5:$B$13,0),MATCH(GJ$4,'Curva Forward'!$C$4:$AN$4,0))),DL93)</f>
        <v>0</v>
      </c>
      <c r="GK93" s="190">
        <f>AY93*AY$2*IF($FC93="V",1,-1)*IF($Q93="Fixo",(DM93-INDEX('Curva Forward'!$C$5:$AN$13,MATCH(CONCATENATE(BD_COMERCIAL!$K93," ",BD_COMERCIAL!$L93),'Curva Forward'!$B$5:$B$13,0),MATCH(GK$4,'Curva Forward'!$C$4:$AN$4,0))),DM93)</f>
        <v>0</v>
      </c>
      <c r="GL93" s="190">
        <f>IF(EZ93="",0,CL93*CL$2*IF($FC93="V",1,-1)*IF($Q93="Fixo",(EZ93-INDEX('Curva Forward'!$C$5:$AN$13,MATCH(CONCATENATE(BD_COMERCIAL!$K93," ",BD_COMERCIAL!$L93),'Curva Forward'!$B$5:$B$13,0),MATCH(GL$4,'Curva Forward'!$C$4:$AN$4,0))),EZ93))</f>
        <v>0</v>
      </c>
      <c r="GM93" s="190">
        <f>IF(FA93="",0,CM93*CM$2*IF($FC93="V",1,-1)*IF($Q93="Fixo",(FA93-INDEX('Curva Forward'!$C$5:$AN$13,MATCH(CONCATENATE(BD_COMERCIAL!$K93," ",BD_COMERCIAL!$L93),'Curva Forward'!$B$5:$B$13,0),MATCH(GM$4,'Curva Forward'!$C$4:$AN$4,0))),FA93))</f>
        <v>0</v>
      </c>
      <c r="GN93" s="190">
        <f>IF(FB93="",0,CN93*CN$2*IF($FC93="V",1,-1)*IF($Q93="Fixo",(FB93-INDEX('Curva Forward'!$C$5:$AN$13,MATCH(CONCATENATE(BD_COMERCIAL!$K93," ",BD_COMERCIAL!$L93),'Curva Forward'!$B$5:$B$13,0),MATCH(GN$4,'Curva Forward'!$C$4:$AN$4,0))),FB93))</f>
        <v>0</v>
      </c>
      <c r="GO93" s="191">
        <f t="shared" ca="1" si="18"/>
        <v>0</v>
      </c>
      <c r="GP93" s="191">
        <f t="shared" ca="1" si="19"/>
        <v>-419616</v>
      </c>
      <c r="GQ93" s="115"/>
      <c r="GR93" s="115"/>
      <c r="GS93"/>
      <c r="GT93" s="65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</row>
    <row r="94" spans="1:236" s="265" customFormat="1" ht="15" customHeight="1" x14ac:dyDescent="0.35">
      <c r="A94" s="251"/>
      <c r="B94" s="7" t="s">
        <v>454</v>
      </c>
      <c r="C94" s="8">
        <v>44855</v>
      </c>
      <c r="D94" s="9" t="s">
        <v>123</v>
      </c>
      <c r="E94" s="9" t="s">
        <v>381</v>
      </c>
      <c r="F94" s="112" t="s">
        <v>348</v>
      </c>
      <c r="G94" s="10" t="s">
        <v>364</v>
      </c>
      <c r="H94" s="112" t="s">
        <v>365</v>
      </c>
      <c r="I94" s="9" t="s">
        <v>137</v>
      </c>
      <c r="J94" s="158"/>
      <c r="K94" s="10" t="s">
        <v>126</v>
      </c>
      <c r="L94" s="84" t="s">
        <v>22</v>
      </c>
      <c r="M94" s="11">
        <v>44927</v>
      </c>
      <c r="N94" s="12">
        <v>44957</v>
      </c>
      <c r="O94" s="10">
        <v>3</v>
      </c>
      <c r="P94" s="84">
        <v>66</v>
      </c>
      <c r="Q94" s="84" t="s">
        <v>127</v>
      </c>
      <c r="R94" s="10" t="s">
        <v>128</v>
      </c>
      <c r="S94" s="14" t="s">
        <v>133</v>
      </c>
      <c r="T94" s="11"/>
      <c r="U94" s="12"/>
      <c r="V94" s="202" t="str">
        <f ca="1">IF(U94="","",
IF(U94="NA","",
IFERROR(VLOOKUP(EOMONTH(M94,-2)+1,IPCA!$A:$B,2,0),
VLOOKUP(EOMONTH(TODAY(),-2)+1,IPCA!$A:$B,2,0))/
VLOOKUP(EOMONTH(U94,-2)+1,IPCA!$A:$B,2,0)*
P94))</f>
        <v/>
      </c>
      <c r="W94" s="84"/>
      <c r="X94" s="13" t="s">
        <v>132</v>
      </c>
      <c r="Y94" s="158"/>
      <c r="Z94" s="106"/>
      <c r="AA94" s="107"/>
      <c r="AB94" s="15">
        <v>3</v>
      </c>
      <c r="AC94"/>
      <c r="AD94"/>
      <c r="AE94"/>
      <c r="AF94"/>
      <c r="AG94"/>
      <c r="AH94"/>
      <c r="AI94"/>
      <c r="AJ94"/>
      <c r="AK94"/>
      <c r="AL94"/>
      <c r="AM94" s="6"/>
      <c r="AN94" s="15"/>
      <c r="AO94"/>
      <c r="AP94"/>
      <c r="AQ94"/>
      <c r="AR94"/>
      <c r="AS94"/>
      <c r="AT94"/>
      <c r="AU94"/>
      <c r="AV94"/>
      <c r="AW94"/>
      <c r="AX94"/>
      <c r="AY94" s="6"/>
      <c r="AZ94" s="15"/>
      <c r="BA94"/>
      <c r="BB94"/>
      <c r="BC94"/>
      <c r="BD94"/>
      <c r="BE94"/>
      <c r="BF94"/>
      <c r="BG94"/>
      <c r="BH94"/>
      <c r="BI94"/>
      <c r="BJ94"/>
      <c r="BK94" s="6"/>
      <c r="BL94" s="15"/>
      <c r="BM94"/>
      <c r="BN94"/>
      <c r="BO94"/>
      <c r="BP94"/>
      <c r="BQ94"/>
      <c r="BR94"/>
      <c r="BS94"/>
      <c r="BT94"/>
      <c r="BU94"/>
      <c r="BV94"/>
      <c r="BW94" s="6"/>
      <c r="BX94" s="15"/>
      <c r="BY94"/>
      <c r="BZ94"/>
      <c r="CA94"/>
      <c r="CB94"/>
      <c r="CC94"/>
      <c r="CD94"/>
      <c r="CE94"/>
      <c r="CF94"/>
      <c r="CG94"/>
      <c r="CH94"/>
      <c r="CI94" s="6"/>
      <c r="CJ94" s="16">
        <v>0.25479452054794521</v>
      </c>
      <c r="CK94" s="16" t="s">
        <v>578</v>
      </c>
      <c r="CL94" s="16" t="s">
        <v>578</v>
      </c>
      <c r="CM94" s="16" t="s">
        <v>578</v>
      </c>
      <c r="CN94" s="16" t="s">
        <v>578</v>
      </c>
      <c r="CO94" s="18"/>
      <c r="CP94" s="15">
        <v>66</v>
      </c>
      <c r="CQ94"/>
      <c r="CR94"/>
      <c r="CS94"/>
      <c r="CT94"/>
      <c r="CU94"/>
      <c r="CV94"/>
      <c r="CW94"/>
      <c r="CX94"/>
      <c r="CY94"/>
      <c r="CZ94"/>
      <c r="DA94" s="6"/>
      <c r="DB94" s="15"/>
      <c r="DC94"/>
      <c r="DD94"/>
      <c r="DE94"/>
      <c r="DF94"/>
      <c r="DG94"/>
      <c r="DH94"/>
      <c r="DI94"/>
      <c r="DJ94"/>
      <c r="DK94"/>
      <c r="DL94"/>
      <c r="DM94" s="6"/>
      <c r="DN94" s="15"/>
      <c r="DO94"/>
      <c r="DP94"/>
      <c r="DQ94"/>
      <c r="DR94"/>
      <c r="DS94"/>
      <c r="DT94"/>
      <c r="DU94"/>
      <c r="DV94"/>
      <c r="DW94"/>
      <c r="DX94"/>
      <c r="DY94" s="6"/>
      <c r="DZ94" s="15"/>
      <c r="EA94"/>
      <c r="EB94"/>
      <c r="EC94"/>
      <c r="ED94"/>
      <c r="EE94"/>
      <c r="EF94"/>
      <c r="EG94"/>
      <c r="EH94"/>
      <c r="EI94"/>
      <c r="EJ94"/>
      <c r="EK94" s="6"/>
      <c r="EL94" s="15"/>
      <c r="EM94"/>
      <c r="EN94"/>
      <c r="EO94"/>
      <c r="EP94"/>
      <c r="EQ94"/>
      <c r="ER94"/>
      <c r="ES94"/>
      <c r="ET94"/>
      <c r="EU94"/>
      <c r="EV94"/>
      <c r="EW94" s="6"/>
      <c r="EX94" s="16">
        <v>5.6054794520547944</v>
      </c>
      <c r="EY94" s="16" t="s">
        <v>578</v>
      </c>
      <c r="EZ94" s="16" t="s">
        <v>578</v>
      </c>
      <c r="FA94" s="154" t="s">
        <v>578</v>
      </c>
      <c r="FB94" s="154" t="s">
        <v>578</v>
      </c>
      <c r="FC94" t="s">
        <v>195</v>
      </c>
      <c r="FD94" s="20" t="s">
        <v>137</v>
      </c>
      <c r="FE94"/>
      <c r="FF94" s="199" t="s">
        <v>197</v>
      </c>
      <c r="FG94"/>
      <c r="FH94" s="206">
        <f t="shared" ca="1" si="13"/>
        <v>0</v>
      </c>
      <c r="FI94" s="198">
        <f t="shared" si="14"/>
        <v>1</v>
      </c>
      <c r="FJ94"/>
      <c r="FK94" t="str">
        <f t="shared" si="15"/>
        <v>EVO ENERGIA LTDA</v>
      </c>
      <c r="FL94" s="191">
        <f t="shared" ca="1" si="16"/>
        <v>-6696</v>
      </c>
      <c r="FM94" s="191">
        <f t="shared" ca="1" si="17"/>
        <v>0</v>
      </c>
      <c r="FN94" s="190">
        <f>AB94*AB$2*IF($FC94="V",1,-1)*IF($Q94="Fixo",(CP94-INDEX('Curva Forward'!$C$5:$AN$13,MATCH(CONCATENATE(BD_COMERCIAL!$K94," ",BD_COMERCIAL!$L94),'Curva Forward'!$B$5:$B$13,0),MATCH(FN$4,'Curva Forward'!$C$4:$AN$4,0))),CP94)</f>
        <v>-6696</v>
      </c>
      <c r="FO94" s="190">
        <f>AC94*AC$2*IF($FC94="V",1,-1)*IF($Q94="Fixo",(CQ94-INDEX('Curva Forward'!$C$5:$AN$13,MATCH(CONCATENATE(BD_COMERCIAL!$K94," ",BD_COMERCIAL!$L94),'Curva Forward'!$B$5:$B$13,0),MATCH(FO$4,'Curva Forward'!$C$4:$AN$4,0))),CQ94)</f>
        <v>0</v>
      </c>
      <c r="FP94" s="190">
        <f>AD94*AD$2*IF($FC94="V",1,-1)*IF($Q94="Fixo",(CR94-INDEX('Curva Forward'!$C$5:$AN$13,MATCH(CONCATENATE(BD_COMERCIAL!$K94," ",BD_COMERCIAL!$L94),'Curva Forward'!$B$5:$B$13,0),MATCH(FP$4,'Curva Forward'!$C$4:$AN$4,0))),CR94)</f>
        <v>0</v>
      </c>
      <c r="FQ94" s="190">
        <f>AE94*AE$2*IF($FC94="V",1,-1)*IF($Q94="Fixo",(CS94-INDEX('Curva Forward'!$C$5:$AN$13,MATCH(CONCATENATE(BD_COMERCIAL!$K94," ",BD_COMERCIAL!$L94),'Curva Forward'!$B$5:$B$13,0),MATCH(FQ$4,'Curva Forward'!$C$4:$AN$4,0))),CS94)</f>
        <v>0</v>
      </c>
      <c r="FR94" s="190">
        <f>AF94*AF$2*IF($FC94="V",1,-1)*IF($Q94="Fixo",(CT94-INDEX('Curva Forward'!$C$5:$AN$13,MATCH(CONCATENATE(BD_COMERCIAL!$K94," ",BD_COMERCIAL!$L94),'Curva Forward'!$B$5:$B$13,0),MATCH(FR$4,'Curva Forward'!$C$4:$AN$4,0))),CT94)</f>
        <v>0</v>
      </c>
      <c r="FS94" s="190">
        <f>AG94*AG$2*IF($FC94="V",1,-1)*IF($Q94="Fixo",(CU94-INDEX('Curva Forward'!$C$5:$AN$13,MATCH(CONCATENATE(BD_COMERCIAL!$K94," ",BD_COMERCIAL!$L94),'Curva Forward'!$B$5:$B$13,0),MATCH(FS$4,'Curva Forward'!$C$4:$AN$4,0))),CU94)</f>
        <v>0</v>
      </c>
      <c r="FT94" s="190">
        <f>AH94*AH$2*IF($FC94="V",1,-1)*IF($Q94="Fixo",(CV94-INDEX('Curva Forward'!$C$5:$AN$13,MATCH(CONCATENATE(BD_COMERCIAL!$K94," ",BD_COMERCIAL!$L94),'Curva Forward'!$B$5:$B$13,0),MATCH(FT$4,'Curva Forward'!$C$4:$AN$4,0))),CV94)</f>
        <v>0</v>
      </c>
      <c r="FU94" s="190">
        <f>AI94*AI$2*IF($FC94="V",1,-1)*IF($Q94="Fixo",(CW94-INDEX('Curva Forward'!$C$5:$AN$13,MATCH(CONCATENATE(BD_COMERCIAL!$K94," ",BD_COMERCIAL!$L94),'Curva Forward'!$B$5:$B$13,0),MATCH(FU$4,'Curva Forward'!$C$4:$AN$4,0))),CW94)</f>
        <v>0</v>
      </c>
      <c r="FV94" s="190">
        <f>AJ94*AJ$2*IF($FC94="V",1,-1)*IF($Q94="Fixo",(CX94-INDEX('Curva Forward'!$C$5:$AN$13,MATCH(CONCATENATE(BD_COMERCIAL!$K94," ",BD_COMERCIAL!$L94),'Curva Forward'!$B$5:$B$13,0),MATCH(FV$4,'Curva Forward'!$C$4:$AN$4,0))),CX94)</f>
        <v>0</v>
      </c>
      <c r="FW94" s="190">
        <f>AK94*AK$2*IF($FC94="V",1,-1)*IF($Q94="Fixo",(CY94-INDEX('Curva Forward'!$C$5:$AN$13,MATCH(CONCATENATE(BD_COMERCIAL!$K94," ",BD_COMERCIAL!$L94),'Curva Forward'!$B$5:$B$13,0),MATCH(FW$4,'Curva Forward'!$C$4:$AN$4,0))),CY94)</f>
        <v>0</v>
      </c>
      <c r="FX94" s="190">
        <f>AL94*AL$2*IF($FC94="V",1,-1)*IF($Q94="Fixo",(CZ94-INDEX('Curva Forward'!$C$5:$AN$13,MATCH(CONCATENATE(BD_COMERCIAL!$K94," ",BD_COMERCIAL!$L94),'Curva Forward'!$B$5:$B$13,0),MATCH(FX$4,'Curva Forward'!$C$4:$AN$4,0))),CZ94)</f>
        <v>0</v>
      </c>
      <c r="FY94" s="190">
        <f>AM94*AM$2*IF($FC94="V",1,-1)*IF($Q94="Fixo",(DA94-INDEX('Curva Forward'!$C$5:$AN$13,MATCH(CONCATENATE(BD_COMERCIAL!$K94," ",BD_COMERCIAL!$L94),'Curva Forward'!$B$5:$B$13,0),MATCH(FY$4,'Curva Forward'!$C$4:$AN$4,0))),DA94)</f>
        <v>0</v>
      </c>
      <c r="FZ94" s="190">
        <f>AN94*AN$2*IF($FC94="V",1,-1)*IF($Q94="Fixo",(DB94-INDEX('Curva Forward'!$C$5:$AN$13,MATCH(CONCATENATE(BD_COMERCIAL!$K94," ",BD_COMERCIAL!$L94),'Curva Forward'!$B$5:$B$13,0),MATCH(FZ$4,'Curva Forward'!$C$4:$AN$4,0))),DB94)</f>
        <v>0</v>
      </c>
      <c r="GA94" s="190">
        <f>AO94*AO$2*IF($FC94="V",1,-1)*IF($Q94="Fixo",(DC94-INDEX('Curva Forward'!$C$5:$AN$13,MATCH(CONCATENATE(BD_COMERCIAL!$K94," ",BD_COMERCIAL!$L94),'Curva Forward'!$B$5:$B$13,0),MATCH(GA$4,'Curva Forward'!$C$4:$AN$4,0))),DC94)</f>
        <v>0</v>
      </c>
      <c r="GB94" s="190">
        <f>AP94*AP$2*IF($FC94="V",1,-1)*IF($Q94="Fixo",(DD94-INDEX('Curva Forward'!$C$5:$AN$13,MATCH(CONCATENATE(BD_COMERCIAL!$K94," ",BD_COMERCIAL!$L94),'Curva Forward'!$B$5:$B$13,0),MATCH(GB$4,'Curva Forward'!$C$4:$AN$4,0))),DD94)</f>
        <v>0</v>
      </c>
      <c r="GC94" s="190">
        <f>AQ94*AQ$2*IF($FC94="V",1,-1)*IF($Q94="Fixo",(DE94-INDEX('Curva Forward'!$C$5:$AN$13,MATCH(CONCATENATE(BD_COMERCIAL!$K94," ",BD_COMERCIAL!$L94),'Curva Forward'!$B$5:$B$13,0),MATCH(GC$4,'Curva Forward'!$C$4:$AN$4,0))),DE94)</f>
        <v>0</v>
      </c>
      <c r="GD94" s="190">
        <f>AR94*AR$2*IF($FC94="V",1,-1)*IF($Q94="Fixo",(DF94-INDEX('Curva Forward'!$C$5:$AN$13,MATCH(CONCATENATE(BD_COMERCIAL!$K94," ",BD_COMERCIAL!$L94),'Curva Forward'!$B$5:$B$13,0),MATCH(GD$4,'Curva Forward'!$C$4:$AN$4,0))),DF94)</f>
        <v>0</v>
      </c>
      <c r="GE94" s="190">
        <f>AS94*AS$2*IF($FC94="V",1,-1)*IF($Q94="Fixo",(DG94-INDEX('Curva Forward'!$C$5:$AN$13,MATCH(CONCATENATE(BD_COMERCIAL!$K94," ",BD_COMERCIAL!$L94),'Curva Forward'!$B$5:$B$13,0),MATCH(GE$4,'Curva Forward'!$C$4:$AN$4,0))),DG94)</f>
        <v>0</v>
      </c>
      <c r="GF94" s="190">
        <f>AT94*AT$2*IF($FC94="V",1,-1)*IF($Q94="Fixo",(DH94-INDEX('Curva Forward'!$C$5:$AN$13,MATCH(CONCATENATE(BD_COMERCIAL!$K94," ",BD_COMERCIAL!$L94),'Curva Forward'!$B$5:$B$13,0),MATCH(GF$4,'Curva Forward'!$C$4:$AN$4,0))),DH94)</f>
        <v>0</v>
      </c>
      <c r="GG94" s="190">
        <f>AU94*AU$2*IF($FC94="V",1,-1)*IF($Q94="Fixo",(DI94-INDEX('Curva Forward'!$C$5:$AN$13,MATCH(CONCATENATE(BD_COMERCIAL!$K94," ",BD_COMERCIAL!$L94),'Curva Forward'!$B$5:$B$13,0),MATCH(GG$4,'Curva Forward'!$C$4:$AN$4,0))),DI94)</f>
        <v>0</v>
      </c>
      <c r="GH94" s="190">
        <f>AV94*AV$2*IF($FC94="V",1,-1)*IF($Q94="Fixo",(DJ94-INDEX('Curva Forward'!$C$5:$AN$13,MATCH(CONCATENATE(BD_COMERCIAL!$K94," ",BD_COMERCIAL!$L94),'Curva Forward'!$B$5:$B$13,0),MATCH(GH$4,'Curva Forward'!$C$4:$AN$4,0))),DJ94)</f>
        <v>0</v>
      </c>
      <c r="GI94" s="190">
        <f>AW94*AW$2*IF($FC94="V",1,-1)*IF($Q94="Fixo",(DK94-INDEX('Curva Forward'!$C$5:$AN$13,MATCH(CONCATENATE(BD_COMERCIAL!$K94," ",BD_COMERCIAL!$L94),'Curva Forward'!$B$5:$B$13,0),MATCH(GI$4,'Curva Forward'!$C$4:$AN$4,0))),DK94)</f>
        <v>0</v>
      </c>
      <c r="GJ94" s="190">
        <f>AX94*AX$2*IF($FC94="V",1,-1)*IF($Q94="Fixo",(DL94-INDEX('Curva Forward'!$C$5:$AN$13,MATCH(CONCATENATE(BD_COMERCIAL!$K94," ",BD_COMERCIAL!$L94),'Curva Forward'!$B$5:$B$13,0),MATCH(GJ$4,'Curva Forward'!$C$4:$AN$4,0))),DL94)</f>
        <v>0</v>
      </c>
      <c r="GK94" s="190">
        <f>AY94*AY$2*IF($FC94="V",1,-1)*IF($Q94="Fixo",(DM94-INDEX('Curva Forward'!$C$5:$AN$13,MATCH(CONCATENATE(BD_COMERCIAL!$K94," ",BD_COMERCIAL!$L94),'Curva Forward'!$B$5:$B$13,0),MATCH(GK$4,'Curva Forward'!$C$4:$AN$4,0))),DM94)</f>
        <v>0</v>
      </c>
      <c r="GL94" s="190">
        <f>IF(EZ94="",0,CL94*CL$2*IF($FC94="V",1,-1)*IF($Q94="Fixo",(EZ94-INDEX('Curva Forward'!$C$5:$AN$13,MATCH(CONCATENATE(BD_COMERCIAL!$K94," ",BD_COMERCIAL!$L94),'Curva Forward'!$B$5:$B$13,0),MATCH(GL$4,'Curva Forward'!$C$4:$AN$4,0))),EZ94))</f>
        <v>0</v>
      </c>
      <c r="GM94" s="190">
        <f>IF(FA94="",0,CM94*CM$2*IF($FC94="V",1,-1)*IF($Q94="Fixo",(FA94-INDEX('Curva Forward'!$C$5:$AN$13,MATCH(CONCATENATE(BD_COMERCIAL!$K94," ",BD_COMERCIAL!$L94),'Curva Forward'!$B$5:$B$13,0),MATCH(GM$4,'Curva Forward'!$C$4:$AN$4,0))),FA94))</f>
        <v>0</v>
      </c>
      <c r="GN94" s="190">
        <f>IF(FB94="",0,CN94*CN$2*IF($FC94="V",1,-1)*IF($Q94="Fixo",(FB94-INDEX('Curva Forward'!$C$5:$AN$13,MATCH(CONCATENATE(BD_COMERCIAL!$K94," ",BD_COMERCIAL!$L94),'Curva Forward'!$B$5:$B$13,0),MATCH(GN$4,'Curva Forward'!$C$4:$AN$4,0))),FB94))</f>
        <v>0</v>
      </c>
      <c r="GO94" s="191">
        <f t="shared" ca="1" si="18"/>
        <v>0</v>
      </c>
      <c r="GP94" s="191">
        <f t="shared" ca="1" si="19"/>
        <v>0</v>
      </c>
      <c r="GQ94" s="115"/>
      <c r="GR94" s="115"/>
      <c r="GS94"/>
      <c r="GT94" s="65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</row>
    <row r="95" spans="1:236" s="265" customFormat="1" ht="15" customHeight="1" x14ac:dyDescent="0.35">
      <c r="A95" s="251"/>
      <c r="B95" s="7" t="s">
        <v>455</v>
      </c>
      <c r="C95" s="8">
        <v>44860</v>
      </c>
      <c r="D95" s="9" t="s">
        <v>130</v>
      </c>
      <c r="E95" s="9" t="s">
        <v>170</v>
      </c>
      <c r="F95" s="112" t="s">
        <v>380</v>
      </c>
      <c r="G95" s="10" t="s">
        <v>381</v>
      </c>
      <c r="H95" s="112" t="s">
        <v>348</v>
      </c>
      <c r="I95" s="9" t="s">
        <v>137</v>
      </c>
      <c r="J95" s="158"/>
      <c r="K95" s="10" t="s">
        <v>126</v>
      </c>
      <c r="L95" s="84" t="s">
        <v>22</v>
      </c>
      <c r="M95" s="11">
        <v>44958</v>
      </c>
      <c r="N95" s="12">
        <v>44985</v>
      </c>
      <c r="O95" s="10">
        <v>2</v>
      </c>
      <c r="P95" s="84">
        <v>73</v>
      </c>
      <c r="Q95" s="84" t="s">
        <v>127</v>
      </c>
      <c r="R95" s="10" t="s">
        <v>128</v>
      </c>
      <c r="S95" s="14" t="s">
        <v>133</v>
      </c>
      <c r="T95" s="11"/>
      <c r="U95" s="12"/>
      <c r="V95" s="202" t="str">
        <f ca="1">IF(U95="","",
IF(U95="NA","",
IFERROR(VLOOKUP(EOMONTH(M95,-2)+1,IPCA!$A:$B,2,0),
VLOOKUP(EOMONTH(TODAY(),-2)+1,IPCA!$A:$B,2,0))/
VLOOKUP(EOMONTH(U95,-2)+1,IPCA!$A:$B,2,0)*
P95))</f>
        <v/>
      </c>
      <c r="W95" s="84"/>
      <c r="X95" s="13" t="s">
        <v>132</v>
      </c>
      <c r="Y95" s="158"/>
      <c r="Z95" s="106"/>
      <c r="AA95" s="107"/>
      <c r="AB95" s="15"/>
      <c r="AC95">
        <v>2</v>
      </c>
      <c r="AD95"/>
      <c r="AE95"/>
      <c r="AF95"/>
      <c r="AG95"/>
      <c r="AH95"/>
      <c r="AI95"/>
      <c r="AJ95"/>
      <c r="AK95"/>
      <c r="AL95"/>
      <c r="AM95" s="6"/>
      <c r="AN95" s="15"/>
      <c r="AO95"/>
      <c r="AP95"/>
      <c r="AQ95"/>
      <c r="AR95"/>
      <c r="AS95"/>
      <c r="AT95"/>
      <c r="AU95"/>
      <c r="AV95"/>
      <c r="AW95"/>
      <c r="AX95"/>
      <c r="AY95" s="6"/>
      <c r="AZ95" s="15"/>
      <c r="BA95"/>
      <c r="BB95"/>
      <c r="BC95"/>
      <c r="BD95"/>
      <c r="BE95"/>
      <c r="BF95"/>
      <c r="BG95"/>
      <c r="BH95"/>
      <c r="BI95"/>
      <c r="BJ95"/>
      <c r="BK95" s="6"/>
      <c r="BL95" s="15"/>
      <c r="BM95"/>
      <c r="BN95"/>
      <c r="BO95"/>
      <c r="BP95"/>
      <c r="BQ95"/>
      <c r="BR95"/>
      <c r="BS95"/>
      <c r="BT95"/>
      <c r="BU95"/>
      <c r="BV95"/>
      <c r="BW95" s="6"/>
      <c r="BX95" s="15"/>
      <c r="BY95"/>
      <c r="BZ95"/>
      <c r="CA95"/>
      <c r="CB95"/>
      <c r="CC95"/>
      <c r="CD95"/>
      <c r="CE95"/>
      <c r="CF95"/>
      <c r="CG95"/>
      <c r="CH95"/>
      <c r="CI95" s="6"/>
      <c r="CJ95" s="16">
        <v>0.15342465753424658</v>
      </c>
      <c r="CK95" s="16" t="s">
        <v>578</v>
      </c>
      <c r="CL95" s="16" t="s">
        <v>578</v>
      </c>
      <c r="CM95" s="16" t="s">
        <v>578</v>
      </c>
      <c r="CN95" s="16" t="s">
        <v>578</v>
      </c>
      <c r="CO95" s="18"/>
      <c r="CP95" s="15"/>
      <c r="CQ95">
        <v>73</v>
      </c>
      <c r="CR95"/>
      <c r="CS95"/>
      <c r="CT95"/>
      <c r="CU95"/>
      <c r="CV95"/>
      <c r="CW95"/>
      <c r="CX95"/>
      <c r="CY95"/>
      <c r="CZ95"/>
      <c r="DA95" s="6"/>
      <c r="DB95" s="15"/>
      <c r="DC95"/>
      <c r="DD95"/>
      <c r="DE95"/>
      <c r="DF95"/>
      <c r="DG95"/>
      <c r="DH95"/>
      <c r="DI95"/>
      <c r="DJ95"/>
      <c r="DK95"/>
      <c r="DL95"/>
      <c r="DM95" s="6"/>
      <c r="DN95" s="15"/>
      <c r="DO95"/>
      <c r="DP95"/>
      <c r="DQ95"/>
      <c r="DR95"/>
      <c r="DS95"/>
      <c r="DT95"/>
      <c r="DU95"/>
      <c r="DV95"/>
      <c r="DW95"/>
      <c r="DX95"/>
      <c r="DY95" s="6"/>
      <c r="DZ95" s="15"/>
      <c r="EA95"/>
      <c r="EB95"/>
      <c r="EC95"/>
      <c r="ED95"/>
      <c r="EE95"/>
      <c r="EF95"/>
      <c r="EG95"/>
      <c r="EH95"/>
      <c r="EI95"/>
      <c r="EJ95"/>
      <c r="EK95" s="6"/>
      <c r="EL95" s="15"/>
      <c r="EM95"/>
      <c r="EN95"/>
      <c r="EO95"/>
      <c r="EP95"/>
      <c r="EQ95"/>
      <c r="ER95"/>
      <c r="ES95"/>
      <c r="ET95"/>
      <c r="EU95"/>
      <c r="EV95"/>
      <c r="EW95" s="6"/>
      <c r="EX95" s="16">
        <v>5.6</v>
      </c>
      <c r="EY95" s="16" t="s">
        <v>578</v>
      </c>
      <c r="EZ95" s="16" t="s">
        <v>578</v>
      </c>
      <c r="FA95" s="154" t="s">
        <v>578</v>
      </c>
      <c r="FB95" s="154" t="s">
        <v>578</v>
      </c>
      <c r="FC95" t="s">
        <v>196</v>
      </c>
      <c r="FD95" s="20" t="s">
        <v>137</v>
      </c>
      <c r="FE95"/>
      <c r="FF95" s="199" t="s">
        <v>197</v>
      </c>
      <c r="FG95"/>
      <c r="FH95" s="206">
        <f t="shared" ca="1" si="13"/>
        <v>0</v>
      </c>
      <c r="FI95" s="198">
        <f t="shared" si="14"/>
        <v>0.9</v>
      </c>
      <c r="FJ95"/>
      <c r="FK95" t="str">
        <f t="shared" si="15"/>
        <v>RBE Gestão Estratégica de Energia Ltda</v>
      </c>
      <c r="FL95" s="191">
        <f t="shared" ca="1" si="16"/>
        <v>0</v>
      </c>
      <c r="FM95" s="191">
        <f t="shared" ca="1" si="17"/>
        <v>-5376</v>
      </c>
      <c r="FN95" s="190">
        <f>AB95*AB$2*IF($FC95="V",1,-1)*IF($Q95="Fixo",(CP95-INDEX('Curva Forward'!$C$5:$AN$13,MATCH(CONCATENATE(BD_COMERCIAL!$K95," ",BD_COMERCIAL!$L95),'Curva Forward'!$B$5:$B$13,0),MATCH(FN$4,'Curva Forward'!$C$4:$AN$4,0))),CP95)</f>
        <v>0</v>
      </c>
      <c r="FO95" s="190">
        <f>AC95*AC$2*IF($FC95="V",1,-1)*IF($Q95="Fixo",(CQ95-INDEX('Curva Forward'!$C$5:$AN$13,MATCH(CONCATENATE(BD_COMERCIAL!$K95," ",BD_COMERCIAL!$L95),'Curva Forward'!$B$5:$B$13,0),MATCH(FO$4,'Curva Forward'!$C$4:$AN$4,0))),CQ95)</f>
        <v>-5376</v>
      </c>
      <c r="FP95" s="190">
        <f>AD95*AD$2*IF($FC95="V",1,-1)*IF($Q95="Fixo",(CR95-INDEX('Curva Forward'!$C$5:$AN$13,MATCH(CONCATENATE(BD_COMERCIAL!$K95," ",BD_COMERCIAL!$L95),'Curva Forward'!$B$5:$B$13,0),MATCH(FP$4,'Curva Forward'!$C$4:$AN$4,0))),CR95)</f>
        <v>0</v>
      </c>
      <c r="FQ95" s="190">
        <f>AE95*AE$2*IF($FC95="V",1,-1)*IF($Q95="Fixo",(CS95-INDEX('Curva Forward'!$C$5:$AN$13,MATCH(CONCATENATE(BD_COMERCIAL!$K95," ",BD_COMERCIAL!$L95),'Curva Forward'!$B$5:$B$13,0),MATCH(FQ$4,'Curva Forward'!$C$4:$AN$4,0))),CS95)</f>
        <v>0</v>
      </c>
      <c r="FR95" s="190">
        <f>AF95*AF$2*IF($FC95="V",1,-1)*IF($Q95="Fixo",(CT95-INDEX('Curva Forward'!$C$5:$AN$13,MATCH(CONCATENATE(BD_COMERCIAL!$K95," ",BD_COMERCIAL!$L95),'Curva Forward'!$B$5:$B$13,0),MATCH(FR$4,'Curva Forward'!$C$4:$AN$4,0))),CT95)</f>
        <v>0</v>
      </c>
      <c r="FS95" s="190">
        <f>AG95*AG$2*IF($FC95="V",1,-1)*IF($Q95="Fixo",(CU95-INDEX('Curva Forward'!$C$5:$AN$13,MATCH(CONCATENATE(BD_COMERCIAL!$K95," ",BD_COMERCIAL!$L95),'Curva Forward'!$B$5:$B$13,0),MATCH(FS$4,'Curva Forward'!$C$4:$AN$4,0))),CU95)</f>
        <v>0</v>
      </c>
      <c r="FT95" s="190">
        <f>AH95*AH$2*IF($FC95="V",1,-1)*IF($Q95="Fixo",(CV95-INDEX('Curva Forward'!$C$5:$AN$13,MATCH(CONCATENATE(BD_COMERCIAL!$K95," ",BD_COMERCIAL!$L95),'Curva Forward'!$B$5:$B$13,0),MATCH(FT$4,'Curva Forward'!$C$4:$AN$4,0))),CV95)</f>
        <v>0</v>
      </c>
      <c r="FU95" s="190">
        <f>AI95*AI$2*IF($FC95="V",1,-1)*IF($Q95="Fixo",(CW95-INDEX('Curva Forward'!$C$5:$AN$13,MATCH(CONCATENATE(BD_COMERCIAL!$K95," ",BD_COMERCIAL!$L95),'Curva Forward'!$B$5:$B$13,0),MATCH(FU$4,'Curva Forward'!$C$4:$AN$4,0))),CW95)</f>
        <v>0</v>
      </c>
      <c r="FV95" s="190">
        <f>AJ95*AJ$2*IF($FC95="V",1,-1)*IF($Q95="Fixo",(CX95-INDEX('Curva Forward'!$C$5:$AN$13,MATCH(CONCATENATE(BD_COMERCIAL!$K95," ",BD_COMERCIAL!$L95),'Curva Forward'!$B$5:$B$13,0),MATCH(FV$4,'Curva Forward'!$C$4:$AN$4,0))),CX95)</f>
        <v>0</v>
      </c>
      <c r="FW95" s="190">
        <f>AK95*AK$2*IF($FC95="V",1,-1)*IF($Q95="Fixo",(CY95-INDEX('Curva Forward'!$C$5:$AN$13,MATCH(CONCATENATE(BD_COMERCIAL!$K95," ",BD_COMERCIAL!$L95),'Curva Forward'!$B$5:$B$13,0),MATCH(FW$4,'Curva Forward'!$C$4:$AN$4,0))),CY95)</f>
        <v>0</v>
      </c>
      <c r="FX95" s="190">
        <f>AL95*AL$2*IF($FC95="V",1,-1)*IF($Q95="Fixo",(CZ95-INDEX('Curva Forward'!$C$5:$AN$13,MATCH(CONCATENATE(BD_COMERCIAL!$K95," ",BD_COMERCIAL!$L95),'Curva Forward'!$B$5:$B$13,0),MATCH(FX$4,'Curva Forward'!$C$4:$AN$4,0))),CZ95)</f>
        <v>0</v>
      </c>
      <c r="FY95" s="190">
        <f>AM95*AM$2*IF($FC95="V",1,-1)*IF($Q95="Fixo",(DA95-INDEX('Curva Forward'!$C$5:$AN$13,MATCH(CONCATENATE(BD_COMERCIAL!$K95," ",BD_COMERCIAL!$L95),'Curva Forward'!$B$5:$B$13,0),MATCH(FY$4,'Curva Forward'!$C$4:$AN$4,0))),DA95)</f>
        <v>0</v>
      </c>
      <c r="FZ95" s="190">
        <f>AN95*AN$2*IF($FC95="V",1,-1)*IF($Q95="Fixo",(DB95-INDEX('Curva Forward'!$C$5:$AN$13,MATCH(CONCATENATE(BD_COMERCIAL!$K95," ",BD_COMERCIAL!$L95),'Curva Forward'!$B$5:$B$13,0),MATCH(FZ$4,'Curva Forward'!$C$4:$AN$4,0))),DB95)</f>
        <v>0</v>
      </c>
      <c r="GA95" s="190">
        <f>AO95*AO$2*IF($FC95="V",1,-1)*IF($Q95="Fixo",(DC95-INDEX('Curva Forward'!$C$5:$AN$13,MATCH(CONCATENATE(BD_COMERCIAL!$K95," ",BD_COMERCIAL!$L95),'Curva Forward'!$B$5:$B$13,0),MATCH(GA$4,'Curva Forward'!$C$4:$AN$4,0))),DC95)</f>
        <v>0</v>
      </c>
      <c r="GB95" s="190">
        <f>AP95*AP$2*IF($FC95="V",1,-1)*IF($Q95="Fixo",(DD95-INDEX('Curva Forward'!$C$5:$AN$13,MATCH(CONCATENATE(BD_COMERCIAL!$K95," ",BD_COMERCIAL!$L95),'Curva Forward'!$B$5:$B$13,0),MATCH(GB$4,'Curva Forward'!$C$4:$AN$4,0))),DD95)</f>
        <v>0</v>
      </c>
      <c r="GC95" s="190">
        <f>AQ95*AQ$2*IF($FC95="V",1,-1)*IF($Q95="Fixo",(DE95-INDEX('Curva Forward'!$C$5:$AN$13,MATCH(CONCATENATE(BD_COMERCIAL!$K95," ",BD_COMERCIAL!$L95),'Curva Forward'!$B$5:$B$13,0),MATCH(GC$4,'Curva Forward'!$C$4:$AN$4,0))),DE95)</f>
        <v>0</v>
      </c>
      <c r="GD95" s="190">
        <f>AR95*AR$2*IF($FC95="V",1,-1)*IF($Q95="Fixo",(DF95-INDEX('Curva Forward'!$C$5:$AN$13,MATCH(CONCATENATE(BD_COMERCIAL!$K95," ",BD_COMERCIAL!$L95),'Curva Forward'!$B$5:$B$13,0),MATCH(GD$4,'Curva Forward'!$C$4:$AN$4,0))),DF95)</f>
        <v>0</v>
      </c>
      <c r="GE95" s="190">
        <f>AS95*AS$2*IF($FC95="V",1,-1)*IF($Q95="Fixo",(DG95-INDEX('Curva Forward'!$C$5:$AN$13,MATCH(CONCATENATE(BD_COMERCIAL!$K95," ",BD_COMERCIAL!$L95),'Curva Forward'!$B$5:$B$13,0),MATCH(GE$4,'Curva Forward'!$C$4:$AN$4,0))),DG95)</f>
        <v>0</v>
      </c>
      <c r="GF95" s="190">
        <f>AT95*AT$2*IF($FC95="V",1,-1)*IF($Q95="Fixo",(DH95-INDEX('Curva Forward'!$C$5:$AN$13,MATCH(CONCATENATE(BD_COMERCIAL!$K95," ",BD_COMERCIAL!$L95),'Curva Forward'!$B$5:$B$13,0),MATCH(GF$4,'Curva Forward'!$C$4:$AN$4,0))),DH95)</f>
        <v>0</v>
      </c>
      <c r="GG95" s="190">
        <f>AU95*AU$2*IF($FC95="V",1,-1)*IF($Q95="Fixo",(DI95-INDEX('Curva Forward'!$C$5:$AN$13,MATCH(CONCATENATE(BD_COMERCIAL!$K95," ",BD_COMERCIAL!$L95),'Curva Forward'!$B$5:$B$13,0),MATCH(GG$4,'Curva Forward'!$C$4:$AN$4,0))),DI95)</f>
        <v>0</v>
      </c>
      <c r="GH95" s="190">
        <f>AV95*AV$2*IF($FC95="V",1,-1)*IF($Q95="Fixo",(DJ95-INDEX('Curva Forward'!$C$5:$AN$13,MATCH(CONCATENATE(BD_COMERCIAL!$K95," ",BD_COMERCIAL!$L95),'Curva Forward'!$B$5:$B$13,0),MATCH(GH$4,'Curva Forward'!$C$4:$AN$4,0))),DJ95)</f>
        <v>0</v>
      </c>
      <c r="GI95" s="190">
        <f>AW95*AW$2*IF($FC95="V",1,-1)*IF($Q95="Fixo",(DK95-INDEX('Curva Forward'!$C$5:$AN$13,MATCH(CONCATENATE(BD_COMERCIAL!$K95," ",BD_COMERCIAL!$L95),'Curva Forward'!$B$5:$B$13,0),MATCH(GI$4,'Curva Forward'!$C$4:$AN$4,0))),DK95)</f>
        <v>0</v>
      </c>
      <c r="GJ95" s="190">
        <f>AX95*AX$2*IF($FC95="V",1,-1)*IF($Q95="Fixo",(DL95-INDEX('Curva Forward'!$C$5:$AN$13,MATCH(CONCATENATE(BD_COMERCIAL!$K95," ",BD_COMERCIAL!$L95),'Curva Forward'!$B$5:$B$13,0),MATCH(GJ$4,'Curva Forward'!$C$4:$AN$4,0))),DL95)</f>
        <v>0</v>
      </c>
      <c r="GK95" s="190">
        <f>AY95*AY$2*IF($FC95="V",1,-1)*IF($Q95="Fixo",(DM95-INDEX('Curva Forward'!$C$5:$AN$13,MATCH(CONCATENATE(BD_COMERCIAL!$K95," ",BD_COMERCIAL!$L95),'Curva Forward'!$B$5:$B$13,0),MATCH(GK$4,'Curva Forward'!$C$4:$AN$4,0))),DM95)</f>
        <v>0</v>
      </c>
      <c r="GL95" s="190">
        <f>IF(EZ95="",0,CL95*CL$2*IF($FC95="V",1,-1)*IF($Q95="Fixo",(EZ95-INDEX('Curva Forward'!$C$5:$AN$13,MATCH(CONCATENATE(BD_COMERCIAL!$K95," ",BD_COMERCIAL!$L95),'Curva Forward'!$B$5:$B$13,0),MATCH(GL$4,'Curva Forward'!$C$4:$AN$4,0))),EZ95))</f>
        <v>0</v>
      </c>
      <c r="GM95" s="190">
        <f>IF(FA95="",0,CM95*CM$2*IF($FC95="V",1,-1)*IF($Q95="Fixo",(FA95-INDEX('Curva Forward'!$C$5:$AN$13,MATCH(CONCATENATE(BD_COMERCIAL!$K95," ",BD_COMERCIAL!$L95),'Curva Forward'!$B$5:$B$13,0),MATCH(GM$4,'Curva Forward'!$C$4:$AN$4,0))),FA95))</f>
        <v>0</v>
      </c>
      <c r="GN95" s="190">
        <f>IF(FB95="",0,CN95*CN$2*IF($FC95="V",1,-1)*IF($Q95="Fixo",(FB95-INDEX('Curva Forward'!$C$5:$AN$13,MATCH(CONCATENATE(BD_COMERCIAL!$K95," ",BD_COMERCIAL!$L95),'Curva Forward'!$B$5:$B$13,0),MATCH(GN$4,'Curva Forward'!$C$4:$AN$4,0))),FB95))</f>
        <v>0</v>
      </c>
      <c r="GO95" s="191">
        <f t="shared" ca="1" si="18"/>
        <v>0</v>
      </c>
      <c r="GP95" s="191">
        <f t="shared" ca="1" si="19"/>
        <v>-5376</v>
      </c>
      <c r="GQ95" s="115"/>
      <c r="GR95" s="115"/>
      <c r="GS95"/>
      <c r="GT95" s="6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</row>
    <row r="96" spans="1:236" s="265" customFormat="1" ht="15" customHeight="1" x14ac:dyDescent="0.35">
      <c r="A96" s="251"/>
      <c r="B96" s="7" t="s">
        <v>462</v>
      </c>
      <c r="C96" s="8">
        <v>44866</v>
      </c>
      <c r="D96" s="9" t="s">
        <v>130</v>
      </c>
      <c r="E96" s="9" t="s">
        <v>171</v>
      </c>
      <c r="F96" s="112" t="s">
        <v>463</v>
      </c>
      <c r="G96" s="10" t="s">
        <v>381</v>
      </c>
      <c r="H96" s="112" t="s">
        <v>348</v>
      </c>
      <c r="I96" s="9" t="s">
        <v>137</v>
      </c>
      <c r="J96" s="158"/>
      <c r="K96" s="10" t="s">
        <v>126</v>
      </c>
      <c r="L96" s="84" t="s">
        <v>22</v>
      </c>
      <c r="M96" s="11">
        <v>44986</v>
      </c>
      <c r="N96" s="12">
        <v>45016</v>
      </c>
      <c r="O96" s="10">
        <v>2</v>
      </c>
      <c r="P96" s="84">
        <v>73</v>
      </c>
      <c r="Q96" s="84" t="s">
        <v>127</v>
      </c>
      <c r="R96" s="10" t="s">
        <v>128</v>
      </c>
      <c r="S96" s="14" t="s">
        <v>133</v>
      </c>
      <c r="T96" s="11"/>
      <c r="U96" s="12"/>
      <c r="V96" s="202" t="str">
        <f ca="1">IF(U96="","",
IF(U96="NA","",
IFERROR(VLOOKUP(EOMONTH(M96,-2)+1,IPCA!$A:$B,2,0),
VLOOKUP(EOMONTH(TODAY(),-2)+1,IPCA!$A:$B,2,0))/
VLOOKUP(EOMONTH(U96,-2)+1,IPCA!$A:$B,2,0)*
P96))</f>
        <v/>
      </c>
      <c r="W96" s="84"/>
      <c r="X96" s="13" t="s">
        <v>6</v>
      </c>
      <c r="Y96" s="158"/>
      <c r="Z96" s="106"/>
      <c r="AA96" s="107"/>
      <c r="AB96" s="15"/>
      <c r="AC96"/>
      <c r="AD96">
        <v>2</v>
      </c>
      <c r="AE96"/>
      <c r="AF96"/>
      <c r="AG96"/>
      <c r="AH96"/>
      <c r="AI96"/>
      <c r="AJ96"/>
      <c r="AK96"/>
      <c r="AL96"/>
      <c r="AM96" s="6"/>
      <c r="AN96" s="15"/>
      <c r="AO96"/>
      <c r="AP96"/>
      <c r="AQ96"/>
      <c r="AR96"/>
      <c r="AS96"/>
      <c r="AT96"/>
      <c r="AU96"/>
      <c r="AV96"/>
      <c r="AW96"/>
      <c r="AX96"/>
      <c r="AY96" s="6"/>
      <c r="AZ96" s="15"/>
      <c r="BA96"/>
      <c r="BB96"/>
      <c r="BC96"/>
      <c r="BD96"/>
      <c r="BE96"/>
      <c r="BF96"/>
      <c r="BG96"/>
      <c r="BH96"/>
      <c r="BI96"/>
      <c r="BJ96"/>
      <c r="BK96" s="6"/>
      <c r="BL96" s="15"/>
      <c r="BM96"/>
      <c r="BN96"/>
      <c r="BO96"/>
      <c r="BP96"/>
      <c r="BQ96"/>
      <c r="BR96"/>
      <c r="BS96"/>
      <c r="BT96"/>
      <c r="BU96"/>
      <c r="BV96"/>
      <c r="BW96" s="6"/>
      <c r="BX96" s="15"/>
      <c r="BY96"/>
      <c r="BZ96"/>
      <c r="CA96"/>
      <c r="CB96"/>
      <c r="CC96"/>
      <c r="CD96"/>
      <c r="CE96"/>
      <c r="CF96"/>
      <c r="CG96"/>
      <c r="CH96"/>
      <c r="CI96" s="6"/>
      <c r="CJ96" s="16">
        <v>0.16986301369863013</v>
      </c>
      <c r="CK96" s="16" t="s">
        <v>578</v>
      </c>
      <c r="CL96" s="16" t="s">
        <v>578</v>
      </c>
      <c r="CM96" s="16" t="s">
        <v>578</v>
      </c>
      <c r="CN96" s="16" t="s">
        <v>578</v>
      </c>
      <c r="CO96" s="18"/>
      <c r="CP96" s="15"/>
      <c r="CQ96"/>
      <c r="CR96">
        <v>73</v>
      </c>
      <c r="CS96"/>
      <c r="CT96"/>
      <c r="CU96"/>
      <c r="CV96"/>
      <c r="CW96"/>
      <c r="CX96"/>
      <c r="CY96"/>
      <c r="CZ96"/>
      <c r="DA96" s="6"/>
      <c r="DB96" s="15"/>
      <c r="DC96"/>
      <c r="DD96"/>
      <c r="DE96"/>
      <c r="DF96"/>
      <c r="DG96"/>
      <c r="DH96"/>
      <c r="DI96"/>
      <c r="DJ96"/>
      <c r="DK96"/>
      <c r="DL96"/>
      <c r="DM96" s="6"/>
      <c r="DN96" s="15"/>
      <c r="DO96"/>
      <c r="DP96"/>
      <c r="DQ96"/>
      <c r="DR96"/>
      <c r="DS96"/>
      <c r="DT96"/>
      <c r="DU96"/>
      <c r="DV96"/>
      <c r="DW96"/>
      <c r="DX96"/>
      <c r="DY96" s="6"/>
      <c r="DZ96" s="15"/>
      <c r="EA96"/>
      <c r="EB96"/>
      <c r="EC96"/>
      <c r="ED96"/>
      <c r="EE96"/>
      <c r="EF96"/>
      <c r="EG96"/>
      <c r="EH96"/>
      <c r="EI96"/>
      <c r="EJ96"/>
      <c r="EK96" s="6"/>
      <c r="EL96" s="15"/>
      <c r="EM96"/>
      <c r="EN96"/>
      <c r="EO96"/>
      <c r="EP96"/>
      <c r="EQ96"/>
      <c r="ER96"/>
      <c r="ES96"/>
      <c r="ET96"/>
      <c r="EU96"/>
      <c r="EV96"/>
      <c r="EW96" s="6"/>
      <c r="EX96" s="16">
        <v>6.2</v>
      </c>
      <c r="EY96" s="16" t="s">
        <v>578</v>
      </c>
      <c r="EZ96" s="16" t="s">
        <v>578</v>
      </c>
      <c r="FA96" s="154" t="s">
        <v>578</v>
      </c>
      <c r="FB96" s="154" t="s">
        <v>578</v>
      </c>
      <c r="FC96" t="s">
        <v>196</v>
      </c>
      <c r="FD96" s="20" t="s">
        <v>137</v>
      </c>
      <c r="FE96"/>
      <c r="FF96" s="199" t="s">
        <v>197</v>
      </c>
      <c r="FG96"/>
      <c r="FH96" s="206">
        <f t="shared" ca="1" si="13"/>
        <v>0</v>
      </c>
      <c r="FI96" s="198">
        <f t="shared" si="14"/>
        <v>1</v>
      </c>
      <c r="FJ96"/>
      <c r="FK96" t="str">
        <f t="shared" si="15"/>
        <v>Delta Comercializadora de Energia Ltda</v>
      </c>
      <c r="FL96" s="191">
        <f t="shared" ca="1" si="16"/>
        <v>0</v>
      </c>
      <c r="FM96" s="191">
        <f t="shared" ca="1" si="17"/>
        <v>-5952</v>
      </c>
      <c r="FN96" s="190">
        <f>AB96*AB$2*IF($FC96="V",1,-1)*IF($Q96="Fixo",(CP96-INDEX('Curva Forward'!$C$5:$AN$13,MATCH(CONCATENATE(BD_COMERCIAL!$K96," ",BD_COMERCIAL!$L96),'Curva Forward'!$B$5:$B$13,0),MATCH(FN$4,'Curva Forward'!$C$4:$AN$4,0))),CP96)</f>
        <v>0</v>
      </c>
      <c r="FO96" s="190">
        <f>AC96*AC$2*IF($FC96="V",1,-1)*IF($Q96="Fixo",(CQ96-INDEX('Curva Forward'!$C$5:$AN$13,MATCH(CONCATENATE(BD_COMERCIAL!$K96," ",BD_COMERCIAL!$L96),'Curva Forward'!$B$5:$B$13,0),MATCH(FO$4,'Curva Forward'!$C$4:$AN$4,0))),CQ96)</f>
        <v>0</v>
      </c>
      <c r="FP96" s="190">
        <f>AD96*AD$2*IF($FC96="V",1,-1)*IF($Q96="Fixo",(CR96-INDEX('Curva Forward'!$C$5:$AN$13,MATCH(CONCATENATE(BD_COMERCIAL!$K96," ",BD_COMERCIAL!$L96),'Curva Forward'!$B$5:$B$13,0),MATCH(FP$4,'Curva Forward'!$C$4:$AN$4,0))),CR96)</f>
        <v>-5952</v>
      </c>
      <c r="FQ96" s="190">
        <f>AE96*AE$2*IF($FC96="V",1,-1)*IF($Q96="Fixo",(CS96-INDEX('Curva Forward'!$C$5:$AN$13,MATCH(CONCATENATE(BD_COMERCIAL!$K96," ",BD_COMERCIAL!$L96),'Curva Forward'!$B$5:$B$13,0),MATCH(FQ$4,'Curva Forward'!$C$4:$AN$4,0))),CS96)</f>
        <v>0</v>
      </c>
      <c r="FR96" s="190">
        <f>AF96*AF$2*IF($FC96="V",1,-1)*IF($Q96="Fixo",(CT96-INDEX('Curva Forward'!$C$5:$AN$13,MATCH(CONCATENATE(BD_COMERCIAL!$K96," ",BD_COMERCIAL!$L96),'Curva Forward'!$B$5:$B$13,0),MATCH(FR$4,'Curva Forward'!$C$4:$AN$4,0))),CT96)</f>
        <v>0</v>
      </c>
      <c r="FS96" s="190">
        <f>AG96*AG$2*IF($FC96="V",1,-1)*IF($Q96="Fixo",(CU96-INDEX('Curva Forward'!$C$5:$AN$13,MATCH(CONCATENATE(BD_COMERCIAL!$K96," ",BD_COMERCIAL!$L96),'Curva Forward'!$B$5:$B$13,0),MATCH(FS$4,'Curva Forward'!$C$4:$AN$4,0))),CU96)</f>
        <v>0</v>
      </c>
      <c r="FT96" s="190">
        <f>AH96*AH$2*IF($FC96="V",1,-1)*IF($Q96="Fixo",(CV96-INDEX('Curva Forward'!$C$5:$AN$13,MATCH(CONCATENATE(BD_COMERCIAL!$K96," ",BD_COMERCIAL!$L96),'Curva Forward'!$B$5:$B$13,0),MATCH(FT$4,'Curva Forward'!$C$4:$AN$4,0))),CV96)</f>
        <v>0</v>
      </c>
      <c r="FU96" s="190">
        <f>AI96*AI$2*IF($FC96="V",1,-1)*IF($Q96="Fixo",(CW96-INDEX('Curva Forward'!$C$5:$AN$13,MATCH(CONCATENATE(BD_COMERCIAL!$K96," ",BD_COMERCIAL!$L96),'Curva Forward'!$B$5:$B$13,0),MATCH(FU$4,'Curva Forward'!$C$4:$AN$4,0))),CW96)</f>
        <v>0</v>
      </c>
      <c r="FV96" s="190">
        <f>AJ96*AJ$2*IF($FC96="V",1,-1)*IF($Q96="Fixo",(CX96-INDEX('Curva Forward'!$C$5:$AN$13,MATCH(CONCATENATE(BD_COMERCIAL!$K96," ",BD_COMERCIAL!$L96),'Curva Forward'!$B$5:$B$13,0),MATCH(FV$4,'Curva Forward'!$C$4:$AN$4,0))),CX96)</f>
        <v>0</v>
      </c>
      <c r="FW96" s="190">
        <f>AK96*AK$2*IF($FC96="V",1,-1)*IF($Q96="Fixo",(CY96-INDEX('Curva Forward'!$C$5:$AN$13,MATCH(CONCATENATE(BD_COMERCIAL!$K96," ",BD_COMERCIAL!$L96),'Curva Forward'!$B$5:$B$13,0),MATCH(FW$4,'Curva Forward'!$C$4:$AN$4,0))),CY96)</f>
        <v>0</v>
      </c>
      <c r="FX96" s="190">
        <f>AL96*AL$2*IF($FC96="V",1,-1)*IF($Q96="Fixo",(CZ96-INDEX('Curva Forward'!$C$5:$AN$13,MATCH(CONCATENATE(BD_COMERCIAL!$K96," ",BD_COMERCIAL!$L96),'Curva Forward'!$B$5:$B$13,0),MATCH(FX$4,'Curva Forward'!$C$4:$AN$4,0))),CZ96)</f>
        <v>0</v>
      </c>
      <c r="FY96" s="190">
        <f>AM96*AM$2*IF($FC96="V",1,-1)*IF($Q96="Fixo",(DA96-INDEX('Curva Forward'!$C$5:$AN$13,MATCH(CONCATENATE(BD_COMERCIAL!$K96," ",BD_COMERCIAL!$L96),'Curva Forward'!$B$5:$B$13,0),MATCH(FY$4,'Curva Forward'!$C$4:$AN$4,0))),DA96)</f>
        <v>0</v>
      </c>
      <c r="FZ96" s="190">
        <f>AN96*AN$2*IF($FC96="V",1,-1)*IF($Q96="Fixo",(DB96-INDEX('Curva Forward'!$C$5:$AN$13,MATCH(CONCATENATE(BD_COMERCIAL!$K96," ",BD_COMERCIAL!$L96),'Curva Forward'!$B$5:$B$13,0),MATCH(FZ$4,'Curva Forward'!$C$4:$AN$4,0))),DB96)</f>
        <v>0</v>
      </c>
      <c r="GA96" s="190">
        <f>AO96*AO$2*IF($FC96="V",1,-1)*IF($Q96="Fixo",(DC96-INDEX('Curva Forward'!$C$5:$AN$13,MATCH(CONCATENATE(BD_COMERCIAL!$K96," ",BD_COMERCIAL!$L96),'Curva Forward'!$B$5:$B$13,0),MATCH(GA$4,'Curva Forward'!$C$4:$AN$4,0))),DC96)</f>
        <v>0</v>
      </c>
      <c r="GB96" s="190">
        <f>AP96*AP$2*IF($FC96="V",1,-1)*IF($Q96="Fixo",(DD96-INDEX('Curva Forward'!$C$5:$AN$13,MATCH(CONCATENATE(BD_COMERCIAL!$K96," ",BD_COMERCIAL!$L96),'Curva Forward'!$B$5:$B$13,0),MATCH(GB$4,'Curva Forward'!$C$4:$AN$4,0))),DD96)</f>
        <v>0</v>
      </c>
      <c r="GC96" s="190">
        <f>AQ96*AQ$2*IF($FC96="V",1,-1)*IF($Q96="Fixo",(DE96-INDEX('Curva Forward'!$C$5:$AN$13,MATCH(CONCATENATE(BD_COMERCIAL!$K96," ",BD_COMERCIAL!$L96),'Curva Forward'!$B$5:$B$13,0),MATCH(GC$4,'Curva Forward'!$C$4:$AN$4,0))),DE96)</f>
        <v>0</v>
      </c>
      <c r="GD96" s="190">
        <f>AR96*AR$2*IF($FC96="V",1,-1)*IF($Q96="Fixo",(DF96-INDEX('Curva Forward'!$C$5:$AN$13,MATCH(CONCATENATE(BD_COMERCIAL!$K96," ",BD_COMERCIAL!$L96),'Curva Forward'!$B$5:$B$13,0),MATCH(GD$4,'Curva Forward'!$C$4:$AN$4,0))),DF96)</f>
        <v>0</v>
      </c>
      <c r="GE96" s="190">
        <f>AS96*AS$2*IF($FC96="V",1,-1)*IF($Q96="Fixo",(DG96-INDEX('Curva Forward'!$C$5:$AN$13,MATCH(CONCATENATE(BD_COMERCIAL!$K96," ",BD_COMERCIAL!$L96),'Curva Forward'!$B$5:$B$13,0),MATCH(GE$4,'Curva Forward'!$C$4:$AN$4,0))),DG96)</f>
        <v>0</v>
      </c>
      <c r="GF96" s="190">
        <f>AT96*AT$2*IF($FC96="V",1,-1)*IF($Q96="Fixo",(DH96-INDEX('Curva Forward'!$C$5:$AN$13,MATCH(CONCATENATE(BD_COMERCIAL!$K96," ",BD_COMERCIAL!$L96),'Curva Forward'!$B$5:$B$13,0),MATCH(GF$4,'Curva Forward'!$C$4:$AN$4,0))),DH96)</f>
        <v>0</v>
      </c>
      <c r="GG96" s="190">
        <f>AU96*AU$2*IF($FC96="V",1,-1)*IF($Q96="Fixo",(DI96-INDEX('Curva Forward'!$C$5:$AN$13,MATCH(CONCATENATE(BD_COMERCIAL!$K96," ",BD_COMERCIAL!$L96),'Curva Forward'!$B$5:$B$13,0),MATCH(GG$4,'Curva Forward'!$C$4:$AN$4,0))),DI96)</f>
        <v>0</v>
      </c>
      <c r="GH96" s="190">
        <f>AV96*AV$2*IF($FC96="V",1,-1)*IF($Q96="Fixo",(DJ96-INDEX('Curva Forward'!$C$5:$AN$13,MATCH(CONCATENATE(BD_COMERCIAL!$K96," ",BD_COMERCIAL!$L96),'Curva Forward'!$B$5:$B$13,0),MATCH(GH$4,'Curva Forward'!$C$4:$AN$4,0))),DJ96)</f>
        <v>0</v>
      </c>
      <c r="GI96" s="190">
        <f>AW96*AW$2*IF($FC96="V",1,-1)*IF($Q96="Fixo",(DK96-INDEX('Curva Forward'!$C$5:$AN$13,MATCH(CONCATENATE(BD_COMERCIAL!$K96," ",BD_COMERCIAL!$L96),'Curva Forward'!$B$5:$B$13,0),MATCH(GI$4,'Curva Forward'!$C$4:$AN$4,0))),DK96)</f>
        <v>0</v>
      </c>
      <c r="GJ96" s="190">
        <f>AX96*AX$2*IF($FC96="V",1,-1)*IF($Q96="Fixo",(DL96-INDEX('Curva Forward'!$C$5:$AN$13,MATCH(CONCATENATE(BD_COMERCIAL!$K96," ",BD_COMERCIAL!$L96),'Curva Forward'!$B$5:$B$13,0),MATCH(GJ$4,'Curva Forward'!$C$4:$AN$4,0))),DL96)</f>
        <v>0</v>
      </c>
      <c r="GK96" s="190">
        <f>AY96*AY$2*IF($FC96="V",1,-1)*IF($Q96="Fixo",(DM96-INDEX('Curva Forward'!$C$5:$AN$13,MATCH(CONCATENATE(BD_COMERCIAL!$K96," ",BD_COMERCIAL!$L96),'Curva Forward'!$B$5:$B$13,0),MATCH(GK$4,'Curva Forward'!$C$4:$AN$4,0))),DM96)</f>
        <v>0</v>
      </c>
      <c r="GL96" s="190">
        <f>IF(EZ96="",0,CL96*CL$2*IF($FC96="V",1,-1)*IF($Q96="Fixo",(EZ96-INDEX('Curva Forward'!$C$5:$AN$13,MATCH(CONCATENATE(BD_COMERCIAL!$K96," ",BD_COMERCIAL!$L96),'Curva Forward'!$B$5:$B$13,0),MATCH(GL$4,'Curva Forward'!$C$4:$AN$4,0))),EZ96))</f>
        <v>0</v>
      </c>
      <c r="GM96" s="190">
        <f>IF(FA96="",0,CM96*CM$2*IF($FC96="V",1,-1)*IF($Q96="Fixo",(FA96-INDEX('Curva Forward'!$C$5:$AN$13,MATCH(CONCATENATE(BD_COMERCIAL!$K96," ",BD_COMERCIAL!$L96),'Curva Forward'!$B$5:$B$13,0),MATCH(GM$4,'Curva Forward'!$C$4:$AN$4,0))),FA96))</f>
        <v>0</v>
      </c>
      <c r="GN96" s="190">
        <f>IF(FB96="",0,CN96*CN$2*IF($FC96="V",1,-1)*IF($Q96="Fixo",(FB96-INDEX('Curva Forward'!$C$5:$AN$13,MATCH(CONCATENATE(BD_COMERCIAL!$K96," ",BD_COMERCIAL!$L96),'Curva Forward'!$B$5:$B$13,0),MATCH(GN$4,'Curva Forward'!$C$4:$AN$4,0))),FB96))</f>
        <v>0</v>
      </c>
      <c r="GO96" s="191">
        <f t="shared" ca="1" si="18"/>
        <v>0</v>
      </c>
      <c r="GP96" s="191">
        <f t="shared" ca="1" si="19"/>
        <v>-5952</v>
      </c>
      <c r="GQ96" s="115"/>
      <c r="GR96" s="115"/>
      <c r="GS96"/>
      <c r="GT96" s="65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</row>
    <row r="97" spans="1:236" s="265" customFormat="1" ht="15" customHeight="1" x14ac:dyDescent="0.35">
      <c r="A97" s="251"/>
      <c r="B97" s="7" t="s">
        <v>464</v>
      </c>
      <c r="C97" s="8">
        <v>44866</v>
      </c>
      <c r="D97" s="9" t="s">
        <v>130</v>
      </c>
      <c r="E97" s="9" t="s">
        <v>418</v>
      </c>
      <c r="F97" s="112" t="s">
        <v>419</v>
      </c>
      <c r="G97" s="10" t="s">
        <v>381</v>
      </c>
      <c r="H97" s="112" t="s">
        <v>348</v>
      </c>
      <c r="I97" s="9" t="s">
        <v>137</v>
      </c>
      <c r="J97" s="158"/>
      <c r="K97" s="10" t="s">
        <v>126</v>
      </c>
      <c r="L97" s="84" t="s">
        <v>22</v>
      </c>
      <c r="M97" s="11">
        <v>44927</v>
      </c>
      <c r="N97" s="12">
        <v>45016</v>
      </c>
      <c r="O97" s="10">
        <v>2</v>
      </c>
      <c r="P97" s="84">
        <v>69</v>
      </c>
      <c r="Q97" s="84" t="s">
        <v>127</v>
      </c>
      <c r="R97" s="10" t="s">
        <v>128</v>
      </c>
      <c r="S97" s="14" t="s">
        <v>133</v>
      </c>
      <c r="T97" s="11"/>
      <c r="U97" s="12"/>
      <c r="V97" s="202" t="str">
        <f ca="1">IF(U97="","",
IF(U97="NA","",
IFERROR(VLOOKUP(EOMONTH(M97,-2)+1,IPCA!$A:$B,2,0),
VLOOKUP(EOMONTH(TODAY(),-2)+1,IPCA!$A:$B,2,0))/
VLOOKUP(EOMONTH(U97,-2)+1,IPCA!$A:$B,2,0)*
P97))</f>
        <v/>
      </c>
      <c r="W97" s="84"/>
      <c r="X97" s="13" t="s">
        <v>132</v>
      </c>
      <c r="Y97" s="158"/>
      <c r="Z97" s="106"/>
      <c r="AA97" s="107"/>
      <c r="AB97" s="15">
        <v>2</v>
      </c>
      <c r="AC97">
        <v>2</v>
      </c>
      <c r="AD97">
        <v>2</v>
      </c>
      <c r="AE97"/>
      <c r="AF97"/>
      <c r="AG97"/>
      <c r="AH97"/>
      <c r="AI97"/>
      <c r="AJ97"/>
      <c r="AK97"/>
      <c r="AL97"/>
      <c r="AM97" s="6"/>
      <c r="AN97" s="15"/>
      <c r="AO97"/>
      <c r="AP97"/>
      <c r="AQ97"/>
      <c r="AR97"/>
      <c r="AS97"/>
      <c r="AT97"/>
      <c r="AU97"/>
      <c r="AV97"/>
      <c r="AW97"/>
      <c r="AX97"/>
      <c r="AY97" s="6"/>
      <c r="AZ97" s="15"/>
      <c r="BA97"/>
      <c r="BB97"/>
      <c r="BC97"/>
      <c r="BD97"/>
      <c r="BE97"/>
      <c r="BF97"/>
      <c r="BG97"/>
      <c r="BH97"/>
      <c r="BI97"/>
      <c r="BJ97"/>
      <c r="BK97" s="6"/>
      <c r="BL97" s="15"/>
      <c r="BM97"/>
      <c r="BN97"/>
      <c r="BO97"/>
      <c r="BP97"/>
      <c r="BQ97"/>
      <c r="BR97"/>
      <c r="BS97"/>
      <c r="BT97"/>
      <c r="BU97"/>
      <c r="BV97"/>
      <c r="BW97" s="6"/>
      <c r="BX97" s="15"/>
      <c r="BY97"/>
      <c r="BZ97"/>
      <c r="CA97"/>
      <c r="CB97"/>
      <c r="CC97"/>
      <c r="CD97"/>
      <c r="CE97"/>
      <c r="CF97"/>
      <c r="CG97"/>
      <c r="CH97"/>
      <c r="CI97" s="6"/>
      <c r="CJ97" s="16">
        <v>0.49315068493150682</v>
      </c>
      <c r="CK97" s="16" t="s">
        <v>578</v>
      </c>
      <c r="CL97" s="16" t="s">
        <v>578</v>
      </c>
      <c r="CM97" s="16" t="s">
        <v>578</v>
      </c>
      <c r="CN97" s="16" t="s">
        <v>578</v>
      </c>
      <c r="CO97" s="18"/>
      <c r="CP97" s="15">
        <v>69</v>
      </c>
      <c r="CQ97">
        <v>69</v>
      </c>
      <c r="CR97">
        <v>69</v>
      </c>
      <c r="CS97"/>
      <c r="CT97"/>
      <c r="CU97"/>
      <c r="CV97"/>
      <c r="CW97"/>
      <c r="CX97"/>
      <c r="CY97"/>
      <c r="CZ97"/>
      <c r="DA97" s="6"/>
      <c r="DB97" s="15"/>
      <c r="DC97"/>
      <c r="DD97"/>
      <c r="DE97"/>
      <c r="DF97"/>
      <c r="DG97"/>
      <c r="DH97"/>
      <c r="DI97"/>
      <c r="DJ97"/>
      <c r="DK97"/>
      <c r="DL97"/>
      <c r="DM97" s="6"/>
      <c r="DN97" s="15"/>
      <c r="DO97"/>
      <c r="DP97"/>
      <c r="DQ97"/>
      <c r="DR97"/>
      <c r="DS97"/>
      <c r="DT97"/>
      <c r="DU97"/>
      <c r="DV97"/>
      <c r="DW97"/>
      <c r="DX97"/>
      <c r="DY97" s="6"/>
      <c r="DZ97" s="15"/>
      <c r="EA97"/>
      <c r="EB97"/>
      <c r="EC97"/>
      <c r="ED97"/>
      <c r="EE97"/>
      <c r="EF97"/>
      <c r="EG97"/>
      <c r="EH97"/>
      <c r="EI97"/>
      <c r="EJ97"/>
      <c r="EK97" s="6"/>
      <c r="EL97" s="15"/>
      <c r="EM97"/>
      <c r="EN97"/>
      <c r="EO97"/>
      <c r="EP97"/>
      <c r="EQ97"/>
      <c r="ER97"/>
      <c r="ES97"/>
      <c r="ET97"/>
      <c r="EU97"/>
      <c r="EV97"/>
      <c r="EW97" s="6"/>
      <c r="EX97" s="16">
        <v>17.013698630136986</v>
      </c>
      <c r="EY97" s="16" t="s">
        <v>578</v>
      </c>
      <c r="EZ97" s="16" t="s">
        <v>578</v>
      </c>
      <c r="FA97" s="154" t="s">
        <v>578</v>
      </c>
      <c r="FB97" s="154" t="s">
        <v>578</v>
      </c>
      <c r="FC97" t="s">
        <v>196</v>
      </c>
      <c r="FD97" s="20" t="s">
        <v>137</v>
      </c>
      <c r="FE97"/>
      <c r="FF97" s="199" t="s">
        <v>197</v>
      </c>
      <c r="FG97"/>
      <c r="FH97" s="206">
        <f t="shared" ca="1" si="13"/>
        <v>0</v>
      </c>
      <c r="FI97" s="198">
        <f t="shared" si="14"/>
        <v>2.9666666666666668</v>
      </c>
      <c r="FJ97"/>
      <c r="FK97" t="str">
        <f t="shared" si="15"/>
        <v>AES COMERCIALIZADORA DE ENERGIA LTDA</v>
      </c>
      <c r="FL97" s="191">
        <f t="shared" ca="1" si="16"/>
        <v>0</v>
      </c>
      <c r="FM97" s="191">
        <f t="shared" ca="1" si="17"/>
        <v>0</v>
      </c>
      <c r="FN97" s="190">
        <f>AB97*AB$2*IF($FC97="V",1,-1)*IF($Q97="Fixo",(CP97-INDEX('Curva Forward'!$C$5:$AN$13,MATCH(CONCATENATE(BD_COMERCIAL!$K97," ",BD_COMERCIAL!$L97),'Curva Forward'!$B$5:$B$13,0),MATCH(FN$4,'Curva Forward'!$C$4:$AN$4,0))),CP97)</f>
        <v>0</v>
      </c>
      <c r="FO97" s="190">
        <f>AC97*AC$2*IF($FC97="V",1,-1)*IF($Q97="Fixo",(CQ97-INDEX('Curva Forward'!$C$5:$AN$13,MATCH(CONCATENATE(BD_COMERCIAL!$K97," ",BD_COMERCIAL!$L97),'Curva Forward'!$B$5:$B$13,0),MATCH(FO$4,'Curva Forward'!$C$4:$AN$4,0))),CQ97)</f>
        <v>0</v>
      </c>
      <c r="FP97" s="190">
        <f>AD97*AD$2*IF($FC97="V",1,-1)*IF($Q97="Fixo",(CR97-INDEX('Curva Forward'!$C$5:$AN$13,MATCH(CONCATENATE(BD_COMERCIAL!$K97," ",BD_COMERCIAL!$L97),'Curva Forward'!$B$5:$B$13,0),MATCH(FP$4,'Curva Forward'!$C$4:$AN$4,0))),CR97)</f>
        <v>0</v>
      </c>
      <c r="FQ97" s="190">
        <f>AE97*AE$2*IF($FC97="V",1,-1)*IF($Q97="Fixo",(CS97-INDEX('Curva Forward'!$C$5:$AN$13,MATCH(CONCATENATE(BD_COMERCIAL!$K97," ",BD_COMERCIAL!$L97),'Curva Forward'!$B$5:$B$13,0),MATCH(FQ$4,'Curva Forward'!$C$4:$AN$4,0))),CS97)</f>
        <v>0</v>
      </c>
      <c r="FR97" s="190">
        <f>AF97*AF$2*IF($FC97="V",1,-1)*IF($Q97="Fixo",(CT97-INDEX('Curva Forward'!$C$5:$AN$13,MATCH(CONCATENATE(BD_COMERCIAL!$K97," ",BD_COMERCIAL!$L97),'Curva Forward'!$B$5:$B$13,0),MATCH(FR$4,'Curva Forward'!$C$4:$AN$4,0))),CT97)</f>
        <v>0</v>
      </c>
      <c r="FS97" s="190">
        <f>AG97*AG$2*IF($FC97="V",1,-1)*IF($Q97="Fixo",(CU97-INDEX('Curva Forward'!$C$5:$AN$13,MATCH(CONCATENATE(BD_COMERCIAL!$K97," ",BD_COMERCIAL!$L97),'Curva Forward'!$B$5:$B$13,0),MATCH(FS$4,'Curva Forward'!$C$4:$AN$4,0))),CU97)</f>
        <v>0</v>
      </c>
      <c r="FT97" s="190">
        <f>AH97*AH$2*IF($FC97="V",1,-1)*IF($Q97="Fixo",(CV97-INDEX('Curva Forward'!$C$5:$AN$13,MATCH(CONCATENATE(BD_COMERCIAL!$K97," ",BD_COMERCIAL!$L97),'Curva Forward'!$B$5:$B$13,0),MATCH(FT$4,'Curva Forward'!$C$4:$AN$4,0))),CV97)</f>
        <v>0</v>
      </c>
      <c r="FU97" s="190">
        <f>AI97*AI$2*IF($FC97="V",1,-1)*IF($Q97="Fixo",(CW97-INDEX('Curva Forward'!$C$5:$AN$13,MATCH(CONCATENATE(BD_COMERCIAL!$K97," ",BD_COMERCIAL!$L97),'Curva Forward'!$B$5:$B$13,0),MATCH(FU$4,'Curva Forward'!$C$4:$AN$4,0))),CW97)</f>
        <v>0</v>
      </c>
      <c r="FV97" s="190">
        <f>AJ97*AJ$2*IF($FC97="V",1,-1)*IF($Q97="Fixo",(CX97-INDEX('Curva Forward'!$C$5:$AN$13,MATCH(CONCATENATE(BD_COMERCIAL!$K97," ",BD_COMERCIAL!$L97),'Curva Forward'!$B$5:$B$13,0),MATCH(FV$4,'Curva Forward'!$C$4:$AN$4,0))),CX97)</f>
        <v>0</v>
      </c>
      <c r="FW97" s="190">
        <f>AK97*AK$2*IF($FC97="V",1,-1)*IF($Q97="Fixo",(CY97-INDEX('Curva Forward'!$C$5:$AN$13,MATCH(CONCATENATE(BD_COMERCIAL!$K97," ",BD_COMERCIAL!$L97),'Curva Forward'!$B$5:$B$13,0),MATCH(FW$4,'Curva Forward'!$C$4:$AN$4,0))),CY97)</f>
        <v>0</v>
      </c>
      <c r="FX97" s="190">
        <f>AL97*AL$2*IF($FC97="V",1,-1)*IF($Q97="Fixo",(CZ97-INDEX('Curva Forward'!$C$5:$AN$13,MATCH(CONCATENATE(BD_COMERCIAL!$K97," ",BD_COMERCIAL!$L97),'Curva Forward'!$B$5:$B$13,0),MATCH(FX$4,'Curva Forward'!$C$4:$AN$4,0))),CZ97)</f>
        <v>0</v>
      </c>
      <c r="FY97" s="190">
        <f>AM97*AM$2*IF($FC97="V",1,-1)*IF($Q97="Fixo",(DA97-INDEX('Curva Forward'!$C$5:$AN$13,MATCH(CONCATENATE(BD_COMERCIAL!$K97," ",BD_COMERCIAL!$L97),'Curva Forward'!$B$5:$B$13,0),MATCH(FY$4,'Curva Forward'!$C$4:$AN$4,0))),DA97)</f>
        <v>0</v>
      </c>
      <c r="FZ97" s="190">
        <f>AN97*AN$2*IF($FC97="V",1,-1)*IF($Q97="Fixo",(DB97-INDEX('Curva Forward'!$C$5:$AN$13,MATCH(CONCATENATE(BD_COMERCIAL!$K97," ",BD_COMERCIAL!$L97),'Curva Forward'!$B$5:$B$13,0),MATCH(FZ$4,'Curva Forward'!$C$4:$AN$4,0))),DB97)</f>
        <v>0</v>
      </c>
      <c r="GA97" s="190">
        <f>AO97*AO$2*IF($FC97="V",1,-1)*IF($Q97="Fixo",(DC97-INDEX('Curva Forward'!$C$5:$AN$13,MATCH(CONCATENATE(BD_COMERCIAL!$K97," ",BD_COMERCIAL!$L97),'Curva Forward'!$B$5:$B$13,0),MATCH(GA$4,'Curva Forward'!$C$4:$AN$4,0))),DC97)</f>
        <v>0</v>
      </c>
      <c r="GB97" s="190">
        <f>AP97*AP$2*IF($FC97="V",1,-1)*IF($Q97="Fixo",(DD97-INDEX('Curva Forward'!$C$5:$AN$13,MATCH(CONCATENATE(BD_COMERCIAL!$K97," ",BD_COMERCIAL!$L97),'Curva Forward'!$B$5:$B$13,0),MATCH(GB$4,'Curva Forward'!$C$4:$AN$4,0))),DD97)</f>
        <v>0</v>
      </c>
      <c r="GC97" s="190">
        <f>AQ97*AQ$2*IF($FC97="V",1,-1)*IF($Q97="Fixo",(DE97-INDEX('Curva Forward'!$C$5:$AN$13,MATCH(CONCATENATE(BD_COMERCIAL!$K97," ",BD_COMERCIAL!$L97),'Curva Forward'!$B$5:$B$13,0),MATCH(GC$4,'Curva Forward'!$C$4:$AN$4,0))),DE97)</f>
        <v>0</v>
      </c>
      <c r="GD97" s="190">
        <f>AR97*AR$2*IF($FC97="V",1,-1)*IF($Q97="Fixo",(DF97-INDEX('Curva Forward'!$C$5:$AN$13,MATCH(CONCATENATE(BD_COMERCIAL!$K97," ",BD_COMERCIAL!$L97),'Curva Forward'!$B$5:$B$13,0),MATCH(GD$4,'Curva Forward'!$C$4:$AN$4,0))),DF97)</f>
        <v>0</v>
      </c>
      <c r="GE97" s="190">
        <f>AS97*AS$2*IF($FC97="V",1,-1)*IF($Q97="Fixo",(DG97-INDEX('Curva Forward'!$C$5:$AN$13,MATCH(CONCATENATE(BD_COMERCIAL!$K97," ",BD_COMERCIAL!$L97),'Curva Forward'!$B$5:$B$13,0),MATCH(GE$4,'Curva Forward'!$C$4:$AN$4,0))),DG97)</f>
        <v>0</v>
      </c>
      <c r="GF97" s="190">
        <f>AT97*AT$2*IF($FC97="V",1,-1)*IF($Q97="Fixo",(DH97-INDEX('Curva Forward'!$C$5:$AN$13,MATCH(CONCATENATE(BD_COMERCIAL!$K97," ",BD_COMERCIAL!$L97),'Curva Forward'!$B$5:$B$13,0),MATCH(GF$4,'Curva Forward'!$C$4:$AN$4,0))),DH97)</f>
        <v>0</v>
      </c>
      <c r="GG97" s="190">
        <f>AU97*AU$2*IF($FC97="V",1,-1)*IF($Q97="Fixo",(DI97-INDEX('Curva Forward'!$C$5:$AN$13,MATCH(CONCATENATE(BD_COMERCIAL!$K97," ",BD_COMERCIAL!$L97),'Curva Forward'!$B$5:$B$13,0),MATCH(GG$4,'Curva Forward'!$C$4:$AN$4,0))),DI97)</f>
        <v>0</v>
      </c>
      <c r="GH97" s="190">
        <f>AV97*AV$2*IF($FC97="V",1,-1)*IF($Q97="Fixo",(DJ97-INDEX('Curva Forward'!$C$5:$AN$13,MATCH(CONCATENATE(BD_COMERCIAL!$K97," ",BD_COMERCIAL!$L97),'Curva Forward'!$B$5:$B$13,0),MATCH(GH$4,'Curva Forward'!$C$4:$AN$4,0))),DJ97)</f>
        <v>0</v>
      </c>
      <c r="GI97" s="190">
        <f>AW97*AW$2*IF($FC97="V",1,-1)*IF($Q97="Fixo",(DK97-INDEX('Curva Forward'!$C$5:$AN$13,MATCH(CONCATENATE(BD_COMERCIAL!$K97," ",BD_COMERCIAL!$L97),'Curva Forward'!$B$5:$B$13,0),MATCH(GI$4,'Curva Forward'!$C$4:$AN$4,0))),DK97)</f>
        <v>0</v>
      </c>
      <c r="GJ97" s="190">
        <f>AX97*AX$2*IF($FC97="V",1,-1)*IF($Q97="Fixo",(DL97-INDEX('Curva Forward'!$C$5:$AN$13,MATCH(CONCATENATE(BD_COMERCIAL!$K97," ",BD_COMERCIAL!$L97),'Curva Forward'!$B$5:$B$13,0),MATCH(GJ$4,'Curva Forward'!$C$4:$AN$4,0))),DL97)</f>
        <v>0</v>
      </c>
      <c r="GK97" s="190">
        <f>AY97*AY$2*IF($FC97="V",1,-1)*IF($Q97="Fixo",(DM97-INDEX('Curva Forward'!$C$5:$AN$13,MATCH(CONCATENATE(BD_COMERCIAL!$K97," ",BD_COMERCIAL!$L97),'Curva Forward'!$B$5:$B$13,0),MATCH(GK$4,'Curva Forward'!$C$4:$AN$4,0))),DM97)</f>
        <v>0</v>
      </c>
      <c r="GL97" s="190">
        <f>IF(EZ97="",0,CL97*CL$2*IF($FC97="V",1,-1)*IF($Q97="Fixo",(EZ97-INDEX('Curva Forward'!$C$5:$AN$13,MATCH(CONCATENATE(BD_COMERCIAL!$K97," ",BD_COMERCIAL!$L97),'Curva Forward'!$B$5:$B$13,0),MATCH(GL$4,'Curva Forward'!$C$4:$AN$4,0))),EZ97))</f>
        <v>0</v>
      </c>
      <c r="GM97" s="190">
        <f>IF(FA97="",0,CM97*CM$2*IF($FC97="V",1,-1)*IF($Q97="Fixo",(FA97-INDEX('Curva Forward'!$C$5:$AN$13,MATCH(CONCATENATE(BD_COMERCIAL!$K97," ",BD_COMERCIAL!$L97),'Curva Forward'!$B$5:$B$13,0),MATCH(GM$4,'Curva Forward'!$C$4:$AN$4,0))),FA97))</f>
        <v>0</v>
      </c>
      <c r="GN97" s="190">
        <f>IF(FB97="",0,CN97*CN$2*IF($FC97="V",1,-1)*IF($Q97="Fixo",(FB97-INDEX('Curva Forward'!$C$5:$AN$13,MATCH(CONCATENATE(BD_COMERCIAL!$K97," ",BD_COMERCIAL!$L97),'Curva Forward'!$B$5:$B$13,0),MATCH(GN$4,'Curva Forward'!$C$4:$AN$4,0))),FB97))</f>
        <v>0</v>
      </c>
      <c r="GO97" s="191">
        <f t="shared" ca="1" si="18"/>
        <v>0</v>
      </c>
      <c r="GP97" s="191">
        <f t="shared" ca="1" si="19"/>
        <v>0</v>
      </c>
      <c r="GQ97" s="115"/>
      <c r="GR97" s="115"/>
      <c r="GS97"/>
      <c r="GT97" s="65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</row>
    <row r="98" spans="1:236" s="265" customFormat="1" ht="15" customHeight="1" x14ac:dyDescent="0.35">
      <c r="A98" s="251"/>
      <c r="B98" s="7" t="s">
        <v>465</v>
      </c>
      <c r="C98" s="8">
        <v>44873</v>
      </c>
      <c r="D98" s="9" t="s">
        <v>123</v>
      </c>
      <c r="E98" s="9" t="s">
        <v>381</v>
      </c>
      <c r="F98" s="112" t="s">
        <v>348</v>
      </c>
      <c r="G98" s="10" t="s">
        <v>190</v>
      </c>
      <c r="H98" s="112" t="s">
        <v>444</v>
      </c>
      <c r="I98" s="9" t="s">
        <v>137</v>
      </c>
      <c r="J98" s="158"/>
      <c r="K98" s="10" t="s">
        <v>126</v>
      </c>
      <c r="L98" s="84" t="s">
        <v>22</v>
      </c>
      <c r="M98" s="11">
        <v>45017</v>
      </c>
      <c r="N98" s="12">
        <v>45107</v>
      </c>
      <c r="O98" s="10">
        <v>2</v>
      </c>
      <c r="P98" s="84">
        <v>71.5</v>
      </c>
      <c r="Q98" s="84" t="s">
        <v>127</v>
      </c>
      <c r="R98" s="10" t="s">
        <v>128</v>
      </c>
      <c r="S98" s="14" t="s">
        <v>133</v>
      </c>
      <c r="T98" s="11"/>
      <c r="U98" s="12"/>
      <c r="V98" s="202" t="str">
        <f ca="1">IF(U98="","",
IF(U98="NA","",
IFERROR(VLOOKUP(EOMONTH(M98,-2)+1,IPCA!$A:$B,2,0),
VLOOKUP(EOMONTH(TODAY(),-2)+1,IPCA!$A:$B,2,0))/
VLOOKUP(EOMONTH(U98,-2)+1,IPCA!$A:$B,2,0)*
P98))</f>
        <v/>
      </c>
      <c r="W98" s="84"/>
      <c r="X98" s="13" t="s">
        <v>6</v>
      </c>
      <c r="Y98" s="158"/>
      <c r="Z98" s="106"/>
      <c r="AA98" s="107"/>
      <c r="AB98" s="15"/>
      <c r="AC98"/>
      <c r="AD98"/>
      <c r="AE98">
        <v>2</v>
      </c>
      <c r="AF98">
        <v>2</v>
      </c>
      <c r="AG98">
        <v>2</v>
      </c>
      <c r="AH98"/>
      <c r="AI98"/>
      <c r="AJ98"/>
      <c r="AK98"/>
      <c r="AL98"/>
      <c r="AM98" s="6"/>
      <c r="AN98" s="15"/>
      <c r="AO98"/>
      <c r="AP98"/>
      <c r="AQ98"/>
      <c r="AR98"/>
      <c r="AS98"/>
      <c r="AT98"/>
      <c r="AU98"/>
      <c r="AV98"/>
      <c r="AW98"/>
      <c r="AX98"/>
      <c r="AY98" s="6"/>
      <c r="AZ98" s="15"/>
      <c r="BA98"/>
      <c r="BB98"/>
      <c r="BC98"/>
      <c r="BD98"/>
      <c r="BE98"/>
      <c r="BF98"/>
      <c r="BG98"/>
      <c r="BH98"/>
      <c r="BI98"/>
      <c r="BJ98"/>
      <c r="BK98" s="6"/>
      <c r="BL98" s="15"/>
      <c r="BM98"/>
      <c r="BN98"/>
      <c r="BO98"/>
      <c r="BP98"/>
      <c r="BQ98"/>
      <c r="BR98"/>
      <c r="BS98"/>
      <c r="BT98"/>
      <c r="BU98"/>
      <c r="BV98"/>
      <c r="BW98" s="6"/>
      <c r="BX98" s="15"/>
      <c r="BY98"/>
      <c r="BZ98"/>
      <c r="CA98"/>
      <c r="CB98"/>
      <c r="CC98"/>
      <c r="CD98"/>
      <c r="CE98"/>
      <c r="CF98"/>
      <c r="CG98"/>
      <c r="CH98"/>
      <c r="CI98" s="6"/>
      <c r="CJ98" s="16">
        <v>0.49863013698630138</v>
      </c>
      <c r="CK98" s="16" t="s">
        <v>578</v>
      </c>
      <c r="CL98" s="16" t="s">
        <v>578</v>
      </c>
      <c r="CM98" s="16" t="s">
        <v>578</v>
      </c>
      <c r="CN98" s="16" t="s">
        <v>578</v>
      </c>
      <c r="CO98" s="18"/>
      <c r="CP98" s="15"/>
      <c r="CQ98"/>
      <c r="CR98"/>
      <c r="CS98">
        <v>71.5</v>
      </c>
      <c r="CT98">
        <v>71.5</v>
      </c>
      <c r="CU98">
        <v>71.5</v>
      </c>
      <c r="CV98"/>
      <c r="CW98"/>
      <c r="CX98"/>
      <c r="CY98"/>
      <c r="CZ98"/>
      <c r="DA98" s="6"/>
      <c r="DB98" s="15"/>
      <c r="DC98"/>
      <c r="DD98"/>
      <c r="DE98"/>
      <c r="DF98"/>
      <c r="DG98"/>
      <c r="DH98"/>
      <c r="DI98"/>
      <c r="DJ98"/>
      <c r="DK98"/>
      <c r="DL98"/>
      <c r="DM98" s="6"/>
      <c r="DN98" s="15"/>
      <c r="DO98"/>
      <c r="DP98"/>
      <c r="DQ98"/>
      <c r="DR98"/>
      <c r="DS98"/>
      <c r="DT98"/>
      <c r="DU98"/>
      <c r="DV98"/>
      <c r="DW98"/>
      <c r="DX98"/>
      <c r="DY98" s="6"/>
      <c r="DZ98" s="15"/>
      <c r="EA98"/>
      <c r="EB98"/>
      <c r="EC98"/>
      <c r="ED98"/>
      <c r="EE98"/>
      <c r="EF98"/>
      <c r="EG98"/>
      <c r="EH98"/>
      <c r="EI98"/>
      <c r="EJ98"/>
      <c r="EK98" s="6"/>
      <c r="EL98" s="15"/>
      <c r="EM98"/>
      <c r="EN98"/>
      <c r="EO98"/>
      <c r="EP98"/>
      <c r="EQ98"/>
      <c r="ER98"/>
      <c r="ES98"/>
      <c r="ET98"/>
      <c r="EU98"/>
      <c r="EV98"/>
      <c r="EW98" s="6"/>
      <c r="EX98" s="16">
        <v>17.826027397260273</v>
      </c>
      <c r="EY98" s="16" t="s">
        <v>578</v>
      </c>
      <c r="EZ98" s="16" t="s">
        <v>578</v>
      </c>
      <c r="FA98" s="154" t="s">
        <v>578</v>
      </c>
      <c r="FB98" s="154" t="s">
        <v>578</v>
      </c>
      <c r="FC98" t="s">
        <v>195</v>
      </c>
      <c r="FD98" s="20" t="s">
        <v>137</v>
      </c>
      <c r="FE98"/>
      <c r="FF98" s="199" t="s">
        <v>197</v>
      </c>
      <c r="FG98"/>
      <c r="FH98" s="206">
        <f t="shared" ca="1" si="13"/>
        <v>0</v>
      </c>
      <c r="FI98" s="198">
        <f t="shared" si="14"/>
        <v>3</v>
      </c>
      <c r="FJ98"/>
      <c r="FK98" t="str">
        <f t="shared" si="15"/>
        <v>America Energia S/A</v>
      </c>
      <c r="FL98" s="191">
        <f t="shared" ca="1" si="16"/>
        <v>0</v>
      </c>
      <c r="FM98" s="191">
        <f t="shared" ca="1" si="17"/>
        <v>7992</v>
      </c>
      <c r="FN98" s="190">
        <f>AB98*AB$2*IF($FC98="V",1,-1)*IF($Q98="Fixo",(CP98-INDEX('Curva Forward'!$C$5:$AN$13,MATCH(CONCATENATE(BD_COMERCIAL!$K98," ",BD_COMERCIAL!$L98),'Curva Forward'!$B$5:$B$13,0),MATCH(FN$4,'Curva Forward'!$C$4:$AN$4,0))),CP98)</f>
        <v>0</v>
      </c>
      <c r="FO98" s="190">
        <f>AC98*AC$2*IF($FC98="V",1,-1)*IF($Q98="Fixo",(CQ98-INDEX('Curva Forward'!$C$5:$AN$13,MATCH(CONCATENATE(BD_COMERCIAL!$K98," ",BD_COMERCIAL!$L98),'Curva Forward'!$B$5:$B$13,0),MATCH(FO$4,'Curva Forward'!$C$4:$AN$4,0))),CQ98)</f>
        <v>0</v>
      </c>
      <c r="FP98" s="190">
        <f>AD98*AD$2*IF($FC98="V",1,-1)*IF($Q98="Fixo",(CR98-INDEX('Curva Forward'!$C$5:$AN$13,MATCH(CONCATENATE(BD_COMERCIAL!$K98," ",BD_COMERCIAL!$L98),'Curva Forward'!$B$5:$B$13,0),MATCH(FP$4,'Curva Forward'!$C$4:$AN$4,0))),CR98)</f>
        <v>0</v>
      </c>
      <c r="FQ98" s="190">
        <f>AE98*AE$2*IF($FC98="V",1,-1)*IF($Q98="Fixo",(CS98-INDEX('Curva Forward'!$C$5:$AN$13,MATCH(CONCATENATE(BD_COMERCIAL!$K98," ",BD_COMERCIAL!$L98),'Curva Forward'!$B$5:$B$13,0),MATCH(FQ$4,'Curva Forward'!$C$4:$AN$4,0))),CS98)</f>
        <v>3600</v>
      </c>
      <c r="FR98" s="190">
        <f>AF98*AF$2*IF($FC98="V",1,-1)*IF($Q98="Fixo",(CT98-INDEX('Curva Forward'!$C$5:$AN$13,MATCH(CONCATENATE(BD_COMERCIAL!$K98," ",BD_COMERCIAL!$L98),'Curva Forward'!$B$5:$B$13,0),MATCH(FR$4,'Curva Forward'!$C$4:$AN$4,0))),CT98)</f>
        <v>2232</v>
      </c>
      <c r="FS98" s="190">
        <f>AG98*AG$2*IF($FC98="V",1,-1)*IF($Q98="Fixo",(CU98-INDEX('Curva Forward'!$C$5:$AN$13,MATCH(CONCATENATE(BD_COMERCIAL!$K98," ",BD_COMERCIAL!$L98),'Curva Forward'!$B$5:$B$13,0),MATCH(FS$4,'Curva Forward'!$C$4:$AN$4,0))),CU98)</f>
        <v>2160</v>
      </c>
      <c r="FT98" s="190">
        <f>AH98*AH$2*IF($FC98="V",1,-1)*IF($Q98="Fixo",(CV98-INDEX('Curva Forward'!$C$5:$AN$13,MATCH(CONCATENATE(BD_COMERCIAL!$K98," ",BD_COMERCIAL!$L98),'Curva Forward'!$B$5:$B$13,0),MATCH(FT$4,'Curva Forward'!$C$4:$AN$4,0))),CV98)</f>
        <v>0</v>
      </c>
      <c r="FU98" s="190">
        <f>AI98*AI$2*IF($FC98="V",1,-1)*IF($Q98="Fixo",(CW98-INDEX('Curva Forward'!$C$5:$AN$13,MATCH(CONCATENATE(BD_COMERCIAL!$K98," ",BD_COMERCIAL!$L98),'Curva Forward'!$B$5:$B$13,0),MATCH(FU$4,'Curva Forward'!$C$4:$AN$4,0))),CW98)</f>
        <v>0</v>
      </c>
      <c r="FV98" s="190">
        <f>AJ98*AJ$2*IF($FC98="V",1,-1)*IF($Q98="Fixo",(CX98-INDEX('Curva Forward'!$C$5:$AN$13,MATCH(CONCATENATE(BD_COMERCIAL!$K98," ",BD_COMERCIAL!$L98),'Curva Forward'!$B$5:$B$13,0),MATCH(FV$4,'Curva Forward'!$C$4:$AN$4,0))),CX98)</f>
        <v>0</v>
      </c>
      <c r="FW98" s="190">
        <f>AK98*AK$2*IF($FC98="V",1,-1)*IF($Q98="Fixo",(CY98-INDEX('Curva Forward'!$C$5:$AN$13,MATCH(CONCATENATE(BD_COMERCIAL!$K98," ",BD_COMERCIAL!$L98),'Curva Forward'!$B$5:$B$13,0),MATCH(FW$4,'Curva Forward'!$C$4:$AN$4,0))),CY98)</f>
        <v>0</v>
      </c>
      <c r="FX98" s="190">
        <f>AL98*AL$2*IF($FC98="V",1,-1)*IF($Q98="Fixo",(CZ98-INDEX('Curva Forward'!$C$5:$AN$13,MATCH(CONCATENATE(BD_COMERCIAL!$K98," ",BD_COMERCIAL!$L98),'Curva Forward'!$B$5:$B$13,0),MATCH(FX$4,'Curva Forward'!$C$4:$AN$4,0))),CZ98)</f>
        <v>0</v>
      </c>
      <c r="FY98" s="190">
        <f>AM98*AM$2*IF($FC98="V",1,-1)*IF($Q98="Fixo",(DA98-INDEX('Curva Forward'!$C$5:$AN$13,MATCH(CONCATENATE(BD_COMERCIAL!$K98," ",BD_COMERCIAL!$L98),'Curva Forward'!$B$5:$B$13,0),MATCH(FY$4,'Curva Forward'!$C$4:$AN$4,0))),DA98)</f>
        <v>0</v>
      </c>
      <c r="FZ98" s="190">
        <f>AN98*AN$2*IF($FC98="V",1,-1)*IF($Q98="Fixo",(DB98-INDEX('Curva Forward'!$C$5:$AN$13,MATCH(CONCATENATE(BD_COMERCIAL!$K98," ",BD_COMERCIAL!$L98),'Curva Forward'!$B$5:$B$13,0),MATCH(FZ$4,'Curva Forward'!$C$4:$AN$4,0))),DB98)</f>
        <v>0</v>
      </c>
      <c r="GA98" s="190">
        <f>AO98*AO$2*IF($FC98="V",1,-1)*IF($Q98="Fixo",(DC98-INDEX('Curva Forward'!$C$5:$AN$13,MATCH(CONCATENATE(BD_COMERCIAL!$K98," ",BD_COMERCIAL!$L98),'Curva Forward'!$B$5:$B$13,0),MATCH(GA$4,'Curva Forward'!$C$4:$AN$4,0))),DC98)</f>
        <v>0</v>
      </c>
      <c r="GB98" s="190">
        <f>AP98*AP$2*IF($FC98="V",1,-1)*IF($Q98="Fixo",(DD98-INDEX('Curva Forward'!$C$5:$AN$13,MATCH(CONCATENATE(BD_COMERCIAL!$K98," ",BD_COMERCIAL!$L98),'Curva Forward'!$B$5:$B$13,0),MATCH(GB$4,'Curva Forward'!$C$4:$AN$4,0))),DD98)</f>
        <v>0</v>
      </c>
      <c r="GC98" s="190">
        <f>AQ98*AQ$2*IF($FC98="V",1,-1)*IF($Q98="Fixo",(DE98-INDEX('Curva Forward'!$C$5:$AN$13,MATCH(CONCATENATE(BD_COMERCIAL!$K98," ",BD_COMERCIAL!$L98),'Curva Forward'!$B$5:$B$13,0),MATCH(GC$4,'Curva Forward'!$C$4:$AN$4,0))),DE98)</f>
        <v>0</v>
      </c>
      <c r="GD98" s="190">
        <f>AR98*AR$2*IF($FC98="V",1,-1)*IF($Q98="Fixo",(DF98-INDEX('Curva Forward'!$C$5:$AN$13,MATCH(CONCATENATE(BD_COMERCIAL!$K98," ",BD_COMERCIAL!$L98),'Curva Forward'!$B$5:$B$13,0),MATCH(GD$4,'Curva Forward'!$C$4:$AN$4,0))),DF98)</f>
        <v>0</v>
      </c>
      <c r="GE98" s="190">
        <f>AS98*AS$2*IF($FC98="V",1,-1)*IF($Q98="Fixo",(DG98-INDEX('Curva Forward'!$C$5:$AN$13,MATCH(CONCATENATE(BD_COMERCIAL!$K98," ",BD_COMERCIAL!$L98),'Curva Forward'!$B$5:$B$13,0),MATCH(GE$4,'Curva Forward'!$C$4:$AN$4,0))),DG98)</f>
        <v>0</v>
      </c>
      <c r="GF98" s="190">
        <f>AT98*AT$2*IF($FC98="V",1,-1)*IF($Q98="Fixo",(DH98-INDEX('Curva Forward'!$C$5:$AN$13,MATCH(CONCATENATE(BD_COMERCIAL!$K98," ",BD_COMERCIAL!$L98),'Curva Forward'!$B$5:$B$13,0),MATCH(GF$4,'Curva Forward'!$C$4:$AN$4,0))),DH98)</f>
        <v>0</v>
      </c>
      <c r="GG98" s="190">
        <f>AU98*AU$2*IF($FC98="V",1,-1)*IF($Q98="Fixo",(DI98-INDEX('Curva Forward'!$C$5:$AN$13,MATCH(CONCATENATE(BD_COMERCIAL!$K98," ",BD_COMERCIAL!$L98),'Curva Forward'!$B$5:$B$13,0),MATCH(GG$4,'Curva Forward'!$C$4:$AN$4,0))),DI98)</f>
        <v>0</v>
      </c>
      <c r="GH98" s="190">
        <f>AV98*AV$2*IF($FC98="V",1,-1)*IF($Q98="Fixo",(DJ98-INDEX('Curva Forward'!$C$5:$AN$13,MATCH(CONCATENATE(BD_COMERCIAL!$K98," ",BD_COMERCIAL!$L98),'Curva Forward'!$B$5:$B$13,0),MATCH(GH$4,'Curva Forward'!$C$4:$AN$4,0))),DJ98)</f>
        <v>0</v>
      </c>
      <c r="GI98" s="190">
        <f>AW98*AW$2*IF($FC98="V",1,-1)*IF($Q98="Fixo",(DK98-INDEX('Curva Forward'!$C$5:$AN$13,MATCH(CONCATENATE(BD_COMERCIAL!$K98," ",BD_COMERCIAL!$L98),'Curva Forward'!$B$5:$B$13,0),MATCH(GI$4,'Curva Forward'!$C$4:$AN$4,0))),DK98)</f>
        <v>0</v>
      </c>
      <c r="GJ98" s="190">
        <f>AX98*AX$2*IF($FC98="V",1,-1)*IF($Q98="Fixo",(DL98-INDEX('Curva Forward'!$C$5:$AN$13,MATCH(CONCATENATE(BD_COMERCIAL!$K98," ",BD_COMERCIAL!$L98),'Curva Forward'!$B$5:$B$13,0),MATCH(GJ$4,'Curva Forward'!$C$4:$AN$4,0))),DL98)</f>
        <v>0</v>
      </c>
      <c r="GK98" s="190">
        <f>AY98*AY$2*IF($FC98="V",1,-1)*IF($Q98="Fixo",(DM98-INDEX('Curva Forward'!$C$5:$AN$13,MATCH(CONCATENATE(BD_COMERCIAL!$K98," ",BD_COMERCIAL!$L98),'Curva Forward'!$B$5:$B$13,0),MATCH(GK$4,'Curva Forward'!$C$4:$AN$4,0))),DM98)</f>
        <v>0</v>
      </c>
      <c r="GL98" s="190">
        <f>IF(EZ98="",0,CL98*CL$2*IF($FC98="V",1,-1)*IF($Q98="Fixo",(EZ98-INDEX('Curva Forward'!$C$5:$AN$13,MATCH(CONCATENATE(BD_COMERCIAL!$K98," ",BD_COMERCIAL!$L98),'Curva Forward'!$B$5:$B$13,0),MATCH(GL$4,'Curva Forward'!$C$4:$AN$4,0))),EZ98))</f>
        <v>0</v>
      </c>
      <c r="GM98" s="190">
        <f>IF(FA98="",0,CM98*CM$2*IF($FC98="V",1,-1)*IF($Q98="Fixo",(FA98-INDEX('Curva Forward'!$C$5:$AN$13,MATCH(CONCATENATE(BD_COMERCIAL!$K98," ",BD_COMERCIAL!$L98),'Curva Forward'!$B$5:$B$13,0),MATCH(GM$4,'Curva Forward'!$C$4:$AN$4,0))),FA98))</f>
        <v>0</v>
      </c>
      <c r="GN98" s="190">
        <f>IF(FB98="",0,CN98*CN$2*IF($FC98="V",1,-1)*IF($Q98="Fixo",(FB98-INDEX('Curva Forward'!$C$5:$AN$13,MATCH(CONCATENATE(BD_COMERCIAL!$K98," ",BD_COMERCIAL!$L98),'Curva Forward'!$B$5:$B$13,0),MATCH(GN$4,'Curva Forward'!$C$4:$AN$4,0))),FB98))</f>
        <v>0</v>
      </c>
      <c r="GO98" s="191">
        <f t="shared" ca="1" si="18"/>
        <v>7992</v>
      </c>
      <c r="GP98" s="191">
        <f t="shared" ca="1" si="19"/>
        <v>0</v>
      </c>
      <c r="GQ98" s="115"/>
      <c r="GR98" s="115"/>
      <c r="GS98"/>
      <c r="GT98" s="65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</row>
    <row r="99" spans="1:236" s="265" customFormat="1" ht="15" customHeight="1" x14ac:dyDescent="0.35">
      <c r="A99" s="251"/>
      <c r="B99" s="7" t="s">
        <v>466</v>
      </c>
      <c r="C99" s="8">
        <v>44873</v>
      </c>
      <c r="D99" s="9" t="s">
        <v>123</v>
      </c>
      <c r="E99" s="9" t="s">
        <v>381</v>
      </c>
      <c r="F99" s="112" t="s">
        <v>348</v>
      </c>
      <c r="G99" s="10" t="s">
        <v>467</v>
      </c>
      <c r="H99" s="112" t="s">
        <v>468</v>
      </c>
      <c r="I99" s="9" t="s">
        <v>137</v>
      </c>
      <c r="J99" s="158"/>
      <c r="K99" s="10" t="s">
        <v>126</v>
      </c>
      <c r="L99" s="84" t="s">
        <v>22</v>
      </c>
      <c r="M99" s="11">
        <v>45017</v>
      </c>
      <c r="N99" s="12">
        <v>45107</v>
      </c>
      <c r="O99" s="10">
        <v>5</v>
      </c>
      <c r="P99" s="84">
        <v>71.5</v>
      </c>
      <c r="Q99" s="84" t="s">
        <v>127</v>
      </c>
      <c r="R99" s="10" t="s">
        <v>128</v>
      </c>
      <c r="S99" s="14" t="s">
        <v>133</v>
      </c>
      <c r="T99" s="11"/>
      <c r="U99" s="12"/>
      <c r="V99" s="202" t="str">
        <f ca="1">IF(U99="","",
IF(U99="NA","",
IFERROR(VLOOKUP(EOMONTH(M99,-2)+1,IPCA!$A:$B,2,0),
VLOOKUP(EOMONTH(TODAY(),-2)+1,IPCA!$A:$B,2,0))/
VLOOKUP(EOMONTH(U99,-2)+1,IPCA!$A:$B,2,0)*
P99))</f>
        <v/>
      </c>
      <c r="W99" s="84"/>
      <c r="X99" s="13" t="s">
        <v>132</v>
      </c>
      <c r="Y99" s="158"/>
      <c r="Z99" s="106"/>
      <c r="AA99" s="107"/>
      <c r="AB99" s="15"/>
      <c r="AC99"/>
      <c r="AD99"/>
      <c r="AE99">
        <v>5</v>
      </c>
      <c r="AF99">
        <v>5</v>
      </c>
      <c r="AG99">
        <v>5</v>
      </c>
      <c r="AH99"/>
      <c r="AI99"/>
      <c r="AJ99"/>
      <c r="AK99"/>
      <c r="AL99"/>
      <c r="AM99" s="6"/>
      <c r="AN99" s="15"/>
      <c r="AO99"/>
      <c r="AP99"/>
      <c r="AQ99"/>
      <c r="AR99"/>
      <c r="AS99"/>
      <c r="AT99"/>
      <c r="AU99"/>
      <c r="AV99"/>
      <c r="AW99"/>
      <c r="AX99"/>
      <c r="AY99" s="6"/>
      <c r="AZ99" s="15"/>
      <c r="BA99"/>
      <c r="BB99"/>
      <c r="BC99"/>
      <c r="BD99"/>
      <c r="BE99"/>
      <c r="BF99"/>
      <c r="BG99"/>
      <c r="BH99"/>
      <c r="BI99"/>
      <c r="BJ99"/>
      <c r="BK99" s="6"/>
      <c r="BL99" s="15"/>
      <c r="BM99"/>
      <c r="BN99"/>
      <c r="BO99"/>
      <c r="BP99"/>
      <c r="BQ99"/>
      <c r="BR99"/>
      <c r="BS99"/>
      <c r="BT99"/>
      <c r="BU99"/>
      <c r="BV99"/>
      <c r="BW99" s="6"/>
      <c r="BX99" s="15"/>
      <c r="BY99"/>
      <c r="BZ99"/>
      <c r="CA99"/>
      <c r="CB99"/>
      <c r="CC99"/>
      <c r="CD99"/>
      <c r="CE99"/>
      <c r="CF99"/>
      <c r="CG99"/>
      <c r="CH99"/>
      <c r="CI99" s="6"/>
      <c r="CJ99" s="16">
        <v>1.2465753424657535</v>
      </c>
      <c r="CK99" s="16" t="s">
        <v>578</v>
      </c>
      <c r="CL99" s="16" t="s">
        <v>578</v>
      </c>
      <c r="CM99" s="16" t="s">
        <v>578</v>
      </c>
      <c r="CN99" s="16" t="s">
        <v>578</v>
      </c>
      <c r="CO99" s="18"/>
      <c r="CP99" s="15"/>
      <c r="CQ99"/>
      <c r="CR99"/>
      <c r="CS99">
        <v>71.5</v>
      </c>
      <c r="CT99">
        <v>71.5</v>
      </c>
      <c r="CU99">
        <v>71.5</v>
      </c>
      <c r="CV99"/>
      <c r="CW99"/>
      <c r="CX99"/>
      <c r="CY99"/>
      <c r="CZ99"/>
      <c r="DA99" s="6"/>
      <c r="DB99" s="15"/>
      <c r="DC99"/>
      <c r="DD99"/>
      <c r="DE99"/>
      <c r="DF99"/>
      <c r="DG99"/>
      <c r="DH99"/>
      <c r="DI99"/>
      <c r="DJ99"/>
      <c r="DK99"/>
      <c r="DL99"/>
      <c r="DM99" s="6"/>
      <c r="DN99" s="15"/>
      <c r="DO99"/>
      <c r="DP99"/>
      <c r="DQ99"/>
      <c r="DR99"/>
      <c r="DS99"/>
      <c r="DT99"/>
      <c r="DU99"/>
      <c r="DV99"/>
      <c r="DW99"/>
      <c r="DX99"/>
      <c r="DY99" s="6"/>
      <c r="DZ99" s="15"/>
      <c r="EA99"/>
      <c r="EB99"/>
      <c r="EC99"/>
      <c r="ED99"/>
      <c r="EE99"/>
      <c r="EF99"/>
      <c r="EG99"/>
      <c r="EH99"/>
      <c r="EI99"/>
      <c r="EJ99"/>
      <c r="EK99" s="6"/>
      <c r="EL99" s="15"/>
      <c r="EM99"/>
      <c r="EN99"/>
      <c r="EO99"/>
      <c r="EP99"/>
      <c r="EQ99"/>
      <c r="ER99"/>
      <c r="ES99"/>
      <c r="ET99"/>
      <c r="EU99"/>
      <c r="EV99"/>
      <c r="EW99" s="6"/>
      <c r="EX99" s="16">
        <v>17.826027397260273</v>
      </c>
      <c r="EY99" s="16" t="s">
        <v>578</v>
      </c>
      <c r="EZ99" s="16" t="s">
        <v>578</v>
      </c>
      <c r="FA99" s="154" t="s">
        <v>578</v>
      </c>
      <c r="FB99" s="154" t="s">
        <v>578</v>
      </c>
      <c r="FC99" t="s">
        <v>195</v>
      </c>
      <c r="FD99" s="20" t="s">
        <v>137</v>
      </c>
      <c r="FE99"/>
      <c r="FF99" s="199" t="s">
        <v>197</v>
      </c>
      <c r="FG99"/>
      <c r="FH99" s="206">
        <f t="shared" ca="1" si="13"/>
        <v>0</v>
      </c>
      <c r="FI99" s="198">
        <f t="shared" si="14"/>
        <v>3</v>
      </c>
      <c r="FJ99"/>
      <c r="FK99" t="str">
        <f t="shared" si="15"/>
        <v>EDP TRADING COMERCIALIZACAO E SERVICOS DE ENERGIA SA</v>
      </c>
      <c r="FL99" s="191">
        <f t="shared" ca="1" si="16"/>
        <v>0</v>
      </c>
      <c r="FM99" s="191">
        <f t="shared" ca="1" si="17"/>
        <v>19980</v>
      </c>
      <c r="FN99" s="190">
        <f>AB99*AB$2*IF($FC99="V",1,-1)*IF($Q99="Fixo",(CP99-INDEX('Curva Forward'!$C$5:$AN$13,MATCH(CONCATENATE(BD_COMERCIAL!$K99," ",BD_COMERCIAL!$L99),'Curva Forward'!$B$5:$B$13,0),MATCH(FN$4,'Curva Forward'!$C$4:$AN$4,0))),CP99)</f>
        <v>0</v>
      </c>
      <c r="FO99" s="190">
        <f>AC99*AC$2*IF($FC99="V",1,-1)*IF($Q99="Fixo",(CQ99-INDEX('Curva Forward'!$C$5:$AN$13,MATCH(CONCATENATE(BD_COMERCIAL!$K99," ",BD_COMERCIAL!$L99),'Curva Forward'!$B$5:$B$13,0),MATCH(FO$4,'Curva Forward'!$C$4:$AN$4,0))),CQ99)</f>
        <v>0</v>
      </c>
      <c r="FP99" s="190">
        <f>AD99*AD$2*IF($FC99="V",1,-1)*IF($Q99="Fixo",(CR99-INDEX('Curva Forward'!$C$5:$AN$13,MATCH(CONCATENATE(BD_COMERCIAL!$K99," ",BD_COMERCIAL!$L99),'Curva Forward'!$B$5:$B$13,0),MATCH(FP$4,'Curva Forward'!$C$4:$AN$4,0))),CR99)</f>
        <v>0</v>
      </c>
      <c r="FQ99" s="190">
        <f>AE99*AE$2*IF($FC99="V",1,-1)*IF($Q99="Fixo",(CS99-INDEX('Curva Forward'!$C$5:$AN$13,MATCH(CONCATENATE(BD_COMERCIAL!$K99," ",BD_COMERCIAL!$L99),'Curva Forward'!$B$5:$B$13,0),MATCH(FQ$4,'Curva Forward'!$C$4:$AN$4,0))),CS99)</f>
        <v>9000</v>
      </c>
      <c r="FR99" s="190">
        <f>AF99*AF$2*IF($FC99="V",1,-1)*IF($Q99="Fixo",(CT99-INDEX('Curva Forward'!$C$5:$AN$13,MATCH(CONCATENATE(BD_COMERCIAL!$K99," ",BD_COMERCIAL!$L99),'Curva Forward'!$B$5:$B$13,0),MATCH(FR$4,'Curva Forward'!$C$4:$AN$4,0))),CT99)</f>
        <v>5580</v>
      </c>
      <c r="FS99" s="190">
        <f>AG99*AG$2*IF($FC99="V",1,-1)*IF($Q99="Fixo",(CU99-INDEX('Curva Forward'!$C$5:$AN$13,MATCH(CONCATENATE(BD_COMERCIAL!$K99," ",BD_COMERCIAL!$L99),'Curva Forward'!$B$5:$B$13,0),MATCH(FS$4,'Curva Forward'!$C$4:$AN$4,0))),CU99)</f>
        <v>5400</v>
      </c>
      <c r="FT99" s="190">
        <f>AH99*AH$2*IF($FC99="V",1,-1)*IF($Q99="Fixo",(CV99-INDEX('Curva Forward'!$C$5:$AN$13,MATCH(CONCATENATE(BD_COMERCIAL!$K99," ",BD_COMERCIAL!$L99),'Curva Forward'!$B$5:$B$13,0),MATCH(FT$4,'Curva Forward'!$C$4:$AN$4,0))),CV99)</f>
        <v>0</v>
      </c>
      <c r="FU99" s="190">
        <f>AI99*AI$2*IF($FC99="V",1,-1)*IF($Q99="Fixo",(CW99-INDEX('Curva Forward'!$C$5:$AN$13,MATCH(CONCATENATE(BD_COMERCIAL!$K99," ",BD_COMERCIAL!$L99),'Curva Forward'!$B$5:$B$13,0),MATCH(FU$4,'Curva Forward'!$C$4:$AN$4,0))),CW99)</f>
        <v>0</v>
      </c>
      <c r="FV99" s="190">
        <f>AJ99*AJ$2*IF($FC99="V",1,-1)*IF($Q99="Fixo",(CX99-INDEX('Curva Forward'!$C$5:$AN$13,MATCH(CONCATENATE(BD_COMERCIAL!$K99," ",BD_COMERCIAL!$L99),'Curva Forward'!$B$5:$B$13,0),MATCH(FV$4,'Curva Forward'!$C$4:$AN$4,0))),CX99)</f>
        <v>0</v>
      </c>
      <c r="FW99" s="190">
        <f>AK99*AK$2*IF($FC99="V",1,-1)*IF($Q99="Fixo",(CY99-INDEX('Curva Forward'!$C$5:$AN$13,MATCH(CONCATENATE(BD_COMERCIAL!$K99," ",BD_COMERCIAL!$L99),'Curva Forward'!$B$5:$B$13,0),MATCH(FW$4,'Curva Forward'!$C$4:$AN$4,0))),CY99)</f>
        <v>0</v>
      </c>
      <c r="FX99" s="190">
        <f>AL99*AL$2*IF($FC99="V",1,-1)*IF($Q99="Fixo",(CZ99-INDEX('Curva Forward'!$C$5:$AN$13,MATCH(CONCATENATE(BD_COMERCIAL!$K99," ",BD_COMERCIAL!$L99),'Curva Forward'!$B$5:$B$13,0),MATCH(FX$4,'Curva Forward'!$C$4:$AN$4,0))),CZ99)</f>
        <v>0</v>
      </c>
      <c r="FY99" s="190">
        <f>AM99*AM$2*IF($FC99="V",1,-1)*IF($Q99="Fixo",(DA99-INDEX('Curva Forward'!$C$5:$AN$13,MATCH(CONCATENATE(BD_COMERCIAL!$K99," ",BD_COMERCIAL!$L99),'Curva Forward'!$B$5:$B$13,0),MATCH(FY$4,'Curva Forward'!$C$4:$AN$4,0))),DA99)</f>
        <v>0</v>
      </c>
      <c r="FZ99" s="190">
        <f>AN99*AN$2*IF($FC99="V",1,-1)*IF($Q99="Fixo",(DB99-INDEX('Curva Forward'!$C$5:$AN$13,MATCH(CONCATENATE(BD_COMERCIAL!$K99," ",BD_COMERCIAL!$L99),'Curva Forward'!$B$5:$B$13,0),MATCH(FZ$4,'Curva Forward'!$C$4:$AN$4,0))),DB99)</f>
        <v>0</v>
      </c>
      <c r="GA99" s="190">
        <f>AO99*AO$2*IF($FC99="V",1,-1)*IF($Q99="Fixo",(DC99-INDEX('Curva Forward'!$C$5:$AN$13,MATCH(CONCATENATE(BD_COMERCIAL!$K99," ",BD_COMERCIAL!$L99),'Curva Forward'!$B$5:$B$13,0),MATCH(GA$4,'Curva Forward'!$C$4:$AN$4,0))),DC99)</f>
        <v>0</v>
      </c>
      <c r="GB99" s="190">
        <f>AP99*AP$2*IF($FC99="V",1,-1)*IF($Q99="Fixo",(DD99-INDEX('Curva Forward'!$C$5:$AN$13,MATCH(CONCATENATE(BD_COMERCIAL!$K99," ",BD_COMERCIAL!$L99),'Curva Forward'!$B$5:$B$13,0),MATCH(GB$4,'Curva Forward'!$C$4:$AN$4,0))),DD99)</f>
        <v>0</v>
      </c>
      <c r="GC99" s="190">
        <f>AQ99*AQ$2*IF($FC99="V",1,-1)*IF($Q99="Fixo",(DE99-INDEX('Curva Forward'!$C$5:$AN$13,MATCH(CONCATENATE(BD_COMERCIAL!$K99," ",BD_COMERCIAL!$L99),'Curva Forward'!$B$5:$B$13,0),MATCH(GC$4,'Curva Forward'!$C$4:$AN$4,0))),DE99)</f>
        <v>0</v>
      </c>
      <c r="GD99" s="190">
        <f>AR99*AR$2*IF($FC99="V",1,-1)*IF($Q99="Fixo",(DF99-INDEX('Curva Forward'!$C$5:$AN$13,MATCH(CONCATENATE(BD_COMERCIAL!$K99," ",BD_COMERCIAL!$L99),'Curva Forward'!$B$5:$B$13,0),MATCH(GD$4,'Curva Forward'!$C$4:$AN$4,0))),DF99)</f>
        <v>0</v>
      </c>
      <c r="GE99" s="190">
        <f>AS99*AS$2*IF($FC99="V",1,-1)*IF($Q99="Fixo",(DG99-INDEX('Curva Forward'!$C$5:$AN$13,MATCH(CONCATENATE(BD_COMERCIAL!$K99," ",BD_COMERCIAL!$L99),'Curva Forward'!$B$5:$B$13,0),MATCH(GE$4,'Curva Forward'!$C$4:$AN$4,0))),DG99)</f>
        <v>0</v>
      </c>
      <c r="GF99" s="190">
        <f>AT99*AT$2*IF($FC99="V",1,-1)*IF($Q99="Fixo",(DH99-INDEX('Curva Forward'!$C$5:$AN$13,MATCH(CONCATENATE(BD_COMERCIAL!$K99," ",BD_COMERCIAL!$L99),'Curva Forward'!$B$5:$B$13,0),MATCH(GF$4,'Curva Forward'!$C$4:$AN$4,0))),DH99)</f>
        <v>0</v>
      </c>
      <c r="GG99" s="190">
        <f>AU99*AU$2*IF($FC99="V",1,-1)*IF($Q99="Fixo",(DI99-INDEX('Curva Forward'!$C$5:$AN$13,MATCH(CONCATENATE(BD_COMERCIAL!$K99," ",BD_COMERCIAL!$L99),'Curva Forward'!$B$5:$B$13,0),MATCH(GG$4,'Curva Forward'!$C$4:$AN$4,0))),DI99)</f>
        <v>0</v>
      </c>
      <c r="GH99" s="190">
        <f>AV99*AV$2*IF($FC99="V",1,-1)*IF($Q99="Fixo",(DJ99-INDEX('Curva Forward'!$C$5:$AN$13,MATCH(CONCATENATE(BD_COMERCIAL!$K99," ",BD_COMERCIAL!$L99),'Curva Forward'!$B$5:$B$13,0),MATCH(GH$4,'Curva Forward'!$C$4:$AN$4,0))),DJ99)</f>
        <v>0</v>
      </c>
      <c r="GI99" s="190">
        <f>AW99*AW$2*IF($FC99="V",1,-1)*IF($Q99="Fixo",(DK99-INDEX('Curva Forward'!$C$5:$AN$13,MATCH(CONCATENATE(BD_COMERCIAL!$K99," ",BD_COMERCIAL!$L99),'Curva Forward'!$B$5:$B$13,0),MATCH(GI$4,'Curva Forward'!$C$4:$AN$4,0))),DK99)</f>
        <v>0</v>
      </c>
      <c r="GJ99" s="190">
        <f>AX99*AX$2*IF($FC99="V",1,-1)*IF($Q99="Fixo",(DL99-INDEX('Curva Forward'!$C$5:$AN$13,MATCH(CONCATENATE(BD_COMERCIAL!$K99," ",BD_COMERCIAL!$L99),'Curva Forward'!$B$5:$B$13,0),MATCH(GJ$4,'Curva Forward'!$C$4:$AN$4,0))),DL99)</f>
        <v>0</v>
      </c>
      <c r="GK99" s="190">
        <f>AY99*AY$2*IF($FC99="V",1,-1)*IF($Q99="Fixo",(DM99-INDEX('Curva Forward'!$C$5:$AN$13,MATCH(CONCATENATE(BD_COMERCIAL!$K99," ",BD_COMERCIAL!$L99),'Curva Forward'!$B$5:$B$13,0),MATCH(GK$4,'Curva Forward'!$C$4:$AN$4,0))),DM99)</f>
        <v>0</v>
      </c>
      <c r="GL99" s="190">
        <f>IF(EZ99="",0,CL99*CL$2*IF($FC99="V",1,-1)*IF($Q99="Fixo",(EZ99-INDEX('Curva Forward'!$C$5:$AN$13,MATCH(CONCATENATE(BD_COMERCIAL!$K99," ",BD_COMERCIAL!$L99),'Curva Forward'!$B$5:$B$13,0),MATCH(GL$4,'Curva Forward'!$C$4:$AN$4,0))),EZ99))</f>
        <v>0</v>
      </c>
      <c r="GM99" s="190">
        <f>IF(FA99="",0,CM99*CM$2*IF($FC99="V",1,-1)*IF($Q99="Fixo",(FA99-INDEX('Curva Forward'!$C$5:$AN$13,MATCH(CONCATENATE(BD_COMERCIAL!$K99," ",BD_COMERCIAL!$L99),'Curva Forward'!$B$5:$B$13,0),MATCH(GM$4,'Curva Forward'!$C$4:$AN$4,0))),FA99))</f>
        <v>0</v>
      </c>
      <c r="GN99" s="190">
        <f>IF(FB99="",0,CN99*CN$2*IF($FC99="V",1,-1)*IF($Q99="Fixo",(FB99-INDEX('Curva Forward'!$C$5:$AN$13,MATCH(CONCATENATE(BD_COMERCIAL!$K99," ",BD_COMERCIAL!$L99),'Curva Forward'!$B$5:$B$13,0),MATCH(GN$4,'Curva Forward'!$C$4:$AN$4,0))),FB99))</f>
        <v>0</v>
      </c>
      <c r="GO99" s="191">
        <f t="shared" ca="1" si="18"/>
        <v>19980</v>
      </c>
      <c r="GP99" s="191">
        <f t="shared" ca="1" si="19"/>
        <v>0</v>
      </c>
      <c r="GQ99" s="115"/>
      <c r="GR99" s="115"/>
      <c r="GS99"/>
      <c r="GT99" s="65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</row>
    <row r="100" spans="1:236" s="265" customFormat="1" ht="15" customHeight="1" x14ac:dyDescent="0.35">
      <c r="A100" s="251"/>
      <c r="B100" s="7" t="s">
        <v>469</v>
      </c>
      <c r="C100" s="8">
        <v>44875</v>
      </c>
      <c r="D100" s="9" t="s">
        <v>123</v>
      </c>
      <c r="E100" s="9" t="s">
        <v>381</v>
      </c>
      <c r="F100" s="112" t="s">
        <v>348</v>
      </c>
      <c r="G100" s="10" t="s">
        <v>218</v>
      </c>
      <c r="H100" s="112" t="s">
        <v>470</v>
      </c>
      <c r="I100" s="9" t="s">
        <v>137</v>
      </c>
      <c r="J100" s="158"/>
      <c r="K100" s="10" t="s">
        <v>126</v>
      </c>
      <c r="L100" s="84" t="s">
        <v>22</v>
      </c>
      <c r="M100" s="11">
        <v>45108</v>
      </c>
      <c r="N100" s="12">
        <v>45199</v>
      </c>
      <c r="O100" s="10">
        <v>10</v>
      </c>
      <c r="P100" s="84">
        <v>114</v>
      </c>
      <c r="Q100" s="84" t="s">
        <v>127</v>
      </c>
      <c r="R100" s="10" t="s">
        <v>128</v>
      </c>
      <c r="S100" s="14" t="s">
        <v>133</v>
      </c>
      <c r="T100" s="11"/>
      <c r="U100" s="12"/>
      <c r="V100" s="202" t="str">
        <f ca="1">IF(U100="","",
IF(U100="NA","",
IFERROR(VLOOKUP(EOMONTH(M100,-2)+1,IPCA!$A:$B,2,0),
VLOOKUP(EOMONTH(TODAY(),-2)+1,IPCA!$A:$B,2,0))/
VLOOKUP(EOMONTH(U100,-2)+1,IPCA!$A:$B,2,0)*
P100))</f>
        <v/>
      </c>
      <c r="W100" s="84"/>
      <c r="X100" s="13" t="s">
        <v>132</v>
      </c>
      <c r="Y100" s="158"/>
      <c r="Z100" s="106"/>
      <c r="AA100" s="107"/>
      <c r="AB100" s="15"/>
      <c r="AC100"/>
      <c r="AD100"/>
      <c r="AE100"/>
      <c r="AF100"/>
      <c r="AG100"/>
      <c r="AH100">
        <v>10</v>
      </c>
      <c r="AI100">
        <v>10</v>
      </c>
      <c r="AJ100">
        <v>10</v>
      </c>
      <c r="AK100"/>
      <c r="AL100"/>
      <c r="AM100" s="6"/>
      <c r="AN100" s="15"/>
      <c r="AO100"/>
      <c r="AP100"/>
      <c r="AQ100"/>
      <c r="AR100"/>
      <c r="AS100"/>
      <c r="AT100"/>
      <c r="AU100"/>
      <c r="AV100"/>
      <c r="AW100"/>
      <c r="AX100"/>
      <c r="AY100" s="6"/>
      <c r="AZ100" s="15"/>
      <c r="BA100"/>
      <c r="BB100"/>
      <c r="BC100"/>
      <c r="BD100"/>
      <c r="BE100"/>
      <c r="BF100"/>
      <c r="BG100"/>
      <c r="BH100"/>
      <c r="BI100"/>
      <c r="BJ100"/>
      <c r="BK100" s="6"/>
      <c r="BL100" s="15"/>
      <c r="BM100"/>
      <c r="BN100"/>
      <c r="BO100"/>
      <c r="BP100"/>
      <c r="BQ100"/>
      <c r="BR100"/>
      <c r="BS100"/>
      <c r="BT100"/>
      <c r="BU100"/>
      <c r="BV100"/>
      <c r="BW100" s="6"/>
      <c r="BX100" s="15"/>
      <c r="BY100"/>
      <c r="BZ100"/>
      <c r="CA100"/>
      <c r="CB100"/>
      <c r="CC100"/>
      <c r="CD100"/>
      <c r="CE100"/>
      <c r="CF100"/>
      <c r="CG100"/>
      <c r="CH100"/>
      <c r="CI100" s="6"/>
      <c r="CJ100" s="16">
        <v>2.5205479452054793</v>
      </c>
      <c r="CK100" s="16" t="s">
        <v>578</v>
      </c>
      <c r="CL100" s="16" t="s">
        <v>578</v>
      </c>
      <c r="CM100" s="16" t="s">
        <v>578</v>
      </c>
      <c r="CN100" s="16" t="s">
        <v>578</v>
      </c>
      <c r="CO100" s="18"/>
      <c r="CP100" s="15"/>
      <c r="CQ100"/>
      <c r="CR100"/>
      <c r="CS100"/>
      <c r="CT100"/>
      <c r="CU100"/>
      <c r="CV100">
        <v>114</v>
      </c>
      <c r="CW100">
        <v>114</v>
      </c>
      <c r="CX100">
        <v>114</v>
      </c>
      <c r="CY100"/>
      <c r="CZ100"/>
      <c r="DA100" s="6"/>
      <c r="DB100" s="15"/>
      <c r="DC100"/>
      <c r="DD100"/>
      <c r="DE100"/>
      <c r="DF100"/>
      <c r="DG100"/>
      <c r="DH100"/>
      <c r="DI100"/>
      <c r="DJ100"/>
      <c r="DK100"/>
      <c r="DL100"/>
      <c r="DM100" s="6"/>
      <c r="DN100" s="15"/>
      <c r="DO100"/>
      <c r="DP100"/>
      <c r="DQ100"/>
      <c r="DR100"/>
      <c r="DS100"/>
      <c r="DT100"/>
      <c r="DU100"/>
      <c r="DV100"/>
      <c r="DW100"/>
      <c r="DX100"/>
      <c r="DY100" s="6"/>
      <c r="DZ100" s="15"/>
      <c r="EA100"/>
      <c r="EB100"/>
      <c r="EC100"/>
      <c r="ED100"/>
      <c r="EE100"/>
      <c r="EF100"/>
      <c r="EG100"/>
      <c r="EH100"/>
      <c r="EI100"/>
      <c r="EJ100"/>
      <c r="EK100" s="6"/>
      <c r="EL100" s="15"/>
      <c r="EM100"/>
      <c r="EN100"/>
      <c r="EO100"/>
      <c r="EP100"/>
      <c r="EQ100"/>
      <c r="ER100"/>
      <c r="ES100"/>
      <c r="ET100"/>
      <c r="EU100"/>
      <c r="EV100"/>
      <c r="EW100" s="6"/>
      <c r="EX100" s="16">
        <v>28.734246575342464</v>
      </c>
      <c r="EY100" s="16" t="s">
        <v>578</v>
      </c>
      <c r="EZ100" s="16" t="s">
        <v>578</v>
      </c>
      <c r="FA100" s="154" t="s">
        <v>578</v>
      </c>
      <c r="FB100" s="154" t="s">
        <v>578</v>
      </c>
      <c r="FC100" t="s">
        <v>195</v>
      </c>
      <c r="FD100" s="20" t="s">
        <v>137</v>
      </c>
      <c r="FE100"/>
      <c r="FF100" s="199" t="s">
        <v>197</v>
      </c>
      <c r="FG100"/>
      <c r="FH100" s="206">
        <f t="shared" ca="1" si="13"/>
        <v>0</v>
      </c>
      <c r="FI100" s="198">
        <f t="shared" si="14"/>
        <v>3.0333333333333332</v>
      </c>
      <c r="FJ100"/>
      <c r="FK100" t="str">
        <f t="shared" si="15"/>
        <v>Lightcom Comercializadora de Energia S/A</v>
      </c>
      <c r="FL100" s="191">
        <f t="shared" ca="1" si="16"/>
        <v>0</v>
      </c>
      <c r="FM100" s="191">
        <f t="shared" ca="1" si="17"/>
        <v>905280</v>
      </c>
      <c r="FN100" s="190">
        <f>AB100*AB$2*IF($FC100="V",1,-1)*IF($Q100="Fixo",(CP100-INDEX('Curva Forward'!$C$5:$AN$13,MATCH(CONCATENATE(BD_COMERCIAL!$K100," ",BD_COMERCIAL!$L100),'Curva Forward'!$B$5:$B$13,0),MATCH(FN$4,'Curva Forward'!$C$4:$AN$4,0))),CP100)</f>
        <v>0</v>
      </c>
      <c r="FO100" s="190">
        <f>AC100*AC$2*IF($FC100="V",1,-1)*IF($Q100="Fixo",(CQ100-INDEX('Curva Forward'!$C$5:$AN$13,MATCH(CONCATENATE(BD_COMERCIAL!$K100," ",BD_COMERCIAL!$L100),'Curva Forward'!$B$5:$B$13,0),MATCH(FO$4,'Curva Forward'!$C$4:$AN$4,0))),CQ100)</f>
        <v>0</v>
      </c>
      <c r="FP100" s="190">
        <f>AD100*AD$2*IF($FC100="V",1,-1)*IF($Q100="Fixo",(CR100-INDEX('Curva Forward'!$C$5:$AN$13,MATCH(CONCATENATE(BD_COMERCIAL!$K100," ",BD_COMERCIAL!$L100),'Curva Forward'!$B$5:$B$13,0),MATCH(FP$4,'Curva Forward'!$C$4:$AN$4,0))),CR100)</f>
        <v>0</v>
      </c>
      <c r="FQ100" s="190">
        <f>AE100*AE$2*IF($FC100="V",1,-1)*IF($Q100="Fixo",(CS100-INDEX('Curva Forward'!$C$5:$AN$13,MATCH(CONCATENATE(BD_COMERCIAL!$K100," ",BD_COMERCIAL!$L100),'Curva Forward'!$B$5:$B$13,0),MATCH(FQ$4,'Curva Forward'!$C$4:$AN$4,0))),CS100)</f>
        <v>0</v>
      </c>
      <c r="FR100" s="190">
        <f>AF100*AF$2*IF($FC100="V",1,-1)*IF($Q100="Fixo",(CT100-INDEX('Curva Forward'!$C$5:$AN$13,MATCH(CONCATENATE(BD_COMERCIAL!$K100," ",BD_COMERCIAL!$L100),'Curva Forward'!$B$5:$B$13,0),MATCH(FR$4,'Curva Forward'!$C$4:$AN$4,0))),CT100)</f>
        <v>0</v>
      </c>
      <c r="FS100" s="190">
        <f>AG100*AG$2*IF($FC100="V",1,-1)*IF($Q100="Fixo",(CU100-INDEX('Curva Forward'!$C$5:$AN$13,MATCH(CONCATENATE(BD_COMERCIAL!$K100," ",BD_COMERCIAL!$L100),'Curva Forward'!$B$5:$B$13,0),MATCH(FS$4,'Curva Forward'!$C$4:$AN$4,0))),CU100)</f>
        <v>0</v>
      </c>
      <c r="FT100" s="190">
        <f>AH100*AH$2*IF($FC100="V",1,-1)*IF($Q100="Fixo",(CV100-INDEX('Curva Forward'!$C$5:$AN$13,MATCH(CONCATENATE(BD_COMERCIAL!$K100," ",BD_COMERCIAL!$L100),'Curva Forward'!$B$5:$B$13,0),MATCH(FT$4,'Curva Forward'!$C$4:$AN$4,0))),CV100)</f>
        <v>305040</v>
      </c>
      <c r="FU100" s="190">
        <f>AI100*AI$2*IF($FC100="V",1,-1)*IF($Q100="Fixo",(CW100-INDEX('Curva Forward'!$C$5:$AN$13,MATCH(CONCATENATE(BD_COMERCIAL!$K100," ",BD_COMERCIAL!$L100),'Curva Forward'!$B$5:$B$13,0),MATCH(FU$4,'Curva Forward'!$C$4:$AN$4,0))),CW100)</f>
        <v>305040</v>
      </c>
      <c r="FV100" s="190">
        <f>AJ100*AJ$2*IF($FC100="V",1,-1)*IF($Q100="Fixo",(CX100-INDEX('Curva Forward'!$C$5:$AN$13,MATCH(CONCATENATE(BD_COMERCIAL!$K100," ",BD_COMERCIAL!$L100),'Curva Forward'!$B$5:$B$13,0),MATCH(FV$4,'Curva Forward'!$C$4:$AN$4,0))),CX100)</f>
        <v>295200</v>
      </c>
      <c r="FW100" s="190">
        <f>AK100*AK$2*IF($FC100="V",1,-1)*IF($Q100="Fixo",(CY100-INDEX('Curva Forward'!$C$5:$AN$13,MATCH(CONCATENATE(BD_COMERCIAL!$K100," ",BD_COMERCIAL!$L100),'Curva Forward'!$B$5:$B$13,0),MATCH(FW$4,'Curva Forward'!$C$4:$AN$4,0))),CY100)</f>
        <v>0</v>
      </c>
      <c r="FX100" s="190">
        <f>AL100*AL$2*IF($FC100="V",1,-1)*IF($Q100="Fixo",(CZ100-INDEX('Curva Forward'!$C$5:$AN$13,MATCH(CONCATENATE(BD_COMERCIAL!$K100," ",BD_COMERCIAL!$L100),'Curva Forward'!$B$5:$B$13,0),MATCH(FX$4,'Curva Forward'!$C$4:$AN$4,0))),CZ100)</f>
        <v>0</v>
      </c>
      <c r="FY100" s="190">
        <f>AM100*AM$2*IF($FC100="V",1,-1)*IF($Q100="Fixo",(DA100-INDEX('Curva Forward'!$C$5:$AN$13,MATCH(CONCATENATE(BD_COMERCIAL!$K100," ",BD_COMERCIAL!$L100),'Curva Forward'!$B$5:$B$13,0),MATCH(FY$4,'Curva Forward'!$C$4:$AN$4,0))),DA100)</f>
        <v>0</v>
      </c>
      <c r="FZ100" s="190">
        <f>AN100*AN$2*IF($FC100="V",1,-1)*IF($Q100="Fixo",(DB100-INDEX('Curva Forward'!$C$5:$AN$13,MATCH(CONCATENATE(BD_COMERCIAL!$K100," ",BD_COMERCIAL!$L100),'Curva Forward'!$B$5:$B$13,0),MATCH(FZ$4,'Curva Forward'!$C$4:$AN$4,0))),DB100)</f>
        <v>0</v>
      </c>
      <c r="GA100" s="190">
        <f>AO100*AO$2*IF($FC100="V",1,-1)*IF($Q100="Fixo",(DC100-INDEX('Curva Forward'!$C$5:$AN$13,MATCH(CONCATENATE(BD_COMERCIAL!$K100," ",BD_COMERCIAL!$L100),'Curva Forward'!$B$5:$B$13,0),MATCH(GA$4,'Curva Forward'!$C$4:$AN$4,0))),DC100)</f>
        <v>0</v>
      </c>
      <c r="GB100" s="190">
        <f>AP100*AP$2*IF($FC100="V",1,-1)*IF($Q100="Fixo",(DD100-INDEX('Curva Forward'!$C$5:$AN$13,MATCH(CONCATENATE(BD_COMERCIAL!$K100," ",BD_COMERCIAL!$L100),'Curva Forward'!$B$5:$B$13,0),MATCH(GB$4,'Curva Forward'!$C$4:$AN$4,0))),DD100)</f>
        <v>0</v>
      </c>
      <c r="GC100" s="190">
        <f>AQ100*AQ$2*IF($FC100="V",1,-1)*IF($Q100="Fixo",(DE100-INDEX('Curva Forward'!$C$5:$AN$13,MATCH(CONCATENATE(BD_COMERCIAL!$K100," ",BD_COMERCIAL!$L100),'Curva Forward'!$B$5:$B$13,0),MATCH(GC$4,'Curva Forward'!$C$4:$AN$4,0))),DE100)</f>
        <v>0</v>
      </c>
      <c r="GD100" s="190">
        <f>AR100*AR$2*IF($FC100="V",1,-1)*IF($Q100="Fixo",(DF100-INDEX('Curva Forward'!$C$5:$AN$13,MATCH(CONCATENATE(BD_COMERCIAL!$K100," ",BD_COMERCIAL!$L100),'Curva Forward'!$B$5:$B$13,0),MATCH(GD$4,'Curva Forward'!$C$4:$AN$4,0))),DF100)</f>
        <v>0</v>
      </c>
      <c r="GE100" s="190">
        <f>AS100*AS$2*IF($FC100="V",1,-1)*IF($Q100="Fixo",(DG100-INDEX('Curva Forward'!$C$5:$AN$13,MATCH(CONCATENATE(BD_COMERCIAL!$K100," ",BD_COMERCIAL!$L100),'Curva Forward'!$B$5:$B$13,0),MATCH(GE$4,'Curva Forward'!$C$4:$AN$4,0))),DG100)</f>
        <v>0</v>
      </c>
      <c r="GF100" s="190">
        <f>AT100*AT$2*IF($FC100="V",1,-1)*IF($Q100="Fixo",(DH100-INDEX('Curva Forward'!$C$5:$AN$13,MATCH(CONCATENATE(BD_COMERCIAL!$K100," ",BD_COMERCIAL!$L100),'Curva Forward'!$B$5:$B$13,0),MATCH(GF$4,'Curva Forward'!$C$4:$AN$4,0))),DH100)</f>
        <v>0</v>
      </c>
      <c r="GG100" s="190">
        <f>AU100*AU$2*IF($FC100="V",1,-1)*IF($Q100="Fixo",(DI100-INDEX('Curva Forward'!$C$5:$AN$13,MATCH(CONCATENATE(BD_COMERCIAL!$K100," ",BD_COMERCIAL!$L100),'Curva Forward'!$B$5:$B$13,0),MATCH(GG$4,'Curva Forward'!$C$4:$AN$4,0))),DI100)</f>
        <v>0</v>
      </c>
      <c r="GH100" s="190">
        <f>AV100*AV$2*IF($FC100="V",1,-1)*IF($Q100="Fixo",(DJ100-INDEX('Curva Forward'!$C$5:$AN$13,MATCH(CONCATENATE(BD_COMERCIAL!$K100," ",BD_COMERCIAL!$L100),'Curva Forward'!$B$5:$B$13,0),MATCH(GH$4,'Curva Forward'!$C$4:$AN$4,0))),DJ100)</f>
        <v>0</v>
      </c>
      <c r="GI100" s="190">
        <f>AW100*AW$2*IF($FC100="V",1,-1)*IF($Q100="Fixo",(DK100-INDEX('Curva Forward'!$C$5:$AN$13,MATCH(CONCATENATE(BD_COMERCIAL!$K100," ",BD_COMERCIAL!$L100),'Curva Forward'!$B$5:$B$13,0),MATCH(GI$4,'Curva Forward'!$C$4:$AN$4,0))),DK100)</f>
        <v>0</v>
      </c>
      <c r="GJ100" s="190">
        <f>AX100*AX$2*IF($FC100="V",1,-1)*IF($Q100="Fixo",(DL100-INDEX('Curva Forward'!$C$5:$AN$13,MATCH(CONCATENATE(BD_COMERCIAL!$K100," ",BD_COMERCIAL!$L100),'Curva Forward'!$B$5:$B$13,0),MATCH(GJ$4,'Curva Forward'!$C$4:$AN$4,0))),DL100)</f>
        <v>0</v>
      </c>
      <c r="GK100" s="190">
        <f>AY100*AY$2*IF($FC100="V",1,-1)*IF($Q100="Fixo",(DM100-INDEX('Curva Forward'!$C$5:$AN$13,MATCH(CONCATENATE(BD_COMERCIAL!$K100," ",BD_COMERCIAL!$L100),'Curva Forward'!$B$5:$B$13,0),MATCH(GK$4,'Curva Forward'!$C$4:$AN$4,0))),DM100)</f>
        <v>0</v>
      </c>
      <c r="GL100" s="190">
        <f>IF(EZ100="",0,CL100*CL$2*IF($FC100="V",1,-1)*IF($Q100="Fixo",(EZ100-INDEX('Curva Forward'!$C$5:$AN$13,MATCH(CONCATENATE(BD_COMERCIAL!$K100," ",BD_COMERCIAL!$L100),'Curva Forward'!$B$5:$B$13,0),MATCH(GL$4,'Curva Forward'!$C$4:$AN$4,0))),EZ100))</f>
        <v>0</v>
      </c>
      <c r="GM100" s="190">
        <f>IF(FA100="",0,CM100*CM$2*IF($FC100="V",1,-1)*IF($Q100="Fixo",(FA100-INDEX('Curva Forward'!$C$5:$AN$13,MATCH(CONCATENATE(BD_COMERCIAL!$K100," ",BD_COMERCIAL!$L100),'Curva Forward'!$B$5:$B$13,0),MATCH(GM$4,'Curva Forward'!$C$4:$AN$4,0))),FA100))</f>
        <v>0</v>
      </c>
      <c r="GN100" s="190">
        <f>IF(FB100="",0,CN100*CN$2*IF($FC100="V",1,-1)*IF($Q100="Fixo",(FB100-INDEX('Curva Forward'!$C$5:$AN$13,MATCH(CONCATENATE(BD_COMERCIAL!$K100," ",BD_COMERCIAL!$L100),'Curva Forward'!$B$5:$B$13,0),MATCH(GN$4,'Curva Forward'!$C$4:$AN$4,0))),FB100))</f>
        <v>0</v>
      </c>
      <c r="GO100" s="191">
        <f t="shared" ca="1" si="18"/>
        <v>905280</v>
      </c>
      <c r="GP100" s="191">
        <f t="shared" ca="1" si="19"/>
        <v>0</v>
      </c>
      <c r="GQ100" s="115"/>
      <c r="GR100" s="115"/>
      <c r="GS100"/>
      <c r="GT100" s="65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</row>
    <row r="101" spans="1:236" s="265" customFormat="1" ht="15" customHeight="1" x14ac:dyDescent="0.35">
      <c r="A101" s="251"/>
      <c r="B101" s="7" t="s">
        <v>471</v>
      </c>
      <c r="C101" s="8">
        <v>44876</v>
      </c>
      <c r="D101" s="9" t="s">
        <v>123</v>
      </c>
      <c r="E101" s="9" t="s">
        <v>381</v>
      </c>
      <c r="F101" s="112" t="s">
        <v>348</v>
      </c>
      <c r="G101" s="10" t="s">
        <v>204</v>
      </c>
      <c r="H101" s="112" t="s">
        <v>472</v>
      </c>
      <c r="I101" s="9" t="s">
        <v>137</v>
      </c>
      <c r="J101" s="158"/>
      <c r="K101" s="10" t="s">
        <v>126</v>
      </c>
      <c r="L101" s="84" t="s">
        <v>22</v>
      </c>
      <c r="M101" s="11">
        <v>45292</v>
      </c>
      <c r="N101" s="12">
        <v>45657</v>
      </c>
      <c r="O101" s="10">
        <v>5</v>
      </c>
      <c r="P101" s="84">
        <v>130</v>
      </c>
      <c r="Q101" s="84" t="s">
        <v>127</v>
      </c>
      <c r="R101" s="10" t="s">
        <v>128</v>
      </c>
      <c r="S101" s="14" t="s">
        <v>156</v>
      </c>
      <c r="T101" s="11" t="s">
        <v>129</v>
      </c>
      <c r="U101" s="12">
        <v>44876</v>
      </c>
      <c r="V101" s="202" t="e">
        <f ca="1">IF(U101="","",
IF(U101="NA","",
IFERROR(VLOOKUP(EOMONTH(M101,-2)+1,IPCA!$A:$B,2,0),
VLOOKUP(EOMONTH(TODAY(),-2)+1,IPCA!$A:$B,2,0))/
VLOOKUP(EOMONTH(U101,-2)+1,IPCA!$A:$B,2,0)*
P101))</f>
        <v>#N/A</v>
      </c>
      <c r="W101" s="84"/>
      <c r="X101" s="13" t="s">
        <v>132</v>
      </c>
      <c r="Y101" s="158"/>
      <c r="Z101" s="106"/>
      <c r="AA101" s="107"/>
      <c r="AB101" s="15"/>
      <c r="AC101"/>
      <c r="AD101"/>
      <c r="AE101"/>
      <c r="AF101"/>
      <c r="AG101"/>
      <c r="AH101"/>
      <c r="AI101"/>
      <c r="AJ101"/>
      <c r="AK101"/>
      <c r="AL101"/>
      <c r="AM101" s="6"/>
      <c r="AN101" s="15">
        <v>5</v>
      </c>
      <c r="AO101">
        <v>5</v>
      </c>
      <c r="AP101">
        <v>5</v>
      </c>
      <c r="AQ101">
        <v>5</v>
      </c>
      <c r="AR101">
        <v>5</v>
      </c>
      <c r="AS101">
        <v>5</v>
      </c>
      <c r="AT101">
        <v>5</v>
      </c>
      <c r="AU101">
        <v>5</v>
      </c>
      <c r="AV101">
        <v>5</v>
      </c>
      <c r="AW101">
        <v>5</v>
      </c>
      <c r="AX101">
        <v>5</v>
      </c>
      <c r="AY101" s="6">
        <v>5</v>
      </c>
      <c r="AZ101" s="15"/>
      <c r="BA101"/>
      <c r="BB101"/>
      <c r="BC101"/>
      <c r="BD101"/>
      <c r="BE101"/>
      <c r="BF101"/>
      <c r="BG101"/>
      <c r="BH101"/>
      <c r="BI101"/>
      <c r="BJ101"/>
      <c r="BK101" s="6"/>
      <c r="BL101" s="15"/>
      <c r="BM101"/>
      <c r="BN101"/>
      <c r="BO101"/>
      <c r="BP101"/>
      <c r="BQ101"/>
      <c r="BR101"/>
      <c r="BS101"/>
      <c r="BT101"/>
      <c r="BU101"/>
      <c r="BV101"/>
      <c r="BW101" s="6"/>
      <c r="BX101" s="15"/>
      <c r="BY101"/>
      <c r="BZ101"/>
      <c r="CA101"/>
      <c r="CB101"/>
      <c r="CC101"/>
      <c r="CD101"/>
      <c r="CE101"/>
      <c r="CF101"/>
      <c r="CG101"/>
      <c r="CH101"/>
      <c r="CI101" s="6"/>
      <c r="CJ101" s="16" t="s">
        <v>578</v>
      </c>
      <c r="CK101" s="16">
        <v>5</v>
      </c>
      <c r="CL101" s="16" t="s">
        <v>578</v>
      </c>
      <c r="CM101" s="16" t="s">
        <v>578</v>
      </c>
      <c r="CN101" s="16" t="s">
        <v>578</v>
      </c>
      <c r="CO101" s="18"/>
      <c r="CP101" s="15"/>
      <c r="CQ101"/>
      <c r="CR101"/>
      <c r="CS101"/>
      <c r="CT101"/>
      <c r="CU101"/>
      <c r="CV101"/>
      <c r="CW101"/>
      <c r="CX101"/>
      <c r="CY101"/>
      <c r="CZ101"/>
      <c r="DA101" s="6"/>
      <c r="DB101" s="15">
        <v>130</v>
      </c>
      <c r="DC101">
        <v>130</v>
      </c>
      <c r="DD101">
        <v>130</v>
      </c>
      <c r="DE101">
        <v>130</v>
      </c>
      <c r="DF101">
        <v>130</v>
      </c>
      <c r="DG101">
        <v>130</v>
      </c>
      <c r="DH101">
        <v>130</v>
      </c>
      <c r="DI101">
        <v>130</v>
      </c>
      <c r="DJ101">
        <v>130</v>
      </c>
      <c r="DK101">
        <v>130</v>
      </c>
      <c r="DL101">
        <v>130</v>
      </c>
      <c r="DM101" s="6">
        <v>130</v>
      </c>
      <c r="DN101" s="15"/>
      <c r="DO101"/>
      <c r="DP101"/>
      <c r="DQ101"/>
      <c r="DR101"/>
      <c r="DS101"/>
      <c r="DT101"/>
      <c r="DU101"/>
      <c r="DV101"/>
      <c r="DW101"/>
      <c r="DX101"/>
      <c r="DY101" s="6"/>
      <c r="DZ101" s="15"/>
      <c r="EA101"/>
      <c r="EB101"/>
      <c r="EC101"/>
      <c r="ED101"/>
      <c r="EE101"/>
      <c r="EF101"/>
      <c r="EG101"/>
      <c r="EH101"/>
      <c r="EI101"/>
      <c r="EJ101"/>
      <c r="EK101" s="6"/>
      <c r="EL101" s="15"/>
      <c r="EM101"/>
      <c r="EN101"/>
      <c r="EO101"/>
      <c r="EP101"/>
      <c r="EQ101"/>
      <c r="ER101"/>
      <c r="ES101"/>
      <c r="ET101"/>
      <c r="EU101"/>
      <c r="EV101"/>
      <c r="EW101" s="6"/>
      <c r="EX101" s="16" t="s">
        <v>578</v>
      </c>
      <c r="EY101" s="16">
        <v>130</v>
      </c>
      <c r="EZ101" s="16" t="s">
        <v>578</v>
      </c>
      <c r="FA101" s="154" t="s">
        <v>578</v>
      </c>
      <c r="FB101" s="154" t="s">
        <v>578</v>
      </c>
      <c r="FC101" t="s">
        <v>195</v>
      </c>
      <c r="FD101" s="20" t="s">
        <v>137</v>
      </c>
      <c r="FE101"/>
      <c r="FF101" s="199" t="s">
        <v>197</v>
      </c>
      <c r="FG101"/>
      <c r="FH101" s="206" t="e">
        <f t="shared" ca="1" si="13"/>
        <v>#N/A</v>
      </c>
      <c r="FI101" s="198">
        <f t="shared" si="14"/>
        <v>12.166666666666666</v>
      </c>
      <c r="FJ101"/>
      <c r="FK101" t="str">
        <f t="shared" si="15"/>
        <v>Santander Corretora de Seguros, Investimentos e Serviços S.A.</v>
      </c>
      <c r="FL101" s="191">
        <f t="shared" ca="1" si="16"/>
        <v>0</v>
      </c>
      <c r="FM101" s="191">
        <f t="shared" ca="1" si="17"/>
        <v>1997280</v>
      </c>
      <c r="FN101" s="190">
        <f>AB101*AB$2*IF($FC101="V",1,-1)*IF($Q101="Fixo",(CP101-INDEX('Curva Forward'!$C$5:$AN$13,MATCH(CONCATENATE(BD_COMERCIAL!$K101," ",BD_COMERCIAL!$L101),'Curva Forward'!$B$5:$B$13,0),MATCH(FN$4,'Curva Forward'!$C$4:$AN$4,0))),CP101)</f>
        <v>0</v>
      </c>
      <c r="FO101" s="190">
        <f>AC101*AC$2*IF($FC101="V",1,-1)*IF($Q101="Fixo",(CQ101-INDEX('Curva Forward'!$C$5:$AN$13,MATCH(CONCATENATE(BD_COMERCIAL!$K101," ",BD_COMERCIAL!$L101),'Curva Forward'!$B$5:$B$13,0),MATCH(FO$4,'Curva Forward'!$C$4:$AN$4,0))),CQ101)</f>
        <v>0</v>
      </c>
      <c r="FP101" s="190">
        <f>AD101*AD$2*IF($FC101="V",1,-1)*IF($Q101="Fixo",(CR101-INDEX('Curva Forward'!$C$5:$AN$13,MATCH(CONCATENATE(BD_COMERCIAL!$K101," ",BD_COMERCIAL!$L101),'Curva Forward'!$B$5:$B$13,0),MATCH(FP$4,'Curva Forward'!$C$4:$AN$4,0))),CR101)</f>
        <v>0</v>
      </c>
      <c r="FQ101" s="190">
        <f>AE101*AE$2*IF($FC101="V",1,-1)*IF($Q101="Fixo",(CS101-INDEX('Curva Forward'!$C$5:$AN$13,MATCH(CONCATENATE(BD_COMERCIAL!$K101," ",BD_COMERCIAL!$L101),'Curva Forward'!$B$5:$B$13,0),MATCH(FQ$4,'Curva Forward'!$C$4:$AN$4,0))),CS101)</f>
        <v>0</v>
      </c>
      <c r="FR101" s="190">
        <f>AF101*AF$2*IF($FC101="V",1,-1)*IF($Q101="Fixo",(CT101-INDEX('Curva Forward'!$C$5:$AN$13,MATCH(CONCATENATE(BD_COMERCIAL!$K101," ",BD_COMERCIAL!$L101),'Curva Forward'!$B$5:$B$13,0),MATCH(FR$4,'Curva Forward'!$C$4:$AN$4,0))),CT101)</f>
        <v>0</v>
      </c>
      <c r="FS101" s="190">
        <f>AG101*AG$2*IF($FC101="V",1,-1)*IF($Q101="Fixo",(CU101-INDEX('Curva Forward'!$C$5:$AN$13,MATCH(CONCATENATE(BD_COMERCIAL!$K101," ",BD_COMERCIAL!$L101),'Curva Forward'!$B$5:$B$13,0),MATCH(FS$4,'Curva Forward'!$C$4:$AN$4,0))),CU101)</f>
        <v>0</v>
      </c>
      <c r="FT101" s="190">
        <f>AH101*AH$2*IF($FC101="V",1,-1)*IF($Q101="Fixo",(CV101-INDEX('Curva Forward'!$C$5:$AN$13,MATCH(CONCATENATE(BD_COMERCIAL!$K101," ",BD_COMERCIAL!$L101),'Curva Forward'!$B$5:$B$13,0),MATCH(FT$4,'Curva Forward'!$C$4:$AN$4,0))),CV101)</f>
        <v>0</v>
      </c>
      <c r="FU101" s="190">
        <f>AI101*AI$2*IF($FC101="V",1,-1)*IF($Q101="Fixo",(CW101-INDEX('Curva Forward'!$C$5:$AN$13,MATCH(CONCATENATE(BD_COMERCIAL!$K101," ",BD_COMERCIAL!$L101),'Curva Forward'!$B$5:$B$13,0),MATCH(FU$4,'Curva Forward'!$C$4:$AN$4,0))),CW101)</f>
        <v>0</v>
      </c>
      <c r="FV101" s="190">
        <f>AJ101*AJ$2*IF($FC101="V",1,-1)*IF($Q101="Fixo",(CX101-INDEX('Curva Forward'!$C$5:$AN$13,MATCH(CONCATENATE(BD_COMERCIAL!$K101," ",BD_COMERCIAL!$L101),'Curva Forward'!$B$5:$B$13,0),MATCH(FV$4,'Curva Forward'!$C$4:$AN$4,0))),CX101)</f>
        <v>0</v>
      </c>
      <c r="FW101" s="190">
        <f>AK101*AK$2*IF($FC101="V",1,-1)*IF($Q101="Fixo",(CY101-INDEX('Curva Forward'!$C$5:$AN$13,MATCH(CONCATENATE(BD_COMERCIAL!$K101," ",BD_COMERCIAL!$L101),'Curva Forward'!$B$5:$B$13,0),MATCH(FW$4,'Curva Forward'!$C$4:$AN$4,0))),CY101)</f>
        <v>0</v>
      </c>
      <c r="FX101" s="190">
        <f>AL101*AL$2*IF($FC101="V",1,-1)*IF($Q101="Fixo",(CZ101-INDEX('Curva Forward'!$C$5:$AN$13,MATCH(CONCATENATE(BD_COMERCIAL!$K101," ",BD_COMERCIAL!$L101),'Curva Forward'!$B$5:$B$13,0),MATCH(FX$4,'Curva Forward'!$C$4:$AN$4,0))),CZ101)</f>
        <v>0</v>
      </c>
      <c r="FY101" s="190">
        <f>AM101*AM$2*IF($FC101="V",1,-1)*IF($Q101="Fixo",(DA101-INDEX('Curva Forward'!$C$5:$AN$13,MATCH(CONCATENATE(BD_COMERCIAL!$K101," ",BD_COMERCIAL!$L101),'Curva Forward'!$B$5:$B$13,0),MATCH(FY$4,'Curva Forward'!$C$4:$AN$4,0))),DA101)</f>
        <v>0</v>
      </c>
      <c r="FZ101" s="190">
        <f>AN101*AN$2*IF($FC101="V",1,-1)*IF($Q101="Fixo",(DB101-INDEX('Curva Forward'!$C$5:$AN$13,MATCH(CONCATENATE(BD_COMERCIAL!$K101," ",BD_COMERCIAL!$L101),'Curva Forward'!$B$5:$B$13,0),MATCH(FZ$4,'Curva Forward'!$C$4:$AN$4,0))),DB101)</f>
        <v>186000</v>
      </c>
      <c r="GA101" s="190">
        <f>AO101*AO$2*IF($FC101="V",1,-1)*IF($Q101="Fixo",(DC101-INDEX('Curva Forward'!$C$5:$AN$13,MATCH(CONCATENATE(BD_COMERCIAL!$K101," ",BD_COMERCIAL!$L101),'Curva Forward'!$B$5:$B$13,0),MATCH(GA$4,'Curva Forward'!$C$4:$AN$4,0))),DC101)</f>
        <v>174000</v>
      </c>
      <c r="GB101" s="190">
        <f>AP101*AP$2*IF($FC101="V",1,-1)*IF($Q101="Fixo",(DD101-INDEX('Curva Forward'!$C$5:$AN$13,MATCH(CONCATENATE(BD_COMERCIAL!$K101," ",BD_COMERCIAL!$L101),'Curva Forward'!$B$5:$B$13,0),MATCH(GB$4,'Curva Forward'!$C$4:$AN$4,0))),DD101)</f>
        <v>186000</v>
      </c>
      <c r="GC101" s="190">
        <f>AQ101*AQ$2*IF($FC101="V",1,-1)*IF($Q101="Fixo",(DE101-INDEX('Curva Forward'!$C$5:$AN$13,MATCH(CONCATENATE(BD_COMERCIAL!$K101," ",BD_COMERCIAL!$L101),'Curva Forward'!$B$5:$B$13,0),MATCH(GC$4,'Curva Forward'!$C$4:$AN$4,0))),DE101)</f>
        <v>180000</v>
      </c>
      <c r="GD101" s="190">
        <f>AR101*AR$2*IF($FC101="V",1,-1)*IF($Q101="Fixo",(DF101-INDEX('Curva Forward'!$C$5:$AN$13,MATCH(CONCATENATE(BD_COMERCIAL!$K101," ",BD_COMERCIAL!$L101),'Curva Forward'!$B$5:$B$13,0),MATCH(GD$4,'Curva Forward'!$C$4:$AN$4,0))),DF101)</f>
        <v>186000</v>
      </c>
      <c r="GE101" s="190">
        <f>AS101*AS$2*IF($FC101="V",1,-1)*IF($Q101="Fixo",(DG101-INDEX('Curva Forward'!$C$5:$AN$13,MATCH(CONCATENATE(BD_COMERCIAL!$K101," ",BD_COMERCIAL!$L101),'Curva Forward'!$B$5:$B$13,0),MATCH(GE$4,'Curva Forward'!$C$4:$AN$4,0))),DG101)</f>
        <v>180000</v>
      </c>
      <c r="GF101" s="190">
        <f>AT101*AT$2*IF($FC101="V",1,-1)*IF($Q101="Fixo",(DH101-INDEX('Curva Forward'!$C$5:$AN$13,MATCH(CONCATENATE(BD_COMERCIAL!$K101," ",BD_COMERCIAL!$L101),'Curva Forward'!$B$5:$B$13,0),MATCH(GF$4,'Curva Forward'!$C$4:$AN$4,0))),DH101)</f>
        <v>152520</v>
      </c>
      <c r="GG101" s="190">
        <f>AU101*AU$2*IF($FC101="V",1,-1)*IF($Q101="Fixo",(DI101-INDEX('Curva Forward'!$C$5:$AN$13,MATCH(CONCATENATE(BD_COMERCIAL!$K101," ",BD_COMERCIAL!$L101),'Curva Forward'!$B$5:$B$13,0),MATCH(GG$4,'Curva Forward'!$C$4:$AN$4,0))),DI101)</f>
        <v>152520</v>
      </c>
      <c r="GH101" s="190">
        <f>AV101*AV$2*IF($FC101="V",1,-1)*IF($Q101="Fixo",(DJ101-INDEX('Curva Forward'!$C$5:$AN$13,MATCH(CONCATENATE(BD_COMERCIAL!$K101," ",BD_COMERCIAL!$L101),'Curva Forward'!$B$5:$B$13,0),MATCH(GH$4,'Curva Forward'!$C$4:$AN$4,0))),DJ101)</f>
        <v>147600</v>
      </c>
      <c r="GI101" s="190">
        <f>AW101*AW$2*IF($FC101="V",1,-1)*IF($Q101="Fixo",(DK101-INDEX('Curva Forward'!$C$5:$AN$13,MATCH(CONCATENATE(BD_COMERCIAL!$K101," ",BD_COMERCIAL!$L101),'Curva Forward'!$B$5:$B$13,0),MATCH(GI$4,'Curva Forward'!$C$4:$AN$4,0))),DK101)</f>
        <v>152520</v>
      </c>
      <c r="GJ101" s="190">
        <f>AX101*AX$2*IF($FC101="V",1,-1)*IF($Q101="Fixo",(DL101-INDEX('Curva Forward'!$C$5:$AN$13,MATCH(CONCATENATE(BD_COMERCIAL!$K101," ",BD_COMERCIAL!$L101),'Curva Forward'!$B$5:$B$13,0),MATCH(GJ$4,'Curva Forward'!$C$4:$AN$4,0))),DL101)</f>
        <v>147600</v>
      </c>
      <c r="GK101" s="190">
        <f>AY101*AY$2*IF($FC101="V",1,-1)*IF($Q101="Fixo",(DM101-INDEX('Curva Forward'!$C$5:$AN$13,MATCH(CONCATENATE(BD_COMERCIAL!$K101," ",BD_COMERCIAL!$L101),'Curva Forward'!$B$5:$B$13,0),MATCH(GK$4,'Curva Forward'!$C$4:$AN$4,0))),DM101)</f>
        <v>152520</v>
      </c>
      <c r="GL101" s="190">
        <f>IF(EZ101="",0,CL101*CL$2*IF($FC101="V",1,-1)*IF($Q101="Fixo",(EZ101-INDEX('Curva Forward'!$C$5:$AN$13,MATCH(CONCATENATE(BD_COMERCIAL!$K101," ",BD_COMERCIAL!$L101),'Curva Forward'!$B$5:$B$13,0),MATCH(GL$4,'Curva Forward'!$C$4:$AN$4,0))),EZ101))</f>
        <v>0</v>
      </c>
      <c r="GM101" s="190">
        <f>IF(FA101="",0,CM101*CM$2*IF($FC101="V",1,-1)*IF($Q101="Fixo",(FA101-INDEX('Curva Forward'!$C$5:$AN$13,MATCH(CONCATENATE(BD_COMERCIAL!$K101," ",BD_COMERCIAL!$L101),'Curva Forward'!$B$5:$B$13,0),MATCH(GM$4,'Curva Forward'!$C$4:$AN$4,0))),FA101))</f>
        <v>0</v>
      </c>
      <c r="GN101" s="190">
        <f>IF(FB101="",0,CN101*CN$2*IF($FC101="V",1,-1)*IF($Q101="Fixo",(FB101-INDEX('Curva Forward'!$C$5:$AN$13,MATCH(CONCATENATE(BD_COMERCIAL!$K101," ",BD_COMERCIAL!$L101),'Curva Forward'!$B$5:$B$13,0),MATCH(GN$4,'Curva Forward'!$C$4:$AN$4,0))),FB101))</f>
        <v>0</v>
      </c>
      <c r="GO101" s="191">
        <f t="shared" ca="1" si="18"/>
        <v>1997280</v>
      </c>
      <c r="GP101" s="191">
        <f t="shared" ca="1" si="19"/>
        <v>0</v>
      </c>
      <c r="GQ101" s="115"/>
      <c r="GR101" s="115"/>
      <c r="GS101"/>
      <c r="GT101" s="65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</row>
    <row r="102" spans="1:236" s="265" customFormat="1" ht="15" customHeight="1" x14ac:dyDescent="0.35">
      <c r="A102" s="251"/>
      <c r="B102" s="7" t="s">
        <v>473</v>
      </c>
      <c r="C102" s="8">
        <v>44876</v>
      </c>
      <c r="D102" s="9" t="s">
        <v>123</v>
      </c>
      <c r="E102" s="9" t="s">
        <v>381</v>
      </c>
      <c r="F102" s="112" t="s">
        <v>348</v>
      </c>
      <c r="G102" s="10" t="s">
        <v>313</v>
      </c>
      <c r="H102" s="112" t="s">
        <v>474</v>
      </c>
      <c r="I102" s="9" t="s">
        <v>137</v>
      </c>
      <c r="J102" s="158"/>
      <c r="K102" s="10" t="s">
        <v>30</v>
      </c>
      <c r="L102" s="84" t="s">
        <v>22</v>
      </c>
      <c r="M102" s="11">
        <v>45292</v>
      </c>
      <c r="N102" s="12">
        <v>45657</v>
      </c>
      <c r="O102" s="10">
        <v>5</v>
      </c>
      <c r="P102" s="84">
        <v>164</v>
      </c>
      <c r="Q102" s="84" t="s">
        <v>127</v>
      </c>
      <c r="R102" s="10" t="s">
        <v>128</v>
      </c>
      <c r="S102" s="14" t="s">
        <v>156</v>
      </c>
      <c r="T102" s="11" t="s">
        <v>129</v>
      </c>
      <c r="U102" s="12">
        <v>44876</v>
      </c>
      <c r="V102" s="202" t="e">
        <f ca="1">IF(U102="","",
IF(U102="NA","",
IFERROR(VLOOKUP(EOMONTH(M102,-2)+1,IPCA!$A:$B,2,0),
VLOOKUP(EOMONTH(TODAY(),-2)+1,IPCA!$A:$B,2,0))/
VLOOKUP(EOMONTH(U102,-2)+1,IPCA!$A:$B,2,0)*
P102))</f>
        <v>#N/A</v>
      </c>
      <c r="W102" s="84"/>
      <c r="X102" s="13" t="s">
        <v>132</v>
      </c>
      <c r="Y102" s="158"/>
      <c r="Z102" s="106"/>
      <c r="AA102" s="107"/>
      <c r="AB102" s="15"/>
      <c r="AC102"/>
      <c r="AD102"/>
      <c r="AE102"/>
      <c r="AF102"/>
      <c r="AG102"/>
      <c r="AH102"/>
      <c r="AI102"/>
      <c r="AJ102"/>
      <c r="AK102"/>
      <c r="AL102"/>
      <c r="AM102" s="6"/>
      <c r="AN102" s="15">
        <v>5</v>
      </c>
      <c r="AO102">
        <v>5</v>
      </c>
      <c r="AP102">
        <v>5</v>
      </c>
      <c r="AQ102">
        <v>5</v>
      </c>
      <c r="AR102">
        <v>5</v>
      </c>
      <c r="AS102">
        <v>5</v>
      </c>
      <c r="AT102">
        <v>5</v>
      </c>
      <c r="AU102">
        <v>5</v>
      </c>
      <c r="AV102">
        <v>5</v>
      </c>
      <c r="AW102">
        <v>5</v>
      </c>
      <c r="AX102">
        <v>5</v>
      </c>
      <c r="AY102" s="6">
        <v>5</v>
      </c>
      <c r="AZ102" s="15"/>
      <c r="BA102"/>
      <c r="BB102"/>
      <c r="BC102"/>
      <c r="BD102"/>
      <c r="BE102"/>
      <c r="BF102"/>
      <c r="BG102"/>
      <c r="BH102"/>
      <c r="BI102"/>
      <c r="BJ102"/>
      <c r="BK102" s="6"/>
      <c r="BL102" s="15"/>
      <c r="BM102"/>
      <c r="BN102"/>
      <c r="BO102"/>
      <c r="BP102"/>
      <c r="BQ102"/>
      <c r="BR102"/>
      <c r="BS102"/>
      <c r="BT102"/>
      <c r="BU102"/>
      <c r="BV102"/>
      <c r="BW102" s="6"/>
      <c r="BX102" s="15"/>
      <c r="BY102"/>
      <c r="BZ102"/>
      <c r="CA102"/>
      <c r="CB102"/>
      <c r="CC102"/>
      <c r="CD102"/>
      <c r="CE102"/>
      <c r="CF102"/>
      <c r="CG102"/>
      <c r="CH102"/>
      <c r="CI102" s="6"/>
      <c r="CJ102" s="16" t="s">
        <v>578</v>
      </c>
      <c r="CK102" s="16">
        <v>5</v>
      </c>
      <c r="CL102" s="16" t="s">
        <v>578</v>
      </c>
      <c r="CM102" s="16" t="s">
        <v>578</v>
      </c>
      <c r="CN102" s="16" t="s">
        <v>578</v>
      </c>
      <c r="CO102" s="18"/>
      <c r="CP102" s="15"/>
      <c r="CQ102"/>
      <c r="CR102"/>
      <c r="CS102"/>
      <c r="CT102"/>
      <c r="CU102"/>
      <c r="CV102"/>
      <c r="CW102"/>
      <c r="CX102"/>
      <c r="CY102"/>
      <c r="CZ102"/>
      <c r="DA102" s="6"/>
      <c r="DB102" s="15">
        <v>164</v>
      </c>
      <c r="DC102">
        <v>164</v>
      </c>
      <c r="DD102">
        <v>164</v>
      </c>
      <c r="DE102">
        <v>164</v>
      </c>
      <c r="DF102">
        <v>164</v>
      </c>
      <c r="DG102">
        <v>164</v>
      </c>
      <c r="DH102">
        <v>164</v>
      </c>
      <c r="DI102">
        <v>164</v>
      </c>
      <c r="DJ102">
        <v>164</v>
      </c>
      <c r="DK102">
        <v>164</v>
      </c>
      <c r="DL102">
        <v>164</v>
      </c>
      <c r="DM102" s="6">
        <v>164</v>
      </c>
      <c r="DN102" s="15"/>
      <c r="DO102"/>
      <c r="DP102"/>
      <c r="DQ102"/>
      <c r="DR102"/>
      <c r="DS102"/>
      <c r="DT102"/>
      <c r="DU102"/>
      <c r="DV102"/>
      <c r="DW102"/>
      <c r="DX102"/>
      <c r="DY102" s="6"/>
      <c r="DZ102" s="15"/>
      <c r="EA102"/>
      <c r="EB102"/>
      <c r="EC102"/>
      <c r="ED102"/>
      <c r="EE102"/>
      <c r="EF102"/>
      <c r="EG102"/>
      <c r="EH102"/>
      <c r="EI102"/>
      <c r="EJ102"/>
      <c r="EK102" s="6"/>
      <c r="EL102" s="15"/>
      <c r="EM102"/>
      <c r="EN102"/>
      <c r="EO102"/>
      <c r="EP102"/>
      <c r="EQ102"/>
      <c r="ER102"/>
      <c r="ES102"/>
      <c r="ET102"/>
      <c r="EU102"/>
      <c r="EV102"/>
      <c r="EW102" s="6"/>
      <c r="EX102" s="16" t="s">
        <v>578</v>
      </c>
      <c r="EY102" s="16">
        <v>164</v>
      </c>
      <c r="EZ102" s="16" t="s">
        <v>578</v>
      </c>
      <c r="FA102" s="154" t="s">
        <v>578</v>
      </c>
      <c r="FB102" s="154" t="s">
        <v>578</v>
      </c>
      <c r="FC102" t="s">
        <v>195</v>
      </c>
      <c r="FD102" s="20" t="s">
        <v>137</v>
      </c>
      <c r="FE102"/>
      <c r="FF102" s="199" t="s">
        <v>197</v>
      </c>
      <c r="FG102"/>
      <c r="FH102" s="206" t="e">
        <f t="shared" ca="1" si="13"/>
        <v>#N/A</v>
      </c>
      <c r="FI102" s="198">
        <f t="shared" si="14"/>
        <v>12.166666666666666</v>
      </c>
      <c r="FJ102"/>
      <c r="FK102" t="str">
        <f t="shared" si="15"/>
        <v>IBITU COMERCIALIZADORA DE ENERGIA LTDA</v>
      </c>
      <c r="FL102" s="191">
        <f t="shared" ca="1" si="16"/>
        <v>0</v>
      </c>
      <c r="FM102" s="191">
        <f t="shared" ca="1" si="17"/>
        <v>2260800</v>
      </c>
      <c r="FN102" s="190">
        <f>AB102*AB$2*IF($FC102="V",1,-1)*IF($Q102="Fixo",(CP102-INDEX('Curva Forward'!$C$5:$AN$13,MATCH(CONCATENATE(BD_COMERCIAL!$K102," ",BD_COMERCIAL!$L102),'Curva Forward'!$B$5:$B$13,0),MATCH(FN$4,'Curva Forward'!$C$4:$AN$4,0))),CP102)</f>
        <v>0</v>
      </c>
      <c r="FO102" s="190">
        <f>AC102*AC$2*IF($FC102="V",1,-1)*IF($Q102="Fixo",(CQ102-INDEX('Curva Forward'!$C$5:$AN$13,MATCH(CONCATENATE(BD_COMERCIAL!$K102," ",BD_COMERCIAL!$L102),'Curva Forward'!$B$5:$B$13,0),MATCH(FO$4,'Curva Forward'!$C$4:$AN$4,0))),CQ102)</f>
        <v>0</v>
      </c>
      <c r="FP102" s="190">
        <f>AD102*AD$2*IF($FC102="V",1,-1)*IF($Q102="Fixo",(CR102-INDEX('Curva Forward'!$C$5:$AN$13,MATCH(CONCATENATE(BD_COMERCIAL!$K102," ",BD_COMERCIAL!$L102),'Curva Forward'!$B$5:$B$13,0),MATCH(FP$4,'Curva Forward'!$C$4:$AN$4,0))),CR102)</f>
        <v>0</v>
      </c>
      <c r="FQ102" s="190">
        <f>AE102*AE$2*IF($FC102="V",1,-1)*IF($Q102="Fixo",(CS102-INDEX('Curva Forward'!$C$5:$AN$13,MATCH(CONCATENATE(BD_COMERCIAL!$K102," ",BD_COMERCIAL!$L102),'Curva Forward'!$B$5:$B$13,0),MATCH(FQ$4,'Curva Forward'!$C$4:$AN$4,0))),CS102)</f>
        <v>0</v>
      </c>
      <c r="FR102" s="190">
        <f>AF102*AF$2*IF($FC102="V",1,-1)*IF($Q102="Fixo",(CT102-INDEX('Curva Forward'!$C$5:$AN$13,MATCH(CONCATENATE(BD_COMERCIAL!$K102," ",BD_COMERCIAL!$L102),'Curva Forward'!$B$5:$B$13,0),MATCH(FR$4,'Curva Forward'!$C$4:$AN$4,0))),CT102)</f>
        <v>0</v>
      </c>
      <c r="FS102" s="190">
        <f>AG102*AG$2*IF($FC102="V",1,-1)*IF($Q102="Fixo",(CU102-INDEX('Curva Forward'!$C$5:$AN$13,MATCH(CONCATENATE(BD_COMERCIAL!$K102," ",BD_COMERCIAL!$L102),'Curva Forward'!$B$5:$B$13,0),MATCH(FS$4,'Curva Forward'!$C$4:$AN$4,0))),CU102)</f>
        <v>0</v>
      </c>
      <c r="FT102" s="190">
        <f>AH102*AH$2*IF($FC102="V",1,-1)*IF($Q102="Fixo",(CV102-INDEX('Curva Forward'!$C$5:$AN$13,MATCH(CONCATENATE(BD_COMERCIAL!$K102," ",BD_COMERCIAL!$L102),'Curva Forward'!$B$5:$B$13,0),MATCH(FT$4,'Curva Forward'!$C$4:$AN$4,0))),CV102)</f>
        <v>0</v>
      </c>
      <c r="FU102" s="190">
        <f>AI102*AI$2*IF($FC102="V",1,-1)*IF($Q102="Fixo",(CW102-INDEX('Curva Forward'!$C$5:$AN$13,MATCH(CONCATENATE(BD_COMERCIAL!$K102," ",BD_COMERCIAL!$L102),'Curva Forward'!$B$5:$B$13,0),MATCH(FU$4,'Curva Forward'!$C$4:$AN$4,0))),CW102)</f>
        <v>0</v>
      </c>
      <c r="FV102" s="190">
        <f>AJ102*AJ$2*IF($FC102="V",1,-1)*IF($Q102="Fixo",(CX102-INDEX('Curva Forward'!$C$5:$AN$13,MATCH(CONCATENATE(BD_COMERCIAL!$K102," ",BD_COMERCIAL!$L102),'Curva Forward'!$B$5:$B$13,0),MATCH(FV$4,'Curva Forward'!$C$4:$AN$4,0))),CX102)</f>
        <v>0</v>
      </c>
      <c r="FW102" s="190">
        <f>AK102*AK$2*IF($FC102="V",1,-1)*IF($Q102="Fixo",(CY102-INDEX('Curva Forward'!$C$5:$AN$13,MATCH(CONCATENATE(BD_COMERCIAL!$K102," ",BD_COMERCIAL!$L102),'Curva Forward'!$B$5:$B$13,0),MATCH(FW$4,'Curva Forward'!$C$4:$AN$4,0))),CY102)</f>
        <v>0</v>
      </c>
      <c r="FX102" s="190">
        <f>AL102*AL$2*IF($FC102="V",1,-1)*IF($Q102="Fixo",(CZ102-INDEX('Curva Forward'!$C$5:$AN$13,MATCH(CONCATENATE(BD_COMERCIAL!$K102," ",BD_COMERCIAL!$L102),'Curva Forward'!$B$5:$B$13,0),MATCH(FX$4,'Curva Forward'!$C$4:$AN$4,0))),CZ102)</f>
        <v>0</v>
      </c>
      <c r="FY102" s="190">
        <f>AM102*AM$2*IF($FC102="V",1,-1)*IF($Q102="Fixo",(DA102-INDEX('Curva Forward'!$C$5:$AN$13,MATCH(CONCATENATE(BD_COMERCIAL!$K102," ",BD_COMERCIAL!$L102),'Curva Forward'!$B$5:$B$13,0),MATCH(FY$4,'Curva Forward'!$C$4:$AN$4,0))),DA102)</f>
        <v>0</v>
      </c>
      <c r="FZ102" s="190">
        <f>AN102*AN$2*IF($FC102="V",1,-1)*IF($Q102="Fixo",(DB102-INDEX('Curva Forward'!$C$5:$AN$13,MATCH(CONCATENATE(BD_COMERCIAL!$K102," ",BD_COMERCIAL!$L102),'Curva Forward'!$B$5:$B$13,0),MATCH(FZ$4,'Curva Forward'!$C$4:$AN$4,0))),DB102)</f>
        <v>208320</v>
      </c>
      <c r="GA102" s="190">
        <f>AO102*AO$2*IF($FC102="V",1,-1)*IF($Q102="Fixo",(DC102-INDEX('Curva Forward'!$C$5:$AN$13,MATCH(CONCATENATE(BD_COMERCIAL!$K102," ",BD_COMERCIAL!$L102),'Curva Forward'!$B$5:$B$13,0),MATCH(GA$4,'Curva Forward'!$C$4:$AN$4,0))),DC102)</f>
        <v>194880</v>
      </c>
      <c r="GB102" s="190">
        <f>AP102*AP$2*IF($FC102="V",1,-1)*IF($Q102="Fixo",(DD102-INDEX('Curva Forward'!$C$5:$AN$13,MATCH(CONCATENATE(BD_COMERCIAL!$K102," ",BD_COMERCIAL!$L102),'Curva Forward'!$B$5:$B$13,0),MATCH(GB$4,'Curva Forward'!$C$4:$AN$4,0))),DD102)</f>
        <v>208320</v>
      </c>
      <c r="GC102" s="190">
        <f>AQ102*AQ$2*IF($FC102="V",1,-1)*IF($Q102="Fixo",(DE102-INDEX('Curva Forward'!$C$5:$AN$13,MATCH(CONCATENATE(BD_COMERCIAL!$K102," ",BD_COMERCIAL!$L102),'Curva Forward'!$B$5:$B$13,0),MATCH(GC$4,'Curva Forward'!$C$4:$AN$4,0))),DE102)</f>
        <v>201600</v>
      </c>
      <c r="GD102" s="190">
        <f>AR102*AR$2*IF($FC102="V",1,-1)*IF($Q102="Fixo",(DF102-INDEX('Curva Forward'!$C$5:$AN$13,MATCH(CONCATENATE(BD_COMERCIAL!$K102," ",BD_COMERCIAL!$L102),'Curva Forward'!$B$5:$B$13,0),MATCH(GD$4,'Curva Forward'!$C$4:$AN$4,0))),DF102)</f>
        <v>208320</v>
      </c>
      <c r="GE102" s="190">
        <f>AS102*AS$2*IF($FC102="V",1,-1)*IF($Q102="Fixo",(DG102-INDEX('Curva Forward'!$C$5:$AN$13,MATCH(CONCATENATE(BD_COMERCIAL!$K102," ",BD_COMERCIAL!$L102),'Curva Forward'!$B$5:$B$13,0),MATCH(GE$4,'Curva Forward'!$C$4:$AN$4,0))),DG102)</f>
        <v>201600</v>
      </c>
      <c r="GF102" s="190">
        <f>AT102*AT$2*IF($FC102="V",1,-1)*IF($Q102="Fixo",(DH102-INDEX('Curva Forward'!$C$5:$AN$13,MATCH(CONCATENATE(BD_COMERCIAL!$K102," ",BD_COMERCIAL!$L102),'Curva Forward'!$B$5:$B$13,0),MATCH(GF$4,'Curva Forward'!$C$4:$AN$4,0))),DH102)</f>
        <v>174840</v>
      </c>
      <c r="GG102" s="190">
        <f>AU102*AU$2*IF($FC102="V",1,-1)*IF($Q102="Fixo",(DI102-INDEX('Curva Forward'!$C$5:$AN$13,MATCH(CONCATENATE(BD_COMERCIAL!$K102," ",BD_COMERCIAL!$L102),'Curva Forward'!$B$5:$B$13,0),MATCH(GG$4,'Curva Forward'!$C$4:$AN$4,0))),DI102)</f>
        <v>174840</v>
      </c>
      <c r="GH102" s="190">
        <f>AV102*AV$2*IF($FC102="V",1,-1)*IF($Q102="Fixo",(DJ102-INDEX('Curva Forward'!$C$5:$AN$13,MATCH(CONCATENATE(BD_COMERCIAL!$K102," ",BD_COMERCIAL!$L102),'Curva Forward'!$B$5:$B$13,0),MATCH(GH$4,'Curva Forward'!$C$4:$AN$4,0))),DJ102)</f>
        <v>169200</v>
      </c>
      <c r="GI102" s="190">
        <f>AW102*AW$2*IF($FC102="V",1,-1)*IF($Q102="Fixo",(DK102-INDEX('Curva Forward'!$C$5:$AN$13,MATCH(CONCATENATE(BD_COMERCIAL!$K102," ",BD_COMERCIAL!$L102),'Curva Forward'!$B$5:$B$13,0),MATCH(GI$4,'Curva Forward'!$C$4:$AN$4,0))),DK102)</f>
        <v>174840</v>
      </c>
      <c r="GJ102" s="190">
        <f>AX102*AX$2*IF($FC102="V",1,-1)*IF($Q102="Fixo",(DL102-INDEX('Curva Forward'!$C$5:$AN$13,MATCH(CONCATENATE(BD_COMERCIAL!$K102," ",BD_COMERCIAL!$L102),'Curva Forward'!$B$5:$B$13,0),MATCH(GJ$4,'Curva Forward'!$C$4:$AN$4,0))),DL102)</f>
        <v>169200</v>
      </c>
      <c r="GK102" s="190">
        <f>AY102*AY$2*IF($FC102="V",1,-1)*IF($Q102="Fixo",(DM102-INDEX('Curva Forward'!$C$5:$AN$13,MATCH(CONCATENATE(BD_COMERCIAL!$K102," ",BD_COMERCIAL!$L102),'Curva Forward'!$B$5:$B$13,0),MATCH(GK$4,'Curva Forward'!$C$4:$AN$4,0))),DM102)</f>
        <v>174840</v>
      </c>
      <c r="GL102" s="190">
        <f>IF(EZ102="",0,CL102*CL$2*IF($FC102="V",1,-1)*IF($Q102="Fixo",(EZ102-INDEX('Curva Forward'!$C$5:$AN$13,MATCH(CONCATENATE(BD_COMERCIAL!$K102," ",BD_COMERCIAL!$L102),'Curva Forward'!$B$5:$B$13,0),MATCH(GL$4,'Curva Forward'!$C$4:$AN$4,0))),EZ102))</f>
        <v>0</v>
      </c>
      <c r="GM102" s="190">
        <f>IF(FA102="",0,CM102*CM$2*IF($FC102="V",1,-1)*IF($Q102="Fixo",(FA102-INDEX('Curva Forward'!$C$5:$AN$13,MATCH(CONCATENATE(BD_COMERCIAL!$K102," ",BD_COMERCIAL!$L102),'Curva Forward'!$B$5:$B$13,0),MATCH(GM$4,'Curva Forward'!$C$4:$AN$4,0))),FA102))</f>
        <v>0</v>
      </c>
      <c r="GN102" s="190">
        <f>IF(FB102="",0,CN102*CN$2*IF($FC102="V",1,-1)*IF($Q102="Fixo",(FB102-INDEX('Curva Forward'!$C$5:$AN$13,MATCH(CONCATENATE(BD_COMERCIAL!$K102," ",BD_COMERCIAL!$L102),'Curva Forward'!$B$5:$B$13,0),MATCH(GN$4,'Curva Forward'!$C$4:$AN$4,0))),FB102))</f>
        <v>0</v>
      </c>
      <c r="GO102" s="191">
        <f t="shared" ca="1" si="18"/>
        <v>2260800</v>
      </c>
      <c r="GP102" s="191">
        <f t="shared" ca="1" si="19"/>
        <v>0</v>
      </c>
      <c r="GQ102" s="115"/>
      <c r="GR102" s="115"/>
      <c r="GS102"/>
      <c r="GT102" s="65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</row>
    <row r="103" spans="1:236" s="265" customFormat="1" ht="15" customHeight="1" x14ac:dyDescent="0.35">
      <c r="A103" s="251"/>
      <c r="B103" s="7" t="s">
        <v>489</v>
      </c>
      <c r="C103" s="8">
        <v>44879</v>
      </c>
      <c r="D103" s="9" t="s">
        <v>130</v>
      </c>
      <c r="E103" s="10" t="s">
        <v>145</v>
      </c>
      <c r="F103" s="112"/>
      <c r="G103" s="9" t="s">
        <v>381</v>
      </c>
      <c r="H103" s="112" t="s">
        <v>348</v>
      </c>
      <c r="I103" s="9" t="s">
        <v>137</v>
      </c>
      <c r="J103" s="158" t="s">
        <v>475</v>
      </c>
      <c r="K103" s="10" t="s">
        <v>126</v>
      </c>
      <c r="L103" s="84" t="s">
        <v>22</v>
      </c>
      <c r="M103" s="11">
        <v>45292</v>
      </c>
      <c r="N103" s="12">
        <v>45657</v>
      </c>
      <c r="O103" s="10">
        <v>5</v>
      </c>
      <c r="P103" s="84">
        <v>130</v>
      </c>
      <c r="Q103" s="84" t="s">
        <v>127</v>
      </c>
      <c r="R103" s="10" t="s">
        <v>128</v>
      </c>
      <c r="S103" s="14" t="s">
        <v>133</v>
      </c>
      <c r="T103" s="11" t="s">
        <v>129</v>
      </c>
      <c r="U103" s="12">
        <v>44876</v>
      </c>
      <c r="V103" s="202" t="e">
        <f ca="1">IF(U103="","",
IF(U103="NA","",
IFERROR(VLOOKUP(EOMONTH(M103,-2)+1,IPCA!$A:$B,2,0),
VLOOKUP(EOMONTH(TODAY(),-2)+1,IPCA!$A:$B,2,0))/
VLOOKUP(EOMONTH(U103,-2)+1,IPCA!$A:$B,2,0)*
P103))</f>
        <v>#N/A</v>
      </c>
      <c r="W103" s="84"/>
      <c r="X103" s="13"/>
      <c r="Y103" s="158"/>
      <c r="Z103" s="106" t="s">
        <v>146</v>
      </c>
      <c r="AA103" s="106" t="s">
        <v>146</v>
      </c>
      <c r="AB103" s="15"/>
      <c r="AC103"/>
      <c r="AD103"/>
      <c r="AE103"/>
      <c r="AF103"/>
      <c r="AG103"/>
      <c r="AH103"/>
      <c r="AI103"/>
      <c r="AJ103"/>
      <c r="AK103"/>
      <c r="AL103"/>
      <c r="AM103" s="6"/>
      <c r="AN103" s="15">
        <v>5</v>
      </c>
      <c r="AO103">
        <v>5</v>
      </c>
      <c r="AP103">
        <v>5</v>
      </c>
      <c r="AQ103">
        <v>5</v>
      </c>
      <c r="AR103">
        <v>5</v>
      </c>
      <c r="AS103">
        <v>5</v>
      </c>
      <c r="AT103">
        <v>5</v>
      </c>
      <c r="AU103">
        <v>5</v>
      </c>
      <c r="AV103">
        <v>5</v>
      </c>
      <c r="AW103">
        <v>5</v>
      </c>
      <c r="AX103">
        <v>5</v>
      </c>
      <c r="AY103" s="6">
        <v>5</v>
      </c>
      <c r="AZ103" s="15"/>
      <c r="BA103"/>
      <c r="BB103"/>
      <c r="BC103"/>
      <c r="BD103"/>
      <c r="BE103"/>
      <c r="BF103"/>
      <c r="BG103"/>
      <c r="BH103"/>
      <c r="BI103"/>
      <c r="BJ103"/>
      <c r="BK103" s="6"/>
      <c r="BL103" s="15"/>
      <c r="BM103"/>
      <c r="BN103"/>
      <c r="BO103"/>
      <c r="BP103"/>
      <c r="BQ103"/>
      <c r="BR103"/>
      <c r="BS103"/>
      <c r="BT103"/>
      <c r="BU103"/>
      <c r="BV103"/>
      <c r="BW103" s="6"/>
      <c r="BX103" s="15"/>
      <c r="BY103"/>
      <c r="BZ103"/>
      <c r="CA103"/>
      <c r="CB103"/>
      <c r="CC103"/>
      <c r="CD103"/>
      <c r="CE103"/>
      <c r="CF103"/>
      <c r="CG103"/>
      <c r="CH103"/>
      <c r="CI103" s="6"/>
      <c r="CJ103" s="16" t="s">
        <v>578</v>
      </c>
      <c r="CK103" s="16">
        <v>5</v>
      </c>
      <c r="CL103" s="16" t="s">
        <v>578</v>
      </c>
      <c r="CM103" s="16" t="s">
        <v>578</v>
      </c>
      <c r="CN103" s="16" t="s">
        <v>578</v>
      </c>
      <c r="CO103" s="18"/>
      <c r="CP103" s="15"/>
      <c r="CQ103"/>
      <c r="CR103"/>
      <c r="CS103"/>
      <c r="CT103"/>
      <c r="CU103"/>
      <c r="CV103"/>
      <c r="CW103"/>
      <c r="CX103"/>
      <c r="CY103"/>
      <c r="CZ103"/>
      <c r="DA103" s="6"/>
      <c r="DB103" s="15">
        <v>130</v>
      </c>
      <c r="DC103">
        <v>130</v>
      </c>
      <c r="DD103">
        <v>130</v>
      </c>
      <c r="DE103">
        <v>130</v>
      </c>
      <c r="DF103">
        <v>130</v>
      </c>
      <c r="DG103">
        <v>130</v>
      </c>
      <c r="DH103">
        <v>130</v>
      </c>
      <c r="DI103">
        <v>130</v>
      </c>
      <c r="DJ103">
        <v>130</v>
      </c>
      <c r="DK103">
        <v>130</v>
      </c>
      <c r="DL103">
        <v>130</v>
      </c>
      <c r="DM103" s="6">
        <v>130</v>
      </c>
      <c r="DN103" s="15"/>
      <c r="DO103"/>
      <c r="DP103"/>
      <c r="DQ103"/>
      <c r="DR103"/>
      <c r="DS103"/>
      <c r="DT103"/>
      <c r="DU103"/>
      <c r="DV103"/>
      <c r="DW103"/>
      <c r="DX103"/>
      <c r="DY103" s="6"/>
      <c r="DZ103" s="15"/>
      <c r="EA103"/>
      <c r="EB103"/>
      <c r="EC103"/>
      <c r="ED103"/>
      <c r="EE103"/>
      <c r="EF103"/>
      <c r="EG103"/>
      <c r="EH103"/>
      <c r="EI103"/>
      <c r="EJ103"/>
      <c r="EK103" s="6"/>
      <c r="EL103" s="15"/>
      <c r="EM103"/>
      <c r="EN103"/>
      <c r="EO103"/>
      <c r="EP103"/>
      <c r="EQ103"/>
      <c r="ER103"/>
      <c r="ES103"/>
      <c r="ET103"/>
      <c r="EU103"/>
      <c r="EV103"/>
      <c r="EW103" s="6"/>
      <c r="EX103" s="16" t="s">
        <v>578</v>
      </c>
      <c r="EY103" s="16">
        <v>130</v>
      </c>
      <c r="EZ103" s="16" t="s">
        <v>578</v>
      </c>
      <c r="FA103" s="154" t="s">
        <v>578</v>
      </c>
      <c r="FB103" s="154" t="s">
        <v>578</v>
      </c>
      <c r="FC103" t="s">
        <v>196</v>
      </c>
      <c r="FD103" s="20" t="s">
        <v>145</v>
      </c>
      <c r="FE103"/>
      <c r="FF103" s="199" t="s">
        <v>197</v>
      </c>
      <c r="FG103"/>
      <c r="FH103" s="206" t="e">
        <f t="shared" ca="1" si="13"/>
        <v>#N/A</v>
      </c>
      <c r="FI103" s="198">
        <f t="shared" si="14"/>
        <v>12.166666666666666</v>
      </c>
      <c r="FJ103"/>
      <c r="FK103" t="str">
        <f t="shared" si="15"/>
        <v>Portfólio</v>
      </c>
      <c r="FL103" s="191">
        <f t="shared" ca="1" si="16"/>
        <v>0</v>
      </c>
      <c r="FM103" s="191">
        <f t="shared" ca="1" si="17"/>
        <v>-1997280</v>
      </c>
      <c r="FN103" s="190">
        <f>AB103*AB$2*IF($FC103="V",1,-1)*IF($Q103="Fixo",(CP103-INDEX('Curva Forward'!$C$5:$AN$13,MATCH(CONCATENATE(BD_COMERCIAL!$K103," ",BD_COMERCIAL!$L103),'Curva Forward'!$B$5:$B$13,0),MATCH(FN$4,'Curva Forward'!$C$4:$AN$4,0))),CP103)</f>
        <v>0</v>
      </c>
      <c r="FO103" s="190">
        <f>AC103*AC$2*IF($FC103="V",1,-1)*IF($Q103="Fixo",(CQ103-INDEX('Curva Forward'!$C$5:$AN$13,MATCH(CONCATENATE(BD_COMERCIAL!$K103," ",BD_COMERCIAL!$L103),'Curva Forward'!$B$5:$B$13,0),MATCH(FO$4,'Curva Forward'!$C$4:$AN$4,0))),CQ103)</f>
        <v>0</v>
      </c>
      <c r="FP103" s="190">
        <f>AD103*AD$2*IF($FC103="V",1,-1)*IF($Q103="Fixo",(CR103-INDEX('Curva Forward'!$C$5:$AN$13,MATCH(CONCATENATE(BD_COMERCIAL!$K103," ",BD_COMERCIAL!$L103),'Curva Forward'!$B$5:$B$13,0),MATCH(FP$4,'Curva Forward'!$C$4:$AN$4,0))),CR103)</f>
        <v>0</v>
      </c>
      <c r="FQ103" s="190">
        <f>AE103*AE$2*IF($FC103="V",1,-1)*IF($Q103="Fixo",(CS103-INDEX('Curva Forward'!$C$5:$AN$13,MATCH(CONCATENATE(BD_COMERCIAL!$K103," ",BD_COMERCIAL!$L103),'Curva Forward'!$B$5:$B$13,0),MATCH(FQ$4,'Curva Forward'!$C$4:$AN$4,0))),CS103)</f>
        <v>0</v>
      </c>
      <c r="FR103" s="190">
        <f>AF103*AF$2*IF($FC103="V",1,-1)*IF($Q103="Fixo",(CT103-INDEX('Curva Forward'!$C$5:$AN$13,MATCH(CONCATENATE(BD_COMERCIAL!$K103," ",BD_COMERCIAL!$L103),'Curva Forward'!$B$5:$B$13,0),MATCH(FR$4,'Curva Forward'!$C$4:$AN$4,0))),CT103)</f>
        <v>0</v>
      </c>
      <c r="FS103" s="190">
        <f>AG103*AG$2*IF($FC103="V",1,-1)*IF($Q103="Fixo",(CU103-INDEX('Curva Forward'!$C$5:$AN$13,MATCH(CONCATENATE(BD_COMERCIAL!$K103," ",BD_COMERCIAL!$L103),'Curva Forward'!$B$5:$B$13,0),MATCH(FS$4,'Curva Forward'!$C$4:$AN$4,0))),CU103)</f>
        <v>0</v>
      </c>
      <c r="FT103" s="190">
        <f>AH103*AH$2*IF($FC103="V",1,-1)*IF($Q103="Fixo",(CV103-INDEX('Curva Forward'!$C$5:$AN$13,MATCH(CONCATENATE(BD_COMERCIAL!$K103," ",BD_COMERCIAL!$L103),'Curva Forward'!$B$5:$B$13,0),MATCH(FT$4,'Curva Forward'!$C$4:$AN$4,0))),CV103)</f>
        <v>0</v>
      </c>
      <c r="FU103" s="190">
        <f>AI103*AI$2*IF($FC103="V",1,-1)*IF($Q103="Fixo",(CW103-INDEX('Curva Forward'!$C$5:$AN$13,MATCH(CONCATENATE(BD_COMERCIAL!$K103," ",BD_COMERCIAL!$L103),'Curva Forward'!$B$5:$B$13,0),MATCH(FU$4,'Curva Forward'!$C$4:$AN$4,0))),CW103)</f>
        <v>0</v>
      </c>
      <c r="FV103" s="190">
        <f>AJ103*AJ$2*IF($FC103="V",1,-1)*IF($Q103="Fixo",(CX103-INDEX('Curva Forward'!$C$5:$AN$13,MATCH(CONCATENATE(BD_COMERCIAL!$K103," ",BD_COMERCIAL!$L103),'Curva Forward'!$B$5:$B$13,0),MATCH(FV$4,'Curva Forward'!$C$4:$AN$4,0))),CX103)</f>
        <v>0</v>
      </c>
      <c r="FW103" s="190">
        <f>AK103*AK$2*IF($FC103="V",1,-1)*IF($Q103="Fixo",(CY103-INDEX('Curva Forward'!$C$5:$AN$13,MATCH(CONCATENATE(BD_COMERCIAL!$K103," ",BD_COMERCIAL!$L103),'Curva Forward'!$B$5:$B$13,0),MATCH(FW$4,'Curva Forward'!$C$4:$AN$4,0))),CY103)</f>
        <v>0</v>
      </c>
      <c r="FX103" s="190">
        <f>AL103*AL$2*IF($FC103="V",1,-1)*IF($Q103="Fixo",(CZ103-INDEX('Curva Forward'!$C$5:$AN$13,MATCH(CONCATENATE(BD_COMERCIAL!$K103," ",BD_COMERCIAL!$L103),'Curva Forward'!$B$5:$B$13,0),MATCH(FX$4,'Curva Forward'!$C$4:$AN$4,0))),CZ103)</f>
        <v>0</v>
      </c>
      <c r="FY103" s="190">
        <f>AM103*AM$2*IF($FC103="V",1,-1)*IF($Q103="Fixo",(DA103-INDEX('Curva Forward'!$C$5:$AN$13,MATCH(CONCATENATE(BD_COMERCIAL!$K103," ",BD_COMERCIAL!$L103),'Curva Forward'!$B$5:$B$13,0),MATCH(FY$4,'Curva Forward'!$C$4:$AN$4,0))),DA103)</f>
        <v>0</v>
      </c>
      <c r="FZ103" s="190">
        <f>AN103*AN$2*IF($FC103="V",1,-1)*IF($Q103="Fixo",(DB103-INDEX('Curva Forward'!$C$5:$AN$13,MATCH(CONCATENATE(BD_COMERCIAL!$K103," ",BD_COMERCIAL!$L103),'Curva Forward'!$B$5:$B$13,0),MATCH(FZ$4,'Curva Forward'!$C$4:$AN$4,0))),DB103)</f>
        <v>-186000</v>
      </c>
      <c r="GA103" s="190">
        <f>AO103*AO$2*IF($FC103="V",1,-1)*IF($Q103="Fixo",(DC103-INDEX('Curva Forward'!$C$5:$AN$13,MATCH(CONCATENATE(BD_COMERCIAL!$K103," ",BD_COMERCIAL!$L103),'Curva Forward'!$B$5:$B$13,0),MATCH(GA$4,'Curva Forward'!$C$4:$AN$4,0))),DC103)</f>
        <v>-174000</v>
      </c>
      <c r="GB103" s="190">
        <f>AP103*AP$2*IF($FC103="V",1,-1)*IF($Q103="Fixo",(DD103-INDEX('Curva Forward'!$C$5:$AN$13,MATCH(CONCATENATE(BD_COMERCIAL!$K103," ",BD_COMERCIAL!$L103),'Curva Forward'!$B$5:$B$13,0),MATCH(GB$4,'Curva Forward'!$C$4:$AN$4,0))),DD103)</f>
        <v>-186000</v>
      </c>
      <c r="GC103" s="190">
        <f>AQ103*AQ$2*IF($FC103="V",1,-1)*IF($Q103="Fixo",(DE103-INDEX('Curva Forward'!$C$5:$AN$13,MATCH(CONCATENATE(BD_COMERCIAL!$K103," ",BD_COMERCIAL!$L103),'Curva Forward'!$B$5:$B$13,0),MATCH(GC$4,'Curva Forward'!$C$4:$AN$4,0))),DE103)</f>
        <v>-180000</v>
      </c>
      <c r="GD103" s="190">
        <f>AR103*AR$2*IF($FC103="V",1,-1)*IF($Q103="Fixo",(DF103-INDEX('Curva Forward'!$C$5:$AN$13,MATCH(CONCATENATE(BD_COMERCIAL!$K103," ",BD_COMERCIAL!$L103),'Curva Forward'!$B$5:$B$13,0),MATCH(GD$4,'Curva Forward'!$C$4:$AN$4,0))),DF103)</f>
        <v>-186000</v>
      </c>
      <c r="GE103" s="190">
        <f>AS103*AS$2*IF($FC103="V",1,-1)*IF($Q103="Fixo",(DG103-INDEX('Curva Forward'!$C$5:$AN$13,MATCH(CONCATENATE(BD_COMERCIAL!$K103," ",BD_COMERCIAL!$L103),'Curva Forward'!$B$5:$B$13,0),MATCH(GE$4,'Curva Forward'!$C$4:$AN$4,0))),DG103)</f>
        <v>-180000</v>
      </c>
      <c r="GF103" s="190">
        <f>AT103*AT$2*IF($FC103="V",1,-1)*IF($Q103="Fixo",(DH103-INDEX('Curva Forward'!$C$5:$AN$13,MATCH(CONCATENATE(BD_COMERCIAL!$K103," ",BD_COMERCIAL!$L103),'Curva Forward'!$B$5:$B$13,0),MATCH(GF$4,'Curva Forward'!$C$4:$AN$4,0))),DH103)</f>
        <v>-152520</v>
      </c>
      <c r="GG103" s="190">
        <f>AU103*AU$2*IF($FC103="V",1,-1)*IF($Q103="Fixo",(DI103-INDEX('Curva Forward'!$C$5:$AN$13,MATCH(CONCATENATE(BD_COMERCIAL!$K103," ",BD_COMERCIAL!$L103),'Curva Forward'!$B$5:$B$13,0),MATCH(GG$4,'Curva Forward'!$C$4:$AN$4,0))),DI103)</f>
        <v>-152520</v>
      </c>
      <c r="GH103" s="190">
        <f>AV103*AV$2*IF($FC103="V",1,-1)*IF($Q103="Fixo",(DJ103-INDEX('Curva Forward'!$C$5:$AN$13,MATCH(CONCATENATE(BD_COMERCIAL!$K103," ",BD_COMERCIAL!$L103),'Curva Forward'!$B$5:$B$13,0),MATCH(GH$4,'Curva Forward'!$C$4:$AN$4,0))),DJ103)</f>
        <v>-147600</v>
      </c>
      <c r="GI103" s="190">
        <f>AW103*AW$2*IF($FC103="V",1,-1)*IF($Q103="Fixo",(DK103-INDEX('Curva Forward'!$C$5:$AN$13,MATCH(CONCATENATE(BD_COMERCIAL!$K103," ",BD_COMERCIAL!$L103),'Curva Forward'!$B$5:$B$13,0),MATCH(GI$4,'Curva Forward'!$C$4:$AN$4,0))),DK103)</f>
        <v>-152520</v>
      </c>
      <c r="GJ103" s="190">
        <f>AX103*AX$2*IF($FC103="V",1,-1)*IF($Q103="Fixo",(DL103-INDEX('Curva Forward'!$C$5:$AN$13,MATCH(CONCATENATE(BD_COMERCIAL!$K103," ",BD_COMERCIAL!$L103),'Curva Forward'!$B$5:$B$13,0),MATCH(GJ$4,'Curva Forward'!$C$4:$AN$4,0))),DL103)</f>
        <v>-147600</v>
      </c>
      <c r="GK103" s="190">
        <f>AY103*AY$2*IF($FC103="V",1,-1)*IF($Q103="Fixo",(DM103-INDEX('Curva Forward'!$C$5:$AN$13,MATCH(CONCATENATE(BD_COMERCIAL!$K103," ",BD_COMERCIAL!$L103),'Curva Forward'!$B$5:$B$13,0),MATCH(GK$4,'Curva Forward'!$C$4:$AN$4,0))),DM103)</f>
        <v>-152520</v>
      </c>
      <c r="GL103" s="190">
        <f>IF(EZ103="",0,CL103*CL$2*IF($FC103="V",1,-1)*IF($Q103="Fixo",(EZ103-INDEX('Curva Forward'!$C$5:$AN$13,MATCH(CONCATENATE(BD_COMERCIAL!$K103," ",BD_COMERCIAL!$L103),'Curva Forward'!$B$5:$B$13,0),MATCH(GL$4,'Curva Forward'!$C$4:$AN$4,0))),EZ103))</f>
        <v>0</v>
      </c>
      <c r="GM103" s="190">
        <f>IF(FA103="",0,CM103*CM$2*IF($FC103="V",1,-1)*IF($Q103="Fixo",(FA103-INDEX('Curva Forward'!$C$5:$AN$13,MATCH(CONCATENATE(BD_COMERCIAL!$K103," ",BD_COMERCIAL!$L103),'Curva Forward'!$B$5:$B$13,0),MATCH(GM$4,'Curva Forward'!$C$4:$AN$4,0))),FA103))</f>
        <v>0</v>
      </c>
      <c r="GN103" s="190">
        <f>IF(FB103="",0,CN103*CN$2*IF($FC103="V",1,-1)*IF($Q103="Fixo",(FB103-INDEX('Curva Forward'!$C$5:$AN$13,MATCH(CONCATENATE(BD_COMERCIAL!$K103," ",BD_COMERCIAL!$L103),'Curva Forward'!$B$5:$B$13,0),MATCH(GN$4,'Curva Forward'!$C$4:$AN$4,0))),FB103))</f>
        <v>0</v>
      </c>
      <c r="GO103" s="191">
        <f t="shared" ca="1" si="18"/>
        <v>0</v>
      </c>
      <c r="GP103" s="191">
        <f t="shared" ca="1" si="19"/>
        <v>-1997280</v>
      </c>
      <c r="GQ103" s="115"/>
      <c r="GR103" s="115"/>
      <c r="GS103"/>
      <c r="GT103" s="65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</row>
    <row r="104" spans="1:236" s="265" customFormat="1" ht="15" customHeight="1" x14ac:dyDescent="0.35">
      <c r="A104" s="251"/>
      <c r="B104" s="7">
        <v>28178</v>
      </c>
      <c r="C104" s="8">
        <v>44881</v>
      </c>
      <c r="D104" s="9" t="s">
        <v>123</v>
      </c>
      <c r="E104" s="10" t="s">
        <v>381</v>
      </c>
      <c r="F104" s="112" t="s">
        <v>348</v>
      </c>
      <c r="G104" s="10" t="s">
        <v>217</v>
      </c>
      <c r="H104" s="112">
        <v>31781135000165</v>
      </c>
      <c r="I104" s="9" t="s">
        <v>125</v>
      </c>
      <c r="J104" s="158" t="s">
        <v>475</v>
      </c>
      <c r="K104" s="10" t="s">
        <v>126</v>
      </c>
      <c r="L104" s="84" t="s">
        <v>22</v>
      </c>
      <c r="M104" s="11">
        <v>45292</v>
      </c>
      <c r="N104" s="12">
        <v>45657</v>
      </c>
      <c r="O104" s="10">
        <v>15</v>
      </c>
      <c r="P104" s="84">
        <v>130</v>
      </c>
      <c r="Q104" s="84" t="s">
        <v>127</v>
      </c>
      <c r="R104" s="10" t="s">
        <v>128</v>
      </c>
      <c r="S104" s="14" t="s">
        <v>133</v>
      </c>
      <c r="T104" s="11" t="s">
        <v>129</v>
      </c>
      <c r="U104" s="12">
        <v>44866</v>
      </c>
      <c r="V104" s="202" t="e">
        <f ca="1">IF(U104="","",
IF(U104="NA","",
IFERROR(VLOOKUP(EOMONTH(M104,-2)+1,IPCA!$A:$B,2,0),
VLOOKUP(EOMONTH(TODAY(),-2)+1,IPCA!$A:$B,2,0))/
VLOOKUP(EOMONTH(U104,-2)+1,IPCA!$A:$B,2,0)*
P104))</f>
        <v>#N/A</v>
      </c>
      <c r="W104" s="84"/>
      <c r="X104" s="13"/>
      <c r="Y104" s="158" t="s">
        <v>7</v>
      </c>
      <c r="Z104" s="106"/>
      <c r="AA104" s="107"/>
      <c r="AB104" s="15"/>
      <c r="AC104"/>
      <c r="AD104"/>
      <c r="AE104"/>
      <c r="AF104"/>
      <c r="AG104"/>
      <c r="AH104"/>
      <c r="AI104"/>
      <c r="AJ104"/>
      <c r="AK104"/>
      <c r="AL104"/>
      <c r="AM104" s="6"/>
      <c r="AN104" s="15">
        <v>15</v>
      </c>
      <c r="AO104">
        <v>15</v>
      </c>
      <c r="AP104">
        <v>15</v>
      </c>
      <c r="AQ104">
        <v>15</v>
      </c>
      <c r="AR104">
        <v>15</v>
      </c>
      <c r="AS104">
        <v>15</v>
      </c>
      <c r="AT104">
        <v>15</v>
      </c>
      <c r="AU104">
        <v>15</v>
      </c>
      <c r="AV104">
        <v>15</v>
      </c>
      <c r="AW104">
        <v>15</v>
      </c>
      <c r="AX104">
        <v>15</v>
      </c>
      <c r="AY104" s="6">
        <v>15</v>
      </c>
      <c r="AZ104" s="15"/>
      <c r="BA104"/>
      <c r="BB104"/>
      <c r="BC104"/>
      <c r="BD104"/>
      <c r="BE104"/>
      <c r="BF104"/>
      <c r="BG104"/>
      <c r="BH104"/>
      <c r="BI104"/>
      <c r="BJ104"/>
      <c r="BK104" s="6"/>
      <c r="BL104" s="15"/>
      <c r="BM104"/>
      <c r="BN104"/>
      <c r="BO104"/>
      <c r="BP104"/>
      <c r="BQ104"/>
      <c r="BR104"/>
      <c r="BS104"/>
      <c r="BT104"/>
      <c r="BU104"/>
      <c r="BV104"/>
      <c r="BW104" s="6"/>
      <c r="BX104" s="15"/>
      <c r="BY104"/>
      <c r="BZ104"/>
      <c r="CA104"/>
      <c r="CB104"/>
      <c r="CC104"/>
      <c r="CD104"/>
      <c r="CE104"/>
      <c r="CF104"/>
      <c r="CG104"/>
      <c r="CH104"/>
      <c r="CI104" s="6"/>
      <c r="CJ104" s="16" t="s">
        <v>578</v>
      </c>
      <c r="CK104" s="16">
        <v>15</v>
      </c>
      <c r="CL104" s="16" t="s">
        <v>578</v>
      </c>
      <c r="CM104" s="16" t="s">
        <v>578</v>
      </c>
      <c r="CN104" s="16" t="s">
        <v>578</v>
      </c>
      <c r="CO104" s="18"/>
      <c r="CP104" s="15"/>
      <c r="CQ104"/>
      <c r="CR104"/>
      <c r="CS104"/>
      <c r="CT104"/>
      <c r="CU104"/>
      <c r="CV104"/>
      <c r="CW104"/>
      <c r="CX104"/>
      <c r="CY104"/>
      <c r="CZ104"/>
      <c r="DA104" s="6"/>
      <c r="DB104" s="15">
        <v>130</v>
      </c>
      <c r="DC104">
        <v>130</v>
      </c>
      <c r="DD104">
        <v>130</v>
      </c>
      <c r="DE104">
        <v>130</v>
      </c>
      <c r="DF104">
        <v>130</v>
      </c>
      <c r="DG104">
        <v>130</v>
      </c>
      <c r="DH104">
        <v>130</v>
      </c>
      <c r="DI104">
        <v>130</v>
      </c>
      <c r="DJ104">
        <v>130</v>
      </c>
      <c r="DK104">
        <v>130</v>
      </c>
      <c r="DL104">
        <v>130</v>
      </c>
      <c r="DM104" s="6">
        <v>130</v>
      </c>
      <c r="DN104" s="15"/>
      <c r="DO104"/>
      <c r="DP104"/>
      <c r="DQ104"/>
      <c r="DR104"/>
      <c r="DS104"/>
      <c r="DT104"/>
      <c r="DU104"/>
      <c r="DV104"/>
      <c r="DW104"/>
      <c r="DX104"/>
      <c r="DY104" s="6"/>
      <c r="DZ104" s="15"/>
      <c r="EA104"/>
      <c r="EB104"/>
      <c r="EC104"/>
      <c r="ED104"/>
      <c r="EE104"/>
      <c r="EF104"/>
      <c r="EG104"/>
      <c r="EH104"/>
      <c r="EI104"/>
      <c r="EJ104"/>
      <c r="EK104" s="6"/>
      <c r="EL104" s="15"/>
      <c r="EM104"/>
      <c r="EN104"/>
      <c r="EO104"/>
      <c r="EP104"/>
      <c r="EQ104"/>
      <c r="ER104"/>
      <c r="ES104"/>
      <c r="ET104"/>
      <c r="EU104"/>
      <c r="EV104"/>
      <c r="EW104" s="6"/>
      <c r="EX104" s="16" t="s">
        <v>578</v>
      </c>
      <c r="EY104" s="16">
        <v>130</v>
      </c>
      <c r="EZ104" s="16" t="s">
        <v>578</v>
      </c>
      <c r="FA104" s="154" t="s">
        <v>578</v>
      </c>
      <c r="FB104" s="154" t="s">
        <v>578</v>
      </c>
      <c r="FC104" t="s">
        <v>195</v>
      </c>
      <c r="FD104" s="20" t="s">
        <v>145</v>
      </c>
      <c r="FE104"/>
      <c r="FF104" s="199" t="s">
        <v>197</v>
      </c>
      <c r="FG104"/>
      <c r="FH104" s="206" t="e">
        <f t="shared" ca="1" si="13"/>
        <v>#N/A</v>
      </c>
      <c r="FI104" s="198">
        <f t="shared" si="14"/>
        <v>12.166666666666666</v>
      </c>
      <c r="FJ104"/>
      <c r="FK104" t="str">
        <f t="shared" si="15"/>
        <v>ITAU UNIBANCO COMERCIALIZADORA DE ENERGIA LTDA</v>
      </c>
      <c r="FL104" s="191">
        <f t="shared" ca="1" si="16"/>
        <v>0</v>
      </c>
      <c r="FM104" s="191">
        <f t="shared" ca="1" si="17"/>
        <v>5991840</v>
      </c>
      <c r="FN104" s="190">
        <f>AB104*AB$2*IF($FC104="V",1,-1)*IF($Q104="Fixo",(CP104-INDEX('Curva Forward'!$C$5:$AN$13,MATCH(CONCATENATE(BD_COMERCIAL!$K104," ",BD_COMERCIAL!$L104),'Curva Forward'!$B$5:$B$13,0),MATCH(FN$4,'Curva Forward'!$C$4:$AN$4,0))),CP104)</f>
        <v>0</v>
      </c>
      <c r="FO104" s="190">
        <f>AC104*AC$2*IF($FC104="V",1,-1)*IF($Q104="Fixo",(CQ104-INDEX('Curva Forward'!$C$5:$AN$13,MATCH(CONCATENATE(BD_COMERCIAL!$K104," ",BD_COMERCIAL!$L104),'Curva Forward'!$B$5:$B$13,0),MATCH(FO$4,'Curva Forward'!$C$4:$AN$4,0))),CQ104)</f>
        <v>0</v>
      </c>
      <c r="FP104" s="190">
        <f>AD104*AD$2*IF($FC104="V",1,-1)*IF($Q104="Fixo",(CR104-INDEX('Curva Forward'!$C$5:$AN$13,MATCH(CONCATENATE(BD_COMERCIAL!$K104," ",BD_COMERCIAL!$L104),'Curva Forward'!$B$5:$B$13,0),MATCH(FP$4,'Curva Forward'!$C$4:$AN$4,0))),CR104)</f>
        <v>0</v>
      </c>
      <c r="FQ104" s="190">
        <f>AE104*AE$2*IF($FC104="V",1,-1)*IF($Q104="Fixo",(CS104-INDEX('Curva Forward'!$C$5:$AN$13,MATCH(CONCATENATE(BD_COMERCIAL!$K104," ",BD_COMERCIAL!$L104),'Curva Forward'!$B$5:$B$13,0),MATCH(FQ$4,'Curva Forward'!$C$4:$AN$4,0))),CS104)</f>
        <v>0</v>
      </c>
      <c r="FR104" s="190">
        <f>AF104*AF$2*IF($FC104="V",1,-1)*IF($Q104="Fixo",(CT104-INDEX('Curva Forward'!$C$5:$AN$13,MATCH(CONCATENATE(BD_COMERCIAL!$K104," ",BD_COMERCIAL!$L104),'Curva Forward'!$B$5:$B$13,0),MATCH(FR$4,'Curva Forward'!$C$4:$AN$4,0))),CT104)</f>
        <v>0</v>
      </c>
      <c r="FS104" s="190">
        <f>AG104*AG$2*IF($FC104="V",1,-1)*IF($Q104="Fixo",(CU104-INDEX('Curva Forward'!$C$5:$AN$13,MATCH(CONCATENATE(BD_COMERCIAL!$K104," ",BD_COMERCIAL!$L104),'Curva Forward'!$B$5:$B$13,0),MATCH(FS$4,'Curva Forward'!$C$4:$AN$4,0))),CU104)</f>
        <v>0</v>
      </c>
      <c r="FT104" s="190">
        <f>AH104*AH$2*IF($FC104="V",1,-1)*IF($Q104="Fixo",(CV104-INDEX('Curva Forward'!$C$5:$AN$13,MATCH(CONCATENATE(BD_COMERCIAL!$K104," ",BD_COMERCIAL!$L104),'Curva Forward'!$B$5:$B$13,0),MATCH(FT$4,'Curva Forward'!$C$4:$AN$4,0))),CV104)</f>
        <v>0</v>
      </c>
      <c r="FU104" s="190">
        <f>AI104*AI$2*IF($FC104="V",1,-1)*IF($Q104="Fixo",(CW104-INDEX('Curva Forward'!$C$5:$AN$13,MATCH(CONCATENATE(BD_COMERCIAL!$K104," ",BD_COMERCIAL!$L104),'Curva Forward'!$B$5:$B$13,0),MATCH(FU$4,'Curva Forward'!$C$4:$AN$4,0))),CW104)</f>
        <v>0</v>
      </c>
      <c r="FV104" s="190">
        <f>AJ104*AJ$2*IF($FC104="V",1,-1)*IF($Q104="Fixo",(CX104-INDEX('Curva Forward'!$C$5:$AN$13,MATCH(CONCATENATE(BD_COMERCIAL!$K104," ",BD_COMERCIAL!$L104),'Curva Forward'!$B$5:$B$13,0),MATCH(FV$4,'Curva Forward'!$C$4:$AN$4,0))),CX104)</f>
        <v>0</v>
      </c>
      <c r="FW104" s="190">
        <f>AK104*AK$2*IF($FC104="V",1,-1)*IF($Q104="Fixo",(CY104-INDEX('Curva Forward'!$C$5:$AN$13,MATCH(CONCATENATE(BD_COMERCIAL!$K104," ",BD_COMERCIAL!$L104),'Curva Forward'!$B$5:$B$13,0),MATCH(FW$4,'Curva Forward'!$C$4:$AN$4,0))),CY104)</f>
        <v>0</v>
      </c>
      <c r="FX104" s="190">
        <f>AL104*AL$2*IF($FC104="V",1,-1)*IF($Q104="Fixo",(CZ104-INDEX('Curva Forward'!$C$5:$AN$13,MATCH(CONCATENATE(BD_COMERCIAL!$K104," ",BD_COMERCIAL!$L104),'Curva Forward'!$B$5:$B$13,0),MATCH(FX$4,'Curva Forward'!$C$4:$AN$4,0))),CZ104)</f>
        <v>0</v>
      </c>
      <c r="FY104" s="190">
        <f>AM104*AM$2*IF($FC104="V",1,-1)*IF($Q104="Fixo",(DA104-INDEX('Curva Forward'!$C$5:$AN$13,MATCH(CONCATENATE(BD_COMERCIAL!$K104," ",BD_COMERCIAL!$L104),'Curva Forward'!$B$5:$B$13,0),MATCH(FY$4,'Curva Forward'!$C$4:$AN$4,0))),DA104)</f>
        <v>0</v>
      </c>
      <c r="FZ104" s="190">
        <f>AN104*AN$2*IF($FC104="V",1,-1)*IF($Q104="Fixo",(DB104-INDEX('Curva Forward'!$C$5:$AN$13,MATCH(CONCATENATE(BD_COMERCIAL!$K104," ",BD_COMERCIAL!$L104),'Curva Forward'!$B$5:$B$13,0),MATCH(FZ$4,'Curva Forward'!$C$4:$AN$4,0))),DB104)</f>
        <v>558000</v>
      </c>
      <c r="GA104" s="190">
        <f>AO104*AO$2*IF($FC104="V",1,-1)*IF($Q104="Fixo",(DC104-INDEX('Curva Forward'!$C$5:$AN$13,MATCH(CONCATENATE(BD_COMERCIAL!$K104," ",BD_COMERCIAL!$L104),'Curva Forward'!$B$5:$B$13,0),MATCH(GA$4,'Curva Forward'!$C$4:$AN$4,0))),DC104)</f>
        <v>522000</v>
      </c>
      <c r="GB104" s="190">
        <f>AP104*AP$2*IF($FC104="V",1,-1)*IF($Q104="Fixo",(DD104-INDEX('Curva Forward'!$C$5:$AN$13,MATCH(CONCATENATE(BD_COMERCIAL!$K104," ",BD_COMERCIAL!$L104),'Curva Forward'!$B$5:$B$13,0),MATCH(GB$4,'Curva Forward'!$C$4:$AN$4,0))),DD104)</f>
        <v>558000</v>
      </c>
      <c r="GC104" s="190">
        <f>AQ104*AQ$2*IF($FC104="V",1,-1)*IF($Q104="Fixo",(DE104-INDEX('Curva Forward'!$C$5:$AN$13,MATCH(CONCATENATE(BD_COMERCIAL!$K104," ",BD_COMERCIAL!$L104),'Curva Forward'!$B$5:$B$13,0),MATCH(GC$4,'Curva Forward'!$C$4:$AN$4,0))),DE104)</f>
        <v>540000</v>
      </c>
      <c r="GD104" s="190">
        <f>AR104*AR$2*IF($FC104="V",1,-1)*IF($Q104="Fixo",(DF104-INDEX('Curva Forward'!$C$5:$AN$13,MATCH(CONCATENATE(BD_COMERCIAL!$K104," ",BD_COMERCIAL!$L104),'Curva Forward'!$B$5:$B$13,0),MATCH(GD$4,'Curva Forward'!$C$4:$AN$4,0))),DF104)</f>
        <v>558000</v>
      </c>
      <c r="GE104" s="190">
        <f>AS104*AS$2*IF($FC104="V",1,-1)*IF($Q104="Fixo",(DG104-INDEX('Curva Forward'!$C$5:$AN$13,MATCH(CONCATENATE(BD_COMERCIAL!$K104," ",BD_COMERCIAL!$L104),'Curva Forward'!$B$5:$B$13,0),MATCH(GE$4,'Curva Forward'!$C$4:$AN$4,0))),DG104)</f>
        <v>540000</v>
      </c>
      <c r="GF104" s="190">
        <f>AT104*AT$2*IF($FC104="V",1,-1)*IF($Q104="Fixo",(DH104-INDEX('Curva Forward'!$C$5:$AN$13,MATCH(CONCATENATE(BD_COMERCIAL!$K104," ",BD_COMERCIAL!$L104),'Curva Forward'!$B$5:$B$13,0),MATCH(GF$4,'Curva Forward'!$C$4:$AN$4,0))),DH104)</f>
        <v>457560</v>
      </c>
      <c r="GG104" s="190">
        <f>AU104*AU$2*IF($FC104="V",1,-1)*IF($Q104="Fixo",(DI104-INDEX('Curva Forward'!$C$5:$AN$13,MATCH(CONCATENATE(BD_COMERCIAL!$K104," ",BD_COMERCIAL!$L104),'Curva Forward'!$B$5:$B$13,0),MATCH(GG$4,'Curva Forward'!$C$4:$AN$4,0))),DI104)</f>
        <v>457560</v>
      </c>
      <c r="GH104" s="190">
        <f>AV104*AV$2*IF($FC104="V",1,-1)*IF($Q104="Fixo",(DJ104-INDEX('Curva Forward'!$C$5:$AN$13,MATCH(CONCATENATE(BD_COMERCIAL!$K104," ",BD_COMERCIAL!$L104),'Curva Forward'!$B$5:$B$13,0),MATCH(GH$4,'Curva Forward'!$C$4:$AN$4,0))),DJ104)</f>
        <v>442800</v>
      </c>
      <c r="GI104" s="190">
        <f>AW104*AW$2*IF($FC104="V",1,-1)*IF($Q104="Fixo",(DK104-INDEX('Curva Forward'!$C$5:$AN$13,MATCH(CONCATENATE(BD_COMERCIAL!$K104," ",BD_COMERCIAL!$L104),'Curva Forward'!$B$5:$B$13,0),MATCH(GI$4,'Curva Forward'!$C$4:$AN$4,0))),DK104)</f>
        <v>457560</v>
      </c>
      <c r="GJ104" s="190">
        <f>AX104*AX$2*IF($FC104="V",1,-1)*IF($Q104="Fixo",(DL104-INDEX('Curva Forward'!$C$5:$AN$13,MATCH(CONCATENATE(BD_COMERCIAL!$K104," ",BD_COMERCIAL!$L104),'Curva Forward'!$B$5:$B$13,0),MATCH(GJ$4,'Curva Forward'!$C$4:$AN$4,0))),DL104)</f>
        <v>442800</v>
      </c>
      <c r="GK104" s="190">
        <f>AY104*AY$2*IF($FC104="V",1,-1)*IF($Q104="Fixo",(DM104-INDEX('Curva Forward'!$C$5:$AN$13,MATCH(CONCATENATE(BD_COMERCIAL!$K104," ",BD_COMERCIAL!$L104),'Curva Forward'!$B$5:$B$13,0),MATCH(GK$4,'Curva Forward'!$C$4:$AN$4,0))),DM104)</f>
        <v>457560</v>
      </c>
      <c r="GL104" s="190">
        <f>IF(EZ104="",0,CL104*CL$2*IF($FC104="V",1,-1)*IF($Q104="Fixo",(EZ104-INDEX('Curva Forward'!$C$5:$AN$13,MATCH(CONCATENATE(BD_COMERCIAL!$K104," ",BD_COMERCIAL!$L104),'Curva Forward'!$B$5:$B$13,0),MATCH(GL$4,'Curva Forward'!$C$4:$AN$4,0))),EZ104))</f>
        <v>0</v>
      </c>
      <c r="GM104" s="190">
        <f>IF(FA104="",0,CM104*CM$2*IF($FC104="V",1,-1)*IF($Q104="Fixo",(FA104-INDEX('Curva Forward'!$C$5:$AN$13,MATCH(CONCATENATE(BD_COMERCIAL!$K104," ",BD_COMERCIAL!$L104),'Curva Forward'!$B$5:$B$13,0),MATCH(GM$4,'Curva Forward'!$C$4:$AN$4,0))),FA104))</f>
        <v>0</v>
      </c>
      <c r="GN104" s="190">
        <f>IF(FB104="",0,CN104*CN$2*IF($FC104="V",1,-1)*IF($Q104="Fixo",(FB104-INDEX('Curva Forward'!$C$5:$AN$13,MATCH(CONCATENATE(BD_COMERCIAL!$K104," ",BD_COMERCIAL!$L104),'Curva Forward'!$B$5:$B$13,0),MATCH(GN$4,'Curva Forward'!$C$4:$AN$4,0))),FB104))</f>
        <v>0</v>
      </c>
      <c r="GO104" s="191">
        <f t="shared" ca="1" si="18"/>
        <v>5991840</v>
      </c>
      <c r="GP104" s="191">
        <f t="shared" ca="1" si="19"/>
        <v>0</v>
      </c>
      <c r="GQ104" s="115"/>
      <c r="GR104" s="115"/>
      <c r="GS104"/>
      <c r="GT104" s="65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</row>
    <row r="105" spans="1:236" s="265" customFormat="1" ht="15" customHeight="1" x14ac:dyDescent="0.35">
      <c r="A105" s="251"/>
      <c r="B105" s="7" t="s">
        <v>476</v>
      </c>
      <c r="C105" s="8">
        <v>44883</v>
      </c>
      <c r="D105" s="9" t="s">
        <v>130</v>
      </c>
      <c r="E105" s="9" t="s">
        <v>171</v>
      </c>
      <c r="F105" s="112" t="s">
        <v>463</v>
      </c>
      <c r="G105" s="10" t="s">
        <v>381</v>
      </c>
      <c r="H105" s="112" t="s">
        <v>348</v>
      </c>
      <c r="I105" s="9" t="s">
        <v>137</v>
      </c>
      <c r="J105" s="158"/>
      <c r="K105" s="10" t="s">
        <v>126</v>
      </c>
      <c r="L105" s="84" t="s">
        <v>22</v>
      </c>
      <c r="M105" s="11">
        <v>44927</v>
      </c>
      <c r="N105" s="12">
        <v>44957</v>
      </c>
      <c r="O105" s="10">
        <v>10</v>
      </c>
      <c r="P105" s="84">
        <v>62.5</v>
      </c>
      <c r="Q105" s="84" t="s">
        <v>127</v>
      </c>
      <c r="R105" s="10" t="s">
        <v>128</v>
      </c>
      <c r="S105" s="14" t="s">
        <v>133</v>
      </c>
      <c r="T105" s="11"/>
      <c r="U105" s="12"/>
      <c r="V105" s="202" t="str">
        <f ca="1">IF(U105="","",
IF(U105="NA","",
IFERROR(VLOOKUP(EOMONTH(M105,-2)+1,IPCA!$A:$B,2,0),
VLOOKUP(EOMONTH(TODAY(),-2)+1,IPCA!$A:$B,2,0))/
VLOOKUP(EOMONTH(U105,-2)+1,IPCA!$A:$B,2,0)*
P105))</f>
        <v/>
      </c>
      <c r="W105" s="84"/>
      <c r="X105" s="13" t="s">
        <v>132</v>
      </c>
      <c r="Y105" s="158"/>
      <c r="Z105" s="106"/>
      <c r="AA105" s="107"/>
      <c r="AB105" s="15">
        <v>10</v>
      </c>
      <c r="AC105"/>
      <c r="AD105"/>
      <c r="AE105"/>
      <c r="AF105"/>
      <c r="AG105"/>
      <c r="AH105"/>
      <c r="AI105"/>
      <c r="AJ105"/>
      <c r="AK105"/>
      <c r="AL105"/>
      <c r="AM105" s="6"/>
      <c r="AN105" s="15"/>
      <c r="AO105"/>
      <c r="AP105"/>
      <c r="AQ105"/>
      <c r="AR105"/>
      <c r="AS105"/>
      <c r="AT105"/>
      <c r="AU105"/>
      <c r="AV105"/>
      <c r="AW105"/>
      <c r="AX105"/>
      <c r="AY105" s="6"/>
      <c r="AZ105" s="15"/>
      <c r="BA105"/>
      <c r="BB105"/>
      <c r="BC105"/>
      <c r="BD105"/>
      <c r="BE105"/>
      <c r="BF105"/>
      <c r="BG105"/>
      <c r="BH105"/>
      <c r="BI105"/>
      <c r="BJ105"/>
      <c r="BK105" s="6"/>
      <c r="BL105" s="15"/>
      <c r="BM105"/>
      <c r="BN105"/>
      <c r="BO105"/>
      <c r="BP105"/>
      <c r="BQ105"/>
      <c r="BR105"/>
      <c r="BS105"/>
      <c r="BT105"/>
      <c r="BU105"/>
      <c r="BV105"/>
      <c r="BW105" s="6"/>
      <c r="BX105" s="15"/>
      <c r="BY105"/>
      <c r="BZ105"/>
      <c r="CA105"/>
      <c r="CB105"/>
      <c r="CC105"/>
      <c r="CD105"/>
      <c r="CE105"/>
      <c r="CF105"/>
      <c r="CG105"/>
      <c r="CH105"/>
      <c r="CI105" s="6"/>
      <c r="CJ105" s="16">
        <v>0.84931506849315064</v>
      </c>
      <c r="CK105" s="16" t="s">
        <v>578</v>
      </c>
      <c r="CL105" s="16" t="s">
        <v>578</v>
      </c>
      <c r="CM105" s="16" t="s">
        <v>578</v>
      </c>
      <c r="CN105" s="16" t="s">
        <v>578</v>
      </c>
      <c r="CO105" s="18"/>
      <c r="CP105" s="15">
        <v>62.5</v>
      </c>
      <c r="CQ105"/>
      <c r="CR105"/>
      <c r="CS105"/>
      <c r="CT105"/>
      <c r="CU105"/>
      <c r="CV105"/>
      <c r="CW105"/>
      <c r="CX105"/>
      <c r="CY105"/>
      <c r="CZ105"/>
      <c r="DA105" s="6"/>
      <c r="DB105" s="15"/>
      <c r="DC105"/>
      <c r="DD105"/>
      <c r="DE105"/>
      <c r="DF105"/>
      <c r="DG105"/>
      <c r="DH105"/>
      <c r="DI105"/>
      <c r="DJ105"/>
      <c r="DK105"/>
      <c r="DL105"/>
      <c r="DM105" s="6"/>
      <c r="DN105" s="15"/>
      <c r="DO105"/>
      <c r="DP105"/>
      <c r="DQ105"/>
      <c r="DR105"/>
      <c r="DS105"/>
      <c r="DT105"/>
      <c r="DU105"/>
      <c r="DV105"/>
      <c r="DW105"/>
      <c r="DX105"/>
      <c r="DY105" s="6"/>
      <c r="DZ105" s="15"/>
      <c r="EA105"/>
      <c r="EB105"/>
      <c r="EC105"/>
      <c r="ED105"/>
      <c r="EE105"/>
      <c r="EF105"/>
      <c r="EG105"/>
      <c r="EH105"/>
      <c r="EI105"/>
      <c r="EJ105"/>
      <c r="EK105" s="6"/>
      <c r="EL105" s="15"/>
      <c r="EM105"/>
      <c r="EN105"/>
      <c r="EO105"/>
      <c r="EP105"/>
      <c r="EQ105"/>
      <c r="ER105"/>
      <c r="ES105"/>
      <c r="ET105"/>
      <c r="EU105"/>
      <c r="EV105"/>
      <c r="EW105" s="6"/>
      <c r="EX105" s="16">
        <v>5.3082191780821919</v>
      </c>
      <c r="EY105" s="16" t="s">
        <v>578</v>
      </c>
      <c r="EZ105" s="16" t="s">
        <v>578</v>
      </c>
      <c r="FA105" s="154" t="s">
        <v>578</v>
      </c>
      <c r="FB105" s="154" t="s">
        <v>578</v>
      </c>
      <c r="FC105" t="s">
        <v>196</v>
      </c>
      <c r="FD105" s="20" t="s">
        <v>137</v>
      </c>
      <c r="FE105"/>
      <c r="FF105" s="199" t="s">
        <v>197</v>
      </c>
      <c r="FG105"/>
      <c r="FH105" s="206">
        <f t="shared" ca="1" si="13"/>
        <v>0</v>
      </c>
      <c r="FI105" s="198">
        <f t="shared" si="14"/>
        <v>1</v>
      </c>
      <c r="FJ105"/>
      <c r="FK105" t="str">
        <f t="shared" si="15"/>
        <v>Delta Comercializadora de Energia Ltda</v>
      </c>
      <c r="FL105" s="191">
        <f t="shared" ca="1" si="16"/>
        <v>48360</v>
      </c>
      <c r="FM105" s="191">
        <f t="shared" ca="1" si="17"/>
        <v>0</v>
      </c>
      <c r="FN105" s="190">
        <f>AB105*AB$2*IF($FC105="V",1,-1)*IF($Q105="Fixo",(CP105-INDEX('Curva Forward'!$C$5:$AN$13,MATCH(CONCATENATE(BD_COMERCIAL!$K105," ",BD_COMERCIAL!$L105),'Curva Forward'!$B$5:$B$13,0),MATCH(FN$4,'Curva Forward'!$C$4:$AN$4,0))),CP105)</f>
        <v>48360</v>
      </c>
      <c r="FO105" s="190">
        <f>AC105*AC$2*IF($FC105="V",1,-1)*IF($Q105="Fixo",(CQ105-INDEX('Curva Forward'!$C$5:$AN$13,MATCH(CONCATENATE(BD_COMERCIAL!$K105," ",BD_COMERCIAL!$L105),'Curva Forward'!$B$5:$B$13,0),MATCH(FO$4,'Curva Forward'!$C$4:$AN$4,0))),CQ105)</f>
        <v>0</v>
      </c>
      <c r="FP105" s="190">
        <f>AD105*AD$2*IF($FC105="V",1,-1)*IF($Q105="Fixo",(CR105-INDEX('Curva Forward'!$C$5:$AN$13,MATCH(CONCATENATE(BD_COMERCIAL!$K105," ",BD_COMERCIAL!$L105),'Curva Forward'!$B$5:$B$13,0),MATCH(FP$4,'Curva Forward'!$C$4:$AN$4,0))),CR105)</f>
        <v>0</v>
      </c>
      <c r="FQ105" s="190">
        <f>AE105*AE$2*IF($FC105="V",1,-1)*IF($Q105="Fixo",(CS105-INDEX('Curva Forward'!$C$5:$AN$13,MATCH(CONCATENATE(BD_COMERCIAL!$K105," ",BD_COMERCIAL!$L105),'Curva Forward'!$B$5:$B$13,0),MATCH(FQ$4,'Curva Forward'!$C$4:$AN$4,0))),CS105)</f>
        <v>0</v>
      </c>
      <c r="FR105" s="190">
        <f>AF105*AF$2*IF($FC105="V",1,-1)*IF($Q105="Fixo",(CT105-INDEX('Curva Forward'!$C$5:$AN$13,MATCH(CONCATENATE(BD_COMERCIAL!$K105," ",BD_COMERCIAL!$L105),'Curva Forward'!$B$5:$B$13,0),MATCH(FR$4,'Curva Forward'!$C$4:$AN$4,0))),CT105)</f>
        <v>0</v>
      </c>
      <c r="FS105" s="190">
        <f>AG105*AG$2*IF($FC105="V",1,-1)*IF($Q105="Fixo",(CU105-INDEX('Curva Forward'!$C$5:$AN$13,MATCH(CONCATENATE(BD_COMERCIAL!$K105," ",BD_COMERCIAL!$L105),'Curva Forward'!$B$5:$B$13,0),MATCH(FS$4,'Curva Forward'!$C$4:$AN$4,0))),CU105)</f>
        <v>0</v>
      </c>
      <c r="FT105" s="190">
        <f>AH105*AH$2*IF($FC105="V",1,-1)*IF($Q105="Fixo",(CV105-INDEX('Curva Forward'!$C$5:$AN$13,MATCH(CONCATENATE(BD_COMERCIAL!$K105," ",BD_COMERCIAL!$L105),'Curva Forward'!$B$5:$B$13,0),MATCH(FT$4,'Curva Forward'!$C$4:$AN$4,0))),CV105)</f>
        <v>0</v>
      </c>
      <c r="FU105" s="190">
        <f>AI105*AI$2*IF($FC105="V",1,-1)*IF($Q105="Fixo",(CW105-INDEX('Curva Forward'!$C$5:$AN$13,MATCH(CONCATENATE(BD_COMERCIAL!$K105," ",BD_COMERCIAL!$L105),'Curva Forward'!$B$5:$B$13,0),MATCH(FU$4,'Curva Forward'!$C$4:$AN$4,0))),CW105)</f>
        <v>0</v>
      </c>
      <c r="FV105" s="190">
        <f>AJ105*AJ$2*IF($FC105="V",1,-1)*IF($Q105="Fixo",(CX105-INDEX('Curva Forward'!$C$5:$AN$13,MATCH(CONCATENATE(BD_COMERCIAL!$K105," ",BD_COMERCIAL!$L105),'Curva Forward'!$B$5:$B$13,0),MATCH(FV$4,'Curva Forward'!$C$4:$AN$4,0))),CX105)</f>
        <v>0</v>
      </c>
      <c r="FW105" s="190">
        <f>AK105*AK$2*IF($FC105="V",1,-1)*IF($Q105="Fixo",(CY105-INDEX('Curva Forward'!$C$5:$AN$13,MATCH(CONCATENATE(BD_COMERCIAL!$K105," ",BD_COMERCIAL!$L105),'Curva Forward'!$B$5:$B$13,0),MATCH(FW$4,'Curva Forward'!$C$4:$AN$4,0))),CY105)</f>
        <v>0</v>
      </c>
      <c r="FX105" s="190">
        <f>AL105*AL$2*IF($FC105="V",1,-1)*IF($Q105="Fixo",(CZ105-INDEX('Curva Forward'!$C$5:$AN$13,MATCH(CONCATENATE(BD_COMERCIAL!$K105," ",BD_COMERCIAL!$L105),'Curva Forward'!$B$5:$B$13,0),MATCH(FX$4,'Curva Forward'!$C$4:$AN$4,0))),CZ105)</f>
        <v>0</v>
      </c>
      <c r="FY105" s="190">
        <f>AM105*AM$2*IF($FC105="V",1,-1)*IF($Q105="Fixo",(DA105-INDEX('Curva Forward'!$C$5:$AN$13,MATCH(CONCATENATE(BD_COMERCIAL!$K105," ",BD_COMERCIAL!$L105),'Curva Forward'!$B$5:$B$13,0),MATCH(FY$4,'Curva Forward'!$C$4:$AN$4,0))),DA105)</f>
        <v>0</v>
      </c>
      <c r="FZ105" s="190">
        <f>AN105*AN$2*IF($FC105="V",1,-1)*IF($Q105="Fixo",(DB105-INDEX('Curva Forward'!$C$5:$AN$13,MATCH(CONCATENATE(BD_COMERCIAL!$K105," ",BD_COMERCIAL!$L105),'Curva Forward'!$B$5:$B$13,0),MATCH(FZ$4,'Curva Forward'!$C$4:$AN$4,0))),DB105)</f>
        <v>0</v>
      </c>
      <c r="GA105" s="190">
        <f>AO105*AO$2*IF($FC105="V",1,-1)*IF($Q105="Fixo",(DC105-INDEX('Curva Forward'!$C$5:$AN$13,MATCH(CONCATENATE(BD_COMERCIAL!$K105," ",BD_COMERCIAL!$L105),'Curva Forward'!$B$5:$B$13,0),MATCH(GA$4,'Curva Forward'!$C$4:$AN$4,0))),DC105)</f>
        <v>0</v>
      </c>
      <c r="GB105" s="190">
        <f>AP105*AP$2*IF($FC105="V",1,-1)*IF($Q105="Fixo",(DD105-INDEX('Curva Forward'!$C$5:$AN$13,MATCH(CONCATENATE(BD_COMERCIAL!$K105," ",BD_COMERCIAL!$L105),'Curva Forward'!$B$5:$B$13,0),MATCH(GB$4,'Curva Forward'!$C$4:$AN$4,0))),DD105)</f>
        <v>0</v>
      </c>
      <c r="GC105" s="190">
        <f>AQ105*AQ$2*IF($FC105="V",1,-1)*IF($Q105="Fixo",(DE105-INDEX('Curva Forward'!$C$5:$AN$13,MATCH(CONCATENATE(BD_COMERCIAL!$K105," ",BD_COMERCIAL!$L105),'Curva Forward'!$B$5:$B$13,0),MATCH(GC$4,'Curva Forward'!$C$4:$AN$4,0))),DE105)</f>
        <v>0</v>
      </c>
      <c r="GD105" s="190">
        <f>AR105*AR$2*IF($FC105="V",1,-1)*IF($Q105="Fixo",(DF105-INDEX('Curva Forward'!$C$5:$AN$13,MATCH(CONCATENATE(BD_COMERCIAL!$K105," ",BD_COMERCIAL!$L105),'Curva Forward'!$B$5:$B$13,0),MATCH(GD$4,'Curva Forward'!$C$4:$AN$4,0))),DF105)</f>
        <v>0</v>
      </c>
      <c r="GE105" s="190">
        <f>AS105*AS$2*IF($FC105="V",1,-1)*IF($Q105="Fixo",(DG105-INDEX('Curva Forward'!$C$5:$AN$13,MATCH(CONCATENATE(BD_COMERCIAL!$K105," ",BD_COMERCIAL!$L105),'Curva Forward'!$B$5:$B$13,0),MATCH(GE$4,'Curva Forward'!$C$4:$AN$4,0))),DG105)</f>
        <v>0</v>
      </c>
      <c r="GF105" s="190">
        <f>AT105*AT$2*IF($FC105="V",1,-1)*IF($Q105="Fixo",(DH105-INDEX('Curva Forward'!$C$5:$AN$13,MATCH(CONCATENATE(BD_COMERCIAL!$K105," ",BD_COMERCIAL!$L105),'Curva Forward'!$B$5:$B$13,0),MATCH(GF$4,'Curva Forward'!$C$4:$AN$4,0))),DH105)</f>
        <v>0</v>
      </c>
      <c r="GG105" s="190">
        <f>AU105*AU$2*IF($FC105="V",1,-1)*IF($Q105="Fixo",(DI105-INDEX('Curva Forward'!$C$5:$AN$13,MATCH(CONCATENATE(BD_COMERCIAL!$K105," ",BD_COMERCIAL!$L105),'Curva Forward'!$B$5:$B$13,0),MATCH(GG$4,'Curva Forward'!$C$4:$AN$4,0))),DI105)</f>
        <v>0</v>
      </c>
      <c r="GH105" s="190">
        <f>AV105*AV$2*IF($FC105="V",1,-1)*IF($Q105="Fixo",(DJ105-INDEX('Curva Forward'!$C$5:$AN$13,MATCH(CONCATENATE(BD_COMERCIAL!$K105," ",BD_COMERCIAL!$L105),'Curva Forward'!$B$5:$B$13,0),MATCH(GH$4,'Curva Forward'!$C$4:$AN$4,0))),DJ105)</f>
        <v>0</v>
      </c>
      <c r="GI105" s="190">
        <f>AW105*AW$2*IF($FC105="V",1,-1)*IF($Q105="Fixo",(DK105-INDEX('Curva Forward'!$C$5:$AN$13,MATCH(CONCATENATE(BD_COMERCIAL!$K105," ",BD_COMERCIAL!$L105),'Curva Forward'!$B$5:$B$13,0),MATCH(GI$4,'Curva Forward'!$C$4:$AN$4,0))),DK105)</f>
        <v>0</v>
      </c>
      <c r="GJ105" s="190">
        <f>AX105*AX$2*IF($FC105="V",1,-1)*IF($Q105="Fixo",(DL105-INDEX('Curva Forward'!$C$5:$AN$13,MATCH(CONCATENATE(BD_COMERCIAL!$K105," ",BD_COMERCIAL!$L105),'Curva Forward'!$B$5:$B$13,0),MATCH(GJ$4,'Curva Forward'!$C$4:$AN$4,0))),DL105)</f>
        <v>0</v>
      </c>
      <c r="GK105" s="190">
        <f>AY105*AY$2*IF($FC105="V",1,-1)*IF($Q105="Fixo",(DM105-INDEX('Curva Forward'!$C$5:$AN$13,MATCH(CONCATENATE(BD_COMERCIAL!$K105," ",BD_COMERCIAL!$L105),'Curva Forward'!$B$5:$B$13,0),MATCH(GK$4,'Curva Forward'!$C$4:$AN$4,0))),DM105)</f>
        <v>0</v>
      </c>
      <c r="GL105" s="190">
        <f>IF(EZ105="",0,CL105*CL$2*IF($FC105="V",1,-1)*IF($Q105="Fixo",(EZ105-INDEX('Curva Forward'!$C$5:$AN$13,MATCH(CONCATENATE(BD_COMERCIAL!$K105," ",BD_COMERCIAL!$L105),'Curva Forward'!$B$5:$B$13,0),MATCH(GL$4,'Curva Forward'!$C$4:$AN$4,0))),EZ105))</f>
        <v>0</v>
      </c>
      <c r="GM105" s="190">
        <f>IF(FA105="",0,CM105*CM$2*IF($FC105="V",1,-1)*IF($Q105="Fixo",(FA105-INDEX('Curva Forward'!$C$5:$AN$13,MATCH(CONCATENATE(BD_COMERCIAL!$K105," ",BD_COMERCIAL!$L105),'Curva Forward'!$B$5:$B$13,0),MATCH(GM$4,'Curva Forward'!$C$4:$AN$4,0))),FA105))</f>
        <v>0</v>
      </c>
      <c r="GN105" s="190">
        <f>IF(FB105="",0,CN105*CN$2*IF($FC105="V",1,-1)*IF($Q105="Fixo",(FB105-INDEX('Curva Forward'!$C$5:$AN$13,MATCH(CONCATENATE(BD_COMERCIAL!$K105," ",BD_COMERCIAL!$L105),'Curva Forward'!$B$5:$B$13,0),MATCH(GN$4,'Curva Forward'!$C$4:$AN$4,0))),FB105))</f>
        <v>0</v>
      </c>
      <c r="GO105" s="191">
        <f t="shared" ca="1" si="18"/>
        <v>0</v>
      </c>
      <c r="GP105" s="191">
        <f t="shared" ca="1" si="19"/>
        <v>0</v>
      </c>
      <c r="GQ105" s="115"/>
      <c r="GR105" s="115"/>
      <c r="GS105"/>
      <c r="GT105" s="6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</row>
    <row r="106" spans="1:236" s="265" customFormat="1" ht="15" customHeight="1" x14ac:dyDescent="0.35">
      <c r="A106" s="251"/>
      <c r="B106" s="7" t="s">
        <v>477</v>
      </c>
      <c r="C106" s="8">
        <v>44895</v>
      </c>
      <c r="D106" s="9" t="s">
        <v>123</v>
      </c>
      <c r="E106" s="9" t="s">
        <v>381</v>
      </c>
      <c r="F106" s="112" t="s">
        <v>348</v>
      </c>
      <c r="G106" s="10" t="s">
        <v>170</v>
      </c>
      <c r="H106" s="112" t="s">
        <v>380</v>
      </c>
      <c r="I106" s="9" t="s">
        <v>137</v>
      </c>
      <c r="J106" s="158"/>
      <c r="K106" s="10" t="s">
        <v>126</v>
      </c>
      <c r="L106" s="84" t="s">
        <v>22</v>
      </c>
      <c r="M106" s="11">
        <v>45108</v>
      </c>
      <c r="N106" s="12">
        <v>45291</v>
      </c>
      <c r="O106" s="10">
        <v>2</v>
      </c>
      <c r="P106" s="84">
        <v>104</v>
      </c>
      <c r="Q106" s="84" t="s">
        <v>127</v>
      </c>
      <c r="R106" s="10" t="s">
        <v>128</v>
      </c>
      <c r="S106" s="14" t="s">
        <v>133</v>
      </c>
      <c r="T106" s="11"/>
      <c r="U106" s="12"/>
      <c r="V106" s="202" t="str">
        <f ca="1">IF(U106="","",
IF(U106="NA","",
IFERROR(VLOOKUP(EOMONTH(M106,-2)+1,IPCA!$A:$B,2,0),
VLOOKUP(EOMONTH(TODAY(),-2)+1,IPCA!$A:$B,2,0))/
VLOOKUP(EOMONTH(U106,-2)+1,IPCA!$A:$B,2,0)*
P106))</f>
        <v/>
      </c>
      <c r="W106" s="84"/>
      <c r="X106" s="13" t="s">
        <v>132</v>
      </c>
      <c r="Y106" s="158"/>
      <c r="Z106" s="106"/>
      <c r="AA106" s="107"/>
      <c r="AB106" s="15"/>
      <c r="AC106"/>
      <c r="AD106"/>
      <c r="AE106"/>
      <c r="AF106"/>
      <c r="AG106"/>
      <c r="AH106">
        <v>2</v>
      </c>
      <c r="AI106">
        <v>2</v>
      </c>
      <c r="AJ106">
        <v>2</v>
      </c>
      <c r="AK106">
        <v>2</v>
      </c>
      <c r="AL106">
        <v>2</v>
      </c>
      <c r="AM106" s="6">
        <v>2</v>
      </c>
      <c r="AN106" s="15"/>
      <c r="AO106"/>
      <c r="AP106"/>
      <c r="AQ106"/>
      <c r="AR106"/>
      <c r="AS106"/>
      <c r="AT106"/>
      <c r="AU106"/>
      <c r="AV106"/>
      <c r="AW106"/>
      <c r="AX106"/>
      <c r="AY106" s="6"/>
      <c r="AZ106" s="15"/>
      <c r="BA106"/>
      <c r="BB106"/>
      <c r="BC106"/>
      <c r="BD106"/>
      <c r="BE106"/>
      <c r="BF106"/>
      <c r="BG106"/>
      <c r="BH106"/>
      <c r="BI106"/>
      <c r="BJ106"/>
      <c r="BK106" s="6"/>
      <c r="BL106" s="15"/>
      <c r="BM106"/>
      <c r="BN106"/>
      <c r="BO106"/>
      <c r="BP106"/>
      <c r="BQ106"/>
      <c r="BR106"/>
      <c r="BS106"/>
      <c r="BT106"/>
      <c r="BU106"/>
      <c r="BV106"/>
      <c r="BW106" s="6"/>
      <c r="BX106" s="15"/>
      <c r="BY106"/>
      <c r="BZ106"/>
      <c r="CA106"/>
      <c r="CB106"/>
      <c r="CC106"/>
      <c r="CD106"/>
      <c r="CE106"/>
      <c r="CF106"/>
      <c r="CG106"/>
      <c r="CH106"/>
      <c r="CI106" s="6"/>
      <c r="CJ106" s="16">
        <v>1.0082191780821919</v>
      </c>
      <c r="CK106" s="16" t="s">
        <v>578</v>
      </c>
      <c r="CL106" s="16" t="s">
        <v>578</v>
      </c>
      <c r="CM106" s="16" t="s">
        <v>578</v>
      </c>
      <c r="CN106" s="16" t="s">
        <v>578</v>
      </c>
      <c r="CO106" s="18"/>
      <c r="CP106" s="15"/>
      <c r="CQ106"/>
      <c r="CR106"/>
      <c r="CS106"/>
      <c r="CT106"/>
      <c r="CU106"/>
      <c r="CV106">
        <v>104</v>
      </c>
      <c r="CW106">
        <v>104</v>
      </c>
      <c r="CX106">
        <v>104</v>
      </c>
      <c r="CY106">
        <v>104</v>
      </c>
      <c r="CZ106">
        <v>104</v>
      </c>
      <c r="DA106" s="6">
        <v>104</v>
      </c>
      <c r="DB106" s="15"/>
      <c r="DC106"/>
      <c r="DD106"/>
      <c r="DE106"/>
      <c r="DF106"/>
      <c r="DG106"/>
      <c r="DH106"/>
      <c r="DI106"/>
      <c r="DJ106"/>
      <c r="DK106"/>
      <c r="DL106"/>
      <c r="DM106" s="6"/>
      <c r="DN106" s="15"/>
      <c r="DO106"/>
      <c r="DP106"/>
      <c r="DQ106"/>
      <c r="DR106"/>
      <c r="DS106"/>
      <c r="DT106"/>
      <c r="DU106"/>
      <c r="DV106"/>
      <c r="DW106"/>
      <c r="DX106"/>
      <c r="DY106" s="6"/>
      <c r="DZ106" s="15"/>
      <c r="EA106"/>
      <c r="EB106"/>
      <c r="EC106"/>
      <c r="ED106"/>
      <c r="EE106"/>
      <c r="EF106"/>
      <c r="EG106"/>
      <c r="EH106"/>
      <c r="EI106"/>
      <c r="EJ106"/>
      <c r="EK106" s="6"/>
      <c r="EL106" s="15"/>
      <c r="EM106"/>
      <c r="EN106"/>
      <c r="EO106"/>
      <c r="EP106"/>
      <c r="EQ106"/>
      <c r="ER106"/>
      <c r="ES106"/>
      <c r="ET106"/>
      <c r="EU106"/>
      <c r="EV106"/>
      <c r="EW106" s="6"/>
      <c r="EX106" s="16">
        <v>52.42739726027397</v>
      </c>
      <c r="EY106" s="16" t="s">
        <v>578</v>
      </c>
      <c r="EZ106" s="16" t="s">
        <v>578</v>
      </c>
      <c r="FA106" s="154" t="s">
        <v>578</v>
      </c>
      <c r="FB106" s="154" t="s">
        <v>578</v>
      </c>
      <c r="FC106" t="s">
        <v>195</v>
      </c>
      <c r="FD106" s="20" t="s">
        <v>137</v>
      </c>
      <c r="FE106"/>
      <c r="FF106" s="199" t="s">
        <v>197</v>
      </c>
      <c r="FG106"/>
      <c r="FH106" s="206">
        <f t="shared" ca="1" si="13"/>
        <v>0</v>
      </c>
      <c r="FI106" s="198">
        <f t="shared" si="14"/>
        <v>6.1</v>
      </c>
      <c r="FJ106"/>
      <c r="FK106" t="str">
        <f t="shared" si="15"/>
        <v>RBE Gestão Estratégica de Energia Ltda</v>
      </c>
      <c r="FL106" s="191">
        <f t="shared" ca="1" si="16"/>
        <v>0</v>
      </c>
      <c r="FM106" s="191">
        <f t="shared" ca="1" si="17"/>
        <v>264960</v>
      </c>
      <c r="FN106" s="190">
        <f>AB106*AB$2*IF($FC106="V",1,-1)*IF($Q106="Fixo",(CP106-INDEX('Curva Forward'!$C$5:$AN$13,MATCH(CONCATENATE(BD_COMERCIAL!$K106," ",BD_COMERCIAL!$L106),'Curva Forward'!$B$5:$B$13,0),MATCH(FN$4,'Curva Forward'!$C$4:$AN$4,0))),CP106)</f>
        <v>0</v>
      </c>
      <c r="FO106" s="190">
        <f>AC106*AC$2*IF($FC106="V",1,-1)*IF($Q106="Fixo",(CQ106-INDEX('Curva Forward'!$C$5:$AN$13,MATCH(CONCATENATE(BD_COMERCIAL!$K106," ",BD_COMERCIAL!$L106),'Curva Forward'!$B$5:$B$13,0),MATCH(FO$4,'Curva Forward'!$C$4:$AN$4,0))),CQ106)</f>
        <v>0</v>
      </c>
      <c r="FP106" s="190">
        <f>AD106*AD$2*IF($FC106="V",1,-1)*IF($Q106="Fixo",(CR106-INDEX('Curva Forward'!$C$5:$AN$13,MATCH(CONCATENATE(BD_COMERCIAL!$K106," ",BD_COMERCIAL!$L106),'Curva Forward'!$B$5:$B$13,0),MATCH(FP$4,'Curva Forward'!$C$4:$AN$4,0))),CR106)</f>
        <v>0</v>
      </c>
      <c r="FQ106" s="190">
        <f>AE106*AE$2*IF($FC106="V",1,-1)*IF($Q106="Fixo",(CS106-INDEX('Curva Forward'!$C$5:$AN$13,MATCH(CONCATENATE(BD_COMERCIAL!$K106," ",BD_COMERCIAL!$L106),'Curva Forward'!$B$5:$B$13,0),MATCH(FQ$4,'Curva Forward'!$C$4:$AN$4,0))),CS106)</f>
        <v>0</v>
      </c>
      <c r="FR106" s="190">
        <f>AF106*AF$2*IF($FC106="V",1,-1)*IF($Q106="Fixo",(CT106-INDEX('Curva Forward'!$C$5:$AN$13,MATCH(CONCATENATE(BD_COMERCIAL!$K106," ",BD_COMERCIAL!$L106),'Curva Forward'!$B$5:$B$13,0),MATCH(FR$4,'Curva Forward'!$C$4:$AN$4,0))),CT106)</f>
        <v>0</v>
      </c>
      <c r="FS106" s="190">
        <f>AG106*AG$2*IF($FC106="V",1,-1)*IF($Q106="Fixo",(CU106-INDEX('Curva Forward'!$C$5:$AN$13,MATCH(CONCATENATE(BD_COMERCIAL!$K106," ",BD_COMERCIAL!$L106),'Curva Forward'!$B$5:$B$13,0),MATCH(FS$4,'Curva Forward'!$C$4:$AN$4,0))),CU106)</f>
        <v>0</v>
      </c>
      <c r="FT106" s="190">
        <f>AH106*AH$2*IF($FC106="V",1,-1)*IF($Q106="Fixo",(CV106-INDEX('Curva Forward'!$C$5:$AN$13,MATCH(CONCATENATE(BD_COMERCIAL!$K106," ",BD_COMERCIAL!$L106),'Curva Forward'!$B$5:$B$13,0),MATCH(FT$4,'Curva Forward'!$C$4:$AN$4,0))),CV106)</f>
        <v>46128</v>
      </c>
      <c r="FU106" s="190">
        <f>AI106*AI$2*IF($FC106="V",1,-1)*IF($Q106="Fixo",(CW106-INDEX('Curva Forward'!$C$5:$AN$13,MATCH(CONCATENATE(BD_COMERCIAL!$K106," ",BD_COMERCIAL!$L106),'Curva Forward'!$B$5:$B$13,0),MATCH(FU$4,'Curva Forward'!$C$4:$AN$4,0))),CW106)</f>
        <v>46128</v>
      </c>
      <c r="FV106" s="190">
        <f>AJ106*AJ$2*IF($FC106="V",1,-1)*IF($Q106="Fixo",(CX106-INDEX('Curva Forward'!$C$5:$AN$13,MATCH(CONCATENATE(BD_COMERCIAL!$K106," ",BD_COMERCIAL!$L106),'Curva Forward'!$B$5:$B$13,0),MATCH(FV$4,'Curva Forward'!$C$4:$AN$4,0))),CX106)</f>
        <v>44640</v>
      </c>
      <c r="FW106" s="190">
        <f>AK106*AK$2*IF($FC106="V",1,-1)*IF($Q106="Fixo",(CY106-INDEX('Curva Forward'!$C$5:$AN$13,MATCH(CONCATENATE(BD_COMERCIAL!$K106," ",BD_COMERCIAL!$L106),'Curva Forward'!$B$5:$B$13,0),MATCH(FW$4,'Curva Forward'!$C$4:$AN$4,0))),CY106)</f>
        <v>43152</v>
      </c>
      <c r="FX106" s="190">
        <f>AL106*AL$2*IF($FC106="V",1,-1)*IF($Q106="Fixo",(CZ106-INDEX('Curva Forward'!$C$5:$AN$13,MATCH(CONCATENATE(BD_COMERCIAL!$K106," ",BD_COMERCIAL!$L106),'Curva Forward'!$B$5:$B$13,0),MATCH(FX$4,'Curva Forward'!$C$4:$AN$4,0))),CZ106)</f>
        <v>41760</v>
      </c>
      <c r="FY106" s="190">
        <f>AM106*AM$2*IF($FC106="V",1,-1)*IF($Q106="Fixo",(DA106-INDEX('Curva Forward'!$C$5:$AN$13,MATCH(CONCATENATE(BD_COMERCIAL!$K106," ",BD_COMERCIAL!$L106),'Curva Forward'!$B$5:$B$13,0),MATCH(FY$4,'Curva Forward'!$C$4:$AN$4,0))),DA106)</f>
        <v>43152</v>
      </c>
      <c r="FZ106" s="190">
        <f>AN106*AN$2*IF($FC106="V",1,-1)*IF($Q106="Fixo",(DB106-INDEX('Curva Forward'!$C$5:$AN$13,MATCH(CONCATENATE(BD_COMERCIAL!$K106," ",BD_COMERCIAL!$L106),'Curva Forward'!$B$5:$B$13,0),MATCH(FZ$4,'Curva Forward'!$C$4:$AN$4,0))),DB106)</f>
        <v>0</v>
      </c>
      <c r="GA106" s="190">
        <f>AO106*AO$2*IF($FC106="V",1,-1)*IF($Q106="Fixo",(DC106-INDEX('Curva Forward'!$C$5:$AN$13,MATCH(CONCATENATE(BD_COMERCIAL!$K106," ",BD_COMERCIAL!$L106),'Curva Forward'!$B$5:$B$13,0),MATCH(GA$4,'Curva Forward'!$C$4:$AN$4,0))),DC106)</f>
        <v>0</v>
      </c>
      <c r="GB106" s="190">
        <f>AP106*AP$2*IF($FC106="V",1,-1)*IF($Q106="Fixo",(DD106-INDEX('Curva Forward'!$C$5:$AN$13,MATCH(CONCATENATE(BD_COMERCIAL!$K106," ",BD_COMERCIAL!$L106),'Curva Forward'!$B$5:$B$13,0),MATCH(GB$4,'Curva Forward'!$C$4:$AN$4,0))),DD106)</f>
        <v>0</v>
      </c>
      <c r="GC106" s="190">
        <f>AQ106*AQ$2*IF($FC106="V",1,-1)*IF($Q106="Fixo",(DE106-INDEX('Curva Forward'!$C$5:$AN$13,MATCH(CONCATENATE(BD_COMERCIAL!$K106," ",BD_COMERCIAL!$L106),'Curva Forward'!$B$5:$B$13,0),MATCH(GC$4,'Curva Forward'!$C$4:$AN$4,0))),DE106)</f>
        <v>0</v>
      </c>
      <c r="GD106" s="190">
        <f>AR106*AR$2*IF($FC106="V",1,-1)*IF($Q106="Fixo",(DF106-INDEX('Curva Forward'!$C$5:$AN$13,MATCH(CONCATENATE(BD_COMERCIAL!$K106," ",BD_COMERCIAL!$L106),'Curva Forward'!$B$5:$B$13,0),MATCH(GD$4,'Curva Forward'!$C$4:$AN$4,0))),DF106)</f>
        <v>0</v>
      </c>
      <c r="GE106" s="190">
        <f>AS106*AS$2*IF($FC106="V",1,-1)*IF($Q106="Fixo",(DG106-INDEX('Curva Forward'!$C$5:$AN$13,MATCH(CONCATENATE(BD_COMERCIAL!$K106," ",BD_COMERCIAL!$L106),'Curva Forward'!$B$5:$B$13,0),MATCH(GE$4,'Curva Forward'!$C$4:$AN$4,0))),DG106)</f>
        <v>0</v>
      </c>
      <c r="GF106" s="190">
        <f>AT106*AT$2*IF($FC106="V",1,-1)*IF($Q106="Fixo",(DH106-INDEX('Curva Forward'!$C$5:$AN$13,MATCH(CONCATENATE(BD_COMERCIAL!$K106," ",BD_COMERCIAL!$L106),'Curva Forward'!$B$5:$B$13,0),MATCH(GF$4,'Curva Forward'!$C$4:$AN$4,0))),DH106)</f>
        <v>0</v>
      </c>
      <c r="GG106" s="190">
        <f>AU106*AU$2*IF($FC106="V",1,-1)*IF($Q106="Fixo",(DI106-INDEX('Curva Forward'!$C$5:$AN$13,MATCH(CONCATENATE(BD_COMERCIAL!$K106," ",BD_COMERCIAL!$L106),'Curva Forward'!$B$5:$B$13,0),MATCH(GG$4,'Curva Forward'!$C$4:$AN$4,0))),DI106)</f>
        <v>0</v>
      </c>
      <c r="GH106" s="190">
        <f>AV106*AV$2*IF($FC106="V",1,-1)*IF($Q106="Fixo",(DJ106-INDEX('Curva Forward'!$C$5:$AN$13,MATCH(CONCATENATE(BD_COMERCIAL!$K106," ",BD_COMERCIAL!$L106),'Curva Forward'!$B$5:$B$13,0),MATCH(GH$4,'Curva Forward'!$C$4:$AN$4,0))),DJ106)</f>
        <v>0</v>
      </c>
      <c r="GI106" s="190">
        <f>AW106*AW$2*IF($FC106="V",1,-1)*IF($Q106="Fixo",(DK106-INDEX('Curva Forward'!$C$5:$AN$13,MATCH(CONCATENATE(BD_COMERCIAL!$K106," ",BD_COMERCIAL!$L106),'Curva Forward'!$B$5:$B$13,0),MATCH(GI$4,'Curva Forward'!$C$4:$AN$4,0))),DK106)</f>
        <v>0</v>
      </c>
      <c r="GJ106" s="190">
        <f>AX106*AX$2*IF($FC106="V",1,-1)*IF($Q106="Fixo",(DL106-INDEX('Curva Forward'!$C$5:$AN$13,MATCH(CONCATENATE(BD_COMERCIAL!$K106," ",BD_COMERCIAL!$L106),'Curva Forward'!$B$5:$B$13,0),MATCH(GJ$4,'Curva Forward'!$C$4:$AN$4,0))),DL106)</f>
        <v>0</v>
      </c>
      <c r="GK106" s="190">
        <f>AY106*AY$2*IF($FC106="V",1,-1)*IF($Q106="Fixo",(DM106-INDEX('Curva Forward'!$C$5:$AN$13,MATCH(CONCATENATE(BD_COMERCIAL!$K106," ",BD_COMERCIAL!$L106),'Curva Forward'!$B$5:$B$13,0),MATCH(GK$4,'Curva Forward'!$C$4:$AN$4,0))),DM106)</f>
        <v>0</v>
      </c>
      <c r="GL106" s="190">
        <f>IF(EZ106="",0,CL106*CL$2*IF($FC106="V",1,-1)*IF($Q106="Fixo",(EZ106-INDEX('Curva Forward'!$C$5:$AN$13,MATCH(CONCATENATE(BD_COMERCIAL!$K106," ",BD_COMERCIAL!$L106),'Curva Forward'!$B$5:$B$13,0),MATCH(GL$4,'Curva Forward'!$C$4:$AN$4,0))),EZ106))</f>
        <v>0</v>
      </c>
      <c r="GM106" s="190">
        <f>IF(FA106="",0,CM106*CM$2*IF($FC106="V",1,-1)*IF($Q106="Fixo",(FA106-INDEX('Curva Forward'!$C$5:$AN$13,MATCH(CONCATENATE(BD_COMERCIAL!$K106," ",BD_COMERCIAL!$L106),'Curva Forward'!$B$5:$B$13,0),MATCH(GM$4,'Curva Forward'!$C$4:$AN$4,0))),FA106))</f>
        <v>0</v>
      </c>
      <c r="GN106" s="190">
        <f>IF(FB106="",0,CN106*CN$2*IF($FC106="V",1,-1)*IF($Q106="Fixo",(FB106-INDEX('Curva Forward'!$C$5:$AN$13,MATCH(CONCATENATE(BD_COMERCIAL!$K106," ",BD_COMERCIAL!$L106),'Curva Forward'!$B$5:$B$13,0),MATCH(GN$4,'Curva Forward'!$C$4:$AN$4,0))),FB106))</f>
        <v>0</v>
      </c>
      <c r="GO106" s="191">
        <f t="shared" ca="1" si="18"/>
        <v>264960</v>
      </c>
      <c r="GP106" s="191">
        <f t="shared" ca="1" si="19"/>
        <v>0</v>
      </c>
      <c r="GQ106" s="115"/>
      <c r="GR106" s="115"/>
      <c r="GS106"/>
      <c r="GT106" s="65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</row>
    <row r="107" spans="1:236" s="265" customFormat="1" ht="15" customHeight="1" x14ac:dyDescent="0.35">
      <c r="A107" s="251"/>
      <c r="B107" s="7" t="s">
        <v>478</v>
      </c>
      <c r="C107" s="8">
        <v>44895</v>
      </c>
      <c r="D107" s="9" t="s">
        <v>130</v>
      </c>
      <c r="E107" s="9" t="s">
        <v>467</v>
      </c>
      <c r="F107" s="112" t="s">
        <v>468</v>
      </c>
      <c r="G107" s="10" t="s">
        <v>381</v>
      </c>
      <c r="H107" s="112" t="s">
        <v>348</v>
      </c>
      <c r="I107" s="9" t="s">
        <v>137</v>
      </c>
      <c r="J107" s="158"/>
      <c r="K107" s="10" t="s">
        <v>126</v>
      </c>
      <c r="L107" s="84" t="s">
        <v>22</v>
      </c>
      <c r="M107" s="11">
        <v>44927</v>
      </c>
      <c r="N107" s="12">
        <v>45016</v>
      </c>
      <c r="O107" s="10">
        <v>7</v>
      </c>
      <c r="P107" s="84">
        <v>64.5</v>
      </c>
      <c r="Q107" s="84" t="s">
        <v>127</v>
      </c>
      <c r="R107" s="10" t="s">
        <v>128</v>
      </c>
      <c r="S107" s="14" t="s">
        <v>133</v>
      </c>
      <c r="T107" s="11"/>
      <c r="U107" s="12"/>
      <c r="V107" s="202" t="str">
        <f ca="1">IF(U107="","",
IF(U107="NA","",
IFERROR(VLOOKUP(EOMONTH(M107,-2)+1,IPCA!$A:$B,2,0),
VLOOKUP(EOMONTH(TODAY(),-2)+1,IPCA!$A:$B,2,0))/
VLOOKUP(EOMONTH(U107,-2)+1,IPCA!$A:$B,2,0)*
P107))</f>
        <v/>
      </c>
      <c r="W107" s="84"/>
      <c r="X107" s="13" t="s">
        <v>132</v>
      </c>
      <c r="Y107" s="158"/>
      <c r="Z107" s="106"/>
      <c r="AA107" s="107"/>
      <c r="AB107" s="15">
        <v>7</v>
      </c>
      <c r="AC107">
        <v>7</v>
      </c>
      <c r="AD107">
        <v>7</v>
      </c>
      <c r="AE107"/>
      <c r="AF107"/>
      <c r="AG107"/>
      <c r="AH107"/>
      <c r="AI107"/>
      <c r="AJ107"/>
      <c r="AK107"/>
      <c r="AL107"/>
      <c r="AM107" s="6"/>
      <c r="AN107" s="15"/>
      <c r="AO107"/>
      <c r="AP107"/>
      <c r="AQ107"/>
      <c r="AR107"/>
      <c r="AS107"/>
      <c r="AT107"/>
      <c r="AU107"/>
      <c r="AV107"/>
      <c r="AW107"/>
      <c r="AX107"/>
      <c r="AY107" s="6"/>
      <c r="AZ107" s="15"/>
      <c r="BA107"/>
      <c r="BB107"/>
      <c r="BC107"/>
      <c r="BD107"/>
      <c r="BE107"/>
      <c r="BF107"/>
      <c r="BG107"/>
      <c r="BH107"/>
      <c r="BI107"/>
      <c r="BJ107"/>
      <c r="BK107" s="6"/>
      <c r="BL107" s="15"/>
      <c r="BM107"/>
      <c r="BN107"/>
      <c r="BO107"/>
      <c r="BP107"/>
      <c r="BQ107"/>
      <c r="BR107"/>
      <c r="BS107"/>
      <c r="BT107"/>
      <c r="BU107"/>
      <c r="BV107"/>
      <c r="BW107" s="6"/>
      <c r="BX107" s="15"/>
      <c r="BY107"/>
      <c r="BZ107"/>
      <c r="CA107"/>
      <c r="CB107"/>
      <c r="CC107"/>
      <c r="CD107"/>
      <c r="CE107"/>
      <c r="CF107"/>
      <c r="CG107"/>
      <c r="CH107"/>
      <c r="CI107" s="6"/>
      <c r="CJ107" s="16">
        <v>1.726027397260274</v>
      </c>
      <c r="CK107" s="16" t="s">
        <v>578</v>
      </c>
      <c r="CL107" s="16" t="s">
        <v>578</v>
      </c>
      <c r="CM107" s="16" t="s">
        <v>578</v>
      </c>
      <c r="CN107" s="16" t="s">
        <v>578</v>
      </c>
      <c r="CO107" s="18"/>
      <c r="CP107" s="15">
        <v>64.5</v>
      </c>
      <c r="CQ107">
        <v>64.5</v>
      </c>
      <c r="CR107">
        <v>64.5</v>
      </c>
      <c r="CS107"/>
      <c r="CT107"/>
      <c r="CU107"/>
      <c r="CV107"/>
      <c r="CW107"/>
      <c r="CX107"/>
      <c r="CY107"/>
      <c r="CZ107"/>
      <c r="DA107" s="6"/>
      <c r="DB107" s="15"/>
      <c r="DC107"/>
      <c r="DD107"/>
      <c r="DE107"/>
      <c r="DF107"/>
      <c r="DG107"/>
      <c r="DH107"/>
      <c r="DI107"/>
      <c r="DJ107"/>
      <c r="DK107"/>
      <c r="DL107"/>
      <c r="DM107" s="6"/>
      <c r="DN107" s="15"/>
      <c r="DO107"/>
      <c r="DP107"/>
      <c r="DQ107"/>
      <c r="DR107"/>
      <c r="DS107"/>
      <c r="DT107"/>
      <c r="DU107"/>
      <c r="DV107"/>
      <c r="DW107"/>
      <c r="DX107"/>
      <c r="DY107" s="6"/>
      <c r="DZ107" s="15"/>
      <c r="EA107"/>
      <c r="EB107"/>
      <c r="EC107"/>
      <c r="ED107"/>
      <c r="EE107"/>
      <c r="EF107"/>
      <c r="EG107"/>
      <c r="EH107"/>
      <c r="EI107"/>
      <c r="EJ107"/>
      <c r="EK107" s="6"/>
      <c r="EL107" s="15"/>
      <c r="EM107"/>
      <c r="EN107"/>
      <c r="EO107"/>
      <c r="EP107"/>
      <c r="EQ107"/>
      <c r="ER107"/>
      <c r="ES107"/>
      <c r="ET107"/>
      <c r="EU107"/>
      <c r="EV107"/>
      <c r="EW107" s="6"/>
      <c r="EX107" s="16">
        <v>15.904109589041095</v>
      </c>
      <c r="EY107" s="16" t="s">
        <v>578</v>
      </c>
      <c r="EZ107" s="16" t="s">
        <v>578</v>
      </c>
      <c r="FA107" s="154" t="s">
        <v>578</v>
      </c>
      <c r="FB107" s="154" t="s">
        <v>578</v>
      </c>
      <c r="FC107" t="s">
        <v>196</v>
      </c>
      <c r="FD107" s="20" t="s">
        <v>137</v>
      </c>
      <c r="FE107"/>
      <c r="FF107" s="199" t="s">
        <v>197</v>
      </c>
      <c r="FG107"/>
      <c r="FH107" s="206">
        <f t="shared" ca="1" si="13"/>
        <v>0</v>
      </c>
      <c r="FI107" s="198">
        <f t="shared" si="14"/>
        <v>2.9666666666666668</v>
      </c>
      <c r="FJ107"/>
      <c r="FK107" t="str">
        <f t="shared" si="15"/>
        <v>EDP TRADING COMERCIALIZACAO E SERVICOS DE ENERGIA SA</v>
      </c>
      <c r="FL107" s="191">
        <f t="shared" ca="1" si="16"/>
        <v>23436</v>
      </c>
      <c r="FM107" s="191">
        <f t="shared" ca="1" si="17"/>
        <v>44604</v>
      </c>
      <c r="FN107" s="190">
        <f>AB107*AB$2*IF($FC107="V",1,-1)*IF($Q107="Fixo",(CP107-INDEX('Curva Forward'!$C$5:$AN$13,MATCH(CONCATENATE(BD_COMERCIAL!$K107," ",BD_COMERCIAL!$L107),'Curva Forward'!$B$5:$B$13,0),MATCH(FN$4,'Curva Forward'!$C$4:$AN$4,0))),CP107)</f>
        <v>23436</v>
      </c>
      <c r="FO107" s="190">
        <f>AC107*AC$2*IF($FC107="V",1,-1)*IF($Q107="Fixo",(CQ107-INDEX('Curva Forward'!$C$5:$AN$13,MATCH(CONCATENATE(BD_COMERCIAL!$K107," ",BD_COMERCIAL!$L107),'Curva Forward'!$B$5:$B$13,0),MATCH(FO$4,'Curva Forward'!$C$4:$AN$4,0))),CQ107)</f>
        <v>21168</v>
      </c>
      <c r="FP107" s="190">
        <f>AD107*AD$2*IF($FC107="V",1,-1)*IF($Q107="Fixo",(CR107-INDEX('Curva Forward'!$C$5:$AN$13,MATCH(CONCATENATE(BD_COMERCIAL!$K107," ",BD_COMERCIAL!$L107),'Curva Forward'!$B$5:$B$13,0),MATCH(FP$4,'Curva Forward'!$C$4:$AN$4,0))),CR107)</f>
        <v>23436</v>
      </c>
      <c r="FQ107" s="190">
        <f>AE107*AE$2*IF($FC107="V",1,-1)*IF($Q107="Fixo",(CS107-INDEX('Curva Forward'!$C$5:$AN$13,MATCH(CONCATENATE(BD_COMERCIAL!$K107," ",BD_COMERCIAL!$L107),'Curva Forward'!$B$5:$B$13,0),MATCH(FQ$4,'Curva Forward'!$C$4:$AN$4,0))),CS107)</f>
        <v>0</v>
      </c>
      <c r="FR107" s="190">
        <f>AF107*AF$2*IF($FC107="V",1,-1)*IF($Q107="Fixo",(CT107-INDEX('Curva Forward'!$C$5:$AN$13,MATCH(CONCATENATE(BD_COMERCIAL!$K107," ",BD_COMERCIAL!$L107),'Curva Forward'!$B$5:$B$13,0),MATCH(FR$4,'Curva Forward'!$C$4:$AN$4,0))),CT107)</f>
        <v>0</v>
      </c>
      <c r="FS107" s="190">
        <f>AG107*AG$2*IF($FC107="V",1,-1)*IF($Q107="Fixo",(CU107-INDEX('Curva Forward'!$C$5:$AN$13,MATCH(CONCATENATE(BD_COMERCIAL!$K107," ",BD_COMERCIAL!$L107),'Curva Forward'!$B$5:$B$13,0),MATCH(FS$4,'Curva Forward'!$C$4:$AN$4,0))),CU107)</f>
        <v>0</v>
      </c>
      <c r="FT107" s="190">
        <f>AH107*AH$2*IF($FC107="V",1,-1)*IF($Q107="Fixo",(CV107-INDEX('Curva Forward'!$C$5:$AN$13,MATCH(CONCATENATE(BD_COMERCIAL!$K107," ",BD_COMERCIAL!$L107),'Curva Forward'!$B$5:$B$13,0),MATCH(FT$4,'Curva Forward'!$C$4:$AN$4,0))),CV107)</f>
        <v>0</v>
      </c>
      <c r="FU107" s="190">
        <f>AI107*AI$2*IF($FC107="V",1,-1)*IF($Q107="Fixo",(CW107-INDEX('Curva Forward'!$C$5:$AN$13,MATCH(CONCATENATE(BD_COMERCIAL!$K107," ",BD_COMERCIAL!$L107),'Curva Forward'!$B$5:$B$13,0),MATCH(FU$4,'Curva Forward'!$C$4:$AN$4,0))),CW107)</f>
        <v>0</v>
      </c>
      <c r="FV107" s="190">
        <f>AJ107*AJ$2*IF($FC107="V",1,-1)*IF($Q107="Fixo",(CX107-INDEX('Curva Forward'!$C$5:$AN$13,MATCH(CONCATENATE(BD_COMERCIAL!$K107," ",BD_COMERCIAL!$L107),'Curva Forward'!$B$5:$B$13,0),MATCH(FV$4,'Curva Forward'!$C$4:$AN$4,0))),CX107)</f>
        <v>0</v>
      </c>
      <c r="FW107" s="190">
        <f>AK107*AK$2*IF($FC107="V",1,-1)*IF($Q107="Fixo",(CY107-INDEX('Curva Forward'!$C$5:$AN$13,MATCH(CONCATENATE(BD_COMERCIAL!$K107," ",BD_COMERCIAL!$L107),'Curva Forward'!$B$5:$B$13,0),MATCH(FW$4,'Curva Forward'!$C$4:$AN$4,0))),CY107)</f>
        <v>0</v>
      </c>
      <c r="FX107" s="190">
        <f>AL107*AL$2*IF($FC107="V",1,-1)*IF($Q107="Fixo",(CZ107-INDEX('Curva Forward'!$C$5:$AN$13,MATCH(CONCATENATE(BD_COMERCIAL!$K107," ",BD_COMERCIAL!$L107),'Curva Forward'!$B$5:$B$13,0),MATCH(FX$4,'Curva Forward'!$C$4:$AN$4,0))),CZ107)</f>
        <v>0</v>
      </c>
      <c r="FY107" s="190">
        <f>AM107*AM$2*IF($FC107="V",1,-1)*IF($Q107="Fixo",(DA107-INDEX('Curva Forward'!$C$5:$AN$13,MATCH(CONCATENATE(BD_COMERCIAL!$K107," ",BD_COMERCIAL!$L107),'Curva Forward'!$B$5:$B$13,0),MATCH(FY$4,'Curva Forward'!$C$4:$AN$4,0))),DA107)</f>
        <v>0</v>
      </c>
      <c r="FZ107" s="190">
        <f>AN107*AN$2*IF($FC107="V",1,-1)*IF($Q107="Fixo",(DB107-INDEX('Curva Forward'!$C$5:$AN$13,MATCH(CONCATENATE(BD_COMERCIAL!$K107," ",BD_COMERCIAL!$L107),'Curva Forward'!$B$5:$B$13,0),MATCH(FZ$4,'Curva Forward'!$C$4:$AN$4,0))),DB107)</f>
        <v>0</v>
      </c>
      <c r="GA107" s="190">
        <f>AO107*AO$2*IF($FC107="V",1,-1)*IF($Q107="Fixo",(DC107-INDEX('Curva Forward'!$C$5:$AN$13,MATCH(CONCATENATE(BD_COMERCIAL!$K107," ",BD_COMERCIAL!$L107),'Curva Forward'!$B$5:$B$13,0),MATCH(GA$4,'Curva Forward'!$C$4:$AN$4,0))),DC107)</f>
        <v>0</v>
      </c>
      <c r="GB107" s="190">
        <f>AP107*AP$2*IF($FC107="V",1,-1)*IF($Q107="Fixo",(DD107-INDEX('Curva Forward'!$C$5:$AN$13,MATCH(CONCATENATE(BD_COMERCIAL!$K107," ",BD_COMERCIAL!$L107),'Curva Forward'!$B$5:$B$13,0),MATCH(GB$4,'Curva Forward'!$C$4:$AN$4,0))),DD107)</f>
        <v>0</v>
      </c>
      <c r="GC107" s="190">
        <f>AQ107*AQ$2*IF($FC107="V",1,-1)*IF($Q107="Fixo",(DE107-INDEX('Curva Forward'!$C$5:$AN$13,MATCH(CONCATENATE(BD_COMERCIAL!$K107," ",BD_COMERCIAL!$L107),'Curva Forward'!$B$5:$B$13,0),MATCH(GC$4,'Curva Forward'!$C$4:$AN$4,0))),DE107)</f>
        <v>0</v>
      </c>
      <c r="GD107" s="190">
        <f>AR107*AR$2*IF($FC107="V",1,-1)*IF($Q107="Fixo",(DF107-INDEX('Curva Forward'!$C$5:$AN$13,MATCH(CONCATENATE(BD_COMERCIAL!$K107," ",BD_COMERCIAL!$L107),'Curva Forward'!$B$5:$B$13,0),MATCH(GD$4,'Curva Forward'!$C$4:$AN$4,0))),DF107)</f>
        <v>0</v>
      </c>
      <c r="GE107" s="190">
        <f>AS107*AS$2*IF($FC107="V",1,-1)*IF($Q107="Fixo",(DG107-INDEX('Curva Forward'!$C$5:$AN$13,MATCH(CONCATENATE(BD_COMERCIAL!$K107," ",BD_COMERCIAL!$L107),'Curva Forward'!$B$5:$B$13,0),MATCH(GE$4,'Curva Forward'!$C$4:$AN$4,0))),DG107)</f>
        <v>0</v>
      </c>
      <c r="GF107" s="190">
        <f>AT107*AT$2*IF($FC107="V",1,-1)*IF($Q107="Fixo",(DH107-INDEX('Curva Forward'!$C$5:$AN$13,MATCH(CONCATENATE(BD_COMERCIAL!$K107," ",BD_COMERCIAL!$L107),'Curva Forward'!$B$5:$B$13,0),MATCH(GF$4,'Curva Forward'!$C$4:$AN$4,0))),DH107)</f>
        <v>0</v>
      </c>
      <c r="GG107" s="190">
        <f>AU107*AU$2*IF($FC107="V",1,-1)*IF($Q107="Fixo",(DI107-INDEX('Curva Forward'!$C$5:$AN$13,MATCH(CONCATENATE(BD_COMERCIAL!$K107," ",BD_COMERCIAL!$L107),'Curva Forward'!$B$5:$B$13,0),MATCH(GG$4,'Curva Forward'!$C$4:$AN$4,0))),DI107)</f>
        <v>0</v>
      </c>
      <c r="GH107" s="190">
        <f>AV107*AV$2*IF($FC107="V",1,-1)*IF($Q107="Fixo",(DJ107-INDEX('Curva Forward'!$C$5:$AN$13,MATCH(CONCATENATE(BD_COMERCIAL!$K107," ",BD_COMERCIAL!$L107),'Curva Forward'!$B$5:$B$13,0),MATCH(GH$4,'Curva Forward'!$C$4:$AN$4,0))),DJ107)</f>
        <v>0</v>
      </c>
      <c r="GI107" s="190">
        <f>AW107*AW$2*IF($FC107="V",1,-1)*IF($Q107="Fixo",(DK107-INDEX('Curva Forward'!$C$5:$AN$13,MATCH(CONCATENATE(BD_COMERCIAL!$K107," ",BD_COMERCIAL!$L107),'Curva Forward'!$B$5:$B$13,0),MATCH(GI$4,'Curva Forward'!$C$4:$AN$4,0))),DK107)</f>
        <v>0</v>
      </c>
      <c r="GJ107" s="190">
        <f>AX107*AX$2*IF($FC107="V",1,-1)*IF($Q107="Fixo",(DL107-INDEX('Curva Forward'!$C$5:$AN$13,MATCH(CONCATENATE(BD_COMERCIAL!$K107," ",BD_COMERCIAL!$L107),'Curva Forward'!$B$5:$B$13,0),MATCH(GJ$4,'Curva Forward'!$C$4:$AN$4,0))),DL107)</f>
        <v>0</v>
      </c>
      <c r="GK107" s="190">
        <f>AY107*AY$2*IF($FC107="V",1,-1)*IF($Q107="Fixo",(DM107-INDEX('Curva Forward'!$C$5:$AN$13,MATCH(CONCATENATE(BD_COMERCIAL!$K107," ",BD_COMERCIAL!$L107),'Curva Forward'!$B$5:$B$13,0),MATCH(GK$4,'Curva Forward'!$C$4:$AN$4,0))),DM107)</f>
        <v>0</v>
      </c>
      <c r="GL107" s="190">
        <f>IF(EZ107="",0,CL107*CL$2*IF($FC107="V",1,-1)*IF($Q107="Fixo",(EZ107-INDEX('Curva Forward'!$C$5:$AN$13,MATCH(CONCATENATE(BD_COMERCIAL!$K107," ",BD_COMERCIAL!$L107),'Curva Forward'!$B$5:$B$13,0),MATCH(GL$4,'Curva Forward'!$C$4:$AN$4,0))),EZ107))</f>
        <v>0</v>
      </c>
      <c r="GM107" s="190">
        <f>IF(FA107="",0,CM107*CM$2*IF($FC107="V",1,-1)*IF($Q107="Fixo",(FA107-INDEX('Curva Forward'!$C$5:$AN$13,MATCH(CONCATENATE(BD_COMERCIAL!$K107," ",BD_COMERCIAL!$L107),'Curva Forward'!$B$5:$B$13,0),MATCH(GM$4,'Curva Forward'!$C$4:$AN$4,0))),FA107))</f>
        <v>0</v>
      </c>
      <c r="GN107" s="190">
        <f>IF(FB107="",0,CN107*CN$2*IF($FC107="V",1,-1)*IF($Q107="Fixo",(FB107-INDEX('Curva Forward'!$C$5:$AN$13,MATCH(CONCATENATE(BD_COMERCIAL!$K107," ",BD_COMERCIAL!$L107),'Curva Forward'!$B$5:$B$13,0),MATCH(GN$4,'Curva Forward'!$C$4:$AN$4,0))),FB107))</f>
        <v>0</v>
      </c>
      <c r="GO107" s="191">
        <f t="shared" ca="1" si="18"/>
        <v>44604</v>
      </c>
      <c r="GP107" s="191">
        <f t="shared" ca="1" si="19"/>
        <v>0</v>
      </c>
      <c r="GQ107" s="115"/>
      <c r="GR107" s="115"/>
      <c r="GS107"/>
      <c r="GT107" s="65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</row>
    <row r="108" spans="1:236" s="265" customFormat="1" ht="15" customHeight="1" x14ac:dyDescent="0.35">
      <c r="A108" s="251"/>
      <c r="B108" s="7" t="s">
        <v>479</v>
      </c>
      <c r="C108" s="8">
        <v>44895</v>
      </c>
      <c r="D108" s="9" t="s">
        <v>123</v>
      </c>
      <c r="E108" s="9" t="s">
        <v>381</v>
      </c>
      <c r="F108" s="112" t="s">
        <v>348</v>
      </c>
      <c r="G108" s="10" t="s">
        <v>467</v>
      </c>
      <c r="H108" s="112" t="s">
        <v>468</v>
      </c>
      <c r="I108" s="9" t="s">
        <v>137</v>
      </c>
      <c r="J108" s="158"/>
      <c r="K108" s="10" t="s">
        <v>126</v>
      </c>
      <c r="L108" s="84" t="s">
        <v>22</v>
      </c>
      <c r="M108" s="11">
        <v>45017</v>
      </c>
      <c r="N108" s="12">
        <v>45107</v>
      </c>
      <c r="O108" s="10">
        <v>7</v>
      </c>
      <c r="P108" s="84">
        <v>70</v>
      </c>
      <c r="Q108" s="84" t="s">
        <v>127</v>
      </c>
      <c r="R108" s="10" t="s">
        <v>128</v>
      </c>
      <c r="S108" s="14" t="s">
        <v>133</v>
      </c>
      <c r="T108" s="11"/>
      <c r="U108" s="12"/>
      <c r="V108" s="202" t="str">
        <f ca="1">IF(U108="","",
IF(U108="NA","",
IFERROR(VLOOKUP(EOMONTH(M108,-2)+1,IPCA!$A:$B,2,0),
VLOOKUP(EOMONTH(TODAY(),-2)+1,IPCA!$A:$B,2,0))/
VLOOKUP(EOMONTH(U108,-2)+1,IPCA!$A:$B,2,0)*
P108))</f>
        <v/>
      </c>
      <c r="W108" s="84"/>
      <c r="X108" s="13" t="s">
        <v>132</v>
      </c>
      <c r="Y108" s="158"/>
      <c r="Z108" s="106"/>
      <c r="AA108" s="107"/>
      <c r="AB108" s="15"/>
      <c r="AC108"/>
      <c r="AD108"/>
      <c r="AE108">
        <v>7</v>
      </c>
      <c r="AF108">
        <v>7</v>
      </c>
      <c r="AG108">
        <v>7</v>
      </c>
      <c r="AH108"/>
      <c r="AI108"/>
      <c r="AJ108"/>
      <c r="AK108"/>
      <c r="AL108"/>
      <c r="AM108" s="6"/>
      <c r="AN108" s="15"/>
      <c r="AO108"/>
      <c r="AP108"/>
      <c r="AQ108"/>
      <c r="AR108"/>
      <c r="AS108"/>
      <c r="AT108"/>
      <c r="AU108"/>
      <c r="AV108"/>
      <c r="AW108"/>
      <c r="AX108"/>
      <c r="AY108" s="6"/>
      <c r="AZ108" s="15"/>
      <c r="BA108"/>
      <c r="BB108"/>
      <c r="BC108"/>
      <c r="BD108"/>
      <c r="BE108"/>
      <c r="BF108"/>
      <c r="BG108"/>
      <c r="BH108"/>
      <c r="BI108"/>
      <c r="BJ108"/>
      <c r="BK108" s="6"/>
      <c r="BL108" s="15"/>
      <c r="BM108"/>
      <c r="BN108"/>
      <c r="BO108"/>
      <c r="BP108"/>
      <c r="BQ108"/>
      <c r="BR108"/>
      <c r="BS108"/>
      <c r="BT108"/>
      <c r="BU108"/>
      <c r="BV108"/>
      <c r="BW108" s="6"/>
      <c r="BX108" s="15"/>
      <c r="BY108"/>
      <c r="BZ108"/>
      <c r="CA108"/>
      <c r="CB108"/>
      <c r="CC108"/>
      <c r="CD108"/>
      <c r="CE108"/>
      <c r="CF108"/>
      <c r="CG108"/>
      <c r="CH108"/>
      <c r="CI108" s="6"/>
      <c r="CJ108" s="16">
        <v>1.7452054794520548</v>
      </c>
      <c r="CK108" s="16" t="s">
        <v>578</v>
      </c>
      <c r="CL108" s="16" t="s">
        <v>578</v>
      </c>
      <c r="CM108" s="16" t="s">
        <v>578</v>
      </c>
      <c r="CN108" s="16" t="s">
        <v>578</v>
      </c>
      <c r="CO108" s="18"/>
      <c r="CP108" s="15"/>
      <c r="CQ108"/>
      <c r="CR108"/>
      <c r="CS108">
        <v>70</v>
      </c>
      <c r="CT108">
        <v>70</v>
      </c>
      <c r="CU108">
        <v>70</v>
      </c>
      <c r="CV108"/>
      <c r="CW108"/>
      <c r="CX108"/>
      <c r="CY108"/>
      <c r="CZ108"/>
      <c r="DA108" s="6"/>
      <c r="DB108" s="15"/>
      <c r="DC108"/>
      <c r="DD108"/>
      <c r="DE108"/>
      <c r="DF108"/>
      <c r="DG108"/>
      <c r="DH108"/>
      <c r="DI108"/>
      <c r="DJ108"/>
      <c r="DK108"/>
      <c r="DL108"/>
      <c r="DM108" s="6"/>
      <c r="DN108" s="15"/>
      <c r="DO108"/>
      <c r="DP108"/>
      <c r="DQ108"/>
      <c r="DR108"/>
      <c r="DS108"/>
      <c r="DT108"/>
      <c r="DU108"/>
      <c r="DV108"/>
      <c r="DW108"/>
      <c r="DX108"/>
      <c r="DY108" s="6"/>
      <c r="DZ108" s="15"/>
      <c r="EA108"/>
      <c r="EB108"/>
      <c r="EC108"/>
      <c r="ED108"/>
      <c r="EE108"/>
      <c r="EF108"/>
      <c r="EG108"/>
      <c r="EH108"/>
      <c r="EI108"/>
      <c r="EJ108"/>
      <c r="EK108" s="6"/>
      <c r="EL108" s="15"/>
      <c r="EM108"/>
      <c r="EN108"/>
      <c r="EO108"/>
      <c r="EP108"/>
      <c r="EQ108"/>
      <c r="ER108"/>
      <c r="ES108"/>
      <c r="ET108"/>
      <c r="EU108"/>
      <c r="EV108"/>
      <c r="EW108" s="6"/>
      <c r="EX108" s="16">
        <v>17.452054794520549</v>
      </c>
      <c r="EY108" s="16" t="s">
        <v>578</v>
      </c>
      <c r="EZ108" s="16" t="s">
        <v>578</v>
      </c>
      <c r="FA108" s="154" t="s">
        <v>578</v>
      </c>
      <c r="FB108" s="154" t="s">
        <v>578</v>
      </c>
      <c r="FC108" t="s">
        <v>195</v>
      </c>
      <c r="FD108" s="20" t="s">
        <v>137</v>
      </c>
      <c r="FE108"/>
      <c r="FF108" s="199" t="s">
        <v>197</v>
      </c>
      <c r="FG108"/>
      <c r="FH108" s="206">
        <f t="shared" ca="1" si="13"/>
        <v>0</v>
      </c>
      <c r="FI108" s="198">
        <f t="shared" si="14"/>
        <v>3</v>
      </c>
      <c r="FJ108"/>
      <c r="FK108" t="str">
        <f t="shared" si="15"/>
        <v>EDP TRADING COMERCIALIZACAO E SERVICOS DE ENERGIA SA</v>
      </c>
      <c r="FL108" s="191">
        <f t="shared" ca="1" si="16"/>
        <v>0</v>
      </c>
      <c r="FM108" s="191">
        <f t="shared" ca="1" si="17"/>
        <v>5040</v>
      </c>
      <c r="FN108" s="190">
        <f>AB108*AB$2*IF($FC108="V",1,-1)*IF($Q108="Fixo",(CP108-INDEX('Curva Forward'!$C$5:$AN$13,MATCH(CONCATENATE(BD_COMERCIAL!$K108," ",BD_COMERCIAL!$L108),'Curva Forward'!$B$5:$B$13,0),MATCH(FN$4,'Curva Forward'!$C$4:$AN$4,0))),CP108)</f>
        <v>0</v>
      </c>
      <c r="FO108" s="190">
        <f>AC108*AC$2*IF($FC108="V",1,-1)*IF($Q108="Fixo",(CQ108-INDEX('Curva Forward'!$C$5:$AN$13,MATCH(CONCATENATE(BD_COMERCIAL!$K108," ",BD_COMERCIAL!$L108),'Curva Forward'!$B$5:$B$13,0),MATCH(FO$4,'Curva Forward'!$C$4:$AN$4,0))),CQ108)</f>
        <v>0</v>
      </c>
      <c r="FP108" s="190">
        <f>AD108*AD$2*IF($FC108="V",1,-1)*IF($Q108="Fixo",(CR108-INDEX('Curva Forward'!$C$5:$AN$13,MATCH(CONCATENATE(BD_COMERCIAL!$K108," ",BD_COMERCIAL!$L108),'Curva Forward'!$B$5:$B$13,0),MATCH(FP$4,'Curva Forward'!$C$4:$AN$4,0))),CR108)</f>
        <v>0</v>
      </c>
      <c r="FQ108" s="190">
        <f>AE108*AE$2*IF($FC108="V",1,-1)*IF($Q108="Fixo",(CS108-INDEX('Curva Forward'!$C$5:$AN$13,MATCH(CONCATENATE(BD_COMERCIAL!$K108," ",BD_COMERCIAL!$L108),'Curva Forward'!$B$5:$B$13,0),MATCH(FQ$4,'Curva Forward'!$C$4:$AN$4,0))),CS108)</f>
        <v>5040</v>
      </c>
      <c r="FR108" s="190">
        <f>AF108*AF$2*IF($FC108="V",1,-1)*IF($Q108="Fixo",(CT108-INDEX('Curva Forward'!$C$5:$AN$13,MATCH(CONCATENATE(BD_COMERCIAL!$K108," ",BD_COMERCIAL!$L108),'Curva Forward'!$B$5:$B$13,0),MATCH(FR$4,'Curva Forward'!$C$4:$AN$4,0))),CT108)</f>
        <v>0</v>
      </c>
      <c r="FS108" s="190">
        <f>AG108*AG$2*IF($FC108="V",1,-1)*IF($Q108="Fixo",(CU108-INDEX('Curva Forward'!$C$5:$AN$13,MATCH(CONCATENATE(BD_COMERCIAL!$K108," ",BD_COMERCIAL!$L108),'Curva Forward'!$B$5:$B$13,0),MATCH(FS$4,'Curva Forward'!$C$4:$AN$4,0))),CU108)</f>
        <v>0</v>
      </c>
      <c r="FT108" s="190">
        <f>AH108*AH$2*IF($FC108="V",1,-1)*IF($Q108="Fixo",(CV108-INDEX('Curva Forward'!$C$5:$AN$13,MATCH(CONCATENATE(BD_COMERCIAL!$K108," ",BD_COMERCIAL!$L108),'Curva Forward'!$B$5:$B$13,0),MATCH(FT$4,'Curva Forward'!$C$4:$AN$4,0))),CV108)</f>
        <v>0</v>
      </c>
      <c r="FU108" s="190">
        <f>AI108*AI$2*IF($FC108="V",1,-1)*IF($Q108="Fixo",(CW108-INDEX('Curva Forward'!$C$5:$AN$13,MATCH(CONCATENATE(BD_COMERCIAL!$K108," ",BD_COMERCIAL!$L108),'Curva Forward'!$B$5:$B$13,0),MATCH(FU$4,'Curva Forward'!$C$4:$AN$4,0))),CW108)</f>
        <v>0</v>
      </c>
      <c r="FV108" s="190">
        <f>AJ108*AJ$2*IF($FC108="V",1,-1)*IF($Q108="Fixo",(CX108-INDEX('Curva Forward'!$C$5:$AN$13,MATCH(CONCATENATE(BD_COMERCIAL!$K108," ",BD_COMERCIAL!$L108),'Curva Forward'!$B$5:$B$13,0),MATCH(FV$4,'Curva Forward'!$C$4:$AN$4,0))),CX108)</f>
        <v>0</v>
      </c>
      <c r="FW108" s="190">
        <f>AK108*AK$2*IF($FC108="V",1,-1)*IF($Q108="Fixo",(CY108-INDEX('Curva Forward'!$C$5:$AN$13,MATCH(CONCATENATE(BD_COMERCIAL!$K108," ",BD_COMERCIAL!$L108),'Curva Forward'!$B$5:$B$13,0),MATCH(FW$4,'Curva Forward'!$C$4:$AN$4,0))),CY108)</f>
        <v>0</v>
      </c>
      <c r="FX108" s="190">
        <f>AL108*AL$2*IF($FC108="V",1,-1)*IF($Q108="Fixo",(CZ108-INDEX('Curva Forward'!$C$5:$AN$13,MATCH(CONCATENATE(BD_COMERCIAL!$K108," ",BD_COMERCIAL!$L108),'Curva Forward'!$B$5:$B$13,0),MATCH(FX$4,'Curva Forward'!$C$4:$AN$4,0))),CZ108)</f>
        <v>0</v>
      </c>
      <c r="FY108" s="190">
        <f>AM108*AM$2*IF($FC108="V",1,-1)*IF($Q108="Fixo",(DA108-INDEX('Curva Forward'!$C$5:$AN$13,MATCH(CONCATENATE(BD_COMERCIAL!$K108," ",BD_COMERCIAL!$L108),'Curva Forward'!$B$5:$B$13,0),MATCH(FY$4,'Curva Forward'!$C$4:$AN$4,0))),DA108)</f>
        <v>0</v>
      </c>
      <c r="FZ108" s="190">
        <f>AN108*AN$2*IF($FC108="V",1,-1)*IF($Q108="Fixo",(DB108-INDEX('Curva Forward'!$C$5:$AN$13,MATCH(CONCATENATE(BD_COMERCIAL!$K108," ",BD_COMERCIAL!$L108),'Curva Forward'!$B$5:$B$13,0),MATCH(FZ$4,'Curva Forward'!$C$4:$AN$4,0))),DB108)</f>
        <v>0</v>
      </c>
      <c r="GA108" s="190">
        <f>AO108*AO$2*IF($FC108="V",1,-1)*IF($Q108="Fixo",(DC108-INDEX('Curva Forward'!$C$5:$AN$13,MATCH(CONCATENATE(BD_COMERCIAL!$K108," ",BD_COMERCIAL!$L108),'Curva Forward'!$B$5:$B$13,0),MATCH(GA$4,'Curva Forward'!$C$4:$AN$4,0))),DC108)</f>
        <v>0</v>
      </c>
      <c r="GB108" s="190">
        <f>AP108*AP$2*IF($FC108="V",1,-1)*IF($Q108="Fixo",(DD108-INDEX('Curva Forward'!$C$5:$AN$13,MATCH(CONCATENATE(BD_COMERCIAL!$K108," ",BD_COMERCIAL!$L108),'Curva Forward'!$B$5:$B$13,0),MATCH(GB$4,'Curva Forward'!$C$4:$AN$4,0))),DD108)</f>
        <v>0</v>
      </c>
      <c r="GC108" s="190">
        <f>AQ108*AQ$2*IF($FC108="V",1,-1)*IF($Q108="Fixo",(DE108-INDEX('Curva Forward'!$C$5:$AN$13,MATCH(CONCATENATE(BD_COMERCIAL!$K108," ",BD_COMERCIAL!$L108),'Curva Forward'!$B$5:$B$13,0),MATCH(GC$4,'Curva Forward'!$C$4:$AN$4,0))),DE108)</f>
        <v>0</v>
      </c>
      <c r="GD108" s="190">
        <f>AR108*AR$2*IF($FC108="V",1,-1)*IF($Q108="Fixo",(DF108-INDEX('Curva Forward'!$C$5:$AN$13,MATCH(CONCATENATE(BD_COMERCIAL!$K108," ",BD_COMERCIAL!$L108),'Curva Forward'!$B$5:$B$13,0),MATCH(GD$4,'Curva Forward'!$C$4:$AN$4,0))),DF108)</f>
        <v>0</v>
      </c>
      <c r="GE108" s="190">
        <f>AS108*AS$2*IF($FC108="V",1,-1)*IF($Q108="Fixo",(DG108-INDEX('Curva Forward'!$C$5:$AN$13,MATCH(CONCATENATE(BD_COMERCIAL!$K108," ",BD_COMERCIAL!$L108),'Curva Forward'!$B$5:$B$13,0),MATCH(GE$4,'Curva Forward'!$C$4:$AN$4,0))),DG108)</f>
        <v>0</v>
      </c>
      <c r="GF108" s="190">
        <f>AT108*AT$2*IF($FC108="V",1,-1)*IF($Q108="Fixo",(DH108-INDEX('Curva Forward'!$C$5:$AN$13,MATCH(CONCATENATE(BD_COMERCIAL!$K108," ",BD_COMERCIAL!$L108),'Curva Forward'!$B$5:$B$13,0),MATCH(GF$4,'Curva Forward'!$C$4:$AN$4,0))),DH108)</f>
        <v>0</v>
      </c>
      <c r="GG108" s="190">
        <f>AU108*AU$2*IF($FC108="V",1,-1)*IF($Q108="Fixo",(DI108-INDEX('Curva Forward'!$C$5:$AN$13,MATCH(CONCATENATE(BD_COMERCIAL!$K108," ",BD_COMERCIAL!$L108),'Curva Forward'!$B$5:$B$13,0),MATCH(GG$4,'Curva Forward'!$C$4:$AN$4,0))),DI108)</f>
        <v>0</v>
      </c>
      <c r="GH108" s="190">
        <f>AV108*AV$2*IF($FC108="V",1,-1)*IF($Q108="Fixo",(DJ108-INDEX('Curva Forward'!$C$5:$AN$13,MATCH(CONCATENATE(BD_COMERCIAL!$K108," ",BD_COMERCIAL!$L108),'Curva Forward'!$B$5:$B$13,0),MATCH(GH$4,'Curva Forward'!$C$4:$AN$4,0))),DJ108)</f>
        <v>0</v>
      </c>
      <c r="GI108" s="190">
        <f>AW108*AW$2*IF($FC108="V",1,-1)*IF($Q108="Fixo",(DK108-INDEX('Curva Forward'!$C$5:$AN$13,MATCH(CONCATENATE(BD_COMERCIAL!$K108," ",BD_COMERCIAL!$L108),'Curva Forward'!$B$5:$B$13,0),MATCH(GI$4,'Curva Forward'!$C$4:$AN$4,0))),DK108)</f>
        <v>0</v>
      </c>
      <c r="GJ108" s="190">
        <f>AX108*AX$2*IF($FC108="V",1,-1)*IF($Q108="Fixo",(DL108-INDEX('Curva Forward'!$C$5:$AN$13,MATCH(CONCATENATE(BD_COMERCIAL!$K108," ",BD_COMERCIAL!$L108),'Curva Forward'!$B$5:$B$13,0),MATCH(GJ$4,'Curva Forward'!$C$4:$AN$4,0))),DL108)</f>
        <v>0</v>
      </c>
      <c r="GK108" s="190">
        <f>AY108*AY$2*IF($FC108="V",1,-1)*IF($Q108="Fixo",(DM108-INDEX('Curva Forward'!$C$5:$AN$13,MATCH(CONCATENATE(BD_COMERCIAL!$K108," ",BD_COMERCIAL!$L108),'Curva Forward'!$B$5:$B$13,0),MATCH(GK$4,'Curva Forward'!$C$4:$AN$4,0))),DM108)</f>
        <v>0</v>
      </c>
      <c r="GL108" s="190">
        <f>IF(EZ108="",0,CL108*CL$2*IF($FC108="V",1,-1)*IF($Q108="Fixo",(EZ108-INDEX('Curva Forward'!$C$5:$AN$13,MATCH(CONCATENATE(BD_COMERCIAL!$K108," ",BD_COMERCIAL!$L108),'Curva Forward'!$B$5:$B$13,0),MATCH(GL$4,'Curva Forward'!$C$4:$AN$4,0))),EZ108))</f>
        <v>0</v>
      </c>
      <c r="GM108" s="190">
        <f>IF(FA108="",0,CM108*CM$2*IF($FC108="V",1,-1)*IF($Q108="Fixo",(FA108-INDEX('Curva Forward'!$C$5:$AN$13,MATCH(CONCATENATE(BD_COMERCIAL!$K108," ",BD_COMERCIAL!$L108),'Curva Forward'!$B$5:$B$13,0),MATCH(GM$4,'Curva Forward'!$C$4:$AN$4,0))),FA108))</f>
        <v>0</v>
      </c>
      <c r="GN108" s="190">
        <f>IF(FB108="",0,CN108*CN$2*IF($FC108="V",1,-1)*IF($Q108="Fixo",(FB108-INDEX('Curva Forward'!$C$5:$AN$13,MATCH(CONCATENATE(BD_COMERCIAL!$K108," ",BD_COMERCIAL!$L108),'Curva Forward'!$B$5:$B$13,0),MATCH(GN$4,'Curva Forward'!$C$4:$AN$4,0))),FB108))</f>
        <v>0</v>
      </c>
      <c r="GO108" s="191">
        <f t="shared" ca="1" si="18"/>
        <v>5040</v>
      </c>
      <c r="GP108" s="191">
        <f t="shared" ca="1" si="19"/>
        <v>0</v>
      </c>
      <c r="GQ108" s="115"/>
      <c r="GR108" s="115"/>
      <c r="GS108"/>
      <c r="GT108" s="65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</row>
    <row r="109" spans="1:236" s="265" customFormat="1" ht="15" customHeight="1" x14ac:dyDescent="0.35">
      <c r="A109" s="251"/>
      <c r="B109" s="7" t="s">
        <v>480</v>
      </c>
      <c r="C109" s="8">
        <v>44895</v>
      </c>
      <c r="D109" s="9" t="s">
        <v>123</v>
      </c>
      <c r="E109" s="9" t="s">
        <v>381</v>
      </c>
      <c r="F109" s="112" t="s">
        <v>348</v>
      </c>
      <c r="G109" s="10" t="s">
        <v>341</v>
      </c>
      <c r="H109" s="112" t="s">
        <v>384</v>
      </c>
      <c r="I109" s="9" t="s">
        <v>137</v>
      </c>
      <c r="J109" s="158"/>
      <c r="K109" s="10" t="s">
        <v>126</v>
      </c>
      <c r="L109" s="84" t="s">
        <v>22</v>
      </c>
      <c r="M109" s="11">
        <v>45017</v>
      </c>
      <c r="N109" s="12">
        <v>45107</v>
      </c>
      <c r="O109" s="10">
        <v>2</v>
      </c>
      <c r="P109" s="84">
        <v>69</v>
      </c>
      <c r="Q109" s="84" t="s">
        <v>127</v>
      </c>
      <c r="R109" s="10" t="s">
        <v>128</v>
      </c>
      <c r="S109" s="14" t="s">
        <v>133</v>
      </c>
      <c r="T109" s="11"/>
      <c r="U109" s="12"/>
      <c r="V109" s="202" t="str">
        <f ca="1">IF(U109="","",
IF(U109="NA","",
IFERROR(VLOOKUP(EOMONTH(M109,-2)+1,IPCA!$A:$B,2,0),
VLOOKUP(EOMONTH(TODAY(),-2)+1,IPCA!$A:$B,2,0))/
VLOOKUP(EOMONTH(U109,-2)+1,IPCA!$A:$B,2,0)*
P109))</f>
        <v/>
      </c>
      <c r="W109" s="84"/>
      <c r="X109" s="13" t="s">
        <v>132</v>
      </c>
      <c r="Y109" s="158"/>
      <c r="Z109" s="106"/>
      <c r="AA109" s="107"/>
      <c r="AB109" s="15"/>
      <c r="AC109"/>
      <c r="AD109"/>
      <c r="AE109">
        <v>2</v>
      </c>
      <c r="AF109">
        <v>2</v>
      </c>
      <c r="AG109">
        <v>2</v>
      </c>
      <c r="AH109"/>
      <c r="AI109"/>
      <c r="AJ109"/>
      <c r="AK109"/>
      <c r="AL109"/>
      <c r="AM109" s="6"/>
      <c r="AN109" s="15"/>
      <c r="AO109"/>
      <c r="AP109"/>
      <c r="AQ109"/>
      <c r="AR109"/>
      <c r="AS109"/>
      <c r="AT109"/>
      <c r="AU109"/>
      <c r="AV109"/>
      <c r="AW109"/>
      <c r="AX109"/>
      <c r="AY109" s="6"/>
      <c r="AZ109" s="15"/>
      <c r="BA109"/>
      <c r="BB109"/>
      <c r="BC109"/>
      <c r="BD109"/>
      <c r="BE109"/>
      <c r="BF109"/>
      <c r="BG109"/>
      <c r="BH109"/>
      <c r="BI109"/>
      <c r="BJ109"/>
      <c r="BK109" s="6"/>
      <c r="BL109" s="15"/>
      <c r="BM109"/>
      <c r="BN109"/>
      <c r="BO109"/>
      <c r="BP109"/>
      <c r="BQ109"/>
      <c r="BR109"/>
      <c r="BS109"/>
      <c r="BT109"/>
      <c r="BU109"/>
      <c r="BV109"/>
      <c r="BW109" s="6"/>
      <c r="BX109" s="15"/>
      <c r="BY109"/>
      <c r="BZ109"/>
      <c r="CA109"/>
      <c r="CB109"/>
      <c r="CC109"/>
      <c r="CD109"/>
      <c r="CE109"/>
      <c r="CF109"/>
      <c r="CG109"/>
      <c r="CH109"/>
      <c r="CI109" s="6"/>
      <c r="CJ109" s="16">
        <v>0.49863013698630138</v>
      </c>
      <c r="CK109" s="16" t="s">
        <v>578</v>
      </c>
      <c r="CL109" s="16" t="s">
        <v>578</v>
      </c>
      <c r="CM109" s="16" t="s">
        <v>578</v>
      </c>
      <c r="CN109" s="16" t="s">
        <v>578</v>
      </c>
      <c r="CO109" s="18"/>
      <c r="CP109" s="15"/>
      <c r="CQ109"/>
      <c r="CR109"/>
      <c r="CS109">
        <v>69</v>
      </c>
      <c r="CT109">
        <v>69</v>
      </c>
      <c r="CU109">
        <v>69</v>
      </c>
      <c r="CV109"/>
      <c r="CW109"/>
      <c r="CX109"/>
      <c r="CY109"/>
      <c r="CZ109"/>
      <c r="DA109" s="6"/>
      <c r="DB109" s="15"/>
      <c r="DC109"/>
      <c r="DD109"/>
      <c r="DE109"/>
      <c r="DF109"/>
      <c r="DG109"/>
      <c r="DH109"/>
      <c r="DI109"/>
      <c r="DJ109"/>
      <c r="DK109"/>
      <c r="DL109"/>
      <c r="DM109" s="6"/>
      <c r="DN109" s="15"/>
      <c r="DO109"/>
      <c r="DP109"/>
      <c r="DQ109"/>
      <c r="DR109"/>
      <c r="DS109"/>
      <c r="DT109"/>
      <c r="DU109"/>
      <c r="DV109"/>
      <c r="DW109"/>
      <c r="DX109"/>
      <c r="DY109" s="6"/>
      <c r="DZ109" s="15"/>
      <c r="EA109"/>
      <c r="EB109"/>
      <c r="EC109"/>
      <c r="ED109"/>
      <c r="EE109"/>
      <c r="EF109"/>
      <c r="EG109"/>
      <c r="EH109"/>
      <c r="EI109"/>
      <c r="EJ109"/>
      <c r="EK109" s="6"/>
      <c r="EL109" s="15"/>
      <c r="EM109"/>
      <c r="EN109"/>
      <c r="EO109"/>
      <c r="EP109"/>
      <c r="EQ109"/>
      <c r="ER109"/>
      <c r="ES109"/>
      <c r="ET109"/>
      <c r="EU109"/>
      <c r="EV109"/>
      <c r="EW109" s="6"/>
      <c r="EX109" s="16">
        <v>17.202739726027396</v>
      </c>
      <c r="EY109" s="16" t="s">
        <v>578</v>
      </c>
      <c r="EZ109" s="16" t="s">
        <v>578</v>
      </c>
      <c r="FA109" s="154" t="s">
        <v>578</v>
      </c>
      <c r="FB109" s="154" t="s">
        <v>578</v>
      </c>
      <c r="FC109" t="s">
        <v>195</v>
      </c>
      <c r="FD109" s="20" t="s">
        <v>137</v>
      </c>
      <c r="FE109"/>
      <c r="FF109" s="199" t="s">
        <v>197</v>
      </c>
      <c r="FG109"/>
      <c r="FH109" s="206">
        <f t="shared" ca="1" si="13"/>
        <v>0</v>
      </c>
      <c r="FI109" s="198">
        <f t="shared" si="14"/>
        <v>3</v>
      </c>
      <c r="FJ109"/>
      <c r="FK109" t="str">
        <f t="shared" si="15"/>
        <v>MEZ COMERCIALIZADORA DE ENERGIA ELETRICA LTDA.</v>
      </c>
      <c r="FL109" s="191">
        <f t="shared" ca="1" si="16"/>
        <v>0</v>
      </c>
      <c r="FM109" s="191">
        <f t="shared" ca="1" si="17"/>
        <v>-2928</v>
      </c>
      <c r="FN109" s="190">
        <f>AB109*AB$2*IF($FC109="V",1,-1)*IF($Q109="Fixo",(CP109-INDEX('Curva Forward'!$C$5:$AN$13,MATCH(CONCATENATE(BD_COMERCIAL!$K109," ",BD_COMERCIAL!$L109),'Curva Forward'!$B$5:$B$13,0),MATCH(FN$4,'Curva Forward'!$C$4:$AN$4,0))),CP109)</f>
        <v>0</v>
      </c>
      <c r="FO109" s="190">
        <f>AC109*AC$2*IF($FC109="V",1,-1)*IF($Q109="Fixo",(CQ109-INDEX('Curva Forward'!$C$5:$AN$13,MATCH(CONCATENATE(BD_COMERCIAL!$K109," ",BD_COMERCIAL!$L109),'Curva Forward'!$B$5:$B$13,0),MATCH(FO$4,'Curva Forward'!$C$4:$AN$4,0))),CQ109)</f>
        <v>0</v>
      </c>
      <c r="FP109" s="190">
        <f>AD109*AD$2*IF($FC109="V",1,-1)*IF($Q109="Fixo",(CR109-INDEX('Curva Forward'!$C$5:$AN$13,MATCH(CONCATENATE(BD_COMERCIAL!$K109," ",BD_COMERCIAL!$L109),'Curva Forward'!$B$5:$B$13,0),MATCH(FP$4,'Curva Forward'!$C$4:$AN$4,0))),CR109)</f>
        <v>0</v>
      </c>
      <c r="FQ109" s="190">
        <f>AE109*AE$2*IF($FC109="V",1,-1)*IF($Q109="Fixo",(CS109-INDEX('Curva Forward'!$C$5:$AN$13,MATCH(CONCATENATE(BD_COMERCIAL!$K109," ",BD_COMERCIAL!$L109),'Curva Forward'!$B$5:$B$13,0),MATCH(FQ$4,'Curva Forward'!$C$4:$AN$4,0))),CS109)</f>
        <v>0</v>
      </c>
      <c r="FR109" s="190">
        <f>AF109*AF$2*IF($FC109="V",1,-1)*IF($Q109="Fixo",(CT109-INDEX('Curva Forward'!$C$5:$AN$13,MATCH(CONCATENATE(BD_COMERCIAL!$K109," ",BD_COMERCIAL!$L109),'Curva Forward'!$B$5:$B$13,0),MATCH(FR$4,'Curva Forward'!$C$4:$AN$4,0))),CT109)</f>
        <v>-1488</v>
      </c>
      <c r="FS109" s="190">
        <f>AG109*AG$2*IF($FC109="V",1,-1)*IF($Q109="Fixo",(CU109-INDEX('Curva Forward'!$C$5:$AN$13,MATCH(CONCATENATE(BD_COMERCIAL!$K109," ",BD_COMERCIAL!$L109),'Curva Forward'!$B$5:$B$13,0),MATCH(FS$4,'Curva Forward'!$C$4:$AN$4,0))),CU109)</f>
        <v>-1440</v>
      </c>
      <c r="FT109" s="190">
        <f>AH109*AH$2*IF($FC109="V",1,-1)*IF($Q109="Fixo",(CV109-INDEX('Curva Forward'!$C$5:$AN$13,MATCH(CONCATENATE(BD_COMERCIAL!$K109," ",BD_COMERCIAL!$L109),'Curva Forward'!$B$5:$B$13,0),MATCH(FT$4,'Curva Forward'!$C$4:$AN$4,0))),CV109)</f>
        <v>0</v>
      </c>
      <c r="FU109" s="190">
        <f>AI109*AI$2*IF($FC109="V",1,-1)*IF($Q109="Fixo",(CW109-INDEX('Curva Forward'!$C$5:$AN$13,MATCH(CONCATENATE(BD_COMERCIAL!$K109," ",BD_COMERCIAL!$L109),'Curva Forward'!$B$5:$B$13,0),MATCH(FU$4,'Curva Forward'!$C$4:$AN$4,0))),CW109)</f>
        <v>0</v>
      </c>
      <c r="FV109" s="190">
        <f>AJ109*AJ$2*IF($FC109="V",1,-1)*IF($Q109="Fixo",(CX109-INDEX('Curva Forward'!$C$5:$AN$13,MATCH(CONCATENATE(BD_COMERCIAL!$K109," ",BD_COMERCIAL!$L109),'Curva Forward'!$B$5:$B$13,0),MATCH(FV$4,'Curva Forward'!$C$4:$AN$4,0))),CX109)</f>
        <v>0</v>
      </c>
      <c r="FW109" s="190">
        <f>AK109*AK$2*IF($FC109="V",1,-1)*IF($Q109="Fixo",(CY109-INDEX('Curva Forward'!$C$5:$AN$13,MATCH(CONCATENATE(BD_COMERCIAL!$K109," ",BD_COMERCIAL!$L109),'Curva Forward'!$B$5:$B$13,0),MATCH(FW$4,'Curva Forward'!$C$4:$AN$4,0))),CY109)</f>
        <v>0</v>
      </c>
      <c r="FX109" s="190">
        <f>AL109*AL$2*IF($FC109="V",1,-1)*IF($Q109="Fixo",(CZ109-INDEX('Curva Forward'!$C$5:$AN$13,MATCH(CONCATENATE(BD_COMERCIAL!$K109," ",BD_COMERCIAL!$L109),'Curva Forward'!$B$5:$B$13,0),MATCH(FX$4,'Curva Forward'!$C$4:$AN$4,0))),CZ109)</f>
        <v>0</v>
      </c>
      <c r="FY109" s="190">
        <f>AM109*AM$2*IF($FC109="V",1,-1)*IF($Q109="Fixo",(DA109-INDEX('Curva Forward'!$C$5:$AN$13,MATCH(CONCATENATE(BD_COMERCIAL!$K109," ",BD_COMERCIAL!$L109),'Curva Forward'!$B$5:$B$13,0),MATCH(FY$4,'Curva Forward'!$C$4:$AN$4,0))),DA109)</f>
        <v>0</v>
      </c>
      <c r="FZ109" s="190">
        <f>AN109*AN$2*IF($FC109="V",1,-1)*IF($Q109="Fixo",(DB109-INDEX('Curva Forward'!$C$5:$AN$13,MATCH(CONCATENATE(BD_COMERCIAL!$K109," ",BD_COMERCIAL!$L109),'Curva Forward'!$B$5:$B$13,0),MATCH(FZ$4,'Curva Forward'!$C$4:$AN$4,0))),DB109)</f>
        <v>0</v>
      </c>
      <c r="GA109" s="190">
        <f>AO109*AO$2*IF($FC109="V",1,-1)*IF($Q109="Fixo",(DC109-INDEX('Curva Forward'!$C$5:$AN$13,MATCH(CONCATENATE(BD_COMERCIAL!$K109," ",BD_COMERCIAL!$L109),'Curva Forward'!$B$5:$B$13,0),MATCH(GA$4,'Curva Forward'!$C$4:$AN$4,0))),DC109)</f>
        <v>0</v>
      </c>
      <c r="GB109" s="190">
        <f>AP109*AP$2*IF($FC109="V",1,-1)*IF($Q109="Fixo",(DD109-INDEX('Curva Forward'!$C$5:$AN$13,MATCH(CONCATENATE(BD_COMERCIAL!$K109," ",BD_COMERCIAL!$L109),'Curva Forward'!$B$5:$B$13,0),MATCH(GB$4,'Curva Forward'!$C$4:$AN$4,0))),DD109)</f>
        <v>0</v>
      </c>
      <c r="GC109" s="190">
        <f>AQ109*AQ$2*IF($FC109="V",1,-1)*IF($Q109="Fixo",(DE109-INDEX('Curva Forward'!$C$5:$AN$13,MATCH(CONCATENATE(BD_COMERCIAL!$K109," ",BD_COMERCIAL!$L109),'Curva Forward'!$B$5:$B$13,0),MATCH(GC$4,'Curva Forward'!$C$4:$AN$4,0))),DE109)</f>
        <v>0</v>
      </c>
      <c r="GD109" s="190">
        <f>AR109*AR$2*IF($FC109="V",1,-1)*IF($Q109="Fixo",(DF109-INDEX('Curva Forward'!$C$5:$AN$13,MATCH(CONCATENATE(BD_COMERCIAL!$K109," ",BD_COMERCIAL!$L109),'Curva Forward'!$B$5:$B$13,0),MATCH(GD$4,'Curva Forward'!$C$4:$AN$4,0))),DF109)</f>
        <v>0</v>
      </c>
      <c r="GE109" s="190">
        <f>AS109*AS$2*IF($FC109="V",1,-1)*IF($Q109="Fixo",(DG109-INDEX('Curva Forward'!$C$5:$AN$13,MATCH(CONCATENATE(BD_COMERCIAL!$K109," ",BD_COMERCIAL!$L109),'Curva Forward'!$B$5:$B$13,0),MATCH(GE$4,'Curva Forward'!$C$4:$AN$4,0))),DG109)</f>
        <v>0</v>
      </c>
      <c r="GF109" s="190">
        <f>AT109*AT$2*IF($FC109="V",1,-1)*IF($Q109="Fixo",(DH109-INDEX('Curva Forward'!$C$5:$AN$13,MATCH(CONCATENATE(BD_COMERCIAL!$K109," ",BD_COMERCIAL!$L109),'Curva Forward'!$B$5:$B$13,0),MATCH(GF$4,'Curva Forward'!$C$4:$AN$4,0))),DH109)</f>
        <v>0</v>
      </c>
      <c r="GG109" s="190">
        <f>AU109*AU$2*IF($FC109="V",1,-1)*IF($Q109="Fixo",(DI109-INDEX('Curva Forward'!$C$5:$AN$13,MATCH(CONCATENATE(BD_COMERCIAL!$K109," ",BD_COMERCIAL!$L109),'Curva Forward'!$B$5:$B$13,0),MATCH(GG$4,'Curva Forward'!$C$4:$AN$4,0))),DI109)</f>
        <v>0</v>
      </c>
      <c r="GH109" s="190">
        <f>AV109*AV$2*IF($FC109="V",1,-1)*IF($Q109="Fixo",(DJ109-INDEX('Curva Forward'!$C$5:$AN$13,MATCH(CONCATENATE(BD_COMERCIAL!$K109," ",BD_COMERCIAL!$L109),'Curva Forward'!$B$5:$B$13,0),MATCH(GH$4,'Curva Forward'!$C$4:$AN$4,0))),DJ109)</f>
        <v>0</v>
      </c>
      <c r="GI109" s="190">
        <f>AW109*AW$2*IF($FC109="V",1,-1)*IF($Q109="Fixo",(DK109-INDEX('Curva Forward'!$C$5:$AN$13,MATCH(CONCATENATE(BD_COMERCIAL!$K109," ",BD_COMERCIAL!$L109),'Curva Forward'!$B$5:$B$13,0),MATCH(GI$4,'Curva Forward'!$C$4:$AN$4,0))),DK109)</f>
        <v>0</v>
      </c>
      <c r="GJ109" s="190">
        <f>AX109*AX$2*IF($FC109="V",1,-1)*IF($Q109="Fixo",(DL109-INDEX('Curva Forward'!$C$5:$AN$13,MATCH(CONCATENATE(BD_COMERCIAL!$K109," ",BD_COMERCIAL!$L109),'Curva Forward'!$B$5:$B$13,0),MATCH(GJ$4,'Curva Forward'!$C$4:$AN$4,0))),DL109)</f>
        <v>0</v>
      </c>
      <c r="GK109" s="190">
        <f>AY109*AY$2*IF($FC109="V",1,-1)*IF($Q109="Fixo",(DM109-INDEX('Curva Forward'!$C$5:$AN$13,MATCH(CONCATENATE(BD_COMERCIAL!$K109," ",BD_COMERCIAL!$L109),'Curva Forward'!$B$5:$B$13,0),MATCH(GK$4,'Curva Forward'!$C$4:$AN$4,0))),DM109)</f>
        <v>0</v>
      </c>
      <c r="GL109" s="190">
        <f>IF(EZ109="",0,CL109*CL$2*IF($FC109="V",1,-1)*IF($Q109="Fixo",(EZ109-INDEX('Curva Forward'!$C$5:$AN$13,MATCH(CONCATENATE(BD_COMERCIAL!$K109," ",BD_COMERCIAL!$L109),'Curva Forward'!$B$5:$B$13,0),MATCH(GL$4,'Curva Forward'!$C$4:$AN$4,0))),EZ109))</f>
        <v>0</v>
      </c>
      <c r="GM109" s="190">
        <f>IF(FA109="",0,CM109*CM$2*IF($FC109="V",1,-1)*IF($Q109="Fixo",(FA109-INDEX('Curva Forward'!$C$5:$AN$13,MATCH(CONCATENATE(BD_COMERCIAL!$K109," ",BD_COMERCIAL!$L109),'Curva Forward'!$B$5:$B$13,0),MATCH(GM$4,'Curva Forward'!$C$4:$AN$4,0))),FA109))</f>
        <v>0</v>
      </c>
      <c r="GN109" s="190">
        <f>IF(FB109="",0,CN109*CN$2*IF($FC109="V",1,-1)*IF($Q109="Fixo",(FB109-INDEX('Curva Forward'!$C$5:$AN$13,MATCH(CONCATENATE(BD_COMERCIAL!$K109," ",BD_COMERCIAL!$L109),'Curva Forward'!$B$5:$B$13,0),MATCH(GN$4,'Curva Forward'!$C$4:$AN$4,0))),FB109))</f>
        <v>0</v>
      </c>
      <c r="GO109" s="191">
        <f t="shared" ca="1" si="18"/>
        <v>0</v>
      </c>
      <c r="GP109" s="191">
        <f t="shared" ca="1" si="19"/>
        <v>-2928</v>
      </c>
      <c r="GQ109" s="115"/>
      <c r="GR109" s="115"/>
      <c r="GS109"/>
      <c r="GT109" s="65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</row>
    <row r="110" spans="1:236" s="265" customFormat="1" ht="15" customHeight="1" x14ac:dyDescent="0.35">
      <c r="A110" s="251"/>
      <c r="B110" s="7" t="s">
        <v>481</v>
      </c>
      <c r="C110" s="8">
        <v>44896</v>
      </c>
      <c r="D110" s="9" t="s">
        <v>123</v>
      </c>
      <c r="E110" s="9" t="s">
        <v>381</v>
      </c>
      <c r="F110" s="112" t="s">
        <v>348</v>
      </c>
      <c r="G110" s="10" t="s">
        <v>190</v>
      </c>
      <c r="H110" s="112" t="s">
        <v>444</v>
      </c>
      <c r="I110" s="9" t="s">
        <v>125</v>
      </c>
      <c r="J110" s="158" t="s">
        <v>438</v>
      </c>
      <c r="K110" s="10" t="s">
        <v>126</v>
      </c>
      <c r="L110" s="84" t="s">
        <v>22</v>
      </c>
      <c r="M110" s="11">
        <v>45017</v>
      </c>
      <c r="N110" s="12">
        <v>45046</v>
      </c>
      <c r="O110" s="10">
        <v>2</v>
      </c>
      <c r="P110" s="84">
        <v>66</v>
      </c>
      <c r="Q110" s="84" t="s">
        <v>127</v>
      </c>
      <c r="R110" s="10" t="s">
        <v>128</v>
      </c>
      <c r="S110" s="14" t="s">
        <v>133</v>
      </c>
      <c r="T110" s="11"/>
      <c r="U110" s="12"/>
      <c r="V110" s="202" t="str">
        <f ca="1">IF(U110="","",
IF(U110="NA","",
IFERROR(VLOOKUP(EOMONTH(M110,-2)+1,IPCA!$A:$B,2,0),
VLOOKUP(EOMONTH(TODAY(),-2)+1,IPCA!$A:$B,2,0))/
VLOOKUP(EOMONTH(U110,-2)+1,IPCA!$A:$B,2,0)*
P110))</f>
        <v/>
      </c>
      <c r="W110" s="84"/>
      <c r="X110" s="13" t="s">
        <v>132</v>
      </c>
      <c r="Y110" s="158"/>
      <c r="Z110" s="106"/>
      <c r="AA110" s="107"/>
      <c r="AB110" s="15"/>
      <c r="AC110"/>
      <c r="AD110"/>
      <c r="AE110">
        <v>2</v>
      </c>
      <c r="AF110"/>
      <c r="AG110"/>
      <c r="AH110"/>
      <c r="AI110"/>
      <c r="AJ110"/>
      <c r="AK110"/>
      <c r="AL110"/>
      <c r="AM110" s="6"/>
      <c r="AN110" s="15"/>
      <c r="AO110"/>
      <c r="AP110"/>
      <c r="AQ110"/>
      <c r="AR110"/>
      <c r="AS110"/>
      <c r="AT110"/>
      <c r="AU110"/>
      <c r="AV110"/>
      <c r="AW110"/>
      <c r="AX110"/>
      <c r="AY110" s="6"/>
      <c r="AZ110" s="15"/>
      <c r="BA110"/>
      <c r="BB110"/>
      <c r="BC110"/>
      <c r="BD110"/>
      <c r="BE110"/>
      <c r="BF110"/>
      <c r="BG110"/>
      <c r="BH110"/>
      <c r="BI110"/>
      <c r="BJ110"/>
      <c r="BK110" s="6"/>
      <c r="BL110" s="15"/>
      <c r="BM110"/>
      <c r="BN110"/>
      <c r="BO110"/>
      <c r="BP110"/>
      <c r="BQ110"/>
      <c r="BR110"/>
      <c r="BS110"/>
      <c r="BT110"/>
      <c r="BU110"/>
      <c r="BV110"/>
      <c r="BW110" s="6"/>
      <c r="BX110" s="15"/>
      <c r="BY110"/>
      <c r="BZ110"/>
      <c r="CA110"/>
      <c r="CB110"/>
      <c r="CC110"/>
      <c r="CD110"/>
      <c r="CE110"/>
      <c r="CF110"/>
      <c r="CG110"/>
      <c r="CH110"/>
      <c r="CI110" s="6"/>
      <c r="CJ110" s="16">
        <v>0.16438356164383561</v>
      </c>
      <c r="CK110" s="16" t="s">
        <v>578</v>
      </c>
      <c r="CL110" s="16" t="s">
        <v>578</v>
      </c>
      <c r="CM110" s="16" t="s">
        <v>578</v>
      </c>
      <c r="CN110" s="16" t="s">
        <v>578</v>
      </c>
      <c r="CO110" s="18"/>
      <c r="CP110" s="15"/>
      <c r="CQ110"/>
      <c r="CR110"/>
      <c r="CS110">
        <v>66</v>
      </c>
      <c r="CT110"/>
      <c r="CU110"/>
      <c r="CV110"/>
      <c r="CW110"/>
      <c r="CX110"/>
      <c r="CY110"/>
      <c r="CZ110"/>
      <c r="DA110" s="6"/>
      <c r="DB110" s="15"/>
      <c r="DC110"/>
      <c r="DD110"/>
      <c r="DE110"/>
      <c r="DF110"/>
      <c r="DG110"/>
      <c r="DH110"/>
      <c r="DI110"/>
      <c r="DJ110"/>
      <c r="DK110"/>
      <c r="DL110"/>
      <c r="DM110" s="6"/>
      <c r="DN110" s="15"/>
      <c r="DO110"/>
      <c r="DP110"/>
      <c r="DQ110"/>
      <c r="DR110"/>
      <c r="DS110"/>
      <c r="DT110"/>
      <c r="DU110"/>
      <c r="DV110"/>
      <c r="DW110"/>
      <c r="DX110"/>
      <c r="DY110" s="6"/>
      <c r="DZ110" s="15"/>
      <c r="EA110"/>
      <c r="EB110"/>
      <c r="EC110"/>
      <c r="ED110"/>
      <c r="EE110"/>
      <c r="EF110"/>
      <c r="EG110"/>
      <c r="EH110"/>
      <c r="EI110"/>
      <c r="EJ110"/>
      <c r="EK110" s="6"/>
      <c r="EL110" s="15"/>
      <c r="EM110"/>
      <c r="EN110"/>
      <c r="EO110"/>
      <c r="EP110"/>
      <c r="EQ110"/>
      <c r="ER110"/>
      <c r="ES110"/>
      <c r="ET110"/>
      <c r="EU110"/>
      <c r="EV110"/>
      <c r="EW110" s="6"/>
      <c r="EX110" s="16">
        <v>5.4246575342465757</v>
      </c>
      <c r="EY110" s="16" t="s">
        <v>578</v>
      </c>
      <c r="EZ110" s="16" t="s">
        <v>578</v>
      </c>
      <c r="FA110" s="154" t="s">
        <v>578</v>
      </c>
      <c r="FB110" s="154" t="s">
        <v>578</v>
      </c>
      <c r="FC110" t="s">
        <v>195</v>
      </c>
      <c r="FD110" s="20" t="s">
        <v>125</v>
      </c>
      <c r="FE110"/>
      <c r="FF110" s="199" t="s">
        <v>197</v>
      </c>
      <c r="FG110"/>
      <c r="FH110" s="206">
        <f t="shared" ca="1" si="13"/>
        <v>0</v>
      </c>
      <c r="FI110" s="198">
        <f t="shared" si="14"/>
        <v>0.96666666666666667</v>
      </c>
      <c r="FJ110"/>
      <c r="FK110" t="str">
        <f t="shared" si="15"/>
        <v>America Energia S/A</v>
      </c>
      <c r="FL110" s="191">
        <f t="shared" ca="1" si="16"/>
        <v>0</v>
      </c>
      <c r="FM110" s="191">
        <f t="shared" ca="1" si="17"/>
        <v>-4320</v>
      </c>
      <c r="FN110" s="190">
        <f>AB110*AB$2*IF($FC110="V",1,-1)*IF($Q110="Fixo",(CP110-INDEX('Curva Forward'!$C$5:$AN$13,MATCH(CONCATENATE(BD_COMERCIAL!$K110," ",BD_COMERCIAL!$L110),'Curva Forward'!$B$5:$B$13,0),MATCH(FN$4,'Curva Forward'!$C$4:$AN$4,0))),CP110)</f>
        <v>0</v>
      </c>
      <c r="FO110" s="190">
        <f>AC110*AC$2*IF($FC110="V",1,-1)*IF($Q110="Fixo",(CQ110-INDEX('Curva Forward'!$C$5:$AN$13,MATCH(CONCATENATE(BD_COMERCIAL!$K110," ",BD_COMERCIAL!$L110),'Curva Forward'!$B$5:$B$13,0),MATCH(FO$4,'Curva Forward'!$C$4:$AN$4,0))),CQ110)</f>
        <v>0</v>
      </c>
      <c r="FP110" s="190">
        <f>AD110*AD$2*IF($FC110="V",1,-1)*IF($Q110="Fixo",(CR110-INDEX('Curva Forward'!$C$5:$AN$13,MATCH(CONCATENATE(BD_COMERCIAL!$K110," ",BD_COMERCIAL!$L110),'Curva Forward'!$B$5:$B$13,0),MATCH(FP$4,'Curva Forward'!$C$4:$AN$4,0))),CR110)</f>
        <v>0</v>
      </c>
      <c r="FQ110" s="190">
        <f>AE110*AE$2*IF($FC110="V",1,-1)*IF($Q110="Fixo",(CS110-INDEX('Curva Forward'!$C$5:$AN$13,MATCH(CONCATENATE(BD_COMERCIAL!$K110," ",BD_COMERCIAL!$L110),'Curva Forward'!$B$5:$B$13,0),MATCH(FQ$4,'Curva Forward'!$C$4:$AN$4,0))),CS110)</f>
        <v>-4320</v>
      </c>
      <c r="FR110" s="190">
        <f>AF110*AF$2*IF($FC110="V",1,-1)*IF($Q110="Fixo",(CT110-INDEX('Curva Forward'!$C$5:$AN$13,MATCH(CONCATENATE(BD_COMERCIAL!$K110," ",BD_COMERCIAL!$L110),'Curva Forward'!$B$5:$B$13,0),MATCH(FR$4,'Curva Forward'!$C$4:$AN$4,0))),CT110)</f>
        <v>0</v>
      </c>
      <c r="FS110" s="190">
        <f>AG110*AG$2*IF($FC110="V",1,-1)*IF($Q110="Fixo",(CU110-INDEX('Curva Forward'!$C$5:$AN$13,MATCH(CONCATENATE(BD_COMERCIAL!$K110," ",BD_COMERCIAL!$L110),'Curva Forward'!$B$5:$B$13,0),MATCH(FS$4,'Curva Forward'!$C$4:$AN$4,0))),CU110)</f>
        <v>0</v>
      </c>
      <c r="FT110" s="190">
        <f>AH110*AH$2*IF($FC110="V",1,-1)*IF($Q110="Fixo",(CV110-INDEX('Curva Forward'!$C$5:$AN$13,MATCH(CONCATENATE(BD_COMERCIAL!$K110," ",BD_COMERCIAL!$L110),'Curva Forward'!$B$5:$B$13,0),MATCH(FT$4,'Curva Forward'!$C$4:$AN$4,0))),CV110)</f>
        <v>0</v>
      </c>
      <c r="FU110" s="190">
        <f>AI110*AI$2*IF($FC110="V",1,-1)*IF($Q110="Fixo",(CW110-INDEX('Curva Forward'!$C$5:$AN$13,MATCH(CONCATENATE(BD_COMERCIAL!$K110," ",BD_COMERCIAL!$L110),'Curva Forward'!$B$5:$B$13,0),MATCH(FU$4,'Curva Forward'!$C$4:$AN$4,0))),CW110)</f>
        <v>0</v>
      </c>
      <c r="FV110" s="190">
        <f>AJ110*AJ$2*IF($FC110="V",1,-1)*IF($Q110="Fixo",(CX110-INDEX('Curva Forward'!$C$5:$AN$13,MATCH(CONCATENATE(BD_COMERCIAL!$K110," ",BD_COMERCIAL!$L110),'Curva Forward'!$B$5:$B$13,0),MATCH(FV$4,'Curva Forward'!$C$4:$AN$4,0))),CX110)</f>
        <v>0</v>
      </c>
      <c r="FW110" s="190">
        <f>AK110*AK$2*IF($FC110="V",1,-1)*IF($Q110="Fixo",(CY110-INDEX('Curva Forward'!$C$5:$AN$13,MATCH(CONCATENATE(BD_COMERCIAL!$K110," ",BD_COMERCIAL!$L110),'Curva Forward'!$B$5:$B$13,0),MATCH(FW$4,'Curva Forward'!$C$4:$AN$4,0))),CY110)</f>
        <v>0</v>
      </c>
      <c r="FX110" s="190">
        <f>AL110*AL$2*IF($FC110="V",1,-1)*IF($Q110="Fixo",(CZ110-INDEX('Curva Forward'!$C$5:$AN$13,MATCH(CONCATENATE(BD_COMERCIAL!$K110," ",BD_COMERCIAL!$L110),'Curva Forward'!$B$5:$B$13,0),MATCH(FX$4,'Curva Forward'!$C$4:$AN$4,0))),CZ110)</f>
        <v>0</v>
      </c>
      <c r="FY110" s="190">
        <f>AM110*AM$2*IF($FC110="V",1,-1)*IF($Q110="Fixo",(DA110-INDEX('Curva Forward'!$C$5:$AN$13,MATCH(CONCATENATE(BD_COMERCIAL!$K110," ",BD_COMERCIAL!$L110),'Curva Forward'!$B$5:$B$13,0),MATCH(FY$4,'Curva Forward'!$C$4:$AN$4,0))),DA110)</f>
        <v>0</v>
      </c>
      <c r="FZ110" s="190">
        <f>AN110*AN$2*IF($FC110="V",1,-1)*IF($Q110="Fixo",(DB110-INDEX('Curva Forward'!$C$5:$AN$13,MATCH(CONCATENATE(BD_COMERCIAL!$K110," ",BD_COMERCIAL!$L110),'Curva Forward'!$B$5:$B$13,0),MATCH(FZ$4,'Curva Forward'!$C$4:$AN$4,0))),DB110)</f>
        <v>0</v>
      </c>
      <c r="GA110" s="190">
        <f>AO110*AO$2*IF($FC110="V",1,-1)*IF($Q110="Fixo",(DC110-INDEX('Curva Forward'!$C$5:$AN$13,MATCH(CONCATENATE(BD_COMERCIAL!$K110," ",BD_COMERCIAL!$L110),'Curva Forward'!$B$5:$B$13,0),MATCH(GA$4,'Curva Forward'!$C$4:$AN$4,0))),DC110)</f>
        <v>0</v>
      </c>
      <c r="GB110" s="190">
        <f>AP110*AP$2*IF($FC110="V",1,-1)*IF($Q110="Fixo",(DD110-INDEX('Curva Forward'!$C$5:$AN$13,MATCH(CONCATENATE(BD_COMERCIAL!$K110," ",BD_COMERCIAL!$L110),'Curva Forward'!$B$5:$B$13,0),MATCH(GB$4,'Curva Forward'!$C$4:$AN$4,0))),DD110)</f>
        <v>0</v>
      </c>
      <c r="GC110" s="190">
        <f>AQ110*AQ$2*IF($FC110="V",1,-1)*IF($Q110="Fixo",(DE110-INDEX('Curva Forward'!$C$5:$AN$13,MATCH(CONCATENATE(BD_COMERCIAL!$K110," ",BD_COMERCIAL!$L110),'Curva Forward'!$B$5:$B$13,0),MATCH(GC$4,'Curva Forward'!$C$4:$AN$4,0))),DE110)</f>
        <v>0</v>
      </c>
      <c r="GD110" s="190">
        <f>AR110*AR$2*IF($FC110="V",1,-1)*IF($Q110="Fixo",(DF110-INDEX('Curva Forward'!$C$5:$AN$13,MATCH(CONCATENATE(BD_COMERCIAL!$K110," ",BD_COMERCIAL!$L110),'Curva Forward'!$B$5:$B$13,0),MATCH(GD$4,'Curva Forward'!$C$4:$AN$4,0))),DF110)</f>
        <v>0</v>
      </c>
      <c r="GE110" s="190">
        <f>AS110*AS$2*IF($FC110="V",1,-1)*IF($Q110="Fixo",(DG110-INDEX('Curva Forward'!$C$5:$AN$13,MATCH(CONCATENATE(BD_COMERCIAL!$K110," ",BD_COMERCIAL!$L110),'Curva Forward'!$B$5:$B$13,0),MATCH(GE$4,'Curva Forward'!$C$4:$AN$4,0))),DG110)</f>
        <v>0</v>
      </c>
      <c r="GF110" s="190">
        <f>AT110*AT$2*IF($FC110="V",1,-1)*IF($Q110="Fixo",(DH110-INDEX('Curva Forward'!$C$5:$AN$13,MATCH(CONCATENATE(BD_COMERCIAL!$K110," ",BD_COMERCIAL!$L110),'Curva Forward'!$B$5:$B$13,0),MATCH(GF$4,'Curva Forward'!$C$4:$AN$4,0))),DH110)</f>
        <v>0</v>
      </c>
      <c r="GG110" s="190">
        <f>AU110*AU$2*IF($FC110="V",1,-1)*IF($Q110="Fixo",(DI110-INDEX('Curva Forward'!$C$5:$AN$13,MATCH(CONCATENATE(BD_COMERCIAL!$K110," ",BD_COMERCIAL!$L110),'Curva Forward'!$B$5:$B$13,0),MATCH(GG$4,'Curva Forward'!$C$4:$AN$4,0))),DI110)</f>
        <v>0</v>
      </c>
      <c r="GH110" s="190">
        <f>AV110*AV$2*IF($FC110="V",1,-1)*IF($Q110="Fixo",(DJ110-INDEX('Curva Forward'!$C$5:$AN$13,MATCH(CONCATENATE(BD_COMERCIAL!$K110," ",BD_COMERCIAL!$L110),'Curva Forward'!$B$5:$B$13,0),MATCH(GH$4,'Curva Forward'!$C$4:$AN$4,0))),DJ110)</f>
        <v>0</v>
      </c>
      <c r="GI110" s="190">
        <f>AW110*AW$2*IF($FC110="V",1,-1)*IF($Q110="Fixo",(DK110-INDEX('Curva Forward'!$C$5:$AN$13,MATCH(CONCATENATE(BD_COMERCIAL!$K110," ",BD_COMERCIAL!$L110),'Curva Forward'!$B$5:$B$13,0),MATCH(GI$4,'Curva Forward'!$C$4:$AN$4,0))),DK110)</f>
        <v>0</v>
      </c>
      <c r="GJ110" s="190">
        <f>AX110*AX$2*IF($FC110="V",1,-1)*IF($Q110="Fixo",(DL110-INDEX('Curva Forward'!$C$5:$AN$13,MATCH(CONCATENATE(BD_COMERCIAL!$K110," ",BD_COMERCIAL!$L110),'Curva Forward'!$B$5:$B$13,0),MATCH(GJ$4,'Curva Forward'!$C$4:$AN$4,0))),DL110)</f>
        <v>0</v>
      </c>
      <c r="GK110" s="190">
        <f>AY110*AY$2*IF($FC110="V",1,-1)*IF($Q110="Fixo",(DM110-INDEX('Curva Forward'!$C$5:$AN$13,MATCH(CONCATENATE(BD_COMERCIAL!$K110," ",BD_COMERCIAL!$L110),'Curva Forward'!$B$5:$B$13,0),MATCH(GK$4,'Curva Forward'!$C$4:$AN$4,0))),DM110)</f>
        <v>0</v>
      </c>
      <c r="GL110" s="190">
        <f>IF(EZ110="",0,CL110*CL$2*IF($FC110="V",1,-1)*IF($Q110="Fixo",(EZ110-INDEX('Curva Forward'!$C$5:$AN$13,MATCH(CONCATENATE(BD_COMERCIAL!$K110," ",BD_COMERCIAL!$L110),'Curva Forward'!$B$5:$B$13,0),MATCH(GL$4,'Curva Forward'!$C$4:$AN$4,0))),EZ110))</f>
        <v>0</v>
      </c>
      <c r="GM110" s="190">
        <f>IF(FA110="",0,CM110*CM$2*IF($FC110="V",1,-1)*IF($Q110="Fixo",(FA110-INDEX('Curva Forward'!$C$5:$AN$13,MATCH(CONCATENATE(BD_COMERCIAL!$K110," ",BD_COMERCIAL!$L110),'Curva Forward'!$B$5:$B$13,0),MATCH(GM$4,'Curva Forward'!$C$4:$AN$4,0))),FA110))</f>
        <v>0</v>
      </c>
      <c r="GN110" s="190">
        <f>IF(FB110="",0,CN110*CN$2*IF($FC110="V",1,-1)*IF($Q110="Fixo",(FB110-INDEX('Curva Forward'!$C$5:$AN$13,MATCH(CONCATENATE(BD_COMERCIAL!$K110," ",BD_COMERCIAL!$L110),'Curva Forward'!$B$5:$B$13,0),MATCH(GN$4,'Curva Forward'!$C$4:$AN$4,0))),FB110))</f>
        <v>0</v>
      </c>
      <c r="GO110" s="191">
        <f t="shared" ca="1" si="18"/>
        <v>0</v>
      </c>
      <c r="GP110" s="191">
        <f t="shared" ca="1" si="19"/>
        <v>-4320</v>
      </c>
      <c r="GQ110" s="115"/>
      <c r="GR110" s="115"/>
      <c r="GS110"/>
      <c r="GT110" s="65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</row>
    <row r="111" spans="1:236" s="265" customFormat="1" ht="15" customHeight="1" x14ac:dyDescent="0.35">
      <c r="A111" s="251"/>
      <c r="B111" s="7" t="s">
        <v>493</v>
      </c>
      <c r="C111" s="8">
        <v>44896</v>
      </c>
      <c r="D111" s="9" t="s">
        <v>123</v>
      </c>
      <c r="E111" s="9" t="s">
        <v>381</v>
      </c>
      <c r="F111" s="112" t="s">
        <v>348</v>
      </c>
      <c r="G111" s="10" t="s">
        <v>145</v>
      </c>
      <c r="H111" s="112" t="e">
        <v>#N/A</v>
      </c>
      <c r="I111" s="9" t="s">
        <v>137</v>
      </c>
      <c r="J111" s="158" t="s">
        <v>438</v>
      </c>
      <c r="K111" s="10" t="s">
        <v>126</v>
      </c>
      <c r="L111" s="84" t="s">
        <v>22</v>
      </c>
      <c r="M111" s="11">
        <v>45047</v>
      </c>
      <c r="N111" s="12">
        <v>45077</v>
      </c>
      <c r="O111" s="10">
        <v>1</v>
      </c>
      <c r="P111" s="84">
        <v>66</v>
      </c>
      <c r="Q111" s="84" t="s">
        <v>127</v>
      </c>
      <c r="R111" s="10" t="s">
        <v>128</v>
      </c>
      <c r="S111" s="14" t="s">
        <v>133</v>
      </c>
      <c r="T111" s="11"/>
      <c r="U111" s="12"/>
      <c r="V111" s="202" t="str">
        <f ca="1">IF(U111="","",
IF(U111="NA","",
IFERROR(VLOOKUP(EOMONTH(M111,-2)+1,IPCA!$A:$B,2,0),
VLOOKUP(EOMONTH(TODAY(),-2)+1,IPCA!$A:$B,2,0))/
VLOOKUP(EOMONTH(U111,-2)+1,IPCA!$A:$B,2,0)*
P111))</f>
        <v/>
      </c>
      <c r="W111" s="84"/>
      <c r="X111" s="13"/>
      <c r="Y111" s="158"/>
      <c r="Z111" s="106" t="s">
        <v>146</v>
      </c>
      <c r="AA111" s="106" t="s">
        <v>146</v>
      </c>
      <c r="AB111" s="15"/>
      <c r="AC111"/>
      <c r="AD111"/>
      <c r="AE111"/>
      <c r="AF111">
        <v>1</v>
      </c>
      <c r="AG111"/>
      <c r="AH111"/>
      <c r="AI111"/>
      <c r="AJ111"/>
      <c r="AK111"/>
      <c r="AL111"/>
      <c r="AM111" s="6"/>
      <c r="AN111" s="15"/>
      <c r="AO111"/>
      <c r="AP111"/>
      <c r="AQ111"/>
      <c r="AR111"/>
      <c r="AS111"/>
      <c r="AT111"/>
      <c r="AU111"/>
      <c r="AV111"/>
      <c r="AW111"/>
      <c r="AX111"/>
      <c r="AY111" s="6"/>
      <c r="AZ111" s="15"/>
      <c r="BA111"/>
      <c r="BB111"/>
      <c r="BC111"/>
      <c r="BD111"/>
      <c r="BE111"/>
      <c r="BF111"/>
      <c r="BG111"/>
      <c r="BH111"/>
      <c r="BI111"/>
      <c r="BJ111"/>
      <c r="BK111" s="6"/>
      <c r="BL111" s="15"/>
      <c r="BM111"/>
      <c r="BN111"/>
      <c r="BO111"/>
      <c r="BP111"/>
      <c r="BQ111"/>
      <c r="BR111"/>
      <c r="BS111"/>
      <c r="BT111"/>
      <c r="BU111"/>
      <c r="BV111"/>
      <c r="BW111" s="6"/>
      <c r="BX111" s="15"/>
      <c r="BY111"/>
      <c r="BZ111"/>
      <c r="CA111"/>
      <c r="CB111"/>
      <c r="CC111"/>
      <c r="CD111"/>
      <c r="CE111"/>
      <c r="CF111"/>
      <c r="CG111"/>
      <c r="CH111"/>
      <c r="CI111" s="6"/>
      <c r="CJ111" s="16">
        <v>8.4931506849315067E-2</v>
      </c>
      <c r="CK111" s="16" t="s">
        <v>578</v>
      </c>
      <c r="CL111" s="16" t="s">
        <v>578</v>
      </c>
      <c r="CM111" s="16" t="s">
        <v>578</v>
      </c>
      <c r="CN111" s="16" t="s">
        <v>578</v>
      </c>
      <c r="CO111" s="18"/>
      <c r="CP111" s="15"/>
      <c r="CQ111"/>
      <c r="CR111"/>
      <c r="CS111"/>
      <c r="CT111">
        <v>66</v>
      </c>
      <c r="CU111"/>
      <c r="CV111"/>
      <c r="CW111"/>
      <c r="CX111"/>
      <c r="CY111"/>
      <c r="CZ111"/>
      <c r="DA111" s="6"/>
      <c r="DB111" s="15"/>
      <c r="DC111"/>
      <c r="DD111"/>
      <c r="DE111"/>
      <c r="DF111"/>
      <c r="DG111"/>
      <c r="DH111"/>
      <c r="DI111"/>
      <c r="DJ111"/>
      <c r="DK111"/>
      <c r="DL111"/>
      <c r="DM111" s="6"/>
      <c r="DN111" s="15"/>
      <c r="DO111"/>
      <c r="DP111"/>
      <c r="DQ111"/>
      <c r="DR111"/>
      <c r="DS111"/>
      <c r="DT111"/>
      <c r="DU111"/>
      <c r="DV111"/>
      <c r="DW111"/>
      <c r="DX111"/>
      <c r="DY111" s="6"/>
      <c r="DZ111" s="15"/>
      <c r="EA111"/>
      <c r="EB111"/>
      <c r="EC111"/>
      <c r="ED111"/>
      <c r="EE111"/>
      <c r="EF111"/>
      <c r="EG111"/>
      <c r="EH111"/>
      <c r="EI111"/>
      <c r="EJ111"/>
      <c r="EK111" s="6"/>
      <c r="EL111" s="15"/>
      <c r="EM111"/>
      <c r="EN111"/>
      <c r="EO111"/>
      <c r="EP111"/>
      <c r="EQ111"/>
      <c r="ER111"/>
      <c r="ES111"/>
      <c r="ET111"/>
      <c r="EU111"/>
      <c r="EV111"/>
      <c r="EW111" s="6"/>
      <c r="EX111" s="16">
        <v>5.6054794520547944</v>
      </c>
      <c r="EY111" s="16" t="s">
        <v>578</v>
      </c>
      <c r="EZ111" s="16" t="s">
        <v>578</v>
      </c>
      <c r="FA111" s="154" t="s">
        <v>578</v>
      </c>
      <c r="FB111" s="154" t="s">
        <v>578</v>
      </c>
      <c r="FC111" t="s">
        <v>195</v>
      </c>
      <c r="FD111" s="20" t="s">
        <v>145</v>
      </c>
      <c r="FE111"/>
      <c r="FF111" s="199" t="s">
        <v>197</v>
      </c>
      <c r="FG111"/>
      <c r="FH111" s="206">
        <f t="shared" ca="1" si="13"/>
        <v>0</v>
      </c>
      <c r="FI111" s="198">
        <f t="shared" si="14"/>
        <v>1</v>
      </c>
      <c r="FJ111"/>
      <c r="FK111" t="str">
        <f t="shared" si="15"/>
        <v>Portfólio</v>
      </c>
      <c r="FL111" s="191">
        <f t="shared" ca="1" si="16"/>
        <v>0</v>
      </c>
      <c r="FM111" s="191">
        <f t="shared" ca="1" si="17"/>
        <v>-2976</v>
      </c>
      <c r="FN111" s="190">
        <f>AB111*AB$2*IF($FC111="V",1,-1)*IF($Q111="Fixo",(CP111-INDEX('Curva Forward'!$C$5:$AN$13,MATCH(CONCATENATE(BD_COMERCIAL!$K111," ",BD_COMERCIAL!$L111),'Curva Forward'!$B$5:$B$13,0),MATCH(FN$4,'Curva Forward'!$C$4:$AN$4,0))),CP111)</f>
        <v>0</v>
      </c>
      <c r="FO111" s="190">
        <f>AC111*AC$2*IF($FC111="V",1,-1)*IF($Q111="Fixo",(CQ111-INDEX('Curva Forward'!$C$5:$AN$13,MATCH(CONCATENATE(BD_COMERCIAL!$K111," ",BD_COMERCIAL!$L111),'Curva Forward'!$B$5:$B$13,0),MATCH(FO$4,'Curva Forward'!$C$4:$AN$4,0))),CQ111)</f>
        <v>0</v>
      </c>
      <c r="FP111" s="190">
        <f>AD111*AD$2*IF($FC111="V",1,-1)*IF($Q111="Fixo",(CR111-INDEX('Curva Forward'!$C$5:$AN$13,MATCH(CONCATENATE(BD_COMERCIAL!$K111," ",BD_COMERCIAL!$L111),'Curva Forward'!$B$5:$B$13,0),MATCH(FP$4,'Curva Forward'!$C$4:$AN$4,0))),CR111)</f>
        <v>0</v>
      </c>
      <c r="FQ111" s="190">
        <f>AE111*AE$2*IF($FC111="V",1,-1)*IF($Q111="Fixo",(CS111-INDEX('Curva Forward'!$C$5:$AN$13,MATCH(CONCATENATE(BD_COMERCIAL!$K111," ",BD_COMERCIAL!$L111),'Curva Forward'!$B$5:$B$13,0),MATCH(FQ$4,'Curva Forward'!$C$4:$AN$4,0))),CS111)</f>
        <v>0</v>
      </c>
      <c r="FR111" s="190">
        <f>AF111*AF$2*IF($FC111="V",1,-1)*IF($Q111="Fixo",(CT111-INDEX('Curva Forward'!$C$5:$AN$13,MATCH(CONCATENATE(BD_COMERCIAL!$K111," ",BD_COMERCIAL!$L111),'Curva Forward'!$B$5:$B$13,0),MATCH(FR$4,'Curva Forward'!$C$4:$AN$4,0))),CT111)</f>
        <v>-2976</v>
      </c>
      <c r="FS111" s="190">
        <f>AG111*AG$2*IF($FC111="V",1,-1)*IF($Q111="Fixo",(CU111-INDEX('Curva Forward'!$C$5:$AN$13,MATCH(CONCATENATE(BD_COMERCIAL!$K111," ",BD_COMERCIAL!$L111),'Curva Forward'!$B$5:$B$13,0),MATCH(FS$4,'Curva Forward'!$C$4:$AN$4,0))),CU111)</f>
        <v>0</v>
      </c>
      <c r="FT111" s="190">
        <f>AH111*AH$2*IF($FC111="V",1,-1)*IF($Q111="Fixo",(CV111-INDEX('Curva Forward'!$C$5:$AN$13,MATCH(CONCATENATE(BD_COMERCIAL!$K111," ",BD_COMERCIAL!$L111),'Curva Forward'!$B$5:$B$13,0),MATCH(FT$4,'Curva Forward'!$C$4:$AN$4,0))),CV111)</f>
        <v>0</v>
      </c>
      <c r="FU111" s="190">
        <f>AI111*AI$2*IF($FC111="V",1,-1)*IF($Q111="Fixo",(CW111-INDEX('Curva Forward'!$C$5:$AN$13,MATCH(CONCATENATE(BD_COMERCIAL!$K111," ",BD_COMERCIAL!$L111),'Curva Forward'!$B$5:$B$13,0),MATCH(FU$4,'Curva Forward'!$C$4:$AN$4,0))),CW111)</f>
        <v>0</v>
      </c>
      <c r="FV111" s="190">
        <f>AJ111*AJ$2*IF($FC111="V",1,-1)*IF($Q111="Fixo",(CX111-INDEX('Curva Forward'!$C$5:$AN$13,MATCH(CONCATENATE(BD_COMERCIAL!$K111," ",BD_COMERCIAL!$L111),'Curva Forward'!$B$5:$B$13,0),MATCH(FV$4,'Curva Forward'!$C$4:$AN$4,0))),CX111)</f>
        <v>0</v>
      </c>
      <c r="FW111" s="190">
        <f>AK111*AK$2*IF($FC111="V",1,-1)*IF($Q111="Fixo",(CY111-INDEX('Curva Forward'!$C$5:$AN$13,MATCH(CONCATENATE(BD_COMERCIAL!$K111," ",BD_COMERCIAL!$L111),'Curva Forward'!$B$5:$B$13,0),MATCH(FW$4,'Curva Forward'!$C$4:$AN$4,0))),CY111)</f>
        <v>0</v>
      </c>
      <c r="FX111" s="190">
        <f>AL111*AL$2*IF($FC111="V",1,-1)*IF($Q111="Fixo",(CZ111-INDEX('Curva Forward'!$C$5:$AN$13,MATCH(CONCATENATE(BD_COMERCIAL!$K111," ",BD_COMERCIAL!$L111),'Curva Forward'!$B$5:$B$13,0),MATCH(FX$4,'Curva Forward'!$C$4:$AN$4,0))),CZ111)</f>
        <v>0</v>
      </c>
      <c r="FY111" s="190">
        <f>AM111*AM$2*IF($FC111="V",1,-1)*IF($Q111="Fixo",(DA111-INDEX('Curva Forward'!$C$5:$AN$13,MATCH(CONCATENATE(BD_COMERCIAL!$K111," ",BD_COMERCIAL!$L111),'Curva Forward'!$B$5:$B$13,0),MATCH(FY$4,'Curva Forward'!$C$4:$AN$4,0))),DA111)</f>
        <v>0</v>
      </c>
      <c r="FZ111" s="190">
        <f>AN111*AN$2*IF($FC111="V",1,-1)*IF($Q111="Fixo",(DB111-INDEX('Curva Forward'!$C$5:$AN$13,MATCH(CONCATENATE(BD_COMERCIAL!$K111," ",BD_COMERCIAL!$L111),'Curva Forward'!$B$5:$B$13,0),MATCH(FZ$4,'Curva Forward'!$C$4:$AN$4,0))),DB111)</f>
        <v>0</v>
      </c>
      <c r="GA111" s="190">
        <f>AO111*AO$2*IF($FC111="V",1,-1)*IF($Q111="Fixo",(DC111-INDEX('Curva Forward'!$C$5:$AN$13,MATCH(CONCATENATE(BD_COMERCIAL!$K111," ",BD_COMERCIAL!$L111),'Curva Forward'!$B$5:$B$13,0),MATCH(GA$4,'Curva Forward'!$C$4:$AN$4,0))),DC111)</f>
        <v>0</v>
      </c>
      <c r="GB111" s="190">
        <f>AP111*AP$2*IF($FC111="V",1,-1)*IF($Q111="Fixo",(DD111-INDEX('Curva Forward'!$C$5:$AN$13,MATCH(CONCATENATE(BD_COMERCIAL!$K111," ",BD_COMERCIAL!$L111),'Curva Forward'!$B$5:$B$13,0),MATCH(GB$4,'Curva Forward'!$C$4:$AN$4,0))),DD111)</f>
        <v>0</v>
      </c>
      <c r="GC111" s="190">
        <f>AQ111*AQ$2*IF($FC111="V",1,-1)*IF($Q111="Fixo",(DE111-INDEX('Curva Forward'!$C$5:$AN$13,MATCH(CONCATENATE(BD_COMERCIAL!$K111," ",BD_COMERCIAL!$L111),'Curva Forward'!$B$5:$B$13,0),MATCH(GC$4,'Curva Forward'!$C$4:$AN$4,0))),DE111)</f>
        <v>0</v>
      </c>
      <c r="GD111" s="190">
        <f>AR111*AR$2*IF($FC111="V",1,-1)*IF($Q111="Fixo",(DF111-INDEX('Curva Forward'!$C$5:$AN$13,MATCH(CONCATENATE(BD_COMERCIAL!$K111," ",BD_COMERCIAL!$L111),'Curva Forward'!$B$5:$B$13,0),MATCH(GD$4,'Curva Forward'!$C$4:$AN$4,0))),DF111)</f>
        <v>0</v>
      </c>
      <c r="GE111" s="190">
        <f>AS111*AS$2*IF($FC111="V",1,-1)*IF($Q111="Fixo",(DG111-INDEX('Curva Forward'!$C$5:$AN$13,MATCH(CONCATENATE(BD_COMERCIAL!$K111," ",BD_COMERCIAL!$L111),'Curva Forward'!$B$5:$B$13,0),MATCH(GE$4,'Curva Forward'!$C$4:$AN$4,0))),DG111)</f>
        <v>0</v>
      </c>
      <c r="GF111" s="190">
        <f>AT111*AT$2*IF($FC111="V",1,-1)*IF($Q111="Fixo",(DH111-INDEX('Curva Forward'!$C$5:$AN$13,MATCH(CONCATENATE(BD_COMERCIAL!$K111," ",BD_COMERCIAL!$L111),'Curva Forward'!$B$5:$B$13,0),MATCH(GF$4,'Curva Forward'!$C$4:$AN$4,0))),DH111)</f>
        <v>0</v>
      </c>
      <c r="GG111" s="190">
        <f>AU111*AU$2*IF($FC111="V",1,-1)*IF($Q111="Fixo",(DI111-INDEX('Curva Forward'!$C$5:$AN$13,MATCH(CONCATENATE(BD_COMERCIAL!$K111," ",BD_COMERCIAL!$L111),'Curva Forward'!$B$5:$B$13,0),MATCH(GG$4,'Curva Forward'!$C$4:$AN$4,0))),DI111)</f>
        <v>0</v>
      </c>
      <c r="GH111" s="190">
        <f>AV111*AV$2*IF($FC111="V",1,-1)*IF($Q111="Fixo",(DJ111-INDEX('Curva Forward'!$C$5:$AN$13,MATCH(CONCATENATE(BD_COMERCIAL!$K111," ",BD_COMERCIAL!$L111),'Curva Forward'!$B$5:$B$13,0),MATCH(GH$4,'Curva Forward'!$C$4:$AN$4,0))),DJ111)</f>
        <v>0</v>
      </c>
      <c r="GI111" s="190">
        <f>AW111*AW$2*IF($FC111="V",1,-1)*IF($Q111="Fixo",(DK111-INDEX('Curva Forward'!$C$5:$AN$13,MATCH(CONCATENATE(BD_COMERCIAL!$K111," ",BD_COMERCIAL!$L111),'Curva Forward'!$B$5:$B$13,0),MATCH(GI$4,'Curva Forward'!$C$4:$AN$4,0))),DK111)</f>
        <v>0</v>
      </c>
      <c r="GJ111" s="190">
        <f>AX111*AX$2*IF($FC111="V",1,-1)*IF($Q111="Fixo",(DL111-INDEX('Curva Forward'!$C$5:$AN$13,MATCH(CONCATENATE(BD_COMERCIAL!$K111," ",BD_COMERCIAL!$L111),'Curva Forward'!$B$5:$B$13,0),MATCH(GJ$4,'Curva Forward'!$C$4:$AN$4,0))),DL111)</f>
        <v>0</v>
      </c>
      <c r="GK111" s="190">
        <f>AY111*AY$2*IF($FC111="V",1,-1)*IF($Q111="Fixo",(DM111-INDEX('Curva Forward'!$C$5:$AN$13,MATCH(CONCATENATE(BD_COMERCIAL!$K111," ",BD_COMERCIAL!$L111),'Curva Forward'!$B$5:$B$13,0),MATCH(GK$4,'Curva Forward'!$C$4:$AN$4,0))),DM111)</f>
        <v>0</v>
      </c>
      <c r="GL111" s="190">
        <f>IF(EZ111="",0,CL111*CL$2*IF($FC111="V",1,-1)*IF($Q111="Fixo",(EZ111-INDEX('Curva Forward'!$C$5:$AN$13,MATCH(CONCATENATE(BD_COMERCIAL!$K111," ",BD_COMERCIAL!$L111),'Curva Forward'!$B$5:$B$13,0),MATCH(GL$4,'Curva Forward'!$C$4:$AN$4,0))),EZ111))</f>
        <v>0</v>
      </c>
      <c r="GM111" s="190">
        <f>IF(FA111="",0,CM111*CM$2*IF($FC111="V",1,-1)*IF($Q111="Fixo",(FA111-INDEX('Curva Forward'!$C$5:$AN$13,MATCH(CONCATENATE(BD_COMERCIAL!$K111," ",BD_COMERCIAL!$L111),'Curva Forward'!$B$5:$B$13,0),MATCH(GM$4,'Curva Forward'!$C$4:$AN$4,0))),FA111))</f>
        <v>0</v>
      </c>
      <c r="GN111" s="190">
        <f>IF(FB111="",0,CN111*CN$2*IF($FC111="V",1,-1)*IF($Q111="Fixo",(FB111-INDEX('Curva Forward'!$C$5:$AN$13,MATCH(CONCATENATE(BD_COMERCIAL!$K111," ",BD_COMERCIAL!$L111),'Curva Forward'!$B$5:$B$13,0),MATCH(GN$4,'Curva Forward'!$C$4:$AN$4,0))),FB111))</f>
        <v>0</v>
      </c>
      <c r="GO111" s="191">
        <f t="shared" ca="1" si="18"/>
        <v>0</v>
      </c>
      <c r="GP111" s="191">
        <f t="shared" ca="1" si="19"/>
        <v>-2976</v>
      </c>
      <c r="GQ111" s="115"/>
      <c r="GR111" s="115"/>
      <c r="GS111"/>
      <c r="GT111" s="65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</row>
    <row r="112" spans="1:236" s="265" customFormat="1" ht="15" customHeight="1" x14ac:dyDescent="0.35">
      <c r="A112" s="251"/>
      <c r="B112" s="7" t="s">
        <v>494</v>
      </c>
      <c r="C112" s="8">
        <v>44896</v>
      </c>
      <c r="D112" s="9" t="s">
        <v>123</v>
      </c>
      <c r="E112" s="9" t="s">
        <v>381</v>
      </c>
      <c r="F112" s="112" t="s">
        <v>348</v>
      </c>
      <c r="G112" s="10" t="s">
        <v>145</v>
      </c>
      <c r="H112" s="112" t="e">
        <v>#N/A</v>
      </c>
      <c r="I112" s="9" t="s">
        <v>137</v>
      </c>
      <c r="J112" s="158" t="s">
        <v>438</v>
      </c>
      <c r="K112" s="10" t="s">
        <v>126</v>
      </c>
      <c r="L112" s="84" t="s">
        <v>22</v>
      </c>
      <c r="M112" s="11">
        <v>45108</v>
      </c>
      <c r="N112" s="12">
        <v>45138</v>
      </c>
      <c r="O112" s="10">
        <v>5</v>
      </c>
      <c r="P112" s="84">
        <v>103</v>
      </c>
      <c r="Q112" s="84" t="s">
        <v>127</v>
      </c>
      <c r="R112" s="10" t="s">
        <v>128</v>
      </c>
      <c r="S112" s="14" t="s">
        <v>133</v>
      </c>
      <c r="T112" s="11"/>
      <c r="U112" s="12"/>
      <c r="V112" s="202" t="str">
        <f ca="1">IF(U112="","",
IF(U112="NA","",
IFERROR(VLOOKUP(EOMONTH(M112,-2)+1,IPCA!$A:$B,2,0),
VLOOKUP(EOMONTH(TODAY(),-2)+1,IPCA!$A:$B,2,0))/
VLOOKUP(EOMONTH(U112,-2)+1,IPCA!$A:$B,2,0)*
P112))</f>
        <v/>
      </c>
      <c r="W112" s="84"/>
      <c r="X112" s="13"/>
      <c r="Y112" s="158"/>
      <c r="Z112" s="106" t="s">
        <v>146</v>
      </c>
      <c r="AA112" s="106" t="s">
        <v>146</v>
      </c>
      <c r="AB112" s="15"/>
      <c r="AC112"/>
      <c r="AD112"/>
      <c r="AE112"/>
      <c r="AF112"/>
      <c r="AG112"/>
      <c r="AH112">
        <v>5</v>
      </c>
      <c r="AI112"/>
      <c r="AJ112"/>
      <c r="AK112"/>
      <c r="AL112"/>
      <c r="AM112" s="6"/>
      <c r="AN112" s="15"/>
      <c r="AO112"/>
      <c r="AP112"/>
      <c r="AQ112"/>
      <c r="AR112"/>
      <c r="AS112"/>
      <c r="AT112"/>
      <c r="AU112"/>
      <c r="AV112"/>
      <c r="AW112"/>
      <c r="AX112"/>
      <c r="AY112" s="6"/>
      <c r="AZ112" s="15"/>
      <c r="BA112"/>
      <c r="BB112"/>
      <c r="BC112"/>
      <c r="BD112"/>
      <c r="BE112"/>
      <c r="BF112"/>
      <c r="BG112"/>
      <c r="BH112"/>
      <c r="BI112"/>
      <c r="BJ112"/>
      <c r="BK112" s="6"/>
      <c r="BL112" s="15"/>
      <c r="BM112"/>
      <c r="BN112"/>
      <c r="BO112"/>
      <c r="BP112"/>
      <c r="BQ112"/>
      <c r="BR112"/>
      <c r="BS112"/>
      <c r="BT112"/>
      <c r="BU112"/>
      <c r="BV112"/>
      <c r="BW112" s="6"/>
      <c r="BX112" s="15"/>
      <c r="BY112"/>
      <c r="BZ112"/>
      <c r="CA112"/>
      <c r="CB112"/>
      <c r="CC112"/>
      <c r="CD112"/>
      <c r="CE112"/>
      <c r="CF112"/>
      <c r="CG112"/>
      <c r="CH112"/>
      <c r="CI112" s="6"/>
      <c r="CJ112" s="16">
        <v>0.42465753424657532</v>
      </c>
      <c r="CK112" s="16" t="s">
        <v>578</v>
      </c>
      <c r="CL112" s="16" t="s">
        <v>578</v>
      </c>
      <c r="CM112" s="16" t="s">
        <v>578</v>
      </c>
      <c r="CN112" s="16" t="s">
        <v>578</v>
      </c>
      <c r="CO112" s="18"/>
      <c r="CP112" s="15"/>
      <c r="CQ112"/>
      <c r="CR112"/>
      <c r="CS112"/>
      <c r="CT112"/>
      <c r="CU112"/>
      <c r="CV112">
        <v>103</v>
      </c>
      <c r="CW112"/>
      <c r="CX112"/>
      <c r="CY112"/>
      <c r="CZ112"/>
      <c r="DA112" s="6"/>
      <c r="DB112" s="15"/>
      <c r="DC112"/>
      <c r="DD112"/>
      <c r="DE112"/>
      <c r="DF112"/>
      <c r="DG112"/>
      <c r="DH112"/>
      <c r="DI112"/>
      <c r="DJ112"/>
      <c r="DK112"/>
      <c r="DL112"/>
      <c r="DM112" s="6"/>
      <c r="DN112" s="15"/>
      <c r="DO112"/>
      <c r="DP112"/>
      <c r="DQ112"/>
      <c r="DR112"/>
      <c r="DS112"/>
      <c r="DT112"/>
      <c r="DU112"/>
      <c r="DV112"/>
      <c r="DW112"/>
      <c r="DX112"/>
      <c r="DY112" s="6"/>
      <c r="DZ112" s="15"/>
      <c r="EA112"/>
      <c r="EB112"/>
      <c r="EC112"/>
      <c r="ED112"/>
      <c r="EE112"/>
      <c r="EF112"/>
      <c r="EG112"/>
      <c r="EH112"/>
      <c r="EI112"/>
      <c r="EJ112"/>
      <c r="EK112" s="6"/>
      <c r="EL112" s="15"/>
      <c r="EM112"/>
      <c r="EN112"/>
      <c r="EO112"/>
      <c r="EP112"/>
      <c r="EQ112"/>
      <c r="ER112"/>
      <c r="ES112"/>
      <c r="ET112"/>
      <c r="EU112"/>
      <c r="EV112"/>
      <c r="EW112" s="6"/>
      <c r="EX112" s="16">
        <v>8.7479452054794518</v>
      </c>
      <c r="EY112" s="16" t="s">
        <v>578</v>
      </c>
      <c r="EZ112" s="16" t="s">
        <v>578</v>
      </c>
      <c r="FA112" s="154" t="s">
        <v>578</v>
      </c>
      <c r="FB112" s="154" t="s">
        <v>578</v>
      </c>
      <c r="FC112" t="s">
        <v>195</v>
      </c>
      <c r="FD112" s="20" t="s">
        <v>145</v>
      </c>
      <c r="FE112"/>
      <c r="FF112" s="199" t="s">
        <v>197</v>
      </c>
      <c r="FG112"/>
      <c r="FH112" s="206">
        <f t="shared" ca="1" si="13"/>
        <v>0</v>
      </c>
      <c r="FI112" s="198">
        <f t="shared" si="14"/>
        <v>1</v>
      </c>
      <c r="FJ112"/>
      <c r="FK112" t="str">
        <f t="shared" si="15"/>
        <v>Portfólio</v>
      </c>
      <c r="FL112" s="191">
        <f t="shared" ca="1" si="16"/>
        <v>0</v>
      </c>
      <c r="FM112" s="191">
        <f t="shared" ca="1" si="17"/>
        <v>111600</v>
      </c>
      <c r="FN112" s="190">
        <f>AB112*AB$2*IF($FC112="V",1,-1)*IF($Q112="Fixo",(CP112-INDEX('Curva Forward'!$C$5:$AN$13,MATCH(CONCATENATE(BD_COMERCIAL!$K112," ",BD_COMERCIAL!$L112),'Curva Forward'!$B$5:$B$13,0),MATCH(FN$4,'Curva Forward'!$C$4:$AN$4,0))),CP112)</f>
        <v>0</v>
      </c>
      <c r="FO112" s="190">
        <f>AC112*AC$2*IF($FC112="V",1,-1)*IF($Q112="Fixo",(CQ112-INDEX('Curva Forward'!$C$5:$AN$13,MATCH(CONCATENATE(BD_COMERCIAL!$K112," ",BD_COMERCIAL!$L112),'Curva Forward'!$B$5:$B$13,0),MATCH(FO$4,'Curva Forward'!$C$4:$AN$4,0))),CQ112)</f>
        <v>0</v>
      </c>
      <c r="FP112" s="190">
        <f>AD112*AD$2*IF($FC112="V",1,-1)*IF($Q112="Fixo",(CR112-INDEX('Curva Forward'!$C$5:$AN$13,MATCH(CONCATENATE(BD_COMERCIAL!$K112," ",BD_COMERCIAL!$L112),'Curva Forward'!$B$5:$B$13,0),MATCH(FP$4,'Curva Forward'!$C$4:$AN$4,0))),CR112)</f>
        <v>0</v>
      </c>
      <c r="FQ112" s="190">
        <f>AE112*AE$2*IF($FC112="V",1,-1)*IF($Q112="Fixo",(CS112-INDEX('Curva Forward'!$C$5:$AN$13,MATCH(CONCATENATE(BD_COMERCIAL!$K112," ",BD_COMERCIAL!$L112),'Curva Forward'!$B$5:$B$13,0),MATCH(FQ$4,'Curva Forward'!$C$4:$AN$4,0))),CS112)</f>
        <v>0</v>
      </c>
      <c r="FR112" s="190">
        <f>AF112*AF$2*IF($FC112="V",1,-1)*IF($Q112="Fixo",(CT112-INDEX('Curva Forward'!$C$5:$AN$13,MATCH(CONCATENATE(BD_COMERCIAL!$K112," ",BD_COMERCIAL!$L112),'Curva Forward'!$B$5:$B$13,0),MATCH(FR$4,'Curva Forward'!$C$4:$AN$4,0))),CT112)</f>
        <v>0</v>
      </c>
      <c r="FS112" s="190">
        <f>AG112*AG$2*IF($FC112="V",1,-1)*IF($Q112="Fixo",(CU112-INDEX('Curva Forward'!$C$5:$AN$13,MATCH(CONCATENATE(BD_COMERCIAL!$K112," ",BD_COMERCIAL!$L112),'Curva Forward'!$B$5:$B$13,0),MATCH(FS$4,'Curva Forward'!$C$4:$AN$4,0))),CU112)</f>
        <v>0</v>
      </c>
      <c r="FT112" s="190">
        <f>AH112*AH$2*IF($FC112="V",1,-1)*IF($Q112="Fixo",(CV112-INDEX('Curva Forward'!$C$5:$AN$13,MATCH(CONCATENATE(BD_COMERCIAL!$K112," ",BD_COMERCIAL!$L112),'Curva Forward'!$B$5:$B$13,0),MATCH(FT$4,'Curva Forward'!$C$4:$AN$4,0))),CV112)</f>
        <v>111600</v>
      </c>
      <c r="FU112" s="190">
        <f>AI112*AI$2*IF($FC112="V",1,-1)*IF($Q112="Fixo",(CW112-INDEX('Curva Forward'!$C$5:$AN$13,MATCH(CONCATENATE(BD_COMERCIAL!$K112," ",BD_COMERCIAL!$L112),'Curva Forward'!$B$5:$B$13,0),MATCH(FU$4,'Curva Forward'!$C$4:$AN$4,0))),CW112)</f>
        <v>0</v>
      </c>
      <c r="FV112" s="190">
        <f>AJ112*AJ$2*IF($FC112="V",1,-1)*IF($Q112="Fixo",(CX112-INDEX('Curva Forward'!$C$5:$AN$13,MATCH(CONCATENATE(BD_COMERCIAL!$K112," ",BD_COMERCIAL!$L112),'Curva Forward'!$B$5:$B$13,0),MATCH(FV$4,'Curva Forward'!$C$4:$AN$4,0))),CX112)</f>
        <v>0</v>
      </c>
      <c r="FW112" s="190">
        <f>AK112*AK$2*IF($FC112="V",1,-1)*IF($Q112="Fixo",(CY112-INDEX('Curva Forward'!$C$5:$AN$13,MATCH(CONCATENATE(BD_COMERCIAL!$K112," ",BD_COMERCIAL!$L112),'Curva Forward'!$B$5:$B$13,0),MATCH(FW$4,'Curva Forward'!$C$4:$AN$4,0))),CY112)</f>
        <v>0</v>
      </c>
      <c r="FX112" s="190">
        <f>AL112*AL$2*IF($FC112="V",1,-1)*IF($Q112="Fixo",(CZ112-INDEX('Curva Forward'!$C$5:$AN$13,MATCH(CONCATENATE(BD_COMERCIAL!$K112," ",BD_COMERCIAL!$L112),'Curva Forward'!$B$5:$B$13,0),MATCH(FX$4,'Curva Forward'!$C$4:$AN$4,0))),CZ112)</f>
        <v>0</v>
      </c>
      <c r="FY112" s="190">
        <f>AM112*AM$2*IF($FC112="V",1,-1)*IF($Q112="Fixo",(DA112-INDEX('Curva Forward'!$C$5:$AN$13,MATCH(CONCATENATE(BD_COMERCIAL!$K112," ",BD_COMERCIAL!$L112),'Curva Forward'!$B$5:$B$13,0),MATCH(FY$4,'Curva Forward'!$C$4:$AN$4,0))),DA112)</f>
        <v>0</v>
      </c>
      <c r="FZ112" s="190">
        <f>AN112*AN$2*IF($FC112="V",1,-1)*IF($Q112="Fixo",(DB112-INDEX('Curva Forward'!$C$5:$AN$13,MATCH(CONCATENATE(BD_COMERCIAL!$K112," ",BD_COMERCIAL!$L112),'Curva Forward'!$B$5:$B$13,0),MATCH(FZ$4,'Curva Forward'!$C$4:$AN$4,0))),DB112)</f>
        <v>0</v>
      </c>
      <c r="GA112" s="190">
        <f>AO112*AO$2*IF($FC112="V",1,-1)*IF($Q112="Fixo",(DC112-INDEX('Curva Forward'!$C$5:$AN$13,MATCH(CONCATENATE(BD_COMERCIAL!$K112," ",BD_COMERCIAL!$L112),'Curva Forward'!$B$5:$B$13,0),MATCH(GA$4,'Curva Forward'!$C$4:$AN$4,0))),DC112)</f>
        <v>0</v>
      </c>
      <c r="GB112" s="190">
        <f>AP112*AP$2*IF($FC112="V",1,-1)*IF($Q112="Fixo",(DD112-INDEX('Curva Forward'!$C$5:$AN$13,MATCH(CONCATENATE(BD_COMERCIAL!$K112," ",BD_COMERCIAL!$L112),'Curva Forward'!$B$5:$B$13,0),MATCH(GB$4,'Curva Forward'!$C$4:$AN$4,0))),DD112)</f>
        <v>0</v>
      </c>
      <c r="GC112" s="190">
        <f>AQ112*AQ$2*IF($FC112="V",1,-1)*IF($Q112="Fixo",(DE112-INDEX('Curva Forward'!$C$5:$AN$13,MATCH(CONCATENATE(BD_COMERCIAL!$K112," ",BD_COMERCIAL!$L112),'Curva Forward'!$B$5:$B$13,0),MATCH(GC$4,'Curva Forward'!$C$4:$AN$4,0))),DE112)</f>
        <v>0</v>
      </c>
      <c r="GD112" s="190">
        <f>AR112*AR$2*IF($FC112="V",1,-1)*IF($Q112="Fixo",(DF112-INDEX('Curva Forward'!$C$5:$AN$13,MATCH(CONCATENATE(BD_COMERCIAL!$K112," ",BD_COMERCIAL!$L112),'Curva Forward'!$B$5:$B$13,0),MATCH(GD$4,'Curva Forward'!$C$4:$AN$4,0))),DF112)</f>
        <v>0</v>
      </c>
      <c r="GE112" s="190">
        <f>AS112*AS$2*IF($FC112="V",1,-1)*IF($Q112="Fixo",(DG112-INDEX('Curva Forward'!$C$5:$AN$13,MATCH(CONCATENATE(BD_COMERCIAL!$K112," ",BD_COMERCIAL!$L112),'Curva Forward'!$B$5:$B$13,0),MATCH(GE$4,'Curva Forward'!$C$4:$AN$4,0))),DG112)</f>
        <v>0</v>
      </c>
      <c r="GF112" s="190">
        <f>AT112*AT$2*IF($FC112="V",1,-1)*IF($Q112="Fixo",(DH112-INDEX('Curva Forward'!$C$5:$AN$13,MATCH(CONCATENATE(BD_COMERCIAL!$K112," ",BD_COMERCIAL!$L112),'Curva Forward'!$B$5:$B$13,0),MATCH(GF$4,'Curva Forward'!$C$4:$AN$4,0))),DH112)</f>
        <v>0</v>
      </c>
      <c r="GG112" s="190">
        <f>AU112*AU$2*IF($FC112="V",1,-1)*IF($Q112="Fixo",(DI112-INDEX('Curva Forward'!$C$5:$AN$13,MATCH(CONCATENATE(BD_COMERCIAL!$K112," ",BD_COMERCIAL!$L112),'Curva Forward'!$B$5:$B$13,0),MATCH(GG$4,'Curva Forward'!$C$4:$AN$4,0))),DI112)</f>
        <v>0</v>
      </c>
      <c r="GH112" s="190">
        <f>AV112*AV$2*IF($FC112="V",1,-1)*IF($Q112="Fixo",(DJ112-INDEX('Curva Forward'!$C$5:$AN$13,MATCH(CONCATENATE(BD_COMERCIAL!$K112," ",BD_COMERCIAL!$L112),'Curva Forward'!$B$5:$B$13,0),MATCH(GH$4,'Curva Forward'!$C$4:$AN$4,0))),DJ112)</f>
        <v>0</v>
      </c>
      <c r="GI112" s="190">
        <f>AW112*AW$2*IF($FC112="V",1,-1)*IF($Q112="Fixo",(DK112-INDEX('Curva Forward'!$C$5:$AN$13,MATCH(CONCATENATE(BD_COMERCIAL!$K112," ",BD_COMERCIAL!$L112),'Curva Forward'!$B$5:$B$13,0),MATCH(GI$4,'Curva Forward'!$C$4:$AN$4,0))),DK112)</f>
        <v>0</v>
      </c>
      <c r="GJ112" s="190">
        <f>AX112*AX$2*IF($FC112="V",1,-1)*IF($Q112="Fixo",(DL112-INDEX('Curva Forward'!$C$5:$AN$13,MATCH(CONCATENATE(BD_COMERCIAL!$K112," ",BD_COMERCIAL!$L112),'Curva Forward'!$B$5:$B$13,0),MATCH(GJ$4,'Curva Forward'!$C$4:$AN$4,0))),DL112)</f>
        <v>0</v>
      </c>
      <c r="GK112" s="190">
        <f>AY112*AY$2*IF($FC112="V",1,-1)*IF($Q112="Fixo",(DM112-INDEX('Curva Forward'!$C$5:$AN$13,MATCH(CONCATENATE(BD_COMERCIAL!$K112," ",BD_COMERCIAL!$L112),'Curva Forward'!$B$5:$B$13,0),MATCH(GK$4,'Curva Forward'!$C$4:$AN$4,0))),DM112)</f>
        <v>0</v>
      </c>
      <c r="GL112" s="190">
        <f>IF(EZ112="",0,CL112*CL$2*IF($FC112="V",1,-1)*IF($Q112="Fixo",(EZ112-INDEX('Curva Forward'!$C$5:$AN$13,MATCH(CONCATENATE(BD_COMERCIAL!$K112," ",BD_COMERCIAL!$L112),'Curva Forward'!$B$5:$B$13,0),MATCH(GL$4,'Curva Forward'!$C$4:$AN$4,0))),EZ112))</f>
        <v>0</v>
      </c>
      <c r="GM112" s="190">
        <f>IF(FA112="",0,CM112*CM$2*IF($FC112="V",1,-1)*IF($Q112="Fixo",(FA112-INDEX('Curva Forward'!$C$5:$AN$13,MATCH(CONCATENATE(BD_COMERCIAL!$K112," ",BD_COMERCIAL!$L112),'Curva Forward'!$B$5:$B$13,0),MATCH(GM$4,'Curva Forward'!$C$4:$AN$4,0))),FA112))</f>
        <v>0</v>
      </c>
      <c r="GN112" s="190">
        <f>IF(FB112="",0,CN112*CN$2*IF($FC112="V",1,-1)*IF($Q112="Fixo",(FB112-INDEX('Curva Forward'!$C$5:$AN$13,MATCH(CONCATENATE(BD_COMERCIAL!$K112," ",BD_COMERCIAL!$L112),'Curva Forward'!$B$5:$B$13,0),MATCH(GN$4,'Curva Forward'!$C$4:$AN$4,0))),FB112))</f>
        <v>0</v>
      </c>
      <c r="GO112" s="191">
        <f t="shared" ca="1" si="18"/>
        <v>111600</v>
      </c>
      <c r="GP112" s="191">
        <f t="shared" ca="1" si="19"/>
        <v>0</v>
      </c>
      <c r="GQ112" s="115"/>
      <c r="GR112" s="115"/>
      <c r="GS112"/>
      <c r="GT112" s="65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</row>
    <row r="113" spans="1:236" s="265" customFormat="1" ht="15" customHeight="1" x14ac:dyDescent="0.35">
      <c r="A113" s="251"/>
      <c r="B113" s="7" t="s">
        <v>482</v>
      </c>
      <c r="C113" s="8">
        <v>44901</v>
      </c>
      <c r="D113" s="9" t="s">
        <v>130</v>
      </c>
      <c r="E113" s="9" t="s">
        <v>192</v>
      </c>
      <c r="F113" s="112" t="s">
        <v>378</v>
      </c>
      <c r="G113" s="10" t="s">
        <v>381</v>
      </c>
      <c r="H113" s="112" t="s">
        <v>348</v>
      </c>
      <c r="I113" s="9" t="s">
        <v>137</v>
      </c>
      <c r="J113" s="158"/>
      <c r="K113" s="10" t="s">
        <v>126</v>
      </c>
      <c r="L113" s="84" t="s">
        <v>22</v>
      </c>
      <c r="M113" s="11">
        <v>45292</v>
      </c>
      <c r="N113" s="12">
        <v>45657</v>
      </c>
      <c r="O113" s="10">
        <v>3</v>
      </c>
      <c r="P113" s="84">
        <v>120</v>
      </c>
      <c r="Q113" s="84" t="s">
        <v>127</v>
      </c>
      <c r="R113" s="10" t="s">
        <v>128</v>
      </c>
      <c r="S113" s="14" t="s">
        <v>133</v>
      </c>
      <c r="T113" s="11" t="s">
        <v>129</v>
      </c>
      <c r="U113" s="12">
        <v>44901</v>
      </c>
      <c r="V113" s="202" t="e">
        <f ca="1">IF(U113="","",
IF(U113="NA","",
IFERROR(VLOOKUP(EOMONTH(M113,-2)+1,IPCA!$A:$B,2,0),
VLOOKUP(EOMONTH(TODAY(),-2)+1,IPCA!$A:$B,2,0))/
VLOOKUP(EOMONTH(U113,-2)+1,IPCA!$A:$B,2,0)*
P113))</f>
        <v>#N/A</v>
      </c>
      <c r="W113" s="84"/>
      <c r="X113" s="13" t="s">
        <v>132</v>
      </c>
      <c r="Y113" s="158"/>
      <c r="Z113" s="106"/>
      <c r="AA113" s="107"/>
      <c r="AB113" s="15"/>
      <c r="AC113"/>
      <c r="AD113"/>
      <c r="AE113"/>
      <c r="AF113"/>
      <c r="AG113"/>
      <c r="AH113"/>
      <c r="AI113"/>
      <c r="AJ113"/>
      <c r="AK113"/>
      <c r="AL113"/>
      <c r="AM113" s="6"/>
      <c r="AN113" s="15">
        <v>3</v>
      </c>
      <c r="AO113">
        <v>3</v>
      </c>
      <c r="AP113">
        <v>3</v>
      </c>
      <c r="AQ113">
        <v>3</v>
      </c>
      <c r="AR113">
        <v>3</v>
      </c>
      <c r="AS113">
        <v>3</v>
      </c>
      <c r="AT113">
        <v>3</v>
      </c>
      <c r="AU113">
        <v>3</v>
      </c>
      <c r="AV113">
        <v>3</v>
      </c>
      <c r="AW113">
        <v>3</v>
      </c>
      <c r="AX113">
        <v>3</v>
      </c>
      <c r="AY113" s="6">
        <v>3</v>
      </c>
      <c r="AZ113" s="15"/>
      <c r="BA113"/>
      <c r="BB113"/>
      <c r="BC113"/>
      <c r="BD113"/>
      <c r="BE113"/>
      <c r="BF113"/>
      <c r="BG113"/>
      <c r="BH113"/>
      <c r="BI113"/>
      <c r="BJ113"/>
      <c r="BK113" s="6"/>
      <c r="BL113" s="15"/>
      <c r="BM113"/>
      <c r="BN113"/>
      <c r="BO113"/>
      <c r="BP113"/>
      <c r="BQ113"/>
      <c r="BR113"/>
      <c r="BS113"/>
      <c r="BT113"/>
      <c r="BU113"/>
      <c r="BV113"/>
      <c r="BW113" s="6"/>
      <c r="BX113" s="15"/>
      <c r="BY113"/>
      <c r="BZ113"/>
      <c r="CA113"/>
      <c r="CB113"/>
      <c r="CC113"/>
      <c r="CD113"/>
      <c r="CE113"/>
      <c r="CF113"/>
      <c r="CG113"/>
      <c r="CH113"/>
      <c r="CI113" s="6"/>
      <c r="CJ113" s="16" t="s">
        <v>578</v>
      </c>
      <c r="CK113" s="16">
        <v>3</v>
      </c>
      <c r="CL113" s="16" t="s">
        <v>578</v>
      </c>
      <c r="CM113" s="16" t="s">
        <v>578</v>
      </c>
      <c r="CN113" s="16" t="s">
        <v>578</v>
      </c>
      <c r="CO113" s="18"/>
      <c r="CP113" s="15"/>
      <c r="CQ113"/>
      <c r="CR113"/>
      <c r="CS113"/>
      <c r="CT113"/>
      <c r="CU113"/>
      <c r="CV113"/>
      <c r="CW113"/>
      <c r="CX113"/>
      <c r="CY113"/>
      <c r="CZ113"/>
      <c r="DA113" s="6"/>
      <c r="DB113" s="15">
        <v>120</v>
      </c>
      <c r="DC113">
        <v>120</v>
      </c>
      <c r="DD113">
        <v>120</v>
      </c>
      <c r="DE113">
        <v>120</v>
      </c>
      <c r="DF113">
        <v>120</v>
      </c>
      <c r="DG113">
        <v>120</v>
      </c>
      <c r="DH113">
        <v>120</v>
      </c>
      <c r="DI113">
        <v>120</v>
      </c>
      <c r="DJ113">
        <v>120</v>
      </c>
      <c r="DK113">
        <v>120</v>
      </c>
      <c r="DL113">
        <v>120</v>
      </c>
      <c r="DM113" s="6">
        <v>120</v>
      </c>
      <c r="DN113" s="15"/>
      <c r="DO113"/>
      <c r="DP113"/>
      <c r="DQ113"/>
      <c r="DR113"/>
      <c r="DS113"/>
      <c r="DT113"/>
      <c r="DU113"/>
      <c r="DV113"/>
      <c r="DW113"/>
      <c r="DX113"/>
      <c r="DY113" s="6"/>
      <c r="DZ113" s="15"/>
      <c r="EA113"/>
      <c r="EB113"/>
      <c r="EC113"/>
      <c r="ED113"/>
      <c r="EE113"/>
      <c r="EF113"/>
      <c r="EG113"/>
      <c r="EH113"/>
      <c r="EI113"/>
      <c r="EJ113"/>
      <c r="EK113" s="6"/>
      <c r="EL113" s="15"/>
      <c r="EM113"/>
      <c r="EN113"/>
      <c r="EO113"/>
      <c r="EP113"/>
      <c r="EQ113"/>
      <c r="ER113"/>
      <c r="ES113"/>
      <c r="ET113"/>
      <c r="EU113"/>
      <c r="EV113"/>
      <c r="EW113" s="6"/>
      <c r="EX113" s="16" t="s">
        <v>578</v>
      </c>
      <c r="EY113" s="16">
        <v>120</v>
      </c>
      <c r="EZ113" s="16" t="s">
        <v>578</v>
      </c>
      <c r="FA113" s="154" t="s">
        <v>578</v>
      </c>
      <c r="FB113" s="154" t="s">
        <v>578</v>
      </c>
      <c r="FC113" t="s">
        <v>196</v>
      </c>
      <c r="FD113" s="20" t="s">
        <v>137</v>
      </c>
      <c r="FE113"/>
      <c r="FF113" s="199" t="s">
        <v>197</v>
      </c>
      <c r="FG113"/>
      <c r="FH113" s="206" t="e">
        <f t="shared" ca="1" si="13"/>
        <v>#N/A</v>
      </c>
      <c r="FI113" s="198">
        <f t="shared" si="14"/>
        <v>12.166666666666666</v>
      </c>
      <c r="FJ113"/>
      <c r="FK113" t="str">
        <f t="shared" si="15"/>
        <v>Nova Energia Comercializadora S.A.</v>
      </c>
      <c r="FL113" s="191">
        <f t="shared" ca="1" si="16"/>
        <v>0</v>
      </c>
      <c r="FM113" s="191">
        <f t="shared" ca="1" si="17"/>
        <v>-934848</v>
      </c>
      <c r="FN113" s="190">
        <f>AB113*AB$2*IF($FC113="V",1,-1)*IF($Q113="Fixo",(CP113-INDEX('Curva Forward'!$C$5:$AN$13,MATCH(CONCATENATE(BD_COMERCIAL!$K113," ",BD_COMERCIAL!$L113),'Curva Forward'!$B$5:$B$13,0),MATCH(FN$4,'Curva Forward'!$C$4:$AN$4,0))),CP113)</f>
        <v>0</v>
      </c>
      <c r="FO113" s="190">
        <f>AC113*AC$2*IF($FC113="V",1,-1)*IF($Q113="Fixo",(CQ113-INDEX('Curva Forward'!$C$5:$AN$13,MATCH(CONCATENATE(BD_COMERCIAL!$K113," ",BD_COMERCIAL!$L113),'Curva Forward'!$B$5:$B$13,0),MATCH(FO$4,'Curva Forward'!$C$4:$AN$4,0))),CQ113)</f>
        <v>0</v>
      </c>
      <c r="FP113" s="190">
        <f>AD113*AD$2*IF($FC113="V",1,-1)*IF($Q113="Fixo",(CR113-INDEX('Curva Forward'!$C$5:$AN$13,MATCH(CONCATENATE(BD_COMERCIAL!$K113," ",BD_COMERCIAL!$L113),'Curva Forward'!$B$5:$B$13,0),MATCH(FP$4,'Curva Forward'!$C$4:$AN$4,0))),CR113)</f>
        <v>0</v>
      </c>
      <c r="FQ113" s="190">
        <f>AE113*AE$2*IF($FC113="V",1,-1)*IF($Q113="Fixo",(CS113-INDEX('Curva Forward'!$C$5:$AN$13,MATCH(CONCATENATE(BD_COMERCIAL!$K113," ",BD_COMERCIAL!$L113),'Curva Forward'!$B$5:$B$13,0),MATCH(FQ$4,'Curva Forward'!$C$4:$AN$4,0))),CS113)</f>
        <v>0</v>
      </c>
      <c r="FR113" s="190">
        <f>AF113*AF$2*IF($FC113="V",1,-1)*IF($Q113="Fixo",(CT113-INDEX('Curva Forward'!$C$5:$AN$13,MATCH(CONCATENATE(BD_COMERCIAL!$K113," ",BD_COMERCIAL!$L113),'Curva Forward'!$B$5:$B$13,0),MATCH(FR$4,'Curva Forward'!$C$4:$AN$4,0))),CT113)</f>
        <v>0</v>
      </c>
      <c r="FS113" s="190">
        <f>AG113*AG$2*IF($FC113="V",1,-1)*IF($Q113="Fixo",(CU113-INDEX('Curva Forward'!$C$5:$AN$13,MATCH(CONCATENATE(BD_COMERCIAL!$K113," ",BD_COMERCIAL!$L113),'Curva Forward'!$B$5:$B$13,0),MATCH(FS$4,'Curva Forward'!$C$4:$AN$4,0))),CU113)</f>
        <v>0</v>
      </c>
      <c r="FT113" s="190">
        <f>AH113*AH$2*IF($FC113="V",1,-1)*IF($Q113="Fixo",(CV113-INDEX('Curva Forward'!$C$5:$AN$13,MATCH(CONCATENATE(BD_COMERCIAL!$K113," ",BD_COMERCIAL!$L113),'Curva Forward'!$B$5:$B$13,0),MATCH(FT$4,'Curva Forward'!$C$4:$AN$4,0))),CV113)</f>
        <v>0</v>
      </c>
      <c r="FU113" s="190">
        <f>AI113*AI$2*IF($FC113="V",1,-1)*IF($Q113="Fixo",(CW113-INDEX('Curva Forward'!$C$5:$AN$13,MATCH(CONCATENATE(BD_COMERCIAL!$K113," ",BD_COMERCIAL!$L113),'Curva Forward'!$B$5:$B$13,0),MATCH(FU$4,'Curva Forward'!$C$4:$AN$4,0))),CW113)</f>
        <v>0</v>
      </c>
      <c r="FV113" s="190">
        <f>AJ113*AJ$2*IF($FC113="V",1,-1)*IF($Q113="Fixo",(CX113-INDEX('Curva Forward'!$C$5:$AN$13,MATCH(CONCATENATE(BD_COMERCIAL!$K113," ",BD_COMERCIAL!$L113),'Curva Forward'!$B$5:$B$13,0),MATCH(FV$4,'Curva Forward'!$C$4:$AN$4,0))),CX113)</f>
        <v>0</v>
      </c>
      <c r="FW113" s="190">
        <f>AK113*AK$2*IF($FC113="V",1,-1)*IF($Q113="Fixo",(CY113-INDEX('Curva Forward'!$C$5:$AN$13,MATCH(CONCATENATE(BD_COMERCIAL!$K113," ",BD_COMERCIAL!$L113),'Curva Forward'!$B$5:$B$13,0),MATCH(FW$4,'Curva Forward'!$C$4:$AN$4,0))),CY113)</f>
        <v>0</v>
      </c>
      <c r="FX113" s="190">
        <f>AL113*AL$2*IF($FC113="V",1,-1)*IF($Q113="Fixo",(CZ113-INDEX('Curva Forward'!$C$5:$AN$13,MATCH(CONCATENATE(BD_COMERCIAL!$K113," ",BD_COMERCIAL!$L113),'Curva Forward'!$B$5:$B$13,0),MATCH(FX$4,'Curva Forward'!$C$4:$AN$4,0))),CZ113)</f>
        <v>0</v>
      </c>
      <c r="FY113" s="190">
        <f>AM113*AM$2*IF($FC113="V",1,-1)*IF($Q113="Fixo",(DA113-INDEX('Curva Forward'!$C$5:$AN$13,MATCH(CONCATENATE(BD_COMERCIAL!$K113," ",BD_COMERCIAL!$L113),'Curva Forward'!$B$5:$B$13,0),MATCH(FY$4,'Curva Forward'!$C$4:$AN$4,0))),DA113)</f>
        <v>0</v>
      </c>
      <c r="FZ113" s="190">
        <f>AN113*AN$2*IF($FC113="V",1,-1)*IF($Q113="Fixo",(DB113-INDEX('Curva Forward'!$C$5:$AN$13,MATCH(CONCATENATE(BD_COMERCIAL!$K113," ",BD_COMERCIAL!$L113),'Curva Forward'!$B$5:$B$13,0),MATCH(FZ$4,'Curva Forward'!$C$4:$AN$4,0))),DB113)</f>
        <v>-89280</v>
      </c>
      <c r="GA113" s="190">
        <f>AO113*AO$2*IF($FC113="V",1,-1)*IF($Q113="Fixo",(DC113-INDEX('Curva Forward'!$C$5:$AN$13,MATCH(CONCATENATE(BD_COMERCIAL!$K113," ",BD_COMERCIAL!$L113),'Curva Forward'!$B$5:$B$13,0),MATCH(GA$4,'Curva Forward'!$C$4:$AN$4,0))),DC113)</f>
        <v>-83520</v>
      </c>
      <c r="GB113" s="190">
        <f>AP113*AP$2*IF($FC113="V",1,-1)*IF($Q113="Fixo",(DD113-INDEX('Curva Forward'!$C$5:$AN$13,MATCH(CONCATENATE(BD_COMERCIAL!$K113," ",BD_COMERCIAL!$L113),'Curva Forward'!$B$5:$B$13,0),MATCH(GB$4,'Curva Forward'!$C$4:$AN$4,0))),DD113)</f>
        <v>-89280</v>
      </c>
      <c r="GC113" s="190">
        <f>AQ113*AQ$2*IF($FC113="V",1,-1)*IF($Q113="Fixo",(DE113-INDEX('Curva Forward'!$C$5:$AN$13,MATCH(CONCATENATE(BD_COMERCIAL!$K113," ",BD_COMERCIAL!$L113),'Curva Forward'!$B$5:$B$13,0),MATCH(GC$4,'Curva Forward'!$C$4:$AN$4,0))),DE113)</f>
        <v>-86400</v>
      </c>
      <c r="GD113" s="190">
        <f>AR113*AR$2*IF($FC113="V",1,-1)*IF($Q113="Fixo",(DF113-INDEX('Curva Forward'!$C$5:$AN$13,MATCH(CONCATENATE(BD_COMERCIAL!$K113," ",BD_COMERCIAL!$L113),'Curva Forward'!$B$5:$B$13,0),MATCH(GD$4,'Curva Forward'!$C$4:$AN$4,0))),DF113)</f>
        <v>-89280</v>
      </c>
      <c r="GE113" s="190">
        <f>AS113*AS$2*IF($FC113="V",1,-1)*IF($Q113="Fixo",(DG113-INDEX('Curva Forward'!$C$5:$AN$13,MATCH(CONCATENATE(BD_COMERCIAL!$K113," ",BD_COMERCIAL!$L113),'Curva Forward'!$B$5:$B$13,0),MATCH(GE$4,'Curva Forward'!$C$4:$AN$4,0))),DG113)</f>
        <v>-86400</v>
      </c>
      <c r="GF113" s="190">
        <f>AT113*AT$2*IF($FC113="V",1,-1)*IF($Q113="Fixo",(DH113-INDEX('Curva Forward'!$C$5:$AN$13,MATCH(CONCATENATE(BD_COMERCIAL!$K113," ",BD_COMERCIAL!$L113),'Curva Forward'!$B$5:$B$13,0),MATCH(GF$4,'Curva Forward'!$C$4:$AN$4,0))),DH113)</f>
        <v>-69192</v>
      </c>
      <c r="GG113" s="190">
        <f>AU113*AU$2*IF($FC113="V",1,-1)*IF($Q113="Fixo",(DI113-INDEX('Curva Forward'!$C$5:$AN$13,MATCH(CONCATENATE(BD_COMERCIAL!$K113," ",BD_COMERCIAL!$L113),'Curva Forward'!$B$5:$B$13,0),MATCH(GG$4,'Curva Forward'!$C$4:$AN$4,0))),DI113)</f>
        <v>-69192</v>
      </c>
      <c r="GH113" s="190">
        <f>AV113*AV$2*IF($FC113="V",1,-1)*IF($Q113="Fixo",(DJ113-INDEX('Curva Forward'!$C$5:$AN$13,MATCH(CONCATENATE(BD_COMERCIAL!$K113," ",BD_COMERCIAL!$L113),'Curva Forward'!$B$5:$B$13,0),MATCH(GH$4,'Curva Forward'!$C$4:$AN$4,0))),DJ113)</f>
        <v>-66960</v>
      </c>
      <c r="GI113" s="190">
        <f>AW113*AW$2*IF($FC113="V",1,-1)*IF($Q113="Fixo",(DK113-INDEX('Curva Forward'!$C$5:$AN$13,MATCH(CONCATENATE(BD_COMERCIAL!$K113," ",BD_COMERCIAL!$L113),'Curva Forward'!$B$5:$B$13,0),MATCH(GI$4,'Curva Forward'!$C$4:$AN$4,0))),DK113)</f>
        <v>-69192</v>
      </c>
      <c r="GJ113" s="190">
        <f>AX113*AX$2*IF($FC113="V",1,-1)*IF($Q113="Fixo",(DL113-INDEX('Curva Forward'!$C$5:$AN$13,MATCH(CONCATENATE(BD_COMERCIAL!$K113," ",BD_COMERCIAL!$L113),'Curva Forward'!$B$5:$B$13,0),MATCH(GJ$4,'Curva Forward'!$C$4:$AN$4,0))),DL113)</f>
        <v>-66960</v>
      </c>
      <c r="GK113" s="190">
        <f>AY113*AY$2*IF($FC113="V",1,-1)*IF($Q113="Fixo",(DM113-INDEX('Curva Forward'!$C$5:$AN$13,MATCH(CONCATENATE(BD_COMERCIAL!$K113," ",BD_COMERCIAL!$L113),'Curva Forward'!$B$5:$B$13,0),MATCH(GK$4,'Curva Forward'!$C$4:$AN$4,0))),DM113)</f>
        <v>-69192</v>
      </c>
      <c r="GL113" s="190">
        <f>IF(EZ113="",0,CL113*CL$2*IF($FC113="V",1,-1)*IF($Q113="Fixo",(EZ113-INDEX('Curva Forward'!$C$5:$AN$13,MATCH(CONCATENATE(BD_COMERCIAL!$K113," ",BD_COMERCIAL!$L113),'Curva Forward'!$B$5:$B$13,0),MATCH(GL$4,'Curva Forward'!$C$4:$AN$4,0))),EZ113))</f>
        <v>0</v>
      </c>
      <c r="GM113" s="190">
        <f>IF(FA113="",0,CM113*CM$2*IF($FC113="V",1,-1)*IF($Q113="Fixo",(FA113-INDEX('Curva Forward'!$C$5:$AN$13,MATCH(CONCATENATE(BD_COMERCIAL!$K113," ",BD_COMERCIAL!$L113),'Curva Forward'!$B$5:$B$13,0),MATCH(GM$4,'Curva Forward'!$C$4:$AN$4,0))),FA113))</f>
        <v>0</v>
      </c>
      <c r="GN113" s="190">
        <f>IF(FB113="",0,CN113*CN$2*IF($FC113="V",1,-1)*IF($Q113="Fixo",(FB113-INDEX('Curva Forward'!$C$5:$AN$13,MATCH(CONCATENATE(BD_COMERCIAL!$K113," ",BD_COMERCIAL!$L113),'Curva Forward'!$B$5:$B$13,0),MATCH(GN$4,'Curva Forward'!$C$4:$AN$4,0))),FB113))</f>
        <v>0</v>
      </c>
      <c r="GO113" s="191">
        <f t="shared" ca="1" si="18"/>
        <v>0</v>
      </c>
      <c r="GP113" s="191">
        <f t="shared" ca="1" si="19"/>
        <v>-934848</v>
      </c>
      <c r="GQ113" s="115"/>
      <c r="GR113" s="115"/>
      <c r="GS113"/>
      <c r="GT113" s="65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</row>
    <row r="114" spans="1:236" s="265" customFormat="1" ht="15" customHeight="1" x14ac:dyDescent="0.35">
      <c r="A114" s="251"/>
      <c r="B114" s="7">
        <v>27909</v>
      </c>
      <c r="C114" s="8">
        <v>44903</v>
      </c>
      <c r="D114" s="9" t="s">
        <v>123</v>
      </c>
      <c r="E114" s="9" t="s">
        <v>381</v>
      </c>
      <c r="F114" s="112" t="s">
        <v>348</v>
      </c>
      <c r="G114" s="10" t="s">
        <v>182</v>
      </c>
      <c r="H114" s="112" t="s">
        <v>415</v>
      </c>
      <c r="I114" s="9" t="s">
        <v>125</v>
      </c>
      <c r="J114" s="158" t="s">
        <v>483</v>
      </c>
      <c r="K114" s="10" t="s">
        <v>126</v>
      </c>
      <c r="L114" s="84" t="s">
        <v>25</v>
      </c>
      <c r="M114" s="11">
        <v>45658</v>
      </c>
      <c r="N114" s="12">
        <v>46022</v>
      </c>
      <c r="O114" s="10">
        <v>35</v>
      </c>
      <c r="P114" s="84">
        <v>130</v>
      </c>
      <c r="Q114" s="84" t="s">
        <v>127</v>
      </c>
      <c r="R114" s="10" t="s">
        <v>128</v>
      </c>
      <c r="S114" s="14" t="s">
        <v>133</v>
      </c>
      <c r="T114" s="11" t="s">
        <v>129</v>
      </c>
      <c r="U114" s="12">
        <v>44896</v>
      </c>
      <c r="V114" s="202" t="e">
        <f ca="1">IF(U114="","",
IF(U114="NA","",
IFERROR(VLOOKUP(EOMONTH(M114,-2)+1,IPCA!$A:$B,2,0),
VLOOKUP(EOMONTH(TODAY(),-2)+1,IPCA!$A:$B,2,0))/
VLOOKUP(EOMONTH(U114,-2)+1,IPCA!$A:$B,2,0)*
P114))</f>
        <v>#N/A</v>
      </c>
      <c r="W114" s="84"/>
      <c r="X114" s="13"/>
      <c r="Y114" s="158" t="s">
        <v>7</v>
      </c>
      <c r="Z114" s="106"/>
      <c r="AA114" s="107"/>
      <c r="AB114" s="15"/>
      <c r="AC114"/>
      <c r="AD114"/>
      <c r="AE114"/>
      <c r="AF114"/>
      <c r="AG114"/>
      <c r="AH114"/>
      <c r="AI114"/>
      <c r="AJ114"/>
      <c r="AK114"/>
      <c r="AL114"/>
      <c r="AM114" s="6"/>
      <c r="AN114" s="15"/>
      <c r="AO114"/>
      <c r="AP114"/>
      <c r="AQ114"/>
      <c r="AR114"/>
      <c r="AS114"/>
      <c r="AT114"/>
      <c r="AU114"/>
      <c r="AV114"/>
      <c r="AW114"/>
      <c r="AX114"/>
      <c r="AY114" s="6"/>
      <c r="AZ114" s="15">
        <v>35</v>
      </c>
      <c r="BA114">
        <v>35</v>
      </c>
      <c r="BB114">
        <v>35</v>
      </c>
      <c r="BC114">
        <v>35</v>
      </c>
      <c r="BD114">
        <v>35</v>
      </c>
      <c r="BE114">
        <v>35</v>
      </c>
      <c r="BF114">
        <v>35</v>
      </c>
      <c r="BG114">
        <v>35</v>
      </c>
      <c r="BH114">
        <v>35</v>
      </c>
      <c r="BI114">
        <v>35</v>
      </c>
      <c r="BJ114">
        <v>35</v>
      </c>
      <c r="BK114" s="6">
        <v>35</v>
      </c>
      <c r="BL114" s="15">
        <v>35</v>
      </c>
      <c r="BM114">
        <v>35</v>
      </c>
      <c r="BN114">
        <v>35</v>
      </c>
      <c r="BO114">
        <v>35</v>
      </c>
      <c r="BP114">
        <v>35</v>
      </c>
      <c r="BQ114">
        <v>35</v>
      </c>
      <c r="BR114">
        <v>35</v>
      </c>
      <c r="BS114">
        <v>35</v>
      </c>
      <c r="BT114">
        <v>35</v>
      </c>
      <c r="BU114">
        <v>35</v>
      </c>
      <c r="BV114">
        <v>35</v>
      </c>
      <c r="BW114" s="6">
        <v>35</v>
      </c>
      <c r="BX114" s="15"/>
      <c r="BY114"/>
      <c r="BZ114"/>
      <c r="CA114"/>
      <c r="CB114"/>
      <c r="CC114"/>
      <c r="CD114"/>
      <c r="CE114"/>
      <c r="CF114"/>
      <c r="CG114"/>
      <c r="CH114"/>
      <c r="CI114" s="6"/>
      <c r="CJ114" s="16" t="s">
        <v>578</v>
      </c>
      <c r="CK114" s="16" t="s">
        <v>578</v>
      </c>
      <c r="CL114" s="16">
        <v>35</v>
      </c>
      <c r="CM114" s="16">
        <v>35</v>
      </c>
      <c r="CN114" s="16" t="s">
        <v>578</v>
      </c>
      <c r="CO114" s="18"/>
      <c r="CP114" s="15"/>
      <c r="CQ114"/>
      <c r="CR114"/>
      <c r="CS114"/>
      <c r="CT114"/>
      <c r="CU114"/>
      <c r="CV114"/>
      <c r="CW114"/>
      <c r="CX114"/>
      <c r="CY114"/>
      <c r="CZ114"/>
      <c r="DA114" s="6"/>
      <c r="DB114" s="15"/>
      <c r="DC114"/>
      <c r="DD114"/>
      <c r="DE114"/>
      <c r="DF114"/>
      <c r="DG114"/>
      <c r="DH114"/>
      <c r="DI114"/>
      <c r="DJ114"/>
      <c r="DK114"/>
      <c r="DL114"/>
      <c r="DM114" s="6"/>
      <c r="DN114" s="15">
        <v>130</v>
      </c>
      <c r="DO114">
        <v>130</v>
      </c>
      <c r="DP114">
        <v>130</v>
      </c>
      <c r="DQ114">
        <v>130</v>
      </c>
      <c r="DR114">
        <v>130</v>
      </c>
      <c r="DS114">
        <v>130</v>
      </c>
      <c r="DT114">
        <v>130</v>
      </c>
      <c r="DU114">
        <v>130</v>
      </c>
      <c r="DV114">
        <v>130</v>
      </c>
      <c r="DW114">
        <v>130</v>
      </c>
      <c r="DX114">
        <v>130</v>
      </c>
      <c r="DY114" s="6">
        <v>130</v>
      </c>
      <c r="DZ114" s="15">
        <v>130</v>
      </c>
      <c r="EA114">
        <v>130</v>
      </c>
      <c r="EB114">
        <v>130</v>
      </c>
      <c r="EC114">
        <v>130</v>
      </c>
      <c r="ED114">
        <v>130</v>
      </c>
      <c r="EE114">
        <v>130</v>
      </c>
      <c r="EF114">
        <v>130</v>
      </c>
      <c r="EG114">
        <v>130</v>
      </c>
      <c r="EH114">
        <v>130</v>
      </c>
      <c r="EI114">
        <v>130</v>
      </c>
      <c r="EJ114">
        <v>130</v>
      </c>
      <c r="EK114" s="6">
        <v>130</v>
      </c>
      <c r="EL114" s="15"/>
      <c r="EM114"/>
      <c r="EN114"/>
      <c r="EO114"/>
      <c r="EP114"/>
      <c r="EQ114"/>
      <c r="ER114"/>
      <c r="ES114"/>
      <c r="ET114"/>
      <c r="EU114"/>
      <c r="EV114"/>
      <c r="EW114" s="6"/>
      <c r="EX114" s="16" t="s">
        <v>578</v>
      </c>
      <c r="EY114" s="16" t="s">
        <v>578</v>
      </c>
      <c r="EZ114" s="16">
        <v>130</v>
      </c>
      <c r="FA114" s="154" t="s">
        <v>578</v>
      </c>
      <c r="FB114" s="154" t="s">
        <v>578</v>
      </c>
      <c r="FC114" t="s">
        <v>195</v>
      </c>
      <c r="FD114" s="20" t="s">
        <v>125</v>
      </c>
      <c r="FE114"/>
      <c r="FF114" s="199" t="s">
        <v>197</v>
      </c>
      <c r="FG114"/>
      <c r="FH114" s="206" t="e">
        <f t="shared" ca="1" si="13"/>
        <v>#N/A</v>
      </c>
      <c r="FI114" s="198">
        <f t="shared" si="14"/>
        <v>12.133333333333333</v>
      </c>
      <c r="FJ114"/>
      <c r="FK114" t="str">
        <f t="shared" si="15"/>
        <v>Norsk Hydro Energia Ltda</v>
      </c>
      <c r="FL114" s="191">
        <f t="shared" ca="1" si="16"/>
        <v>0</v>
      </c>
      <c r="FM114" s="191">
        <f t="shared" ca="1" si="17"/>
        <v>11037600</v>
      </c>
      <c r="FN114" s="190">
        <f>AB114*AB$2*IF($FC114="V",1,-1)*IF($Q114="Fixo",(CP114-INDEX('Curva Forward'!$C$5:$AN$13,MATCH(CONCATENATE(BD_COMERCIAL!$K114," ",BD_COMERCIAL!$L114),'Curva Forward'!$B$5:$B$13,0),MATCH(FN$4,'Curva Forward'!$C$4:$AN$4,0))),CP114)</f>
        <v>0</v>
      </c>
      <c r="FO114" s="190">
        <f>AC114*AC$2*IF($FC114="V",1,-1)*IF($Q114="Fixo",(CQ114-INDEX('Curva Forward'!$C$5:$AN$13,MATCH(CONCATENATE(BD_COMERCIAL!$K114," ",BD_COMERCIAL!$L114),'Curva Forward'!$B$5:$B$13,0),MATCH(FO$4,'Curva Forward'!$C$4:$AN$4,0))),CQ114)</f>
        <v>0</v>
      </c>
      <c r="FP114" s="190">
        <f>AD114*AD$2*IF($FC114="V",1,-1)*IF($Q114="Fixo",(CR114-INDEX('Curva Forward'!$C$5:$AN$13,MATCH(CONCATENATE(BD_COMERCIAL!$K114," ",BD_COMERCIAL!$L114),'Curva Forward'!$B$5:$B$13,0),MATCH(FP$4,'Curva Forward'!$C$4:$AN$4,0))),CR114)</f>
        <v>0</v>
      </c>
      <c r="FQ114" s="190">
        <f>AE114*AE$2*IF($FC114="V",1,-1)*IF($Q114="Fixo",(CS114-INDEX('Curva Forward'!$C$5:$AN$13,MATCH(CONCATENATE(BD_COMERCIAL!$K114," ",BD_COMERCIAL!$L114),'Curva Forward'!$B$5:$B$13,0),MATCH(FQ$4,'Curva Forward'!$C$4:$AN$4,0))),CS114)</f>
        <v>0</v>
      </c>
      <c r="FR114" s="190">
        <f>AF114*AF$2*IF($FC114="V",1,-1)*IF($Q114="Fixo",(CT114-INDEX('Curva Forward'!$C$5:$AN$13,MATCH(CONCATENATE(BD_COMERCIAL!$K114," ",BD_COMERCIAL!$L114),'Curva Forward'!$B$5:$B$13,0),MATCH(FR$4,'Curva Forward'!$C$4:$AN$4,0))),CT114)</f>
        <v>0</v>
      </c>
      <c r="FS114" s="190">
        <f>AG114*AG$2*IF($FC114="V",1,-1)*IF($Q114="Fixo",(CU114-INDEX('Curva Forward'!$C$5:$AN$13,MATCH(CONCATENATE(BD_COMERCIAL!$K114," ",BD_COMERCIAL!$L114),'Curva Forward'!$B$5:$B$13,0),MATCH(FS$4,'Curva Forward'!$C$4:$AN$4,0))),CU114)</f>
        <v>0</v>
      </c>
      <c r="FT114" s="190">
        <f>AH114*AH$2*IF($FC114="V",1,-1)*IF($Q114="Fixo",(CV114-INDEX('Curva Forward'!$C$5:$AN$13,MATCH(CONCATENATE(BD_COMERCIAL!$K114," ",BD_COMERCIAL!$L114),'Curva Forward'!$B$5:$B$13,0),MATCH(FT$4,'Curva Forward'!$C$4:$AN$4,0))),CV114)</f>
        <v>0</v>
      </c>
      <c r="FU114" s="190">
        <f>AI114*AI$2*IF($FC114="V",1,-1)*IF($Q114="Fixo",(CW114-INDEX('Curva Forward'!$C$5:$AN$13,MATCH(CONCATENATE(BD_COMERCIAL!$K114," ",BD_COMERCIAL!$L114),'Curva Forward'!$B$5:$B$13,0),MATCH(FU$4,'Curva Forward'!$C$4:$AN$4,0))),CW114)</f>
        <v>0</v>
      </c>
      <c r="FV114" s="190">
        <f>AJ114*AJ$2*IF($FC114="V",1,-1)*IF($Q114="Fixo",(CX114-INDEX('Curva Forward'!$C$5:$AN$13,MATCH(CONCATENATE(BD_COMERCIAL!$K114," ",BD_COMERCIAL!$L114),'Curva Forward'!$B$5:$B$13,0),MATCH(FV$4,'Curva Forward'!$C$4:$AN$4,0))),CX114)</f>
        <v>0</v>
      </c>
      <c r="FW114" s="190">
        <f>AK114*AK$2*IF($FC114="V",1,-1)*IF($Q114="Fixo",(CY114-INDEX('Curva Forward'!$C$5:$AN$13,MATCH(CONCATENATE(BD_COMERCIAL!$K114," ",BD_COMERCIAL!$L114),'Curva Forward'!$B$5:$B$13,0),MATCH(FW$4,'Curva Forward'!$C$4:$AN$4,0))),CY114)</f>
        <v>0</v>
      </c>
      <c r="FX114" s="190">
        <f>AL114*AL$2*IF($FC114="V",1,-1)*IF($Q114="Fixo",(CZ114-INDEX('Curva Forward'!$C$5:$AN$13,MATCH(CONCATENATE(BD_COMERCIAL!$K114," ",BD_COMERCIAL!$L114),'Curva Forward'!$B$5:$B$13,0),MATCH(FX$4,'Curva Forward'!$C$4:$AN$4,0))),CZ114)</f>
        <v>0</v>
      </c>
      <c r="FY114" s="190">
        <f>AM114*AM$2*IF($FC114="V",1,-1)*IF($Q114="Fixo",(DA114-INDEX('Curva Forward'!$C$5:$AN$13,MATCH(CONCATENATE(BD_COMERCIAL!$K114," ",BD_COMERCIAL!$L114),'Curva Forward'!$B$5:$B$13,0),MATCH(FY$4,'Curva Forward'!$C$4:$AN$4,0))),DA114)</f>
        <v>0</v>
      </c>
      <c r="FZ114" s="190">
        <f>AN114*AN$2*IF($FC114="V",1,-1)*IF($Q114="Fixo",(DB114-INDEX('Curva Forward'!$C$5:$AN$13,MATCH(CONCATENATE(BD_COMERCIAL!$K114," ",BD_COMERCIAL!$L114),'Curva Forward'!$B$5:$B$13,0),MATCH(FZ$4,'Curva Forward'!$C$4:$AN$4,0))),DB114)</f>
        <v>0</v>
      </c>
      <c r="GA114" s="190">
        <f>AO114*AO$2*IF($FC114="V",1,-1)*IF($Q114="Fixo",(DC114-INDEX('Curva Forward'!$C$5:$AN$13,MATCH(CONCATENATE(BD_COMERCIAL!$K114," ",BD_COMERCIAL!$L114),'Curva Forward'!$B$5:$B$13,0),MATCH(GA$4,'Curva Forward'!$C$4:$AN$4,0))),DC114)</f>
        <v>0</v>
      </c>
      <c r="GB114" s="190">
        <f>AP114*AP$2*IF($FC114="V",1,-1)*IF($Q114="Fixo",(DD114-INDEX('Curva Forward'!$C$5:$AN$13,MATCH(CONCATENATE(BD_COMERCIAL!$K114," ",BD_COMERCIAL!$L114),'Curva Forward'!$B$5:$B$13,0),MATCH(GB$4,'Curva Forward'!$C$4:$AN$4,0))),DD114)</f>
        <v>0</v>
      </c>
      <c r="GC114" s="190">
        <f>AQ114*AQ$2*IF($FC114="V",1,-1)*IF($Q114="Fixo",(DE114-INDEX('Curva Forward'!$C$5:$AN$13,MATCH(CONCATENATE(BD_COMERCIAL!$K114," ",BD_COMERCIAL!$L114),'Curva Forward'!$B$5:$B$13,0),MATCH(GC$4,'Curva Forward'!$C$4:$AN$4,0))),DE114)</f>
        <v>0</v>
      </c>
      <c r="GD114" s="190">
        <f>AR114*AR$2*IF($FC114="V",1,-1)*IF($Q114="Fixo",(DF114-INDEX('Curva Forward'!$C$5:$AN$13,MATCH(CONCATENATE(BD_COMERCIAL!$K114," ",BD_COMERCIAL!$L114),'Curva Forward'!$B$5:$B$13,0),MATCH(GD$4,'Curva Forward'!$C$4:$AN$4,0))),DF114)</f>
        <v>0</v>
      </c>
      <c r="GE114" s="190">
        <f>AS114*AS$2*IF($FC114="V",1,-1)*IF($Q114="Fixo",(DG114-INDEX('Curva Forward'!$C$5:$AN$13,MATCH(CONCATENATE(BD_COMERCIAL!$K114," ",BD_COMERCIAL!$L114),'Curva Forward'!$B$5:$B$13,0),MATCH(GE$4,'Curva Forward'!$C$4:$AN$4,0))),DG114)</f>
        <v>0</v>
      </c>
      <c r="GF114" s="190">
        <f>AT114*AT$2*IF($FC114="V",1,-1)*IF($Q114="Fixo",(DH114-INDEX('Curva Forward'!$C$5:$AN$13,MATCH(CONCATENATE(BD_COMERCIAL!$K114," ",BD_COMERCIAL!$L114),'Curva Forward'!$B$5:$B$13,0),MATCH(GF$4,'Curva Forward'!$C$4:$AN$4,0))),DH114)</f>
        <v>0</v>
      </c>
      <c r="GG114" s="190">
        <f>AU114*AU$2*IF($FC114="V",1,-1)*IF($Q114="Fixo",(DI114-INDEX('Curva Forward'!$C$5:$AN$13,MATCH(CONCATENATE(BD_COMERCIAL!$K114," ",BD_COMERCIAL!$L114),'Curva Forward'!$B$5:$B$13,0),MATCH(GG$4,'Curva Forward'!$C$4:$AN$4,0))),DI114)</f>
        <v>0</v>
      </c>
      <c r="GH114" s="190">
        <f>AV114*AV$2*IF($FC114="V",1,-1)*IF($Q114="Fixo",(DJ114-INDEX('Curva Forward'!$C$5:$AN$13,MATCH(CONCATENATE(BD_COMERCIAL!$K114," ",BD_COMERCIAL!$L114),'Curva Forward'!$B$5:$B$13,0),MATCH(GH$4,'Curva Forward'!$C$4:$AN$4,0))),DJ114)</f>
        <v>0</v>
      </c>
      <c r="GI114" s="190">
        <f>AW114*AW$2*IF($FC114="V",1,-1)*IF($Q114="Fixo",(DK114-INDEX('Curva Forward'!$C$5:$AN$13,MATCH(CONCATENATE(BD_COMERCIAL!$K114," ",BD_COMERCIAL!$L114),'Curva Forward'!$B$5:$B$13,0),MATCH(GI$4,'Curva Forward'!$C$4:$AN$4,0))),DK114)</f>
        <v>0</v>
      </c>
      <c r="GJ114" s="190">
        <f>AX114*AX$2*IF($FC114="V",1,-1)*IF($Q114="Fixo",(DL114-INDEX('Curva Forward'!$C$5:$AN$13,MATCH(CONCATENATE(BD_COMERCIAL!$K114," ",BD_COMERCIAL!$L114),'Curva Forward'!$B$5:$B$13,0),MATCH(GJ$4,'Curva Forward'!$C$4:$AN$4,0))),DL114)</f>
        <v>0</v>
      </c>
      <c r="GK114" s="190">
        <f>AY114*AY$2*IF($FC114="V",1,-1)*IF($Q114="Fixo",(DM114-INDEX('Curva Forward'!$C$5:$AN$13,MATCH(CONCATENATE(BD_COMERCIAL!$K114," ",BD_COMERCIAL!$L114),'Curva Forward'!$B$5:$B$13,0),MATCH(GK$4,'Curva Forward'!$C$4:$AN$4,0))),DM114)</f>
        <v>0</v>
      </c>
      <c r="GL114" s="190">
        <f>IF(EZ114="",0,CL114*CL$2*IF($FC114="V",1,-1)*IF($Q114="Fixo",(EZ114-INDEX('Curva Forward'!$C$5:$AN$13,MATCH(CONCATENATE(BD_COMERCIAL!$K114," ",BD_COMERCIAL!$L114),'Curva Forward'!$B$5:$B$13,0),MATCH(GL$4,'Curva Forward'!$C$4:$AN$4,0))),EZ114))</f>
        <v>11037600</v>
      </c>
      <c r="GM114" s="190">
        <f>IF(FA114="",0,CM114*CM$2*IF($FC114="V",1,-1)*IF($Q114="Fixo",(FA114-INDEX('Curva Forward'!$C$5:$AN$13,MATCH(CONCATENATE(BD_COMERCIAL!$K114," ",BD_COMERCIAL!$L114),'Curva Forward'!$B$5:$B$13,0),MATCH(GM$4,'Curva Forward'!$C$4:$AN$4,0))),FA114))</f>
        <v>0</v>
      </c>
      <c r="GN114" s="190">
        <f>IF(FB114="",0,CN114*CN$2*IF($FC114="V",1,-1)*IF($Q114="Fixo",(FB114-INDEX('Curva Forward'!$C$5:$AN$13,MATCH(CONCATENATE(BD_COMERCIAL!$K114," ",BD_COMERCIAL!$L114),'Curva Forward'!$B$5:$B$13,0),MATCH(GN$4,'Curva Forward'!$C$4:$AN$4,0))),FB114))</f>
        <v>0</v>
      </c>
      <c r="GO114" s="191">
        <f t="shared" ca="1" si="18"/>
        <v>11037600</v>
      </c>
      <c r="GP114" s="191">
        <f t="shared" ca="1" si="19"/>
        <v>0</v>
      </c>
      <c r="GQ114" s="115"/>
      <c r="GR114" s="115"/>
      <c r="GS114"/>
      <c r="GT114" s="65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</row>
    <row r="115" spans="1:236" s="265" customFormat="1" ht="15" customHeight="1" x14ac:dyDescent="0.35">
      <c r="A115" s="251"/>
      <c r="B115" s="7" t="s">
        <v>488</v>
      </c>
      <c r="C115" s="8">
        <v>44910</v>
      </c>
      <c r="D115" s="9" t="s">
        <v>123</v>
      </c>
      <c r="E115" s="9" t="s">
        <v>381</v>
      </c>
      <c r="F115" s="112"/>
      <c r="G115" s="10" t="s">
        <v>190</v>
      </c>
      <c r="H115" s="112"/>
      <c r="I115" s="9" t="s">
        <v>137</v>
      </c>
      <c r="J115" s="158"/>
      <c r="K115" s="10" t="s">
        <v>126</v>
      </c>
      <c r="L115" s="84" t="s">
        <v>22</v>
      </c>
      <c r="M115" s="11">
        <v>45108</v>
      </c>
      <c r="N115" s="12">
        <v>45170</v>
      </c>
      <c r="O115" s="10">
        <v>1.5</v>
      </c>
      <c r="P115" s="84">
        <v>91</v>
      </c>
      <c r="Q115" s="84" t="s">
        <v>127</v>
      </c>
      <c r="R115" s="10" t="s">
        <v>128</v>
      </c>
      <c r="S115" s="14" t="s">
        <v>133</v>
      </c>
      <c r="T115" s="11"/>
      <c r="U115" s="12"/>
      <c r="V115" s="202" t="str">
        <f ca="1">IF(U115="","",
IF(U115="NA","",
IFERROR(VLOOKUP(EOMONTH(M115,-2)+1,IPCA!$A:$B,2,0),
VLOOKUP(EOMONTH(TODAY(),-2)+1,IPCA!$A:$B,2,0))/
VLOOKUP(EOMONTH(U115,-2)+1,IPCA!$A:$B,2,0)*
P115))</f>
        <v/>
      </c>
      <c r="W115" s="84"/>
      <c r="X115" s="13" t="s">
        <v>6</v>
      </c>
      <c r="Y115" s="158"/>
      <c r="Z115" s="106"/>
      <c r="AA115" s="107"/>
      <c r="AB115" s="15"/>
      <c r="AC115"/>
      <c r="AD115"/>
      <c r="AE115"/>
      <c r="AF115"/>
      <c r="AG115"/>
      <c r="AH115">
        <v>1.5</v>
      </c>
      <c r="AI115">
        <v>1.5</v>
      </c>
      <c r="AJ115">
        <v>1.5</v>
      </c>
      <c r="AK115"/>
      <c r="AL115"/>
      <c r="AM115" s="6"/>
      <c r="AN115" s="15"/>
      <c r="AO115"/>
      <c r="AP115"/>
      <c r="AQ115"/>
      <c r="AR115"/>
      <c r="AS115"/>
      <c r="AT115"/>
      <c r="AU115"/>
      <c r="AV115"/>
      <c r="AW115"/>
      <c r="AX115"/>
      <c r="AY115" s="6"/>
      <c r="AZ115" s="15"/>
      <c r="BA115"/>
      <c r="BB115"/>
      <c r="BC115"/>
      <c r="BD115"/>
      <c r="BE115"/>
      <c r="BF115"/>
      <c r="BG115"/>
      <c r="BH115"/>
      <c r="BI115"/>
      <c r="BJ115"/>
      <c r="BK115" s="6"/>
      <c r="BL115" s="15"/>
      <c r="BM115"/>
      <c r="BN115"/>
      <c r="BO115"/>
      <c r="BP115"/>
      <c r="BQ115"/>
      <c r="BR115"/>
      <c r="BS115"/>
      <c r="BT115"/>
      <c r="BU115"/>
      <c r="BV115"/>
      <c r="BW115" s="6"/>
      <c r="BX115" s="15"/>
      <c r="BY115"/>
      <c r="BZ115"/>
      <c r="CA115"/>
      <c r="CB115"/>
      <c r="CC115"/>
      <c r="CD115"/>
      <c r="CE115"/>
      <c r="CF115"/>
      <c r="CG115"/>
      <c r="CH115"/>
      <c r="CI115" s="6"/>
      <c r="CJ115" s="16">
        <v>0.37808219178082192</v>
      </c>
      <c r="CK115" s="16" t="s">
        <v>578</v>
      </c>
      <c r="CL115" s="16" t="s">
        <v>578</v>
      </c>
      <c r="CM115" s="16" t="s">
        <v>578</v>
      </c>
      <c r="CN115" s="16" t="s">
        <v>578</v>
      </c>
      <c r="CO115" s="18"/>
      <c r="CP115" s="15"/>
      <c r="CQ115"/>
      <c r="CR115"/>
      <c r="CS115"/>
      <c r="CT115"/>
      <c r="CU115"/>
      <c r="CV115">
        <v>91</v>
      </c>
      <c r="CW115">
        <v>91</v>
      </c>
      <c r="CX115">
        <v>91</v>
      </c>
      <c r="CY115"/>
      <c r="CZ115"/>
      <c r="DA115" s="6"/>
      <c r="DB115" s="15"/>
      <c r="DC115"/>
      <c r="DD115"/>
      <c r="DE115"/>
      <c r="DF115"/>
      <c r="DG115"/>
      <c r="DH115"/>
      <c r="DI115"/>
      <c r="DJ115"/>
      <c r="DK115"/>
      <c r="DL115"/>
      <c r="DM115" s="6"/>
      <c r="DN115" s="15"/>
      <c r="DO115"/>
      <c r="DP115"/>
      <c r="DQ115"/>
      <c r="DR115"/>
      <c r="DS115"/>
      <c r="DT115"/>
      <c r="DU115"/>
      <c r="DV115"/>
      <c r="DW115"/>
      <c r="DX115"/>
      <c r="DY115" s="6"/>
      <c r="DZ115" s="15"/>
      <c r="EA115"/>
      <c r="EB115"/>
      <c r="EC115"/>
      <c r="ED115"/>
      <c r="EE115"/>
      <c r="EF115"/>
      <c r="EG115"/>
      <c r="EH115"/>
      <c r="EI115"/>
      <c r="EJ115"/>
      <c r="EK115" s="6"/>
      <c r="EL115" s="15"/>
      <c r="EM115"/>
      <c r="EN115"/>
      <c r="EO115"/>
      <c r="EP115"/>
      <c r="EQ115"/>
      <c r="ER115"/>
      <c r="ES115"/>
      <c r="ET115"/>
      <c r="EU115"/>
      <c r="EV115"/>
      <c r="EW115" s="6"/>
      <c r="EX115" s="16">
        <v>22.936986301369863</v>
      </c>
      <c r="EY115" s="16" t="s">
        <v>578</v>
      </c>
      <c r="EZ115" s="16" t="s">
        <v>578</v>
      </c>
      <c r="FA115" s="154" t="s">
        <v>578</v>
      </c>
      <c r="FB115" s="154" t="s">
        <v>578</v>
      </c>
      <c r="FC115" t="s">
        <v>484</v>
      </c>
      <c r="FD115" s="20" t="s">
        <v>137</v>
      </c>
      <c r="FE115"/>
      <c r="FF115" s="199" t="s">
        <v>197</v>
      </c>
      <c r="FG115"/>
      <c r="FH115" s="206">
        <f t="shared" ca="1" si="13"/>
        <v>0</v>
      </c>
      <c r="FI115" s="198">
        <f t="shared" si="14"/>
        <v>2.0666666666666669</v>
      </c>
      <c r="FJ115"/>
      <c r="FK115" t="str">
        <f t="shared" si="15"/>
        <v>America Energia S/A</v>
      </c>
      <c r="FL115" s="191">
        <f t="shared" ca="1" si="16"/>
        <v>0</v>
      </c>
      <c r="FM115" s="191">
        <f t="shared" ca="1" si="17"/>
        <v>59616</v>
      </c>
      <c r="FN115" s="190">
        <f>AB115*AB$2*IF($FC115="V",1,-1)*IF($Q115="Fixo",(CP115-INDEX('Curva Forward'!$C$5:$AN$13,MATCH(CONCATENATE(BD_COMERCIAL!$K115," ",BD_COMERCIAL!$L115),'Curva Forward'!$B$5:$B$13,0),MATCH(FN$4,'Curva Forward'!$C$4:$AN$4,0))),CP115)</f>
        <v>0</v>
      </c>
      <c r="FO115" s="190">
        <f>AC115*AC$2*IF($FC115="V",1,-1)*IF($Q115="Fixo",(CQ115-INDEX('Curva Forward'!$C$5:$AN$13,MATCH(CONCATENATE(BD_COMERCIAL!$K115," ",BD_COMERCIAL!$L115),'Curva Forward'!$B$5:$B$13,0),MATCH(FO$4,'Curva Forward'!$C$4:$AN$4,0))),CQ115)</f>
        <v>0</v>
      </c>
      <c r="FP115" s="190">
        <f>AD115*AD$2*IF($FC115="V",1,-1)*IF($Q115="Fixo",(CR115-INDEX('Curva Forward'!$C$5:$AN$13,MATCH(CONCATENATE(BD_COMERCIAL!$K115," ",BD_COMERCIAL!$L115),'Curva Forward'!$B$5:$B$13,0),MATCH(FP$4,'Curva Forward'!$C$4:$AN$4,0))),CR115)</f>
        <v>0</v>
      </c>
      <c r="FQ115" s="190">
        <f>AE115*AE$2*IF($FC115="V",1,-1)*IF($Q115="Fixo",(CS115-INDEX('Curva Forward'!$C$5:$AN$13,MATCH(CONCATENATE(BD_COMERCIAL!$K115," ",BD_COMERCIAL!$L115),'Curva Forward'!$B$5:$B$13,0),MATCH(FQ$4,'Curva Forward'!$C$4:$AN$4,0))),CS115)</f>
        <v>0</v>
      </c>
      <c r="FR115" s="190">
        <f>AF115*AF$2*IF($FC115="V",1,-1)*IF($Q115="Fixo",(CT115-INDEX('Curva Forward'!$C$5:$AN$13,MATCH(CONCATENATE(BD_COMERCIAL!$K115," ",BD_COMERCIAL!$L115),'Curva Forward'!$B$5:$B$13,0),MATCH(FR$4,'Curva Forward'!$C$4:$AN$4,0))),CT115)</f>
        <v>0</v>
      </c>
      <c r="FS115" s="190">
        <f>AG115*AG$2*IF($FC115="V",1,-1)*IF($Q115="Fixo",(CU115-INDEX('Curva Forward'!$C$5:$AN$13,MATCH(CONCATENATE(BD_COMERCIAL!$K115," ",BD_COMERCIAL!$L115),'Curva Forward'!$B$5:$B$13,0),MATCH(FS$4,'Curva Forward'!$C$4:$AN$4,0))),CU115)</f>
        <v>0</v>
      </c>
      <c r="FT115" s="190">
        <f>AH115*AH$2*IF($FC115="V",1,-1)*IF($Q115="Fixo",(CV115-INDEX('Curva Forward'!$C$5:$AN$13,MATCH(CONCATENATE(BD_COMERCIAL!$K115," ",BD_COMERCIAL!$L115),'Curva Forward'!$B$5:$B$13,0),MATCH(FT$4,'Curva Forward'!$C$4:$AN$4,0))),CV115)</f>
        <v>20088</v>
      </c>
      <c r="FU115" s="190">
        <f>AI115*AI$2*IF($FC115="V",1,-1)*IF($Q115="Fixo",(CW115-INDEX('Curva Forward'!$C$5:$AN$13,MATCH(CONCATENATE(BD_COMERCIAL!$K115," ",BD_COMERCIAL!$L115),'Curva Forward'!$B$5:$B$13,0),MATCH(FU$4,'Curva Forward'!$C$4:$AN$4,0))),CW115)</f>
        <v>20088</v>
      </c>
      <c r="FV115" s="190">
        <f>AJ115*AJ$2*IF($FC115="V",1,-1)*IF($Q115="Fixo",(CX115-INDEX('Curva Forward'!$C$5:$AN$13,MATCH(CONCATENATE(BD_COMERCIAL!$K115," ",BD_COMERCIAL!$L115),'Curva Forward'!$B$5:$B$13,0),MATCH(FV$4,'Curva Forward'!$C$4:$AN$4,0))),CX115)</f>
        <v>19440</v>
      </c>
      <c r="FW115" s="190">
        <f>AK115*AK$2*IF($FC115="V",1,-1)*IF($Q115="Fixo",(CY115-INDEX('Curva Forward'!$C$5:$AN$13,MATCH(CONCATENATE(BD_COMERCIAL!$K115," ",BD_COMERCIAL!$L115),'Curva Forward'!$B$5:$B$13,0),MATCH(FW$4,'Curva Forward'!$C$4:$AN$4,0))),CY115)</f>
        <v>0</v>
      </c>
      <c r="FX115" s="190">
        <f>AL115*AL$2*IF($FC115="V",1,-1)*IF($Q115="Fixo",(CZ115-INDEX('Curva Forward'!$C$5:$AN$13,MATCH(CONCATENATE(BD_COMERCIAL!$K115," ",BD_COMERCIAL!$L115),'Curva Forward'!$B$5:$B$13,0),MATCH(FX$4,'Curva Forward'!$C$4:$AN$4,0))),CZ115)</f>
        <v>0</v>
      </c>
      <c r="FY115" s="190">
        <f>AM115*AM$2*IF($FC115="V",1,-1)*IF($Q115="Fixo",(DA115-INDEX('Curva Forward'!$C$5:$AN$13,MATCH(CONCATENATE(BD_COMERCIAL!$K115," ",BD_COMERCIAL!$L115),'Curva Forward'!$B$5:$B$13,0),MATCH(FY$4,'Curva Forward'!$C$4:$AN$4,0))),DA115)</f>
        <v>0</v>
      </c>
      <c r="FZ115" s="190">
        <f>AN115*AN$2*IF($FC115="V",1,-1)*IF($Q115="Fixo",(DB115-INDEX('Curva Forward'!$C$5:$AN$13,MATCH(CONCATENATE(BD_COMERCIAL!$K115," ",BD_COMERCIAL!$L115),'Curva Forward'!$B$5:$B$13,0),MATCH(FZ$4,'Curva Forward'!$C$4:$AN$4,0))),DB115)</f>
        <v>0</v>
      </c>
      <c r="GA115" s="190">
        <f>AO115*AO$2*IF($FC115="V",1,-1)*IF($Q115="Fixo",(DC115-INDEX('Curva Forward'!$C$5:$AN$13,MATCH(CONCATENATE(BD_COMERCIAL!$K115," ",BD_COMERCIAL!$L115),'Curva Forward'!$B$5:$B$13,0),MATCH(GA$4,'Curva Forward'!$C$4:$AN$4,0))),DC115)</f>
        <v>0</v>
      </c>
      <c r="GB115" s="190">
        <f>AP115*AP$2*IF($FC115="V",1,-1)*IF($Q115="Fixo",(DD115-INDEX('Curva Forward'!$C$5:$AN$13,MATCH(CONCATENATE(BD_COMERCIAL!$K115," ",BD_COMERCIAL!$L115),'Curva Forward'!$B$5:$B$13,0),MATCH(GB$4,'Curva Forward'!$C$4:$AN$4,0))),DD115)</f>
        <v>0</v>
      </c>
      <c r="GC115" s="190">
        <f>AQ115*AQ$2*IF($FC115="V",1,-1)*IF($Q115="Fixo",(DE115-INDEX('Curva Forward'!$C$5:$AN$13,MATCH(CONCATENATE(BD_COMERCIAL!$K115," ",BD_COMERCIAL!$L115),'Curva Forward'!$B$5:$B$13,0),MATCH(GC$4,'Curva Forward'!$C$4:$AN$4,0))),DE115)</f>
        <v>0</v>
      </c>
      <c r="GD115" s="190">
        <f>AR115*AR$2*IF($FC115="V",1,-1)*IF($Q115="Fixo",(DF115-INDEX('Curva Forward'!$C$5:$AN$13,MATCH(CONCATENATE(BD_COMERCIAL!$K115," ",BD_COMERCIAL!$L115),'Curva Forward'!$B$5:$B$13,0),MATCH(GD$4,'Curva Forward'!$C$4:$AN$4,0))),DF115)</f>
        <v>0</v>
      </c>
      <c r="GE115" s="190">
        <f>AS115*AS$2*IF($FC115="V",1,-1)*IF($Q115="Fixo",(DG115-INDEX('Curva Forward'!$C$5:$AN$13,MATCH(CONCATENATE(BD_COMERCIAL!$K115," ",BD_COMERCIAL!$L115),'Curva Forward'!$B$5:$B$13,0),MATCH(GE$4,'Curva Forward'!$C$4:$AN$4,0))),DG115)</f>
        <v>0</v>
      </c>
      <c r="GF115" s="190">
        <f>AT115*AT$2*IF($FC115="V",1,-1)*IF($Q115="Fixo",(DH115-INDEX('Curva Forward'!$C$5:$AN$13,MATCH(CONCATENATE(BD_COMERCIAL!$K115," ",BD_COMERCIAL!$L115),'Curva Forward'!$B$5:$B$13,0),MATCH(GF$4,'Curva Forward'!$C$4:$AN$4,0))),DH115)</f>
        <v>0</v>
      </c>
      <c r="GG115" s="190">
        <f>AU115*AU$2*IF($FC115="V",1,-1)*IF($Q115="Fixo",(DI115-INDEX('Curva Forward'!$C$5:$AN$13,MATCH(CONCATENATE(BD_COMERCIAL!$K115," ",BD_COMERCIAL!$L115),'Curva Forward'!$B$5:$B$13,0),MATCH(GG$4,'Curva Forward'!$C$4:$AN$4,0))),DI115)</f>
        <v>0</v>
      </c>
      <c r="GH115" s="190">
        <f>AV115*AV$2*IF($FC115="V",1,-1)*IF($Q115="Fixo",(DJ115-INDEX('Curva Forward'!$C$5:$AN$13,MATCH(CONCATENATE(BD_COMERCIAL!$K115," ",BD_COMERCIAL!$L115),'Curva Forward'!$B$5:$B$13,0),MATCH(GH$4,'Curva Forward'!$C$4:$AN$4,0))),DJ115)</f>
        <v>0</v>
      </c>
      <c r="GI115" s="190">
        <f>AW115*AW$2*IF($FC115="V",1,-1)*IF($Q115="Fixo",(DK115-INDEX('Curva Forward'!$C$5:$AN$13,MATCH(CONCATENATE(BD_COMERCIAL!$K115," ",BD_COMERCIAL!$L115),'Curva Forward'!$B$5:$B$13,0),MATCH(GI$4,'Curva Forward'!$C$4:$AN$4,0))),DK115)</f>
        <v>0</v>
      </c>
      <c r="GJ115" s="190">
        <f>AX115*AX$2*IF($FC115="V",1,-1)*IF($Q115="Fixo",(DL115-INDEX('Curva Forward'!$C$5:$AN$13,MATCH(CONCATENATE(BD_COMERCIAL!$K115," ",BD_COMERCIAL!$L115),'Curva Forward'!$B$5:$B$13,0),MATCH(GJ$4,'Curva Forward'!$C$4:$AN$4,0))),DL115)</f>
        <v>0</v>
      </c>
      <c r="GK115" s="190">
        <f>AY115*AY$2*IF($FC115="V",1,-1)*IF($Q115="Fixo",(DM115-INDEX('Curva Forward'!$C$5:$AN$13,MATCH(CONCATENATE(BD_COMERCIAL!$K115," ",BD_COMERCIAL!$L115),'Curva Forward'!$B$5:$B$13,0),MATCH(GK$4,'Curva Forward'!$C$4:$AN$4,0))),DM115)</f>
        <v>0</v>
      </c>
      <c r="GL115" s="190">
        <f>IF(EZ115="",0,CL115*CL$2*IF($FC115="V",1,-1)*IF($Q115="Fixo",(EZ115-INDEX('Curva Forward'!$C$5:$AN$13,MATCH(CONCATENATE(BD_COMERCIAL!$K115," ",BD_COMERCIAL!$L115),'Curva Forward'!$B$5:$B$13,0),MATCH(GL$4,'Curva Forward'!$C$4:$AN$4,0))),EZ115))</f>
        <v>0</v>
      </c>
      <c r="GM115" s="190">
        <f>IF(FA115="",0,CM115*CM$2*IF($FC115="V",1,-1)*IF($Q115="Fixo",(FA115-INDEX('Curva Forward'!$C$5:$AN$13,MATCH(CONCATENATE(BD_COMERCIAL!$K115," ",BD_COMERCIAL!$L115),'Curva Forward'!$B$5:$B$13,0),MATCH(GM$4,'Curva Forward'!$C$4:$AN$4,0))),FA115))</f>
        <v>0</v>
      </c>
      <c r="GN115" s="190">
        <f>IF(FB115="",0,CN115*CN$2*IF($FC115="V",1,-1)*IF($Q115="Fixo",(FB115-INDEX('Curva Forward'!$C$5:$AN$13,MATCH(CONCATENATE(BD_COMERCIAL!$K115," ",BD_COMERCIAL!$L115),'Curva Forward'!$B$5:$B$13,0),MATCH(GN$4,'Curva Forward'!$C$4:$AN$4,0))),FB115))</f>
        <v>0</v>
      </c>
      <c r="GO115" s="191">
        <f t="shared" ca="1" si="18"/>
        <v>59616</v>
      </c>
      <c r="GP115" s="191">
        <f t="shared" ca="1" si="19"/>
        <v>0</v>
      </c>
      <c r="GQ115" s="115"/>
      <c r="GR115" s="115"/>
      <c r="GS115"/>
      <c r="GT115" s="6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</row>
    <row r="116" spans="1:236" s="265" customFormat="1" ht="15" customHeight="1" x14ac:dyDescent="0.35">
      <c r="A116" s="251"/>
      <c r="B116" s="7" t="s">
        <v>487</v>
      </c>
      <c r="C116" s="8">
        <v>44910</v>
      </c>
      <c r="D116" s="9" t="s">
        <v>123</v>
      </c>
      <c r="E116" s="9" t="s">
        <v>381</v>
      </c>
      <c r="F116" s="112"/>
      <c r="G116" s="10" t="s">
        <v>190</v>
      </c>
      <c r="H116" s="112"/>
      <c r="I116" s="9" t="s">
        <v>137</v>
      </c>
      <c r="J116" s="158"/>
      <c r="K116" s="10" t="s">
        <v>126</v>
      </c>
      <c r="L116" s="84" t="s">
        <v>22</v>
      </c>
      <c r="M116" s="11">
        <v>45108</v>
      </c>
      <c r="N116" s="12">
        <v>45170</v>
      </c>
      <c r="O116" s="10">
        <v>3</v>
      </c>
      <c r="P116" s="84">
        <v>91</v>
      </c>
      <c r="Q116" s="84" t="s">
        <v>127</v>
      </c>
      <c r="R116" s="10" t="s">
        <v>128</v>
      </c>
      <c r="S116" s="14" t="s">
        <v>133</v>
      </c>
      <c r="T116" s="11"/>
      <c r="U116" s="12"/>
      <c r="V116" s="202" t="str">
        <f ca="1">IF(U116="","",
IF(U116="NA","",
IFERROR(VLOOKUP(EOMONTH(M116,-2)+1,IPCA!$A:$B,2,0),
VLOOKUP(EOMONTH(TODAY(),-2)+1,IPCA!$A:$B,2,0))/
VLOOKUP(EOMONTH(U116,-2)+1,IPCA!$A:$B,2,0)*
P116))</f>
        <v/>
      </c>
      <c r="W116" s="84"/>
      <c r="X116" s="13" t="s">
        <v>132</v>
      </c>
      <c r="Y116" s="158"/>
      <c r="Z116" s="106"/>
      <c r="AA116" s="107"/>
      <c r="AB116" s="15"/>
      <c r="AC116"/>
      <c r="AD116"/>
      <c r="AE116"/>
      <c r="AF116"/>
      <c r="AG116"/>
      <c r="AH116">
        <v>3</v>
      </c>
      <c r="AI116">
        <v>3</v>
      </c>
      <c r="AJ116">
        <v>3</v>
      </c>
      <c r="AK116"/>
      <c r="AL116"/>
      <c r="AM116" s="6"/>
      <c r="AN116" s="15"/>
      <c r="AO116"/>
      <c r="AP116"/>
      <c r="AQ116"/>
      <c r="AR116"/>
      <c r="AS116"/>
      <c r="AT116"/>
      <c r="AU116"/>
      <c r="AV116"/>
      <c r="AW116"/>
      <c r="AX116"/>
      <c r="AY116" s="6"/>
      <c r="AZ116" s="15"/>
      <c r="BA116"/>
      <c r="BB116"/>
      <c r="BC116"/>
      <c r="BD116"/>
      <c r="BE116"/>
      <c r="BF116"/>
      <c r="BG116"/>
      <c r="BH116"/>
      <c r="BI116"/>
      <c r="BJ116"/>
      <c r="BK116" s="6"/>
      <c r="BL116" s="15"/>
      <c r="BM116"/>
      <c r="BN116"/>
      <c r="BO116"/>
      <c r="BP116"/>
      <c r="BQ116"/>
      <c r="BR116"/>
      <c r="BS116"/>
      <c r="BT116"/>
      <c r="BU116"/>
      <c r="BV116"/>
      <c r="BW116" s="6"/>
      <c r="BX116" s="15"/>
      <c r="BY116"/>
      <c r="BZ116"/>
      <c r="CA116"/>
      <c r="CB116"/>
      <c r="CC116"/>
      <c r="CD116"/>
      <c r="CE116"/>
      <c r="CF116"/>
      <c r="CG116"/>
      <c r="CH116"/>
      <c r="CI116" s="6"/>
      <c r="CJ116" s="16">
        <v>0.75616438356164384</v>
      </c>
      <c r="CK116" s="16" t="s">
        <v>578</v>
      </c>
      <c r="CL116" s="16" t="s">
        <v>578</v>
      </c>
      <c r="CM116" s="16" t="s">
        <v>578</v>
      </c>
      <c r="CN116" s="16" t="s">
        <v>578</v>
      </c>
      <c r="CO116" s="18"/>
      <c r="CP116" s="15"/>
      <c r="CQ116"/>
      <c r="CR116"/>
      <c r="CS116"/>
      <c r="CT116"/>
      <c r="CU116"/>
      <c r="CV116">
        <v>91</v>
      </c>
      <c r="CW116">
        <v>91</v>
      </c>
      <c r="CX116">
        <v>91</v>
      </c>
      <c r="CY116"/>
      <c r="CZ116"/>
      <c r="DA116" s="6"/>
      <c r="DB116" s="15"/>
      <c r="DC116"/>
      <c r="DD116"/>
      <c r="DE116"/>
      <c r="DF116"/>
      <c r="DG116"/>
      <c r="DH116"/>
      <c r="DI116"/>
      <c r="DJ116"/>
      <c r="DK116"/>
      <c r="DL116"/>
      <c r="DM116" s="6"/>
      <c r="DN116" s="15"/>
      <c r="DO116"/>
      <c r="DP116"/>
      <c r="DQ116"/>
      <c r="DR116"/>
      <c r="DS116"/>
      <c r="DT116"/>
      <c r="DU116"/>
      <c r="DV116"/>
      <c r="DW116"/>
      <c r="DX116"/>
      <c r="DY116" s="6"/>
      <c r="DZ116" s="15"/>
      <c r="EA116"/>
      <c r="EB116"/>
      <c r="EC116"/>
      <c r="ED116"/>
      <c r="EE116"/>
      <c r="EF116"/>
      <c r="EG116"/>
      <c r="EH116"/>
      <c r="EI116"/>
      <c r="EJ116"/>
      <c r="EK116" s="6"/>
      <c r="EL116" s="15"/>
      <c r="EM116"/>
      <c r="EN116"/>
      <c r="EO116"/>
      <c r="EP116"/>
      <c r="EQ116"/>
      <c r="ER116"/>
      <c r="ES116"/>
      <c r="ET116"/>
      <c r="EU116"/>
      <c r="EV116"/>
      <c r="EW116" s="6"/>
      <c r="EX116" s="16">
        <v>22.936986301369863</v>
      </c>
      <c r="EY116" s="16" t="s">
        <v>578</v>
      </c>
      <c r="EZ116" s="16" t="s">
        <v>578</v>
      </c>
      <c r="FA116" s="154" t="s">
        <v>578</v>
      </c>
      <c r="FB116" s="154" t="s">
        <v>578</v>
      </c>
      <c r="FC116" t="s">
        <v>484</v>
      </c>
      <c r="FD116" s="20" t="s">
        <v>137</v>
      </c>
      <c r="FE116"/>
      <c r="FF116" s="199" t="s">
        <v>197</v>
      </c>
      <c r="FG116"/>
      <c r="FH116" s="206">
        <f t="shared" ca="1" si="13"/>
        <v>0</v>
      </c>
      <c r="FI116" s="198">
        <f t="shared" si="14"/>
        <v>2.0666666666666669</v>
      </c>
      <c r="FJ116"/>
      <c r="FK116" t="str">
        <f t="shared" si="15"/>
        <v>America Energia S/A</v>
      </c>
      <c r="FL116" s="191">
        <f t="shared" ca="1" si="16"/>
        <v>0</v>
      </c>
      <c r="FM116" s="191">
        <f t="shared" ca="1" si="17"/>
        <v>119232</v>
      </c>
      <c r="FN116" s="190">
        <f>AB116*AB$2*IF($FC116="V",1,-1)*IF($Q116="Fixo",(CP116-INDEX('Curva Forward'!$C$5:$AN$13,MATCH(CONCATENATE(BD_COMERCIAL!$K116," ",BD_COMERCIAL!$L116),'Curva Forward'!$B$5:$B$13,0),MATCH(FN$4,'Curva Forward'!$C$4:$AN$4,0))),CP116)</f>
        <v>0</v>
      </c>
      <c r="FO116" s="190">
        <f>AC116*AC$2*IF($FC116="V",1,-1)*IF($Q116="Fixo",(CQ116-INDEX('Curva Forward'!$C$5:$AN$13,MATCH(CONCATENATE(BD_COMERCIAL!$K116," ",BD_COMERCIAL!$L116),'Curva Forward'!$B$5:$B$13,0),MATCH(FO$4,'Curva Forward'!$C$4:$AN$4,0))),CQ116)</f>
        <v>0</v>
      </c>
      <c r="FP116" s="190">
        <f>AD116*AD$2*IF($FC116="V",1,-1)*IF($Q116="Fixo",(CR116-INDEX('Curva Forward'!$C$5:$AN$13,MATCH(CONCATENATE(BD_COMERCIAL!$K116," ",BD_COMERCIAL!$L116),'Curva Forward'!$B$5:$B$13,0),MATCH(FP$4,'Curva Forward'!$C$4:$AN$4,0))),CR116)</f>
        <v>0</v>
      </c>
      <c r="FQ116" s="190">
        <f>AE116*AE$2*IF($FC116="V",1,-1)*IF($Q116="Fixo",(CS116-INDEX('Curva Forward'!$C$5:$AN$13,MATCH(CONCATENATE(BD_COMERCIAL!$K116," ",BD_COMERCIAL!$L116),'Curva Forward'!$B$5:$B$13,0),MATCH(FQ$4,'Curva Forward'!$C$4:$AN$4,0))),CS116)</f>
        <v>0</v>
      </c>
      <c r="FR116" s="190">
        <f>AF116*AF$2*IF($FC116="V",1,-1)*IF($Q116="Fixo",(CT116-INDEX('Curva Forward'!$C$5:$AN$13,MATCH(CONCATENATE(BD_COMERCIAL!$K116," ",BD_COMERCIAL!$L116),'Curva Forward'!$B$5:$B$13,0),MATCH(FR$4,'Curva Forward'!$C$4:$AN$4,0))),CT116)</f>
        <v>0</v>
      </c>
      <c r="FS116" s="190">
        <f>AG116*AG$2*IF($FC116="V",1,-1)*IF($Q116="Fixo",(CU116-INDEX('Curva Forward'!$C$5:$AN$13,MATCH(CONCATENATE(BD_COMERCIAL!$K116," ",BD_COMERCIAL!$L116),'Curva Forward'!$B$5:$B$13,0),MATCH(FS$4,'Curva Forward'!$C$4:$AN$4,0))),CU116)</f>
        <v>0</v>
      </c>
      <c r="FT116" s="190">
        <f>AH116*AH$2*IF($FC116="V",1,-1)*IF($Q116="Fixo",(CV116-INDEX('Curva Forward'!$C$5:$AN$13,MATCH(CONCATENATE(BD_COMERCIAL!$K116," ",BD_COMERCIAL!$L116),'Curva Forward'!$B$5:$B$13,0),MATCH(FT$4,'Curva Forward'!$C$4:$AN$4,0))),CV116)</f>
        <v>40176</v>
      </c>
      <c r="FU116" s="190">
        <f>AI116*AI$2*IF($FC116="V",1,-1)*IF($Q116="Fixo",(CW116-INDEX('Curva Forward'!$C$5:$AN$13,MATCH(CONCATENATE(BD_COMERCIAL!$K116," ",BD_COMERCIAL!$L116),'Curva Forward'!$B$5:$B$13,0),MATCH(FU$4,'Curva Forward'!$C$4:$AN$4,0))),CW116)</f>
        <v>40176</v>
      </c>
      <c r="FV116" s="190">
        <f>AJ116*AJ$2*IF($FC116="V",1,-1)*IF($Q116="Fixo",(CX116-INDEX('Curva Forward'!$C$5:$AN$13,MATCH(CONCATENATE(BD_COMERCIAL!$K116," ",BD_COMERCIAL!$L116),'Curva Forward'!$B$5:$B$13,0),MATCH(FV$4,'Curva Forward'!$C$4:$AN$4,0))),CX116)</f>
        <v>38880</v>
      </c>
      <c r="FW116" s="190">
        <f>AK116*AK$2*IF($FC116="V",1,-1)*IF($Q116="Fixo",(CY116-INDEX('Curva Forward'!$C$5:$AN$13,MATCH(CONCATENATE(BD_COMERCIAL!$K116," ",BD_COMERCIAL!$L116),'Curva Forward'!$B$5:$B$13,0),MATCH(FW$4,'Curva Forward'!$C$4:$AN$4,0))),CY116)</f>
        <v>0</v>
      </c>
      <c r="FX116" s="190">
        <f>AL116*AL$2*IF($FC116="V",1,-1)*IF($Q116="Fixo",(CZ116-INDEX('Curva Forward'!$C$5:$AN$13,MATCH(CONCATENATE(BD_COMERCIAL!$K116," ",BD_COMERCIAL!$L116),'Curva Forward'!$B$5:$B$13,0),MATCH(FX$4,'Curva Forward'!$C$4:$AN$4,0))),CZ116)</f>
        <v>0</v>
      </c>
      <c r="FY116" s="190">
        <f>AM116*AM$2*IF($FC116="V",1,-1)*IF($Q116="Fixo",(DA116-INDEX('Curva Forward'!$C$5:$AN$13,MATCH(CONCATENATE(BD_COMERCIAL!$K116," ",BD_COMERCIAL!$L116),'Curva Forward'!$B$5:$B$13,0),MATCH(FY$4,'Curva Forward'!$C$4:$AN$4,0))),DA116)</f>
        <v>0</v>
      </c>
      <c r="FZ116" s="190">
        <f>AN116*AN$2*IF($FC116="V",1,-1)*IF($Q116="Fixo",(DB116-INDEX('Curva Forward'!$C$5:$AN$13,MATCH(CONCATENATE(BD_COMERCIAL!$K116," ",BD_COMERCIAL!$L116),'Curva Forward'!$B$5:$B$13,0),MATCH(FZ$4,'Curva Forward'!$C$4:$AN$4,0))),DB116)</f>
        <v>0</v>
      </c>
      <c r="GA116" s="190">
        <f>AO116*AO$2*IF($FC116="V",1,-1)*IF($Q116="Fixo",(DC116-INDEX('Curva Forward'!$C$5:$AN$13,MATCH(CONCATENATE(BD_COMERCIAL!$K116," ",BD_COMERCIAL!$L116),'Curva Forward'!$B$5:$B$13,0),MATCH(GA$4,'Curva Forward'!$C$4:$AN$4,0))),DC116)</f>
        <v>0</v>
      </c>
      <c r="GB116" s="190">
        <f>AP116*AP$2*IF($FC116="V",1,-1)*IF($Q116="Fixo",(DD116-INDEX('Curva Forward'!$C$5:$AN$13,MATCH(CONCATENATE(BD_COMERCIAL!$K116," ",BD_COMERCIAL!$L116),'Curva Forward'!$B$5:$B$13,0),MATCH(GB$4,'Curva Forward'!$C$4:$AN$4,0))),DD116)</f>
        <v>0</v>
      </c>
      <c r="GC116" s="190">
        <f>AQ116*AQ$2*IF($FC116="V",1,-1)*IF($Q116="Fixo",(DE116-INDEX('Curva Forward'!$C$5:$AN$13,MATCH(CONCATENATE(BD_COMERCIAL!$K116," ",BD_COMERCIAL!$L116),'Curva Forward'!$B$5:$B$13,0),MATCH(GC$4,'Curva Forward'!$C$4:$AN$4,0))),DE116)</f>
        <v>0</v>
      </c>
      <c r="GD116" s="190">
        <f>AR116*AR$2*IF($FC116="V",1,-1)*IF($Q116="Fixo",(DF116-INDEX('Curva Forward'!$C$5:$AN$13,MATCH(CONCATENATE(BD_COMERCIAL!$K116," ",BD_COMERCIAL!$L116),'Curva Forward'!$B$5:$B$13,0),MATCH(GD$4,'Curva Forward'!$C$4:$AN$4,0))),DF116)</f>
        <v>0</v>
      </c>
      <c r="GE116" s="190">
        <f>AS116*AS$2*IF($FC116="V",1,-1)*IF($Q116="Fixo",(DG116-INDEX('Curva Forward'!$C$5:$AN$13,MATCH(CONCATENATE(BD_COMERCIAL!$K116," ",BD_COMERCIAL!$L116),'Curva Forward'!$B$5:$B$13,0),MATCH(GE$4,'Curva Forward'!$C$4:$AN$4,0))),DG116)</f>
        <v>0</v>
      </c>
      <c r="GF116" s="190">
        <f>AT116*AT$2*IF($FC116="V",1,-1)*IF($Q116="Fixo",(DH116-INDEX('Curva Forward'!$C$5:$AN$13,MATCH(CONCATENATE(BD_COMERCIAL!$K116," ",BD_COMERCIAL!$L116),'Curva Forward'!$B$5:$B$13,0),MATCH(GF$4,'Curva Forward'!$C$4:$AN$4,0))),DH116)</f>
        <v>0</v>
      </c>
      <c r="GG116" s="190">
        <f>AU116*AU$2*IF($FC116="V",1,-1)*IF($Q116="Fixo",(DI116-INDEX('Curva Forward'!$C$5:$AN$13,MATCH(CONCATENATE(BD_COMERCIAL!$K116," ",BD_COMERCIAL!$L116),'Curva Forward'!$B$5:$B$13,0),MATCH(GG$4,'Curva Forward'!$C$4:$AN$4,0))),DI116)</f>
        <v>0</v>
      </c>
      <c r="GH116" s="190">
        <f>AV116*AV$2*IF($FC116="V",1,-1)*IF($Q116="Fixo",(DJ116-INDEX('Curva Forward'!$C$5:$AN$13,MATCH(CONCATENATE(BD_COMERCIAL!$K116," ",BD_COMERCIAL!$L116),'Curva Forward'!$B$5:$B$13,0),MATCH(GH$4,'Curva Forward'!$C$4:$AN$4,0))),DJ116)</f>
        <v>0</v>
      </c>
      <c r="GI116" s="190">
        <f>AW116*AW$2*IF($FC116="V",1,-1)*IF($Q116="Fixo",(DK116-INDEX('Curva Forward'!$C$5:$AN$13,MATCH(CONCATENATE(BD_COMERCIAL!$K116," ",BD_COMERCIAL!$L116),'Curva Forward'!$B$5:$B$13,0),MATCH(GI$4,'Curva Forward'!$C$4:$AN$4,0))),DK116)</f>
        <v>0</v>
      </c>
      <c r="GJ116" s="190">
        <f>AX116*AX$2*IF($FC116="V",1,-1)*IF($Q116="Fixo",(DL116-INDEX('Curva Forward'!$C$5:$AN$13,MATCH(CONCATENATE(BD_COMERCIAL!$K116," ",BD_COMERCIAL!$L116),'Curva Forward'!$B$5:$B$13,0),MATCH(GJ$4,'Curva Forward'!$C$4:$AN$4,0))),DL116)</f>
        <v>0</v>
      </c>
      <c r="GK116" s="190">
        <f>AY116*AY$2*IF($FC116="V",1,-1)*IF($Q116="Fixo",(DM116-INDEX('Curva Forward'!$C$5:$AN$13,MATCH(CONCATENATE(BD_COMERCIAL!$K116," ",BD_COMERCIAL!$L116),'Curva Forward'!$B$5:$B$13,0),MATCH(GK$4,'Curva Forward'!$C$4:$AN$4,0))),DM116)</f>
        <v>0</v>
      </c>
      <c r="GL116" s="190">
        <f>IF(EZ116="",0,CL116*CL$2*IF($FC116="V",1,-1)*IF($Q116="Fixo",(EZ116-INDEX('Curva Forward'!$C$5:$AN$13,MATCH(CONCATENATE(BD_COMERCIAL!$K116," ",BD_COMERCIAL!$L116),'Curva Forward'!$B$5:$B$13,0),MATCH(GL$4,'Curva Forward'!$C$4:$AN$4,0))),EZ116))</f>
        <v>0</v>
      </c>
      <c r="GM116" s="190">
        <f>IF(FA116="",0,CM116*CM$2*IF($FC116="V",1,-1)*IF($Q116="Fixo",(FA116-INDEX('Curva Forward'!$C$5:$AN$13,MATCH(CONCATENATE(BD_COMERCIAL!$K116," ",BD_COMERCIAL!$L116),'Curva Forward'!$B$5:$B$13,0),MATCH(GM$4,'Curva Forward'!$C$4:$AN$4,0))),FA116))</f>
        <v>0</v>
      </c>
      <c r="GN116" s="190">
        <f>IF(FB116="",0,CN116*CN$2*IF($FC116="V",1,-1)*IF($Q116="Fixo",(FB116-INDEX('Curva Forward'!$C$5:$AN$13,MATCH(CONCATENATE(BD_COMERCIAL!$K116," ",BD_COMERCIAL!$L116),'Curva Forward'!$B$5:$B$13,0),MATCH(GN$4,'Curva Forward'!$C$4:$AN$4,0))),FB116))</f>
        <v>0</v>
      </c>
      <c r="GO116" s="191">
        <f t="shared" ca="1" si="18"/>
        <v>119232</v>
      </c>
      <c r="GP116" s="191">
        <f t="shared" ca="1" si="19"/>
        <v>0</v>
      </c>
      <c r="GQ116" s="115"/>
      <c r="GR116" s="115"/>
      <c r="GS116"/>
      <c r="GT116" s="65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</row>
    <row r="117" spans="1:236" s="265" customFormat="1" ht="15" customHeight="1" x14ac:dyDescent="0.35">
      <c r="A117" s="251"/>
      <c r="B117" s="7" t="s">
        <v>486</v>
      </c>
      <c r="C117" s="8">
        <v>44910</v>
      </c>
      <c r="D117" s="9" t="s">
        <v>130</v>
      </c>
      <c r="E117" s="9" t="s">
        <v>222</v>
      </c>
      <c r="F117" s="112"/>
      <c r="G117" s="9" t="s">
        <v>381</v>
      </c>
      <c r="H117" s="112"/>
      <c r="I117" s="9" t="s">
        <v>137</v>
      </c>
      <c r="J117" s="158"/>
      <c r="K117" s="10" t="s">
        <v>126</v>
      </c>
      <c r="L117" s="84" t="s">
        <v>22</v>
      </c>
      <c r="M117" s="11">
        <v>45017</v>
      </c>
      <c r="N117" s="12">
        <v>45078</v>
      </c>
      <c r="O117" s="10">
        <v>3</v>
      </c>
      <c r="P117" s="84">
        <v>73</v>
      </c>
      <c r="Q117" s="84" t="s">
        <v>127</v>
      </c>
      <c r="R117" s="10" t="s">
        <v>128</v>
      </c>
      <c r="S117" s="14" t="s">
        <v>133</v>
      </c>
      <c r="T117" s="11"/>
      <c r="U117" s="12"/>
      <c r="V117" s="202" t="str">
        <f ca="1">IF(U117="","",
IF(U117="NA","",
IFERROR(VLOOKUP(EOMONTH(M117,-2)+1,IPCA!$A:$B,2,0),
VLOOKUP(EOMONTH(TODAY(),-2)+1,IPCA!$A:$B,2,0))/
VLOOKUP(EOMONTH(U117,-2)+1,IPCA!$A:$B,2,0)*
P117))</f>
        <v/>
      </c>
      <c r="W117" s="84"/>
      <c r="X117" s="13" t="s">
        <v>132</v>
      </c>
      <c r="Y117" s="158"/>
      <c r="Z117" s="106"/>
      <c r="AA117" s="107"/>
      <c r="AB117" s="15"/>
      <c r="AC117"/>
      <c r="AD117"/>
      <c r="AE117">
        <v>3</v>
      </c>
      <c r="AF117">
        <v>3</v>
      </c>
      <c r="AG117">
        <v>3</v>
      </c>
      <c r="AH117"/>
      <c r="AI117"/>
      <c r="AJ117"/>
      <c r="AK117"/>
      <c r="AL117"/>
      <c r="AM117" s="6"/>
      <c r="AN117" s="15"/>
      <c r="AO117"/>
      <c r="AP117"/>
      <c r="AQ117"/>
      <c r="AR117"/>
      <c r="AS117"/>
      <c r="AT117"/>
      <c r="AU117"/>
      <c r="AV117"/>
      <c r="AW117"/>
      <c r="AX117"/>
      <c r="AY117" s="6"/>
      <c r="AZ117" s="15"/>
      <c r="BA117"/>
      <c r="BB117"/>
      <c r="BC117"/>
      <c r="BD117"/>
      <c r="BE117"/>
      <c r="BF117"/>
      <c r="BG117"/>
      <c r="BH117"/>
      <c r="BI117"/>
      <c r="BJ117"/>
      <c r="BK117" s="6"/>
      <c r="BL117" s="15"/>
      <c r="BM117"/>
      <c r="BN117"/>
      <c r="BO117"/>
      <c r="BP117"/>
      <c r="BQ117"/>
      <c r="BR117"/>
      <c r="BS117"/>
      <c r="BT117"/>
      <c r="BU117"/>
      <c r="BV117"/>
      <c r="BW117" s="6"/>
      <c r="BX117" s="15"/>
      <c r="BY117"/>
      <c r="BZ117"/>
      <c r="CA117"/>
      <c r="CB117"/>
      <c r="CC117"/>
      <c r="CD117"/>
      <c r="CE117"/>
      <c r="CF117"/>
      <c r="CG117"/>
      <c r="CH117"/>
      <c r="CI117" s="6"/>
      <c r="CJ117" s="16">
        <v>0.74794520547945209</v>
      </c>
      <c r="CK117" s="16" t="s">
        <v>578</v>
      </c>
      <c r="CL117" s="16" t="s">
        <v>578</v>
      </c>
      <c r="CM117" s="16" t="s">
        <v>578</v>
      </c>
      <c r="CN117" s="16" t="s">
        <v>578</v>
      </c>
      <c r="CO117" s="18"/>
      <c r="CP117" s="15"/>
      <c r="CQ117"/>
      <c r="CR117"/>
      <c r="CS117">
        <v>73</v>
      </c>
      <c r="CT117">
        <v>73</v>
      </c>
      <c r="CU117">
        <v>73</v>
      </c>
      <c r="CV117"/>
      <c r="CW117"/>
      <c r="CX117"/>
      <c r="CY117"/>
      <c r="CZ117"/>
      <c r="DA117" s="6"/>
      <c r="DB117" s="15"/>
      <c r="DC117"/>
      <c r="DD117"/>
      <c r="DE117"/>
      <c r="DF117"/>
      <c r="DG117"/>
      <c r="DH117"/>
      <c r="DI117"/>
      <c r="DJ117"/>
      <c r="DK117"/>
      <c r="DL117"/>
      <c r="DM117" s="6"/>
      <c r="DN117" s="15"/>
      <c r="DO117"/>
      <c r="DP117"/>
      <c r="DQ117"/>
      <c r="DR117"/>
      <c r="DS117"/>
      <c r="DT117"/>
      <c r="DU117"/>
      <c r="DV117"/>
      <c r="DW117"/>
      <c r="DX117"/>
      <c r="DY117" s="6"/>
      <c r="DZ117" s="15"/>
      <c r="EA117"/>
      <c r="EB117"/>
      <c r="EC117"/>
      <c r="ED117"/>
      <c r="EE117"/>
      <c r="EF117"/>
      <c r="EG117"/>
      <c r="EH117"/>
      <c r="EI117"/>
      <c r="EJ117"/>
      <c r="EK117" s="6"/>
      <c r="EL117" s="15"/>
      <c r="EM117"/>
      <c r="EN117"/>
      <c r="EO117"/>
      <c r="EP117"/>
      <c r="EQ117"/>
      <c r="ER117"/>
      <c r="ES117"/>
      <c r="ET117"/>
      <c r="EU117"/>
      <c r="EV117"/>
      <c r="EW117" s="6"/>
      <c r="EX117" s="16">
        <v>18.2</v>
      </c>
      <c r="EY117" s="16" t="s">
        <v>578</v>
      </c>
      <c r="EZ117" s="16" t="s">
        <v>578</v>
      </c>
      <c r="FA117" s="154" t="s">
        <v>578</v>
      </c>
      <c r="FB117" s="154" t="s">
        <v>578</v>
      </c>
      <c r="FC117" t="s">
        <v>485</v>
      </c>
      <c r="FD117" s="20" t="s">
        <v>137</v>
      </c>
      <c r="FE117"/>
      <c r="FF117" s="199" t="s">
        <v>197</v>
      </c>
      <c r="FG117"/>
      <c r="FH117" s="206">
        <f t="shared" ca="1" si="13"/>
        <v>0</v>
      </c>
      <c r="FI117" s="198">
        <f t="shared" si="14"/>
        <v>2.0333333333333332</v>
      </c>
      <c r="FJ117"/>
      <c r="FK117" t="str">
        <f t="shared" si="15"/>
        <v>OMEGA GERACAO S.A.</v>
      </c>
      <c r="FL117" s="191">
        <f t="shared" ca="1" si="16"/>
        <v>0</v>
      </c>
      <c r="FM117" s="191">
        <f t="shared" ca="1" si="17"/>
        <v>-21816</v>
      </c>
      <c r="FN117" s="190">
        <f>AB117*AB$2*IF($FC117="V",1,-1)*IF($Q117="Fixo",(CP117-INDEX('Curva Forward'!$C$5:$AN$13,MATCH(CONCATENATE(BD_COMERCIAL!$K117," ",BD_COMERCIAL!$L117),'Curva Forward'!$B$5:$B$13,0),MATCH(FN$4,'Curva Forward'!$C$4:$AN$4,0))),CP117)</f>
        <v>0</v>
      </c>
      <c r="FO117" s="190">
        <f>AC117*AC$2*IF($FC117="V",1,-1)*IF($Q117="Fixo",(CQ117-INDEX('Curva Forward'!$C$5:$AN$13,MATCH(CONCATENATE(BD_COMERCIAL!$K117," ",BD_COMERCIAL!$L117),'Curva Forward'!$B$5:$B$13,0),MATCH(FO$4,'Curva Forward'!$C$4:$AN$4,0))),CQ117)</f>
        <v>0</v>
      </c>
      <c r="FP117" s="190">
        <f>AD117*AD$2*IF($FC117="V",1,-1)*IF($Q117="Fixo",(CR117-INDEX('Curva Forward'!$C$5:$AN$13,MATCH(CONCATENATE(BD_COMERCIAL!$K117," ",BD_COMERCIAL!$L117),'Curva Forward'!$B$5:$B$13,0),MATCH(FP$4,'Curva Forward'!$C$4:$AN$4,0))),CR117)</f>
        <v>0</v>
      </c>
      <c r="FQ117" s="190">
        <f>AE117*AE$2*IF($FC117="V",1,-1)*IF($Q117="Fixo",(CS117-INDEX('Curva Forward'!$C$5:$AN$13,MATCH(CONCATENATE(BD_COMERCIAL!$K117," ",BD_COMERCIAL!$L117),'Curva Forward'!$B$5:$B$13,0),MATCH(FQ$4,'Curva Forward'!$C$4:$AN$4,0))),CS117)</f>
        <v>-8640</v>
      </c>
      <c r="FR117" s="190">
        <f>AF117*AF$2*IF($FC117="V",1,-1)*IF($Q117="Fixo",(CT117-INDEX('Curva Forward'!$C$5:$AN$13,MATCH(CONCATENATE(BD_COMERCIAL!$K117," ",BD_COMERCIAL!$L117),'Curva Forward'!$B$5:$B$13,0),MATCH(FR$4,'Curva Forward'!$C$4:$AN$4,0))),CT117)</f>
        <v>-6696</v>
      </c>
      <c r="FS117" s="190">
        <f>AG117*AG$2*IF($FC117="V",1,-1)*IF($Q117="Fixo",(CU117-INDEX('Curva Forward'!$C$5:$AN$13,MATCH(CONCATENATE(BD_COMERCIAL!$K117," ",BD_COMERCIAL!$L117),'Curva Forward'!$B$5:$B$13,0),MATCH(FS$4,'Curva Forward'!$C$4:$AN$4,0))),CU117)</f>
        <v>-6480</v>
      </c>
      <c r="FT117" s="190">
        <f>AH117*AH$2*IF($FC117="V",1,-1)*IF($Q117="Fixo",(CV117-INDEX('Curva Forward'!$C$5:$AN$13,MATCH(CONCATENATE(BD_COMERCIAL!$K117," ",BD_COMERCIAL!$L117),'Curva Forward'!$B$5:$B$13,0),MATCH(FT$4,'Curva Forward'!$C$4:$AN$4,0))),CV117)</f>
        <v>0</v>
      </c>
      <c r="FU117" s="190">
        <f>AI117*AI$2*IF($FC117="V",1,-1)*IF($Q117="Fixo",(CW117-INDEX('Curva Forward'!$C$5:$AN$13,MATCH(CONCATENATE(BD_COMERCIAL!$K117," ",BD_COMERCIAL!$L117),'Curva Forward'!$B$5:$B$13,0),MATCH(FU$4,'Curva Forward'!$C$4:$AN$4,0))),CW117)</f>
        <v>0</v>
      </c>
      <c r="FV117" s="190">
        <f>AJ117*AJ$2*IF($FC117="V",1,-1)*IF($Q117="Fixo",(CX117-INDEX('Curva Forward'!$C$5:$AN$13,MATCH(CONCATENATE(BD_COMERCIAL!$K117," ",BD_COMERCIAL!$L117),'Curva Forward'!$B$5:$B$13,0),MATCH(FV$4,'Curva Forward'!$C$4:$AN$4,0))),CX117)</f>
        <v>0</v>
      </c>
      <c r="FW117" s="190">
        <f>AK117*AK$2*IF($FC117="V",1,-1)*IF($Q117="Fixo",(CY117-INDEX('Curva Forward'!$C$5:$AN$13,MATCH(CONCATENATE(BD_COMERCIAL!$K117," ",BD_COMERCIAL!$L117),'Curva Forward'!$B$5:$B$13,0),MATCH(FW$4,'Curva Forward'!$C$4:$AN$4,0))),CY117)</f>
        <v>0</v>
      </c>
      <c r="FX117" s="190">
        <f>AL117*AL$2*IF($FC117="V",1,-1)*IF($Q117="Fixo",(CZ117-INDEX('Curva Forward'!$C$5:$AN$13,MATCH(CONCATENATE(BD_COMERCIAL!$K117," ",BD_COMERCIAL!$L117),'Curva Forward'!$B$5:$B$13,0),MATCH(FX$4,'Curva Forward'!$C$4:$AN$4,0))),CZ117)</f>
        <v>0</v>
      </c>
      <c r="FY117" s="190">
        <f>AM117*AM$2*IF($FC117="V",1,-1)*IF($Q117="Fixo",(DA117-INDEX('Curva Forward'!$C$5:$AN$13,MATCH(CONCATENATE(BD_COMERCIAL!$K117," ",BD_COMERCIAL!$L117),'Curva Forward'!$B$5:$B$13,0),MATCH(FY$4,'Curva Forward'!$C$4:$AN$4,0))),DA117)</f>
        <v>0</v>
      </c>
      <c r="FZ117" s="190">
        <f>AN117*AN$2*IF($FC117="V",1,-1)*IF($Q117="Fixo",(DB117-INDEX('Curva Forward'!$C$5:$AN$13,MATCH(CONCATENATE(BD_COMERCIAL!$K117," ",BD_COMERCIAL!$L117),'Curva Forward'!$B$5:$B$13,0),MATCH(FZ$4,'Curva Forward'!$C$4:$AN$4,0))),DB117)</f>
        <v>0</v>
      </c>
      <c r="GA117" s="190">
        <f>AO117*AO$2*IF($FC117="V",1,-1)*IF($Q117="Fixo",(DC117-INDEX('Curva Forward'!$C$5:$AN$13,MATCH(CONCATENATE(BD_COMERCIAL!$K117," ",BD_COMERCIAL!$L117),'Curva Forward'!$B$5:$B$13,0),MATCH(GA$4,'Curva Forward'!$C$4:$AN$4,0))),DC117)</f>
        <v>0</v>
      </c>
      <c r="GB117" s="190">
        <f>AP117*AP$2*IF($FC117="V",1,-1)*IF($Q117="Fixo",(DD117-INDEX('Curva Forward'!$C$5:$AN$13,MATCH(CONCATENATE(BD_COMERCIAL!$K117," ",BD_COMERCIAL!$L117),'Curva Forward'!$B$5:$B$13,0),MATCH(GB$4,'Curva Forward'!$C$4:$AN$4,0))),DD117)</f>
        <v>0</v>
      </c>
      <c r="GC117" s="190">
        <f>AQ117*AQ$2*IF($FC117="V",1,-1)*IF($Q117="Fixo",(DE117-INDEX('Curva Forward'!$C$5:$AN$13,MATCH(CONCATENATE(BD_COMERCIAL!$K117," ",BD_COMERCIAL!$L117),'Curva Forward'!$B$5:$B$13,0),MATCH(GC$4,'Curva Forward'!$C$4:$AN$4,0))),DE117)</f>
        <v>0</v>
      </c>
      <c r="GD117" s="190">
        <f>AR117*AR$2*IF($FC117="V",1,-1)*IF($Q117="Fixo",(DF117-INDEX('Curva Forward'!$C$5:$AN$13,MATCH(CONCATENATE(BD_COMERCIAL!$K117," ",BD_COMERCIAL!$L117),'Curva Forward'!$B$5:$B$13,0),MATCH(GD$4,'Curva Forward'!$C$4:$AN$4,0))),DF117)</f>
        <v>0</v>
      </c>
      <c r="GE117" s="190">
        <f>AS117*AS$2*IF($FC117="V",1,-1)*IF($Q117="Fixo",(DG117-INDEX('Curva Forward'!$C$5:$AN$13,MATCH(CONCATENATE(BD_COMERCIAL!$K117," ",BD_COMERCIAL!$L117),'Curva Forward'!$B$5:$B$13,0),MATCH(GE$4,'Curva Forward'!$C$4:$AN$4,0))),DG117)</f>
        <v>0</v>
      </c>
      <c r="GF117" s="190">
        <f>AT117*AT$2*IF($FC117="V",1,-1)*IF($Q117="Fixo",(DH117-INDEX('Curva Forward'!$C$5:$AN$13,MATCH(CONCATENATE(BD_COMERCIAL!$K117," ",BD_COMERCIAL!$L117),'Curva Forward'!$B$5:$B$13,0),MATCH(GF$4,'Curva Forward'!$C$4:$AN$4,0))),DH117)</f>
        <v>0</v>
      </c>
      <c r="GG117" s="190">
        <f>AU117*AU$2*IF($FC117="V",1,-1)*IF($Q117="Fixo",(DI117-INDEX('Curva Forward'!$C$5:$AN$13,MATCH(CONCATENATE(BD_COMERCIAL!$K117," ",BD_COMERCIAL!$L117),'Curva Forward'!$B$5:$B$13,0),MATCH(GG$4,'Curva Forward'!$C$4:$AN$4,0))),DI117)</f>
        <v>0</v>
      </c>
      <c r="GH117" s="190">
        <f>AV117*AV$2*IF($FC117="V",1,-1)*IF($Q117="Fixo",(DJ117-INDEX('Curva Forward'!$C$5:$AN$13,MATCH(CONCATENATE(BD_COMERCIAL!$K117," ",BD_COMERCIAL!$L117),'Curva Forward'!$B$5:$B$13,0),MATCH(GH$4,'Curva Forward'!$C$4:$AN$4,0))),DJ117)</f>
        <v>0</v>
      </c>
      <c r="GI117" s="190">
        <f>AW117*AW$2*IF($FC117="V",1,-1)*IF($Q117="Fixo",(DK117-INDEX('Curva Forward'!$C$5:$AN$13,MATCH(CONCATENATE(BD_COMERCIAL!$K117," ",BD_COMERCIAL!$L117),'Curva Forward'!$B$5:$B$13,0),MATCH(GI$4,'Curva Forward'!$C$4:$AN$4,0))),DK117)</f>
        <v>0</v>
      </c>
      <c r="GJ117" s="190">
        <f>AX117*AX$2*IF($FC117="V",1,-1)*IF($Q117="Fixo",(DL117-INDEX('Curva Forward'!$C$5:$AN$13,MATCH(CONCATENATE(BD_COMERCIAL!$K117," ",BD_COMERCIAL!$L117),'Curva Forward'!$B$5:$B$13,0),MATCH(GJ$4,'Curva Forward'!$C$4:$AN$4,0))),DL117)</f>
        <v>0</v>
      </c>
      <c r="GK117" s="190">
        <f>AY117*AY$2*IF($FC117="V",1,-1)*IF($Q117="Fixo",(DM117-INDEX('Curva Forward'!$C$5:$AN$13,MATCH(CONCATENATE(BD_COMERCIAL!$K117," ",BD_COMERCIAL!$L117),'Curva Forward'!$B$5:$B$13,0),MATCH(GK$4,'Curva Forward'!$C$4:$AN$4,0))),DM117)</f>
        <v>0</v>
      </c>
      <c r="GL117" s="190">
        <f>IF(EZ117="",0,CL117*CL$2*IF($FC117="V",1,-1)*IF($Q117="Fixo",(EZ117-INDEX('Curva Forward'!$C$5:$AN$13,MATCH(CONCATENATE(BD_COMERCIAL!$K117," ",BD_COMERCIAL!$L117),'Curva Forward'!$B$5:$B$13,0),MATCH(GL$4,'Curva Forward'!$C$4:$AN$4,0))),EZ117))</f>
        <v>0</v>
      </c>
      <c r="GM117" s="190">
        <f>IF(FA117="",0,CM117*CM$2*IF($FC117="V",1,-1)*IF($Q117="Fixo",(FA117-INDEX('Curva Forward'!$C$5:$AN$13,MATCH(CONCATENATE(BD_COMERCIAL!$K117," ",BD_COMERCIAL!$L117),'Curva Forward'!$B$5:$B$13,0),MATCH(GM$4,'Curva Forward'!$C$4:$AN$4,0))),FA117))</f>
        <v>0</v>
      </c>
      <c r="GN117" s="190">
        <f>IF(FB117="",0,CN117*CN$2*IF($FC117="V",1,-1)*IF($Q117="Fixo",(FB117-INDEX('Curva Forward'!$C$5:$AN$13,MATCH(CONCATENATE(BD_COMERCIAL!$K117," ",BD_COMERCIAL!$L117),'Curva Forward'!$B$5:$B$13,0),MATCH(GN$4,'Curva Forward'!$C$4:$AN$4,0))),FB117))</f>
        <v>0</v>
      </c>
      <c r="GO117" s="191">
        <f t="shared" ca="1" si="18"/>
        <v>0</v>
      </c>
      <c r="GP117" s="191">
        <f t="shared" ca="1" si="19"/>
        <v>-21816</v>
      </c>
      <c r="GQ117" s="115"/>
      <c r="GR117" s="115"/>
      <c r="GS117"/>
      <c r="GT117" s="65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</row>
    <row r="118" spans="1:236" s="265" customFormat="1" ht="15" customHeight="1" x14ac:dyDescent="0.35">
      <c r="A118" s="251"/>
      <c r="B118" s="7" t="s">
        <v>490</v>
      </c>
      <c r="C118" s="8">
        <v>44915</v>
      </c>
      <c r="D118" s="9" t="s">
        <v>123</v>
      </c>
      <c r="E118" s="9" t="s">
        <v>381</v>
      </c>
      <c r="F118" s="112" t="s">
        <v>348</v>
      </c>
      <c r="G118" s="10" t="s">
        <v>491</v>
      </c>
      <c r="H118" s="112" t="s">
        <v>492</v>
      </c>
      <c r="I118" s="9" t="s">
        <v>137</v>
      </c>
      <c r="J118" s="158"/>
      <c r="K118" s="10" t="s">
        <v>126</v>
      </c>
      <c r="L118" s="84" t="s">
        <v>22</v>
      </c>
      <c r="M118" s="11">
        <v>45292</v>
      </c>
      <c r="N118" s="12">
        <v>45657</v>
      </c>
      <c r="O118" s="10">
        <v>2</v>
      </c>
      <c r="P118" s="84">
        <v>115</v>
      </c>
      <c r="Q118" s="84" t="s">
        <v>127</v>
      </c>
      <c r="R118" s="10" t="s">
        <v>128</v>
      </c>
      <c r="S118" s="14" t="s">
        <v>133</v>
      </c>
      <c r="T118" s="11" t="s">
        <v>129</v>
      </c>
      <c r="U118" s="12">
        <v>44915</v>
      </c>
      <c r="V118" s="202" t="e">
        <f ca="1">IF(U118="","",
IF(U118="NA","",
IFERROR(VLOOKUP(EOMONTH(M118,-2)+1,IPCA!$A:$B,2,0),
VLOOKUP(EOMONTH(TODAY(),-2)+1,IPCA!$A:$B,2,0))/
VLOOKUP(EOMONTH(U118,-2)+1,IPCA!$A:$B,2,0)*
P118))</f>
        <v>#N/A</v>
      </c>
      <c r="W118" s="84"/>
      <c r="X118" s="13" t="s">
        <v>132</v>
      </c>
      <c r="Y118" s="158"/>
      <c r="Z118" s="106"/>
      <c r="AA118" s="107"/>
      <c r="AB118" s="15"/>
      <c r="AC118"/>
      <c r="AD118"/>
      <c r="AE118"/>
      <c r="AF118"/>
      <c r="AG118"/>
      <c r="AH118"/>
      <c r="AI118"/>
      <c r="AJ118"/>
      <c r="AK118"/>
      <c r="AL118"/>
      <c r="AM118" s="6"/>
      <c r="AN118" s="15">
        <v>2</v>
      </c>
      <c r="AO118">
        <v>2</v>
      </c>
      <c r="AP118">
        <v>2</v>
      </c>
      <c r="AQ118">
        <v>2</v>
      </c>
      <c r="AR118">
        <v>2</v>
      </c>
      <c r="AS118">
        <v>2</v>
      </c>
      <c r="AT118">
        <v>2</v>
      </c>
      <c r="AU118">
        <v>2</v>
      </c>
      <c r="AV118">
        <v>2</v>
      </c>
      <c r="AW118">
        <v>2</v>
      </c>
      <c r="AX118">
        <v>2</v>
      </c>
      <c r="AY118" s="6">
        <v>2</v>
      </c>
      <c r="AZ118" s="15"/>
      <c r="BA118"/>
      <c r="BB118"/>
      <c r="BC118"/>
      <c r="BD118"/>
      <c r="BE118"/>
      <c r="BF118"/>
      <c r="BG118"/>
      <c r="BH118"/>
      <c r="BI118"/>
      <c r="BJ118"/>
      <c r="BK118" s="6"/>
      <c r="BL118" s="15"/>
      <c r="BM118"/>
      <c r="BN118"/>
      <c r="BO118"/>
      <c r="BP118"/>
      <c r="BQ118"/>
      <c r="BR118"/>
      <c r="BS118"/>
      <c r="BT118"/>
      <c r="BU118"/>
      <c r="BV118"/>
      <c r="BW118" s="6"/>
      <c r="BX118" s="15"/>
      <c r="BY118"/>
      <c r="BZ118"/>
      <c r="CA118"/>
      <c r="CB118"/>
      <c r="CC118"/>
      <c r="CD118"/>
      <c r="CE118"/>
      <c r="CF118"/>
      <c r="CG118"/>
      <c r="CH118"/>
      <c r="CI118" s="6"/>
      <c r="CJ118" s="16" t="s">
        <v>578</v>
      </c>
      <c r="CK118" s="16">
        <v>2</v>
      </c>
      <c r="CL118" s="16" t="s">
        <v>578</v>
      </c>
      <c r="CM118" s="16" t="s">
        <v>578</v>
      </c>
      <c r="CN118" s="16" t="s">
        <v>578</v>
      </c>
      <c r="CO118" s="18"/>
      <c r="CP118" s="15"/>
      <c r="CQ118"/>
      <c r="CR118"/>
      <c r="CS118"/>
      <c r="CT118"/>
      <c r="CU118"/>
      <c r="CV118"/>
      <c r="CW118"/>
      <c r="CX118"/>
      <c r="CY118"/>
      <c r="CZ118"/>
      <c r="DA118" s="6"/>
      <c r="DB118" s="15">
        <v>115</v>
      </c>
      <c r="DC118">
        <v>115</v>
      </c>
      <c r="DD118">
        <v>115</v>
      </c>
      <c r="DE118">
        <v>115</v>
      </c>
      <c r="DF118">
        <v>115</v>
      </c>
      <c r="DG118">
        <v>115</v>
      </c>
      <c r="DH118">
        <v>115</v>
      </c>
      <c r="DI118">
        <v>115</v>
      </c>
      <c r="DJ118">
        <v>115</v>
      </c>
      <c r="DK118">
        <v>115</v>
      </c>
      <c r="DL118">
        <v>115</v>
      </c>
      <c r="DM118" s="6">
        <v>115</v>
      </c>
      <c r="DN118" s="15"/>
      <c r="DO118"/>
      <c r="DP118"/>
      <c r="DQ118"/>
      <c r="DR118"/>
      <c r="DS118"/>
      <c r="DT118"/>
      <c r="DU118"/>
      <c r="DV118"/>
      <c r="DW118"/>
      <c r="DX118"/>
      <c r="DY118" s="6"/>
      <c r="DZ118" s="15"/>
      <c r="EA118"/>
      <c r="EB118"/>
      <c r="EC118"/>
      <c r="ED118"/>
      <c r="EE118"/>
      <c r="EF118"/>
      <c r="EG118"/>
      <c r="EH118"/>
      <c r="EI118"/>
      <c r="EJ118"/>
      <c r="EK118" s="6"/>
      <c r="EL118" s="15"/>
      <c r="EM118"/>
      <c r="EN118"/>
      <c r="EO118"/>
      <c r="EP118"/>
      <c r="EQ118"/>
      <c r="ER118"/>
      <c r="ES118"/>
      <c r="ET118"/>
      <c r="EU118"/>
      <c r="EV118"/>
      <c r="EW118" s="6"/>
      <c r="EX118" s="16" t="s">
        <v>578</v>
      </c>
      <c r="EY118" s="16">
        <v>115</v>
      </c>
      <c r="EZ118" s="16" t="s">
        <v>578</v>
      </c>
      <c r="FA118" s="154" t="s">
        <v>578</v>
      </c>
      <c r="FB118" s="154" t="s">
        <v>578</v>
      </c>
      <c r="FC118" t="s">
        <v>195</v>
      </c>
      <c r="FD118" s="20" t="s">
        <v>137</v>
      </c>
      <c r="FE118"/>
      <c r="FF118" s="199" t="s">
        <v>197</v>
      </c>
      <c r="FG118"/>
      <c r="FH118" s="206" t="e">
        <f t="shared" ca="1" si="13"/>
        <v>#N/A</v>
      </c>
      <c r="FI118" s="198">
        <f t="shared" si="14"/>
        <v>12.166666666666666</v>
      </c>
      <c r="FJ118"/>
      <c r="FK118" t="str">
        <f t="shared" si="15"/>
        <v>URCA COMERCIALIZADORA DE ENERGIA LTDA</v>
      </c>
      <c r="FL118" s="191">
        <f t="shared" ca="1" si="16"/>
        <v>0</v>
      </c>
      <c r="FM118" s="191">
        <f t="shared" ca="1" si="17"/>
        <v>535392</v>
      </c>
      <c r="FN118" s="190">
        <f>AB118*AB$2*IF($FC118="V",1,-1)*IF($Q118="Fixo",(CP118-INDEX('Curva Forward'!$C$5:$AN$13,MATCH(CONCATENATE(BD_COMERCIAL!$K118," ",BD_COMERCIAL!$L118),'Curva Forward'!$B$5:$B$13,0),MATCH(FN$4,'Curva Forward'!$C$4:$AN$4,0))),CP118)</f>
        <v>0</v>
      </c>
      <c r="FO118" s="190">
        <f>AC118*AC$2*IF($FC118="V",1,-1)*IF($Q118="Fixo",(CQ118-INDEX('Curva Forward'!$C$5:$AN$13,MATCH(CONCATENATE(BD_COMERCIAL!$K118," ",BD_COMERCIAL!$L118),'Curva Forward'!$B$5:$B$13,0),MATCH(FO$4,'Curva Forward'!$C$4:$AN$4,0))),CQ118)</f>
        <v>0</v>
      </c>
      <c r="FP118" s="190">
        <f>AD118*AD$2*IF($FC118="V",1,-1)*IF($Q118="Fixo",(CR118-INDEX('Curva Forward'!$C$5:$AN$13,MATCH(CONCATENATE(BD_COMERCIAL!$K118," ",BD_COMERCIAL!$L118),'Curva Forward'!$B$5:$B$13,0),MATCH(FP$4,'Curva Forward'!$C$4:$AN$4,0))),CR118)</f>
        <v>0</v>
      </c>
      <c r="FQ118" s="190">
        <f>AE118*AE$2*IF($FC118="V",1,-1)*IF($Q118="Fixo",(CS118-INDEX('Curva Forward'!$C$5:$AN$13,MATCH(CONCATENATE(BD_COMERCIAL!$K118," ",BD_COMERCIAL!$L118),'Curva Forward'!$B$5:$B$13,0),MATCH(FQ$4,'Curva Forward'!$C$4:$AN$4,0))),CS118)</f>
        <v>0</v>
      </c>
      <c r="FR118" s="190">
        <f>AF118*AF$2*IF($FC118="V",1,-1)*IF($Q118="Fixo",(CT118-INDEX('Curva Forward'!$C$5:$AN$13,MATCH(CONCATENATE(BD_COMERCIAL!$K118," ",BD_COMERCIAL!$L118),'Curva Forward'!$B$5:$B$13,0),MATCH(FR$4,'Curva Forward'!$C$4:$AN$4,0))),CT118)</f>
        <v>0</v>
      </c>
      <c r="FS118" s="190">
        <f>AG118*AG$2*IF($FC118="V",1,-1)*IF($Q118="Fixo",(CU118-INDEX('Curva Forward'!$C$5:$AN$13,MATCH(CONCATENATE(BD_COMERCIAL!$K118," ",BD_COMERCIAL!$L118),'Curva Forward'!$B$5:$B$13,0),MATCH(FS$4,'Curva Forward'!$C$4:$AN$4,0))),CU118)</f>
        <v>0</v>
      </c>
      <c r="FT118" s="190">
        <f>AH118*AH$2*IF($FC118="V",1,-1)*IF($Q118="Fixo",(CV118-INDEX('Curva Forward'!$C$5:$AN$13,MATCH(CONCATENATE(BD_COMERCIAL!$K118," ",BD_COMERCIAL!$L118),'Curva Forward'!$B$5:$B$13,0),MATCH(FT$4,'Curva Forward'!$C$4:$AN$4,0))),CV118)</f>
        <v>0</v>
      </c>
      <c r="FU118" s="190">
        <f>AI118*AI$2*IF($FC118="V",1,-1)*IF($Q118="Fixo",(CW118-INDEX('Curva Forward'!$C$5:$AN$13,MATCH(CONCATENATE(BD_COMERCIAL!$K118," ",BD_COMERCIAL!$L118),'Curva Forward'!$B$5:$B$13,0),MATCH(FU$4,'Curva Forward'!$C$4:$AN$4,0))),CW118)</f>
        <v>0</v>
      </c>
      <c r="FV118" s="190">
        <f>AJ118*AJ$2*IF($FC118="V",1,-1)*IF($Q118="Fixo",(CX118-INDEX('Curva Forward'!$C$5:$AN$13,MATCH(CONCATENATE(BD_COMERCIAL!$K118," ",BD_COMERCIAL!$L118),'Curva Forward'!$B$5:$B$13,0),MATCH(FV$4,'Curva Forward'!$C$4:$AN$4,0))),CX118)</f>
        <v>0</v>
      </c>
      <c r="FW118" s="190">
        <f>AK118*AK$2*IF($FC118="V",1,-1)*IF($Q118="Fixo",(CY118-INDEX('Curva Forward'!$C$5:$AN$13,MATCH(CONCATENATE(BD_COMERCIAL!$K118," ",BD_COMERCIAL!$L118),'Curva Forward'!$B$5:$B$13,0),MATCH(FW$4,'Curva Forward'!$C$4:$AN$4,0))),CY118)</f>
        <v>0</v>
      </c>
      <c r="FX118" s="190">
        <f>AL118*AL$2*IF($FC118="V",1,-1)*IF($Q118="Fixo",(CZ118-INDEX('Curva Forward'!$C$5:$AN$13,MATCH(CONCATENATE(BD_COMERCIAL!$K118," ",BD_COMERCIAL!$L118),'Curva Forward'!$B$5:$B$13,0),MATCH(FX$4,'Curva Forward'!$C$4:$AN$4,0))),CZ118)</f>
        <v>0</v>
      </c>
      <c r="FY118" s="190">
        <f>AM118*AM$2*IF($FC118="V",1,-1)*IF($Q118="Fixo",(DA118-INDEX('Curva Forward'!$C$5:$AN$13,MATCH(CONCATENATE(BD_COMERCIAL!$K118," ",BD_COMERCIAL!$L118),'Curva Forward'!$B$5:$B$13,0),MATCH(FY$4,'Curva Forward'!$C$4:$AN$4,0))),DA118)</f>
        <v>0</v>
      </c>
      <c r="FZ118" s="190">
        <f>AN118*AN$2*IF($FC118="V",1,-1)*IF($Q118="Fixo",(DB118-INDEX('Curva Forward'!$C$5:$AN$13,MATCH(CONCATENATE(BD_COMERCIAL!$K118," ",BD_COMERCIAL!$L118),'Curva Forward'!$B$5:$B$13,0),MATCH(FZ$4,'Curva Forward'!$C$4:$AN$4,0))),DB118)</f>
        <v>52080</v>
      </c>
      <c r="GA118" s="190">
        <f>AO118*AO$2*IF($FC118="V",1,-1)*IF($Q118="Fixo",(DC118-INDEX('Curva Forward'!$C$5:$AN$13,MATCH(CONCATENATE(BD_COMERCIAL!$K118," ",BD_COMERCIAL!$L118),'Curva Forward'!$B$5:$B$13,0),MATCH(GA$4,'Curva Forward'!$C$4:$AN$4,0))),DC118)</f>
        <v>48720</v>
      </c>
      <c r="GB118" s="190">
        <f>AP118*AP$2*IF($FC118="V",1,-1)*IF($Q118="Fixo",(DD118-INDEX('Curva Forward'!$C$5:$AN$13,MATCH(CONCATENATE(BD_COMERCIAL!$K118," ",BD_COMERCIAL!$L118),'Curva Forward'!$B$5:$B$13,0),MATCH(GB$4,'Curva Forward'!$C$4:$AN$4,0))),DD118)</f>
        <v>52080</v>
      </c>
      <c r="GC118" s="190">
        <f>AQ118*AQ$2*IF($FC118="V",1,-1)*IF($Q118="Fixo",(DE118-INDEX('Curva Forward'!$C$5:$AN$13,MATCH(CONCATENATE(BD_COMERCIAL!$K118," ",BD_COMERCIAL!$L118),'Curva Forward'!$B$5:$B$13,0),MATCH(GC$4,'Curva Forward'!$C$4:$AN$4,0))),DE118)</f>
        <v>50400</v>
      </c>
      <c r="GD118" s="190">
        <f>AR118*AR$2*IF($FC118="V",1,-1)*IF($Q118="Fixo",(DF118-INDEX('Curva Forward'!$C$5:$AN$13,MATCH(CONCATENATE(BD_COMERCIAL!$K118," ",BD_COMERCIAL!$L118),'Curva Forward'!$B$5:$B$13,0),MATCH(GD$4,'Curva Forward'!$C$4:$AN$4,0))),DF118)</f>
        <v>52080</v>
      </c>
      <c r="GE118" s="190">
        <f>AS118*AS$2*IF($FC118="V",1,-1)*IF($Q118="Fixo",(DG118-INDEX('Curva Forward'!$C$5:$AN$13,MATCH(CONCATENATE(BD_COMERCIAL!$K118," ",BD_COMERCIAL!$L118),'Curva Forward'!$B$5:$B$13,0),MATCH(GE$4,'Curva Forward'!$C$4:$AN$4,0))),DG118)</f>
        <v>50400</v>
      </c>
      <c r="GF118" s="190">
        <f>AT118*AT$2*IF($FC118="V",1,-1)*IF($Q118="Fixo",(DH118-INDEX('Curva Forward'!$C$5:$AN$13,MATCH(CONCATENATE(BD_COMERCIAL!$K118," ",BD_COMERCIAL!$L118),'Curva Forward'!$B$5:$B$13,0),MATCH(GF$4,'Curva Forward'!$C$4:$AN$4,0))),DH118)</f>
        <v>38688</v>
      </c>
      <c r="GG118" s="190">
        <f>AU118*AU$2*IF($FC118="V",1,-1)*IF($Q118="Fixo",(DI118-INDEX('Curva Forward'!$C$5:$AN$13,MATCH(CONCATENATE(BD_COMERCIAL!$K118," ",BD_COMERCIAL!$L118),'Curva Forward'!$B$5:$B$13,0),MATCH(GG$4,'Curva Forward'!$C$4:$AN$4,0))),DI118)</f>
        <v>38688</v>
      </c>
      <c r="GH118" s="190">
        <f>AV118*AV$2*IF($FC118="V",1,-1)*IF($Q118="Fixo",(DJ118-INDEX('Curva Forward'!$C$5:$AN$13,MATCH(CONCATENATE(BD_COMERCIAL!$K118," ",BD_COMERCIAL!$L118),'Curva Forward'!$B$5:$B$13,0),MATCH(GH$4,'Curva Forward'!$C$4:$AN$4,0))),DJ118)</f>
        <v>37440</v>
      </c>
      <c r="GI118" s="190">
        <f>AW118*AW$2*IF($FC118="V",1,-1)*IF($Q118="Fixo",(DK118-INDEX('Curva Forward'!$C$5:$AN$13,MATCH(CONCATENATE(BD_COMERCIAL!$K118," ",BD_COMERCIAL!$L118),'Curva Forward'!$B$5:$B$13,0),MATCH(GI$4,'Curva Forward'!$C$4:$AN$4,0))),DK118)</f>
        <v>38688</v>
      </c>
      <c r="GJ118" s="190">
        <f>AX118*AX$2*IF($FC118="V",1,-1)*IF($Q118="Fixo",(DL118-INDEX('Curva Forward'!$C$5:$AN$13,MATCH(CONCATENATE(BD_COMERCIAL!$K118," ",BD_COMERCIAL!$L118),'Curva Forward'!$B$5:$B$13,0),MATCH(GJ$4,'Curva Forward'!$C$4:$AN$4,0))),DL118)</f>
        <v>37440</v>
      </c>
      <c r="GK118" s="190">
        <f>AY118*AY$2*IF($FC118="V",1,-1)*IF($Q118="Fixo",(DM118-INDEX('Curva Forward'!$C$5:$AN$13,MATCH(CONCATENATE(BD_COMERCIAL!$K118," ",BD_COMERCIAL!$L118),'Curva Forward'!$B$5:$B$13,0),MATCH(GK$4,'Curva Forward'!$C$4:$AN$4,0))),DM118)</f>
        <v>38688</v>
      </c>
      <c r="GL118" s="190">
        <f>IF(EZ118="",0,CL118*CL$2*IF($FC118="V",1,-1)*IF($Q118="Fixo",(EZ118-INDEX('Curva Forward'!$C$5:$AN$13,MATCH(CONCATENATE(BD_COMERCIAL!$K118," ",BD_COMERCIAL!$L118),'Curva Forward'!$B$5:$B$13,0),MATCH(GL$4,'Curva Forward'!$C$4:$AN$4,0))),EZ118))</f>
        <v>0</v>
      </c>
      <c r="GM118" s="190">
        <f>IF(FA118="",0,CM118*CM$2*IF($FC118="V",1,-1)*IF($Q118="Fixo",(FA118-INDEX('Curva Forward'!$C$5:$AN$13,MATCH(CONCATENATE(BD_COMERCIAL!$K118," ",BD_COMERCIAL!$L118),'Curva Forward'!$B$5:$B$13,0),MATCH(GM$4,'Curva Forward'!$C$4:$AN$4,0))),FA118))</f>
        <v>0</v>
      </c>
      <c r="GN118" s="190">
        <f>IF(FB118="",0,CN118*CN$2*IF($FC118="V",1,-1)*IF($Q118="Fixo",(FB118-INDEX('Curva Forward'!$C$5:$AN$13,MATCH(CONCATENATE(BD_COMERCIAL!$K118," ",BD_COMERCIAL!$L118),'Curva Forward'!$B$5:$B$13,0),MATCH(GN$4,'Curva Forward'!$C$4:$AN$4,0))),FB118))</f>
        <v>0</v>
      </c>
      <c r="GO118" s="191">
        <f t="shared" ca="1" si="18"/>
        <v>535392</v>
      </c>
      <c r="GP118" s="191">
        <f t="shared" ca="1" si="19"/>
        <v>0</v>
      </c>
      <c r="GQ118" s="115"/>
      <c r="GR118" s="115"/>
      <c r="GS118"/>
      <c r="GT118" s="65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</row>
    <row r="119" spans="1:236" s="265" customFormat="1" ht="15" customHeight="1" x14ac:dyDescent="0.35">
      <c r="A119" s="251"/>
      <c r="B119" s="7" t="s">
        <v>495</v>
      </c>
      <c r="C119" s="8">
        <v>44916</v>
      </c>
      <c r="D119" s="9" t="s">
        <v>123</v>
      </c>
      <c r="E119" s="9" t="s">
        <v>381</v>
      </c>
      <c r="F119" s="112" t="s">
        <v>348</v>
      </c>
      <c r="G119" s="10" t="s">
        <v>409</v>
      </c>
      <c r="H119" s="112" t="s">
        <v>410</v>
      </c>
      <c r="I119" s="9" t="s">
        <v>125</v>
      </c>
      <c r="J119" s="158" t="s">
        <v>496</v>
      </c>
      <c r="K119" s="10" t="s">
        <v>126</v>
      </c>
      <c r="L119" s="84" t="s">
        <v>22</v>
      </c>
      <c r="M119" s="11">
        <v>45017</v>
      </c>
      <c r="N119" s="12">
        <v>45077</v>
      </c>
      <c r="O119" s="10">
        <v>20</v>
      </c>
      <c r="P119" s="84">
        <v>73</v>
      </c>
      <c r="Q119" s="84" t="s">
        <v>127</v>
      </c>
      <c r="R119" s="10" t="s">
        <v>128</v>
      </c>
      <c r="S119" s="14" t="s">
        <v>133</v>
      </c>
      <c r="T119" s="11"/>
      <c r="U119" s="12"/>
      <c r="V119" s="202" t="str">
        <f ca="1">IF(U119="","",
IF(U119="NA","",
IFERROR(VLOOKUP(EOMONTH(M119,-2)+1,IPCA!$A:$B,2,0),
VLOOKUP(EOMONTH(TODAY(),-2)+1,IPCA!$A:$B,2,0))/
VLOOKUP(EOMONTH(U119,-2)+1,IPCA!$A:$B,2,0)*
P119))</f>
        <v/>
      </c>
      <c r="W119" s="84"/>
      <c r="X119" s="13" t="s">
        <v>132</v>
      </c>
      <c r="Y119" s="158"/>
      <c r="Z119" s="106"/>
      <c r="AA119" s="107"/>
      <c r="AB119" s="15"/>
      <c r="AC119"/>
      <c r="AD119"/>
      <c r="AE119">
        <v>20</v>
      </c>
      <c r="AF119">
        <v>20</v>
      </c>
      <c r="AG119"/>
      <c r="AH119"/>
      <c r="AI119"/>
      <c r="AJ119"/>
      <c r="AK119"/>
      <c r="AL119"/>
      <c r="AM119" s="6"/>
      <c r="AN119" s="15"/>
      <c r="AO119"/>
      <c r="AP119"/>
      <c r="AQ119"/>
      <c r="AR119"/>
      <c r="AS119"/>
      <c r="AT119"/>
      <c r="AU119"/>
      <c r="AV119"/>
      <c r="AW119"/>
      <c r="AX119"/>
      <c r="AY119" s="6"/>
      <c r="AZ119" s="15"/>
      <c r="BA119"/>
      <c r="BB119"/>
      <c r="BC119"/>
      <c r="BD119"/>
      <c r="BE119"/>
      <c r="BF119"/>
      <c r="BG119"/>
      <c r="BH119"/>
      <c r="BI119"/>
      <c r="BJ119"/>
      <c r="BK119" s="6"/>
      <c r="BL119" s="15"/>
      <c r="BM119"/>
      <c r="BN119"/>
      <c r="BO119"/>
      <c r="BP119"/>
      <c r="BQ119"/>
      <c r="BR119"/>
      <c r="BS119"/>
      <c r="BT119"/>
      <c r="BU119"/>
      <c r="BV119"/>
      <c r="BW119" s="6"/>
      <c r="BX119" s="15"/>
      <c r="BY119"/>
      <c r="BZ119"/>
      <c r="CA119"/>
      <c r="CB119"/>
      <c r="CC119"/>
      <c r="CD119"/>
      <c r="CE119"/>
      <c r="CF119"/>
      <c r="CG119"/>
      <c r="CH119"/>
      <c r="CI119" s="6"/>
      <c r="CJ119" s="16">
        <v>3.3424657534246576</v>
      </c>
      <c r="CK119" s="16" t="s">
        <v>578</v>
      </c>
      <c r="CL119" s="16" t="s">
        <v>578</v>
      </c>
      <c r="CM119" s="16" t="s">
        <v>578</v>
      </c>
      <c r="CN119" s="16" t="s">
        <v>578</v>
      </c>
      <c r="CO119" s="18"/>
      <c r="CP119" s="15"/>
      <c r="CQ119"/>
      <c r="CR119"/>
      <c r="CS119">
        <v>73</v>
      </c>
      <c r="CT119">
        <v>73</v>
      </c>
      <c r="CU119"/>
      <c r="CV119"/>
      <c r="CW119"/>
      <c r="CX119"/>
      <c r="CY119"/>
      <c r="CZ119"/>
      <c r="DA119" s="6"/>
      <c r="DB119" s="15"/>
      <c r="DC119"/>
      <c r="DD119"/>
      <c r="DE119"/>
      <c r="DF119"/>
      <c r="DG119"/>
      <c r="DH119"/>
      <c r="DI119"/>
      <c r="DJ119"/>
      <c r="DK119"/>
      <c r="DL119"/>
      <c r="DM119" s="6"/>
      <c r="DN119" s="15"/>
      <c r="DO119"/>
      <c r="DP119"/>
      <c r="DQ119"/>
      <c r="DR119"/>
      <c r="DS119"/>
      <c r="DT119"/>
      <c r="DU119"/>
      <c r="DV119"/>
      <c r="DW119"/>
      <c r="DX119"/>
      <c r="DY119" s="6"/>
      <c r="DZ119" s="15"/>
      <c r="EA119"/>
      <c r="EB119"/>
      <c r="EC119"/>
      <c r="ED119"/>
      <c r="EE119"/>
      <c r="EF119"/>
      <c r="EG119"/>
      <c r="EH119"/>
      <c r="EI119"/>
      <c r="EJ119"/>
      <c r="EK119" s="6"/>
      <c r="EL119" s="15"/>
      <c r="EM119"/>
      <c r="EN119"/>
      <c r="EO119"/>
      <c r="EP119"/>
      <c r="EQ119"/>
      <c r="ER119"/>
      <c r="ES119"/>
      <c r="ET119"/>
      <c r="EU119"/>
      <c r="EV119"/>
      <c r="EW119" s="6"/>
      <c r="EX119" s="16">
        <v>12.2</v>
      </c>
      <c r="EY119" s="16" t="s">
        <v>578</v>
      </c>
      <c r="EZ119" s="16" t="s">
        <v>578</v>
      </c>
      <c r="FA119" s="154" t="s">
        <v>578</v>
      </c>
      <c r="FB119" s="154" t="s">
        <v>578</v>
      </c>
      <c r="FC119" t="s">
        <v>195</v>
      </c>
      <c r="FD119" s="20" t="s">
        <v>125</v>
      </c>
      <c r="FE119"/>
      <c r="FF119" s="199" t="s">
        <v>197</v>
      </c>
      <c r="FG119"/>
      <c r="FH119" s="206">
        <f t="shared" ca="1" si="13"/>
        <v>0</v>
      </c>
      <c r="FI119" s="198">
        <f t="shared" si="14"/>
        <v>2</v>
      </c>
      <c r="FJ119"/>
      <c r="FK119" t="str">
        <f t="shared" si="15"/>
        <v>GOLD COMERCIALIZADORA DE ENERGIA LTDA</v>
      </c>
      <c r="FL119" s="191">
        <f t="shared" ca="1" si="16"/>
        <v>0</v>
      </c>
      <c r="FM119" s="191">
        <f t="shared" ca="1" si="17"/>
        <v>102240</v>
      </c>
      <c r="FN119" s="190">
        <f>AB119*AB$2*IF($FC119="V",1,-1)*IF($Q119="Fixo",(CP119-INDEX('Curva Forward'!$C$5:$AN$13,MATCH(CONCATENATE(BD_COMERCIAL!$K119," ",BD_COMERCIAL!$L119),'Curva Forward'!$B$5:$B$13,0),MATCH(FN$4,'Curva Forward'!$C$4:$AN$4,0))),CP119)</f>
        <v>0</v>
      </c>
      <c r="FO119" s="190">
        <f>AC119*AC$2*IF($FC119="V",1,-1)*IF($Q119="Fixo",(CQ119-INDEX('Curva Forward'!$C$5:$AN$13,MATCH(CONCATENATE(BD_COMERCIAL!$K119," ",BD_COMERCIAL!$L119),'Curva Forward'!$B$5:$B$13,0),MATCH(FO$4,'Curva Forward'!$C$4:$AN$4,0))),CQ119)</f>
        <v>0</v>
      </c>
      <c r="FP119" s="190">
        <f>AD119*AD$2*IF($FC119="V",1,-1)*IF($Q119="Fixo",(CR119-INDEX('Curva Forward'!$C$5:$AN$13,MATCH(CONCATENATE(BD_COMERCIAL!$K119," ",BD_COMERCIAL!$L119),'Curva Forward'!$B$5:$B$13,0),MATCH(FP$4,'Curva Forward'!$C$4:$AN$4,0))),CR119)</f>
        <v>0</v>
      </c>
      <c r="FQ119" s="190">
        <f>AE119*AE$2*IF($FC119="V",1,-1)*IF($Q119="Fixo",(CS119-INDEX('Curva Forward'!$C$5:$AN$13,MATCH(CONCATENATE(BD_COMERCIAL!$K119," ",BD_COMERCIAL!$L119),'Curva Forward'!$B$5:$B$13,0),MATCH(FQ$4,'Curva Forward'!$C$4:$AN$4,0))),CS119)</f>
        <v>57600</v>
      </c>
      <c r="FR119" s="190">
        <f>AF119*AF$2*IF($FC119="V",1,-1)*IF($Q119="Fixo",(CT119-INDEX('Curva Forward'!$C$5:$AN$13,MATCH(CONCATENATE(BD_COMERCIAL!$K119," ",BD_COMERCIAL!$L119),'Curva Forward'!$B$5:$B$13,0),MATCH(FR$4,'Curva Forward'!$C$4:$AN$4,0))),CT119)</f>
        <v>44640</v>
      </c>
      <c r="FS119" s="190">
        <f>AG119*AG$2*IF($FC119="V",1,-1)*IF($Q119="Fixo",(CU119-INDEX('Curva Forward'!$C$5:$AN$13,MATCH(CONCATENATE(BD_COMERCIAL!$K119," ",BD_COMERCIAL!$L119),'Curva Forward'!$B$5:$B$13,0),MATCH(FS$4,'Curva Forward'!$C$4:$AN$4,0))),CU119)</f>
        <v>0</v>
      </c>
      <c r="FT119" s="190">
        <f>AH119*AH$2*IF($FC119="V",1,-1)*IF($Q119="Fixo",(CV119-INDEX('Curva Forward'!$C$5:$AN$13,MATCH(CONCATENATE(BD_COMERCIAL!$K119," ",BD_COMERCIAL!$L119),'Curva Forward'!$B$5:$B$13,0),MATCH(FT$4,'Curva Forward'!$C$4:$AN$4,0))),CV119)</f>
        <v>0</v>
      </c>
      <c r="FU119" s="190">
        <f>AI119*AI$2*IF($FC119="V",1,-1)*IF($Q119="Fixo",(CW119-INDEX('Curva Forward'!$C$5:$AN$13,MATCH(CONCATENATE(BD_COMERCIAL!$K119," ",BD_COMERCIAL!$L119),'Curva Forward'!$B$5:$B$13,0),MATCH(FU$4,'Curva Forward'!$C$4:$AN$4,0))),CW119)</f>
        <v>0</v>
      </c>
      <c r="FV119" s="190">
        <f>AJ119*AJ$2*IF($FC119="V",1,-1)*IF($Q119="Fixo",(CX119-INDEX('Curva Forward'!$C$5:$AN$13,MATCH(CONCATENATE(BD_COMERCIAL!$K119," ",BD_COMERCIAL!$L119),'Curva Forward'!$B$5:$B$13,0),MATCH(FV$4,'Curva Forward'!$C$4:$AN$4,0))),CX119)</f>
        <v>0</v>
      </c>
      <c r="FW119" s="190">
        <f>AK119*AK$2*IF($FC119="V",1,-1)*IF($Q119="Fixo",(CY119-INDEX('Curva Forward'!$C$5:$AN$13,MATCH(CONCATENATE(BD_COMERCIAL!$K119," ",BD_COMERCIAL!$L119),'Curva Forward'!$B$5:$B$13,0),MATCH(FW$4,'Curva Forward'!$C$4:$AN$4,0))),CY119)</f>
        <v>0</v>
      </c>
      <c r="FX119" s="190">
        <f>AL119*AL$2*IF($FC119="V",1,-1)*IF($Q119="Fixo",(CZ119-INDEX('Curva Forward'!$C$5:$AN$13,MATCH(CONCATENATE(BD_COMERCIAL!$K119," ",BD_COMERCIAL!$L119),'Curva Forward'!$B$5:$B$13,0),MATCH(FX$4,'Curva Forward'!$C$4:$AN$4,0))),CZ119)</f>
        <v>0</v>
      </c>
      <c r="FY119" s="190">
        <f>AM119*AM$2*IF($FC119="V",1,-1)*IF($Q119="Fixo",(DA119-INDEX('Curva Forward'!$C$5:$AN$13,MATCH(CONCATENATE(BD_COMERCIAL!$K119," ",BD_COMERCIAL!$L119),'Curva Forward'!$B$5:$B$13,0),MATCH(FY$4,'Curva Forward'!$C$4:$AN$4,0))),DA119)</f>
        <v>0</v>
      </c>
      <c r="FZ119" s="190">
        <f>AN119*AN$2*IF($FC119="V",1,-1)*IF($Q119="Fixo",(DB119-INDEX('Curva Forward'!$C$5:$AN$13,MATCH(CONCATENATE(BD_COMERCIAL!$K119," ",BD_COMERCIAL!$L119),'Curva Forward'!$B$5:$B$13,0),MATCH(FZ$4,'Curva Forward'!$C$4:$AN$4,0))),DB119)</f>
        <v>0</v>
      </c>
      <c r="GA119" s="190">
        <f>AO119*AO$2*IF($FC119="V",1,-1)*IF($Q119="Fixo",(DC119-INDEX('Curva Forward'!$C$5:$AN$13,MATCH(CONCATENATE(BD_COMERCIAL!$K119," ",BD_COMERCIAL!$L119),'Curva Forward'!$B$5:$B$13,0),MATCH(GA$4,'Curva Forward'!$C$4:$AN$4,0))),DC119)</f>
        <v>0</v>
      </c>
      <c r="GB119" s="190">
        <f>AP119*AP$2*IF($FC119="V",1,-1)*IF($Q119="Fixo",(DD119-INDEX('Curva Forward'!$C$5:$AN$13,MATCH(CONCATENATE(BD_COMERCIAL!$K119," ",BD_COMERCIAL!$L119),'Curva Forward'!$B$5:$B$13,0),MATCH(GB$4,'Curva Forward'!$C$4:$AN$4,0))),DD119)</f>
        <v>0</v>
      </c>
      <c r="GC119" s="190">
        <f>AQ119*AQ$2*IF($FC119="V",1,-1)*IF($Q119="Fixo",(DE119-INDEX('Curva Forward'!$C$5:$AN$13,MATCH(CONCATENATE(BD_COMERCIAL!$K119," ",BD_COMERCIAL!$L119),'Curva Forward'!$B$5:$B$13,0),MATCH(GC$4,'Curva Forward'!$C$4:$AN$4,0))),DE119)</f>
        <v>0</v>
      </c>
      <c r="GD119" s="190">
        <f>AR119*AR$2*IF($FC119="V",1,-1)*IF($Q119="Fixo",(DF119-INDEX('Curva Forward'!$C$5:$AN$13,MATCH(CONCATENATE(BD_COMERCIAL!$K119," ",BD_COMERCIAL!$L119),'Curva Forward'!$B$5:$B$13,0),MATCH(GD$4,'Curva Forward'!$C$4:$AN$4,0))),DF119)</f>
        <v>0</v>
      </c>
      <c r="GE119" s="190">
        <f>AS119*AS$2*IF($FC119="V",1,-1)*IF($Q119="Fixo",(DG119-INDEX('Curva Forward'!$C$5:$AN$13,MATCH(CONCATENATE(BD_COMERCIAL!$K119," ",BD_COMERCIAL!$L119),'Curva Forward'!$B$5:$B$13,0),MATCH(GE$4,'Curva Forward'!$C$4:$AN$4,0))),DG119)</f>
        <v>0</v>
      </c>
      <c r="GF119" s="190">
        <f>AT119*AT$2*IF($FC119="V",1,-1)*IF($Q119="Fixo",(DH119-INDEX('Curva Forward'!$C$5:$AN$13,MATCH(CONCATENATE(BD_COMERCIAL!$K119," ",BD_COMERCIAL!$L119),'Curva Forward'!$B$5:$B$13,0),MATCH(GF$4,'Curva Forward'!$C$4:$AN$4,0))),DH119)</f>
        <v>0</v>
      </c>
      <c r="GG119" s="190">
        <f>AU119*AU$2*IF($FC119="V",1,-1)*IF($Q119="Fixo",(DI119-INDEX('Curva Forward'!$C$5:$AN$13,MATCH(CONCATENATE(BD_COMERCIAL!$K119," ",BD_COMERCIAL!$L119),'Curva Forward'!$B$5:$B$13,0),MATCH(GG$4,'Curva Forward'!$C$4:$AN$4,0))),DI119)</f>
        <v>0</v>
      </c>
      <c r="GH119" s="190">
        <f>AV119*AV$2*IF($FC119="V",1,-1)*IF($Q119="Fixo",(DJ119-INDEX('Curva Forward'!$C$5:$AN$13,MATCH(CONCATENATE(BD_COMERCIAL!$K119," ",BD_COMERCIAL!$L119),'Curva Forward'!$B$5:$B$13,0),MATCH(GH$4,'Curva Forward'!$C$4:$AN$4,0))),DJ119)</f>
        <v>0</v>
      </c>
      <c r="GI119" s="190">
        <f>AW119*AW$2*IF($FC119="V",1,-1)*IF($Q119="Fixo",(DK119-INDEX('Curva Forward'!$C$5:$AN$13,MATCH(CONCATENATE(BD_COMERCIAL!$K119," ",BD_COMERCIAL!$L119),'Curva Forward'!$B$5:$B$13,0),MATCH(GI$4,'Curva Forward'!$C$4:$AN$4,0))),DK119)</f>
        <v>0</v>
      </c>
      <c r="GJ119" s="190">
        <f>AX119*AX$2*IF($FC119="V",1,-1)*IF($Q119="Fixo",(DL119-INDEX('Curva Forward'!$C$5:$AN$13,MATCH(CONCATENATE(BD_COMERCIAL!$K119," ",BD_COMERCIAL!$L119),'Curva Forward'!$B$5:$B$13,0),MATCH(GJ$4,'Curva Forward'!$C$4:$AN$4,0))),DL119)</f>
        <v>0</v>
      </c>
      <c r="GK119" s="190">
        <f>AY119*AY$2*IF($FC119="V",1,-1)*IF($Q119="Fixo",(DM119-INDEX('Curva Forward'!$C$5:$AN$13,MATCH(CONCATENATE(BD_COMERCIAL!$K119," ",BD_COMERCIAL!$L119),'Curva Forward'!$B$5:$B$13,0),MATCH(GK$4,'Curva Forward'!$C$4:$AN$4,0))),DM119)</f>
        <v>0</v>
      </c>
      <c r="GL119" s="190">
        <f>IF(EZ119="",0,CL119*CL$2*IF($FC119="V",1,-1)*IF($Q119="Fixo",(EZ119-INDEX('Curva Forward'!$C$5:$AN$13,MATCH(CONCATENATE(BD_COMERCIAL!$K119," ",BD_COMERCIAL!$L119),'Curva Forward'!$B$5:$B$13,0),MATCH(GL$4,'Curva Forward'!$C$4:$AN$4,0))),EZ119))</f>
        <v>0</v>
      </c>
      <c r="GM119" s="190">
        <f>IF(FA119="",0,CM119*CM$2*IF($FC119="V",1,-1)*IF($Q119="Fixo",(FA119-INDEX('Curva Forward'!$C$5:$AN$13,MATCH(CONCATENATE(BD_COMERCIAL!$K119," ",BD_COMERCIAL!$L119),'Curva Forward'!$B$5:$B$13,0),MATCH(GM$4,'Curva Forward'!$C$4:$AN$4,0))),FA119))</f>
        <v>0</v>
      </c>
      <c r="GN119" s="190">
        <f>IF(FB119="",0,CN119*CN$2*IF($FC119="V",1,-1)*IF($Q119="Fixo",(FB119-INDEX('Curva Forward'!$C$5:$AN$13,MATCH(CONCATENATE(BD_COMERCIAL!$K119," ",BD_COMERCIAL!$L119),'Curva Forward'!$B$5:$B$13,0),MATCH(GN$4,'Curva Forward'!$C$4:$AN$4,0))),FB119))</f>
        <v>0</v>
      </c>
      <c r="GO119" s="191">
        <f t="shared" ca="1" si="18"/>
        <v>102240</v>
      </c>
      <c r="GP119" s="191">
        <f t="shared" ca="1" si="19"/>
        <v>0</v>
      </c>
      <c r="GQ119" s="115"/>
      <c r="GR119" s="115"/>
      <c r="GS119"/>
      <c r="GT119" s="65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</row>
    <row r="120" spans="1:236" s="265" customFormat="1" ht="15" customHeight="1" x14ac:dyDescent="0.35">
      <c r="A120" s="251"/>
      <c r="B120" s="7" t="s">
        <v>497</v>
      </c>
      <c r="C120" s="8">
        <v>44916</v>
      </c>
      <c r="D120" s="9" t="s">
        <v>123</v>
      </c>
      <c r="E120" s="9" t="s">
        <v>381</v>
      </c>
      <c r="F120" s="112" t="s">
        <v>348</v>
      </c>
      <c r="G120" s="10" t="s">
        <v>320</v>
      </c>
      <c r="H120" s="112" t="s">
        <v>332</v>
      </c>
      <c r="I120" s="9" t="s">
        <v>125</v>
      </c>
      <c r="J120" s="158" t="s">
        <v>496</v>
      </c>
      <c r="K120" s="10" t="s">
        <v>126</v>
      </c>
      <c r="L120" s="84" t="s">
        <v>22</v>
      </c>
      <c r="M120" s="11">
        <v>44958</v>
      </c>
      <c r="N120" s="12">
        <v>44985</v>
      </c>
      <c r="O120" s="10">
        <v>20</v>
      </c>
      <c r="P120" s="84">
        <v>71</v>
      </c>
      <c r="Q120" s="84" t="s">
        <v>127</v>
      </c>
      <c r="R120" s="10" t="s">
        <v>128</v>
      </c>
      <c r="S120" s="14" t="s">
        <v>133</v>
      </c>
      <c r="T120" s="11"/>
      <c r="U120" s="12"/>
      <c r="V120" s="202" t="str">
        <f ca="1">IF(U120="","",
IF(U120="NA","",
IFERROR(VLOOKUP(EOMONTH(M120,-2)+1,IPCA!$A:$B,2,0),
VLOOKUP(EOMONTH(TODAY(),-2)+1,IPCA!$A:$B,2,0))/
VLOOKUP(EOMONTH(U120,-2)+1,IPCA!$A:$B,2,0)*
P120))</f>
        <v/>
      </c>
      <c r="W120" s="84"/>
      <c r="X120" s="13" t="s">
        <v>132</v>
      </c>
      <c r="Y120" s="158"/>
      <c r="Z120" s="106"/>
      <c r="AA120" s="107"/>
      <c r="AB120" s="15"/>
      <c r="AC120">
        <v>20</v>
      </c>
      <c r="AD120"/>
      <c r="AE120"/>
      <c r="AF120"/>
      <c r="AG120"/>
      <c r="AH120"/>
      <c r="AI120"/>
      <c r="AJ120"/>
      <c r="AK120"/>
      <c r="AL120"/>
      <c r="AM120" s="6"/>
      <c r="AN120" s="15"/>
      <c r="AO120"/>
      <c r="AP120"/>
      <c r="AQ120"/>
      <c r="AR120"/>
      <c r="AS120"/>
      <c r="AT120"/>
      <c r="AU120"/>
      <c r="AV120"/>
      <c r="AW120"/>
      <c r="AX120"/>
      <c r="AY120" s="6"/>
      <c r="AZ120" s="15"/>
      <c r="BA120"/>
      <c r="BB120"/>
      <c r="BC120"/>
      <c r="BD120"/>
      <c r="BE120"/>
      <c r="BF120"/>
      <c r="BG120"/>
      <c r="BH120"/>
      <c r="BI120"/>
      <c r="BJ120"/>
      <c r="BK120" s="6"/>
      <c r="BL120" s="15"/>
      <c r="BM120"/>
      <c r="BN120"/>
      <c r="BO120"/>
      <c r="BP120"/>
      <c r="BQ120"/>
      <c r="BR120"/>
      <c r="BS120"/>
      <c r="BT120"/>
      <c r="BU120"/>
      <c r="BV120"/>
      <c r="BW120" s="6"/>
      <c r="BX120" s="15"/>
      <c r="BY120"/>
      <c r="BZ120"/>
      <c r="CA120"/>
      <c r="CB120"/>
      <c r="CC120"/>
      <c r="CD120"/>
      <c r="CE120"/>
      <c r="CF120"/>
      <c r="CG120"/>
      <c r="CH120"/>
      <c r="CI120" s="6"/>
      <c r="CJ120" s="16">
        <v>1.5342465753424657</v>
      </c>
      <c r="CK120" s="16" t="s">
        <v>578</v>
      </c>
      <c r="CL120" s="16" t="s">
        <v>578</v>
      </c>
      <c r="CM120" s="16" t="s">
        <v>578</v>
      </c>
      <c r="CN120" s="16" t="s">
        <v>578</v>
      </c>
      <c r="CO120" s="18"/>
      <c r="CP120" s="15"/>
      <c r="CQ120">
        <v>71</v>
      </c>
      <c r="CR120"/>
      <c r="CS120"/>
      <c r="CT120"/>
      <c r="CU120"/>
      <c r="CV120"/>
      <c r="CW120"/>
      <c r="CX120"/>
      <c r="CY120"/>
      <c r="CZ120"/>
      <c r="DA120" s="6"/>
      <c r="DB120" s="15"/>
      <c r="DC120"/>
      <c r="DD120"/>
      <c r="DE120"/>
      <c r="DF120"/>
      <c r="DG120"/>
      <c r="DH120"/>
      <c r="DI120"/>
      <c r="DJ120"/>
      <c r="DK120"/>
      <c r="DL120"/>
      <c r="DM120" s="6"/>
      <c r="DN120" s="15"/>
      <c r="DO120"/>
      <c r="DP120"/>
      <c r="DQ120"/>
      <c r="DR120"/>
      <c r="DS120"/>
      <c r="DT120"/>
      <c r="DU120"/>
      <c r="DV120"/>
      <c r="DW120"/>
      <c r="DX120"/>
      <c r="DY120" s="6"/>
      <c r="DZ120" s="15"/>
      <c r="EA120"/>
      <c r="EB120"/>
      <c r="EC120"/>
      <c r="ED120"/>
      <c r="EE120"/>
      <c r="EF120"/>
      <c r="EG120"/>
      <c r="EH120"/>
      <c r="EI120"/>
      <c r="EJ120"/>
      <c r="EK120" s="6"/>
      <c r="EL120" s="15"/>
      <c r="EM120"/>
      <c r="EN120"/>
      <c r="EO120"/>
      <c r="EP120"/>
      <c r="EQ120"/>
      <c r="ER120"/>
      <c r="ES120"/>
      <c r="ET120"/>
      <c r="EU120"/>
      <c r="EV120"/>
      <c r="EW120" s="6"/>
      <c r="EX120" s="16">
        <v>5.4465753424657537</v>
      </c>
      <c r="EY120" s="16" t="s">
        <v>578</v>
      </c>
      <c r="EZ120" s="16" t="s">
        <v>578</v>
      </c>
      <c r="FA120" s="154" t="s">
        <v>578</v>
      </c>
      <c r="FB120" s="154" t="s">
        <v>578</v>
      </c>
      <c r="FC120" t="s">
        <v>195</v>
      </c>
      <c r="FD120" s="20" t="s">
        <v>125</v>
      </c>
      <c r="FE120"/>
      <c r="FF120" s="199" t="s">
        <v>197</v>
      </c>
      <c r="FG120"/>
      <c r="FH120" s="206">
        <f t="shared" ca="1" si="13"/>
        <v>0</v>
      </c>
      <c r="FI120" s="198">
        <f t="shared" si="14"/>
        <v>0.9</v>
      </c>
      <c r="FJ120"/>
      <c r="FK120" t="str">
        <f t="shared" si="15"/>
        <v>XP COMERCIALIZADORA DE ENERGIA S.A.</v>
      </c>
      <c r="FL120" s="191">
        <f t="shared" ca="1" si="16"/>
        <v>0</v>
      </c>
      <c r="FM120" s="191">
        <f t="shared" ca="1" si="17"/>
        <v>26880</v>
      </c>
      <c r="FN120" s="190">
        <f>AB120*AB$2*IF($FC120="V",1,-1)*IF($Q120="Fixo",(CP120-INDEX('Curva Forward'!$C$5:$AN$13,MATCH(CONCATENATE(BD_COMERCIAL!$K120," ",BD_COMERCIAL!$L120),'Curva Forward'!$B$5:$B$13,0),MATCH(FN$4,'Curva Forward'!$C$4:$AN$4,0))),CP120)</f>
        <v>0</v>
      </c>
      <c r="FO120" s="190">
        <f>AC120*AC$2*IF($FC120="V",1,-1)*IF($Q120="Fixo",(CQ120-INDEX('Curva Forward'!$C$5:$AN$13,MATCH(CONCATENATE(BD_COMERCIAL!$K120," ",BD_COMERCIAL!$L120),'Curva Forward'!$B$5:$B$13,0),MATCH(FO$4,'Curva Forward'!$C$4:$AN$4,0))),CQ120)</f>
        <v>26880</v>
      </c>
      <c r="FP120" s="190">
        <f>AD120*AD$2*IF($FC120="V",1,-1)*IF($Q120="Fixo",(CR120-INDEX('Curva Forward'!$C$5:$AN$13,MATCH(CONCATENATE(BD_COMERCIAL!$K120," ",BD_COMERCIAL!$L120),'Curva Forward'!$B$5:$B$13,0),MATCH(FP$4,'Curva Forward'!$C$4:$AN$4,0))),CR120)</f>
        <v>0</v>
      </c>
      <c r="FQ120" s="190">
        <f>AE120*AE$2*IF($FC120="V",1,-1)*IF($Q120="Fixo",(CS120-INDEX('Curva Forward'!$C$5:$AN$13,MATCH(CONCATENATE(BD_COMERCIAL!$K120," ",BD_COMERCIAL!$L120),'Curva Forward'!$B$5:$B$13,0),MATCH(FQ$4,'Curva Forward'!$C$4:$AN$4,0))),CS120)</f>
        <v>0</v>
      </c>
      <c r="FR120" s="190">
        <f>AF120*AF$2*IF($FC120="V",1,-1)*IF($Q120="Fixo",(CT120-INDEX('Curva Forward'!$C$5:$AN$13,MATCH(CONCATENATE(BD_COMERCIAL!$K120," ",BD_COMERCIAL!$L120),'Curva Forward'!$B$5:$B$13,0),MATCH(FR$4,'Curva Forward'!$C$4:$AN$4,0))),CT120)</f>
        <v>0</v>
      </c>
      <c r="FS120" s="190">
        <f>AG120*AG$2*IF($FC120="V",1,-1)*IF($Q120="Fixo",(CU120-INDEX('Curva Forward'!$C$5:$AN$13,MATCH(CONCATENATE(BD_COMERCIAL!$K120," ",BD_COMERCIAL!$L120),'Curva Forward'!$B$5:$B$13,0),MATCH(FS$4,'Curva Forward'!$C$4:$AN$4,0))),CU120)</f>
        <v>0</v>
      </c>
      <c r="FT120" s="190">
        <f>AH120*AH$2*IF($FC120="V",1,-1)*IF($Q120="Fixo",(CV120-INDEX('Curva Forward'!$C$5:$AN$13,MATCH(CONCATENATE(BD_COMERCIAL!$K120," ",BD_COMERCIAL!$L120),'Curva Forward'!$B$5:$B$13,0),MATCH(FT$4,'Curva Forward'!$C$4:$AN$4,0))),CV120)</f>
        <v>0</v>
      </c>
      <c r="FU120" s="190">
        <f>AI120*AI$2*IF($FC120="V",1,-1)*IF($Q120="Fixo",(CW120-INDEX('Curva Forward'!$C$5:$AN$13,MATCH(CONCATENATE(BD_COMERCIAL!$K120," ",BD_COMERCIAL!$L120),'Curva Forward'!$B$5:$B$13,0),MATCH(FU$4,'Curva Forward'!$C$4:$AN$4,0))),CW120)</f>
        <v>0</v>
      </c>
      <c r="FV120" s="190">
        <f>AJ120*AJ$2*IF($FC120="V",1,-1)*IF($Q120="Fixo",(CX120-INDEX('Curva Forward'!$C$5:$AN$13,MATCH(CONCATENATE(BD_COMERCIAL!$K120," ",BD_COMERCIAL!$L120),'Curva Forward'!$B$5:$B$13,0),MATCH(FV$4,'Curva Forward'!$C$4:$AN$4,0))),CX120)</f>
        <v>0</v>
      </c>
      <c r="FW120" s="190">
        <f>AK120*AK$2*IF($FC120="V",1,-1)*IF($Q120="Fixo",(CY120-INDEX('Curva Forward'!$C$5:$AN$13,MATCH(CONCATENATE(BD_COMERCIAL!$K120," ",BD_COMERCIAL!$L120),'Curva Forward'!$B$5:$B$13,0),MATCH(FW$4,'Curva Forward'!$C$4:$AN$4,0))),CY120)</f>
        <v>0</v>
      </c>
      <c r="FX120" s="190">
        <f>AL120*AL$2*IF($FC120="V",1,-1)*IF($Q120="Fixo",(CZ120-INDEX('Curva Forward'!$C$5:$AN$13,MATCH(CONCATENATE(BD_COMERCIAL!$K120," ",BD_COMERCIAL!$L120),'Curva Forward'!$B$5:$B$13,0),MATCH(FX$4,'Curva Forward'!$C$4:$AN$4,0))),CZ120)</f>
        <v>0</v>
      </c>
      <c r="FY120" s="190">
        <f>AM120*AM$2*IF($FC120="V",1,-1)*IF($Q120="Fixo",(DA120-INDEX('Curva Forward'!$C$5:$AN$13,MATCH(CONCATENATE(BD_COMERCIAL!$K120," ",BD_COMERCIAL!$L120),'Curva Forward'!$B$5:$B$13,0),MATCH(FY$4,'Curva Forward'!$C$4:$AN$4,0))),DA120)</f>
        <v>0</v>
      </c>
      <c r="FZ120" s="190">
        <f>AN120*AN$2*IF($FC120="V",1,-1)*IF($Q120="Fixo",(DB120-INDEX('Curva Forward'!$C$5:$AN$13,MATCH(CONCATENATE(BD_COMERCIAL!$K120," ",BD_COMERCIAL!$L120),'Curva Forward'!$B$5:$B$13,0),MATCH(FZ$4,'Curva Forward'!$C$4:$AN$4,0))),DB120)</f>
        <v>0</v>
      </c>
      <c r="GA120" s="190">
        <f>AO120*AO$2*IF($FC120="V",1,-1)*IF($Q120="Fixo",(DC120-INDEX('Curva Forward'!$C$5:$AN$13,MATCH(CONCATENATE(BD_COMERCIAL!$K120," ",BD_COMERCIAL!$L120),'Curva Forward'!$B$5:$B$13,0),MATCH(GA$4,'Curva Forward'!$C$4:$AN$4,0))),DC120)</f>
        <v>0</v>
      </c>
      <c r="GB120" s="190">
        <f>AP120*AP$2*IF($FC120="V",1,-1)*IF($Q120="Fixo",(DD120-INDEX('Curva Forward'!$C$5:$AN$13,MATCH(CONCATENATE(BD_COMERCIAL!$K120," ",BD_COMERCIAL!$L120),'Curva Forward'!$B$5:$B$13,0),MATCH(GB$4,'Curva Forward'!$C$4:$AN$4,0))),DD120)</f>
        <v>0</v>
      </c>
      <c r="GC120" s="190">
        <f>AQ120*AQ$2*IF($FC120="V",1,-1)*IF($Q120="Fixo",(DE120-INDEX('Curva Forward'!$C$5:$AN$13,MATCH(CONCATENATE(BD_COMERCIAL!$K120," ",BD_COMERCIAL!$L120),'Curva Forward'!$B$5:$B$13,0),MATCH(GC$4,'Curva Forward'!$C$4:$AN$4,0))),DE120)</f>
        <v>0</v>
      </c>
      <c r="GD120" s="190">
        <f>AR120*AR$2*IF($FC120="V",1,-1)*IF($Q120="Fixo",(DF120-INDEX('Curva Forward'!$C$5:$AN$13,MATCH(CONCATENATE(BD_COMERCIAL!$K120," ",BD_COMERCIAL!$L120),'Curva Forward'!$B$5:$B$13,0),MATCH(GD$4,'Curva Forward'!$C$4:$AN$4,0))),DF120)</f>
        <v>0</v>
      </c>
      <c r="GE120" s="190">
        <f>AS120*AS$2*IF($FC120="V",1,-1)*IF($Q120="Fixo",(DG120-INDEX('Curva Forward'!$C$5:$AN$13,MATCH(CONCATENATE(BD_COMERCIAL!$K120," ",BD_COMERCIAL!$L120),'Curva Forward'!$B$5:$B$13,0),MATCH(GE$4,'Curva Forward'!$C$4:$AN$4,0))),DG120)</f>
        <v>0</v>
      </c>
      <c r="GF120" s="190">
        <f>AT120*AT$2*IF($FC120="V",1,-1)*IF($Q120="Fixo",(DH120-INDEX('Curva Forward'!$C$5:$AN$13,MATCH(CONCATENATE(BD_COMERCIAL!$K120," ",BD_COMERCIAL!$L120),'Curva Forward'!$B$5:$B$13,0),MATCH(GF$4,'Curva Forward'!$C$4:$AN$4,0))),DH120)</f>
        <v>0</v>
      </c>
      <c r="GG120" s="190">
        <f>AU120*AU$2*IF($FC120="V",1,-1)*IF($Q120="Fixo",(DI120-INDEX('Curva Forward'!$C$5:$AN$13,MATCH(CONCATENATE(BD_COMERCIAL!$K120," ",BD_COMERCIAL!$L120),'Curva Forward'!$B$5:$B$13,0),MATCH(GG$4,'Curva Forward'!$C$4:$AN$4,0))),DI120)</f>
        <v>0</v>
      </c>
      <c r="GH120" s="190">
        <f>AV120*AV$2*IF($FC120="V",1,-1)*IF($Q120="Fixo",(DJ120-INDEX('Curva Forward'!$C$5:$AN$13,MATCH(CONCATENATE(BD_COMERCIAL!$K120," ",BD_COMERCIAL!$L120),'Curva Forward'!$B$5:$B$13,0),MATCH(GH$4,'Curva Forward'!$C$4:$AN$4,0))),DJ120)</f>
        <v>0</v>
      </c>
      <c r="GI120" s="190">
        <f>AW120*AW$2*IF($FC120="V",1,-1)*IF($Q120="Fixo",(DK120-INDEX('Curva Forward'!$C$5:$AN$13,MATCH(CONCATENATE(BD_COMERCIAL!$K120," ",BD_COMERCIAL!$L120),'Curva Forward'!$B$5:$B$13,0),MATCH(GI$4,'Curva Forward'!$C$4:$AN$4,0))),DK120)</f>
        <v>0</v>
      </c>
      <c r="GJ120" s="190">
        <f>AX120*AX$2*IF($FC120="V",1,-1)*IF($Q120="Fixo",(DL120-INDEX('Curva Forward'!$C$5:$AN$13,MATCH(CONCATENATE(BD_COMERCIAL!$K120," ",BD_COMERCIAL!$L120),'Curva Forward'!$B$5:$B$13,0),MATCH(GJ$4,'Curva Forward'!$C$4:$AN$4,0))),DL120)</f>
        <v>0</v>
      </c>
      <c r="GK120" s="190">
        <f>AY120*AY$2*IF($FC120="V",1,-1)*IF($Q120="Fixo",(DM120-INDEX('Curva Forward'!$C$5:$AN$13,MATCH(CONCATENATE(BD_COMERCIAL!$K120," ",BD_COMERCIAL!$L120),'Curva Forward'!$B$5:$B$13,0),MATCH(GK$4,'Curva Forward'!$C$4:$AN$4,0))),DM120)</f>
        <v>0</v>
      </c>
      <c r="GL120" s="190">
        <f>IF(EZ120="",0,CL120*CL$2*IF($FC120="V",1,-1)*IF($Q120="Fixo",(EZ120-INDEX('Curva Forward'!$C$5:$AN$13,MATCH(CONCATENATE(BD_COMERCIAL!$K120," ",BD_COMERCIAL!$L120),'Curva Forward'!$B$5:$B$13,0),MATCH(GL$4,'Curva Forward'!$C$4:$AN$4,0))),EZ120))</f>
        <v>0</v>
      </c>
      <c r="GM120" s="190">
        <f>IF(FA120="",0,CM120*CM$2*IF($FC120="V",1,-1)*IF($Q120="Fixo",(FA120-INDEX('Curva Forward'!$C$5:$AN$13,MATCH(CONCATENATE(BD_COMERCIAL!$K120," ",BD_COMERCIAL!$L120),'Curva Forward'!$B$5:$B$13,0),MATCH(GM$4,'Curva Forward'!$C$4:$AN$4,0))),FA120))</f>
        <v>0</v>
      </c>
      <c r="GN120" s="190">
        <f>IF(FB120="",0,CN120*CN$2*IF($FC120="V",1,-1)*IF($Q120="Fixo",(FB120-INDEX('Curva Forward'!$C$5:$AN$13,MATCH(CONCATENATE(BD_COMERCIAL!$K120," ",BD_COMERCIAL!$L120),'Curva Forward'!$B$5:$B$13,0),MATCH(GN$4,'Curva Forward'!$C$4:$AN$4,0))),FB120))</f>
        <v>0</v>
      </c>
      <c r="GO120" s="191">
        <f t="shared" ca="1" si="18"/>
        <v>26880</v>
      </c>
      <c r="GP120" s="191">
        <f t="shared" ca="1" si="19"/>
        <v>0</v>
      </c>
      <c r="GQ120" s="115"/>
      <c r="GR120" s="115"/>
      <c r="GS120"/>
      <c r="GT120" s="65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</row>
    <row r="121" spans="1:236" s="265" customFormat="1" ht="15" customHeight="1" x14ac:dyDescent="0.35">
      <c r="A121" s="251"/>
      <c r="B121" s="7" t="s">
        <v>498</v>
      </c>
      <c r="C121" s="8">
        <v>44916</v>
      </c>
      <c r="D121" s="9" t="s">
        <v>123</v>
      </c>
      <c r="E121" s="9" t="s">
        <v>381</v>
      </c>
      <c r="F121" s="112" t="s">
        <v>348</v>
      </c>
      <c r="G121" s="10" t="s">
        <v>320</v>
      </c>
      <c r="H121" s="112" t="s">
        <v>332</v>
      </c>
      <c r="I121" s="9" t="s">
        <v>125</v>
      </c>
      <c r="J121" s="158" t="s">
        <v>496</v>
      </c>
      <c r="K121" s="10" t="s">
        <v>126</v>
      </c>
      <c r="L121" s="84" t="s">
        <v>22</v>
      </c>
      <c r="M121" s="11">
        <v>44958</v>
      </c>
      <c r="N121" s="12">
        <v>44985</v>
      </c>
      <c r="O121" s="10">
        <v>1</v>
      </c>
      <c r="P121" s="84">
        <v>71</v>
      </c>
      <c r="Q121" s="84" t="s">
        <v>127</v>
      </c>
      <c r="R121" s="10" t="s">
        <v>128</v>
      </c>
      <c r="S121" s="14" t="s">
        <v>133</v>
      </c>
      <c r="T121" s="11"/>
      <c r="U121" s="12"/>
      <c r="V121" s="202" t="str">
        <f ca="1">IF(U121="","",
IF(U121="NA","",
IFERROR(VLOOKUP(EOMONTH(M121,-2)+1,IPCA!$A:$B,2,0),
VLOOKUP(EOMONTH(TODAY(),-2)+1,IPCA!$A:$B,2,0))/
VLOOKUP(EOMONTH(U121,-2)+1,IPCA!$A:$B,2,0)*
P121))</f>
        <v/>
      </c>
      <c r="W121" s="84"/>
      <c r="X121" s="13" t="s">
        <v>6</v>
      </c>
      <c r="Y121" s="158"/>
      <c r="Z121" s="106"/>
      <c r="AA121" s="107"/>
      <c r="AB121" s="15"/>
      <c r="AC121">
        <v>1</v>
      </c>
      <c r="AD121"/>
      <c r="AE121"/>
      <c r="AF121"/>
      <c r="AG121"/>
      <c r="AH121"/>
      <c r="AI121"/>
      <c r="AJ121"/>
      <c r="AK121"/>
      <c r="AL121"/>
      <c r="AM121" s="6"/>
      <c r="AN121" s="15"/>
      <c r="AO121"/>
      <c r="AP121"/>
      <c r="AQ121"/>
      <c r="AR121"/>
      <c r="AS121"/>
      <c r="AT121"/>
      <c r="AU121"/>
      <c r="AV121"/>
      <c r="AW121"/>
      <c r="AX121"/>
      <c r="AY121" s="6"/>
      <c r="AZ121" s="15"/>
      <c r="BA121"/>
      <c r="BB121"/>
      <c r="BC121"/>
      <c r="BD121"/>
      <c r="BE121"/>
      <c r="BF121"/>
      <c r="BG121"/>
      <c r="BH121"/>
      <c r="BI121"/>
      <c r="BJ121"/>
      <c r="BK121" s="6"/>
      <c r="BL121" s="15"/>
      <c r="BM121"/>
      <c r="BN121"/>
      <c r="BO121"/>
      <c r="BP121"/>
      <c r="BQ121"/>
      <c r="BR121"/>
      <c r="BS121"/>
      <c r="BT121"/>
      <c r="BU121"/>
      <c r="BV121"/>
      <c r="BW121" s="6"/>
      <c r="BX121" s="15"/>
      <c r="BY121"/>
      <c r="BZ121"/>
      <c r="CA121"/>
      <c r="CB121"/>
      <c r="CC121"/>
      <c r="CD121"/>
      <c r="CE121"/>
      <c r="CF121"/>
      <c r="CG121"/>
      <c r="CH121"/>
      <c r="CI121" s="6"/>
      <c r="CJ121" s="16">
        <v>7.6712328767123292E-2</v>
      </c>
      <c r="CK121" s="16" t="s">
        <v>578</v>
      </c>
      <c r="CL121" s="16" t="s">
        <v>578</v>
      </c>
      <c r="CM121" s="16" t="s">
        <v>578</v>
      </c>
      <c r="CN121" s="16" t="s">
        <v>578</v>
      </c>
      <c r="CO121" s="18"/>
      <c r="CP121" s="15"/>
      <c r="CQ121">
        <v>71</v>
      </c>
      <c r="CR121"/>
      <c r="CS121"/>
      <c r="CT121"/>
      <c r="CU121"/>
      <c r="CV121"/>
      <c r="CW121"/>
      <c r="CX121"/>
      <c r="CY121"/>
      <c r="CZ121"/>
      <c r="DA121" s="6"/>
      <c r="DB121" s="15"/>
      <c r="DC121"/>
      <c r="DD121"/>
      <c r="DE121"/>
      <c r="DF121"/>
      <c r="DG121"/>
      <c r="DH121"/>
      <c r="DI121"/>
      <c r="DJ121"/>
      <c r="DK121"/>
      <c r="DL121"/>
      <c r="DM121" s="6"/>
      <c r="DN121" s="15"/>
      <c r="DO121"/>
      <c r="DP121"/>
      <c r="DQ121"/>
      <c r="DR121"/>
      <c r="DS121"/>
      <c r="DT121"/>
      <c r="DU121"/>
      <c r="DV121"/>
      <c r="DW121"/>
      <c r="DX121"/>
      <c r="DY121" s="6"/>
      <c r="DZ121" s="15"/>
      <c r="EA121"/>
      <c r="EB121"/>
      <c r="EC121"/>
      <c r="ED121"/>
      <c r="EE121"/>
      <c r="EF121"/>
      <c r="EG121"/>
      <c r="EH121"/>
      <c r="EI121"/>
      <c r="EJ121"/>
      <c r="EK121" s="6"/>
      <c r="EL121" s="15"/>
      <c r="EM121"/>
      <c r="EN121"/>
      <c r="EO121"/>
      <c r="EP121"/>
      <c r="EQ121"/>
      <c r="ER121"/>
      <c r="ES121"/>
      <c r="ET121"/>
      <c r="EU121"/>
      <c r="EV121"/>
      <c r="EW121" s="6"/>
      <c r="EX121" s="16">
        <v>5.4465753424657537</v>
      </c>
      <c r="EY121" s="16" t="s">
        <v>578</v>
      </c>
      <c r="EZ121" s="16" t="s">
        <v>578</v>
      </c>
      <c r="FA121" s="154" t="s">
        <v>578</v>
      </c>
      <c r="FB121" s="154" t="s">
        <v>578</v>
      </c>
      <c r="FC121" t="s">
        <v>195</v>
      </c>
      <c r="FD121" s="20" t="s">
        <v>125</v>
      </c>
      <c r="FE121"/>
      <c r="FF121" s="199" t="s">
        <v>197</v>
      </c>
      <c r="FG121"/>
      <c r="FH121" s="206">
        <f t="shared" ca="1" si="13"/>
        <v>0</v>
      </c>
      <c r="FI121" s="198">
        <f t="shared" si="14"/>
        <v>0.9</v>
      </c>
      <c r="FJ121"/>
      <c r="FK121" t="str">
        <f t="shared" si="15"/>
        <v>XP COMERCIALIZADORA DE ENERGIA S.A.</v>
      </c>
      <c r="FL121" s="191">
        <f t="shared" ca="1" si="16"/>
        <v>0</v>
      </c>
      <c r="FM121" s="191">
        <f t="shared" ca="1" si="17"/>
        <v>1344</v>
      </c>
      <c r="FN121" s="190">
        <f>AB121*AB$2*IF($FC121="V",1,-1)*IF($Q121="Fixo",(CP121-INDEX('Curva Forward'!$C$5:$AN$13,MATCH(CONCATENATE(BD_COMERCIAL!$K121," ",BD_COMERCIAL!$L121),'Curva Forward'!$B$5:$B$13,0),MATCH(FN$4,'Curva Forward'!$C$4:$AN$4,0))),CP121)</f>
        <v>0</v>
      </c>
      <c r="FO121" s="190">
        <f>AC121*AC$2*IF($FC121="V",1,-1)*IF($Q121="Fixo",(CQ121-INDEX('Curva Forward'!$C$5:$AN$13,MATCH(CONCATENATE(BD_COMERCIAL!$K121," ",BD_COMERCIAL!$L121),'Curva Forward'!$B$5:$B$13,0),MATCH(FO$4,'Curva Forward'!$C$4:$AN$4,0))),CQ121)</f>
        <v>1344</v>
      </c>
      <c r="FP121" s="190">
        <f>AD121*AD$2*IF($FC121="V",1,-1)*IF($Q121="Fixo",(CR121-INDEX('Curva Forward'!$C$5:$AN$13,MATCH(CONCATENATE(BD_COMERCIAL!$K121," ",BD_COMERCIAL!$L121),'Curva Forward'!$B$5:$B$13,0),MATCH(FP$4,'Curva Forward'!$C$4:$AN$4,0))),CR121)</f>
        <v>0</v>
      </c>
      <c r="FQ121" s="190">
        <f>AE121*AE$2*IF($FC121="V",1,-1)*IF($Q121="Fixo",(CS121-INDEX('Curva Forward'!$C$5:$AN$13,MATCH(CONCATENATE(BD_COMERCIAL!$K121," ",BD_COMERCIAL!$L121),'Curva Forward'!$B$5:$B$13,0),MATCH(FQ$4,'Curva Forward'!$C$4:$AN$4,0))),CS121)</f>
        <v>0</v>
      </c>
      <c r="FR121" s="190">
        <f>AF121*AF$2*IF($FC121="V",1,-1)*IF($Q121="Fixo",(CT121-INDEX('Curva Forward'!$C$5:$AN$13,MATCH(CONCATENATE(BD_COMERCIAL!$K121," ",BD_COMERCIAL!$L121),'Curva Forward'!$B$5:$B$13,0),MATCH(FR$4,'Curva Forward'!$C$4:$AN$4,0))),CT121)</f>
        <v>0</v>
      </c>
      <c r="FS121" s="190">
        <f>AG121*AG$2*IF($FC121="V",1,-1)*IF($Q121="Fixo",(CU121-INDEX('Curva Forward'!$C$5:$AN$13,MATCH(CONCATENATE(BD_COMERCIAL!$K121," ",BD_COMERCIAL!$L121),'Curva Forward'!$B$5:$B$13,0),MATCH(FS$4,'Curva Forward'!$C$4:$AN$4,0))),CU121)</f>
        <v>0</v>
      </c>
      <c r="FT121" s="190">
        <f>AH121*AH$2*IF($FC121="V",1,-1)*IF($Q121="Fixo",(CV121-INDEX('Curva Forward'!$C$5:$AN$13,MATCH(CONCATENATE(BD_COMERCIAL!$K121," ",BD_COMERCIAL!$L121),'Curva Forward'!$B$5:$B$13,0),MATCH(FT$4,'Curva Forward'!$C$4:$AN$4,0))),CV121)</f>
        <v>0</v>
      </c>
      <c r="FU121" s="190">
        <f>AI121*AI$2*IF($FC121="V",1,-1)*IF($Q121="Fixo",(CW121-INDEX('Curva Forward'!$C$5:$AN$13,MATCH(CONCATENATE(BD_COMERCIAL!$K121," ",BD_COMERCIAL!$L121),'Curva Forward'!$B$5:$B$13,0),MATCH(FU$4,'Curva Forward'!$C$4:$AN$4,0))),CW121)</f>
        <v>0</v>
      </c>
      <c r="FV121" s="190">
        <f>AJ121*AJ$2*IF($FC121="V",1,-1)*IF($Q121="Fixo",(CX121-INDEX('Curva Forward'!$C$5:$AN$13,MATCH(CONCATENATE(BD_COMERCIAL!$K121," ",BD_COMERCIAL!$L121),'Curva Forward'!$B$5:$B$13,0),MATCH(FV$4,'Curva Forward'!$C$4:$AN$4,0))),CX121)</f>
        <v>0</v>
      </c>
      <c r="FW121" s="190">
        <f>AK121*AK$2*IF($FC121="V",1,-1)*IF($Q121="Fixo",(CY121-INDEX('Curva Forward'!$C$5:$AN$13,MATCH(CONCATENATE(BD_COMERCIAL!$K121," ",BD_COMERCIAL!$L121),'Curva Forward'!$B$5:$B$13,0),MATCH(FW$4,'Curva Forward'!$C$4:$AN$4,0))),CY121)</f>
        <v>0</v>
      </c>
      <c r="FX121" s="190">
        <f>AL121*AL$2*IF($FC121="V",1,-1)*IF($Q121="Fixo",(CZ121-INDEX('Curva Forward'!$C$5:$AN$13,MATCH(CONCATENATE(BD_COMERCIAL!$K121," ",BD_COMERCIAL!$L121),'Curva Forward'!$B$5:$B$13,0),MATCH(FX$4,'Curva Forward'!$C$4:$AN$4,0))),CZ121)</f>
        <v>0</v>
      </c>
      <c r="FY121" s="190">
        <f>AM121*AM$2*IF($FC121="V",1,-1)*IF($Q121="Fixo",(DA121-INDEX('Curva Forward'!$C$5:$AN$13,MATCH(CONCATENATE(BD_COMERCIAL!$K121," ",BD_COMERCIAL!$L121),'Curva Forward'!$B$5:$B$13,0),MATCH(FY$4,'Curva Forward'!$C$4:$AN$4,0))),DA121)</f>
        <v>0</v>
      </c>
      <c r="FZ121" s="190">
        <f>AN121*AN$2*IF($FC121="V",1,-1)*IF($Q121="Fixo",(DB121-INDEX('Curva Forward'!$C$5:$AN$13,MATCH(CONCATENATE(BD_COMERCIAL!$K121," ",BD_COMERCIAL!$L121),'Curva Forward'!$B$5:$B$13,0),MATCH(FZ$4,'Curva Forward'!$C$4:$AN$4,0))),DB121)</f>
        <v>0</v>
      </c>
      <c r="GA121" s="190">
        <f>AO121*AO$2*IF($FC121="V",1,-1)*IF($Q121="Fixo",(DC121-INDEX('Curva Forward'!$C$5:$AN$13,MATCH(CONCATENATE(BD_COMERCIAL!$K121," ",BD_COMERCIAL!$L121),'Curva Forward'!$B$5:$B$13,0),MATCH(GA$4,'Curva Forward'!$C$4:$AN$4,0))),DC121)</f>
        <v>0</v>
      </c>
      <c r="GB121" s="190">
        <f>AP121*AP$2*IF($FC121="V",1,-1)*IF($Q121="Fixo",(DD121-INDEX('Curva Forward'!$C$5:$AN$13,MATCH(CONCATENATE(BD_COMERCIAL!$K121," ",BD_COMERCIAL!$L121),'Curva Forward'!$B$5:$B$13,0),MATCH(GB$4,'Curva Forward'!$C$4:$AN$4,0))),DD121)</f>
        <v>0</v>
      </c>
      <c r="GC121" s="190">
        <f>AQ121*AQ$2*IF($FC121="V",1,-1)*IF($Q121="Fixo",(DE121-INDEX('Curva Forward'!$C$5:$AN$13,MATCH(CONCATENATE(BD_COMERCIAL!$K121," ",BD_COMERCIAL!$L121),'Curva Forward'!$B$5:$B$13,0),MATCH(GC$4,'Curva Forward'!$C$4:$AN$4,0))),DE121)</f>
        <v>0</v>
      </c>
      <c r="GD121" s="190">
        <f>AR121*AR$2*IF($FC121="V",1,-1)*IF($Q121="Fixo",(DF121-INDEX('Curva Forward'!$C$5:$AN$13,MATCH(CONCATENATE(BD_COMERCIAL!$K121," ",BD_COMERCIAL!$L121),'Curva Forward'!$B$5:$B$13,0),MATCH(GD$4,'Curva Forward'!$C$4:$AN$4,0))),DF121)</f>
        <v>0</v>
      </c>
      <c r="GE121" s="190">
        <f>AS121*AS$2*IF($FC121="V",1,-1)*IF($Q121="Fixo",(DG121-INDEX('Curva Forward'!$C$5:$AN$13,MATCH(CONCATENATE(BD_COMERCIAL!$K121," ",BD_COMERCIAL!$L121),'Curva Forward'!$B$5:$B$13,0),MATCH(GE$4,'Curva Forward'!$C$4:$AN$4,0))),DG121)</f>
        <v>0</v>
      </c>
      <c r="GF121" s="190">
        <f>AT121*AT$2*IF($FC121="V",1,-1)*IF($Q121="Fixo",(DH121-INDEX('Curva Forward'!$C$5:$AN$13,MATCH(CONCATENATE(BD_COMERCIAL!$K121," ",BD_COMERCIAL!$L121),'Curva Forward'!$B$5:$B$13,0),MATCH(GF$4,'Curva Forward'!$C$4:$AN$4,0))),DH121)</f>
        <v>0</v>
      </c>
      <c r="GG121" s="190">
        <f>AU121*AU$2*IF($FC121="V",1,-1)*IF($Q121="Fixo",(DI121-INDEX('Curva Forward'!$C$5:$AN$13,MATCH(CONCATENATE(BD_COMERCIAL!$K121," ",BD_COMERCIAL!$L121),'Curva Forward'!$B$5:$B$13,0),MATCH(GG$4,'Curva Forward'!$C$4:$AN$4,0))),DI121)</f>
        <v>0</v>
      </c>
      <c r="GH121" s="190">
        <f>AV121*AV$2*IF($FC121="V",1,-1)*IF($Q121="Fixo",(DJ121-INDEX('Curva Forward'!$C$5:$AN$13,MATCH(CONCATENATE(BD_COMERCIAL!$K121," ",BD_COMERCIAL!$L121),'Curva Forward'!$B$5:$B$13,0),MATCH(GH$4,'Curva Forward'!$C$4:$AN$4,0))),DJ121)</f>
        <v>0</v>
      </c>
      <c r="GI121" s="190">
        <f>AW121*AW$2*IF($FC121="V",1,-1)*IF($Q121="Fixo",(DK121-INDEX('Curva Forward'!$C$5:$AN$13,MATCH(CONCATENATE(BD_COMERCIAL!$K121," ",BD_COMERCIAL!$L121),'Curva Forward'!$B$5:$B$13,0),MATCH(GI$4,'Curva Forward'!$C$4:$AN$4,0))),DK121)</f>
        <v>0</v>
      </c>
      <c r="GJ121" s="190">
        <f>AX121*AX$2*IF($FC121="V",1,-1)*IF($Q121="Fixo",(DL121-INDEX('Curva Forward'!$C$5:$AN$13,MATCH(CONCATENATE(BD_COMERCIAL!$K121," ",BD_COMERCIAL!$L121),'Curva Forward'!$B$5:$B$13,0),MATCH(GJ$4,'Curva Forward'!$C$4:$AN$4,0))),DL121)</f>
        <v>0</v>
      </c>
      <c r="GK121" s="190">
        <f>AY121*AY$2*IF($FC121="V",1,-1)*IF($Q121="Fixo",(DM121-INDEX('Curva Forward'!$C$5:$AN$13,MATCH(CONCATENATE(BD_COMERCIAL!$K121," ",BD_COMERCIAL!$L121),'Curva Forward'!$B$5:$B$13,0),MATCH(GK$4,'Curva Forward'!$C$4:$AN$4,0))),DM121)</f>
        <v>0</v>
      </c>
      <c r="GL121" s="190">
        <f>IF(EZ121="",0,CL121*CL$2*IF($FC121="V",1,-1)*IF($Q121="Fixo",(EZ121-INDEX('Curva Forward'!$C$5:$AN$13,MATCH(CONCATENATE(BD_COMERCIAL!$K121," ",BD_COMERCIAL!$L121),'Curva Forward'!$B$5:$B$13,0),MATCH(GL$4,'Curva Forward'!$C$4:$AN$4,0))),EZ121))</f>
        <v>0</v>
      </c>
      <c r="GM121" s="190">
        <f>IF(FA121="",0,CM121*CM$2*IF($FC121="V",1,-1)*IF($Q121="Fixo",(FA121-INDEX('Curva Forward'!$C$5:$AN$13,MATCH(CONCATENATE(BD_COMERCIAL!$K121," ",BD_COMERCIAL!$L121),'Curva Forward'!$B$5:$B$13,0),MATCH(GM$4,'Curva Forward'!$C$4:$AN$4,0))),FA121))</f>
        <v>0</v>
      </c>
      <c r="GN121" s="190">
        <f>IF(FB121="",0,CN121*CN$2*IF($FC121="V",1,-1)*IF($Q121="Fixo",(FB121-INDEX('Curva Forward'!$C$5:$AN$13,MATCH(CONCATENATE(BD_COMERCIAL!$K121," ",BD_COMERCIAL!$L121),'Curva Forward'!$B$5:$B$13,0),MATCH(GN$4,'Curva Forward'!$C$4:$AN$4,0))),FB121))</f>
        <v>0</v>
      </c>
      <c r="GO121" s="191">
        <f t="shared" ca="1" si="18"/>
        <v>1344</v>
      </c>
      <c r="GP121" s="191">
        <f t="shared" ca="1" si="19"/>
        <v>0</v>
      </c>
      <c r="GQ121" s="115"/>
      <c r="GR121" s="115"/>
      <c r="GS121"/>
      <c r="GT121" s="65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</row>
    <row r="122" spans="1:236" s="265" customFormat="1" ht="15" customHeight="1" x14ac:dyDescent="0.35">
      <c r="A122" s="251"/>
      <c r="B122" s="7" t="s">
        <v>499</v>
      </c>
      <c r="C122" s="8">
        <v>44916</v>
      </c>
      <c r="D122" s="9" t="s">
        <v>123</v>
      </c>
      <c r="E122" s="9" t="s">
        <v>381</v>
      </c>
      <c r="F122" s="112" t="s">
        <v>348</v>
      </c>
      <c r="G122" s="10" t="s">
        <v>409</v>
      </c>
      <c r="H122" s="112" t="s">
        <v>410</v>
      </c>
      <c r="I122" s="9" t="s">
        <v>125</v>
      </c>
      <c r="J122" s="158" t="s">
        <v>496</v>
      </c>
      <c r="K122" s="10" t="s">
        <v>126</v>
      </c>
      <c r="L122" s="84" t="s">
        <v>22</v>
      </c>
      <c r="M122" s="11">
        <v>45017</v>
      </c>
      <c r="N122" s="12">
        <v>45046</v>
      </c>
      <c r="O122" s="10">
        <v>2</v>
      </c>
      <c r="P122" s="84">
        <v>73</v>
      </c>
      <c r="Q122" s="84" t="s">
        <v>127</v>
      </c>
      <c r="R122" s="10" t="s">
        <v>128</v>
      </c>
      <c r="S122" s="14" t="s">
        <v>133</v>
      </c>
      <c r="T122" s="11"/>
      <c r="U122" s="12"/>
      <c r="V122" s="202" t="str">
        <f ca="1">IF(U122="","",
IF(U122="NA","",
IFERROR(VLOOKUP(EOMONTH(M122,-2)+1,IPCA!$A:$B,2,0),
VLOOKUP(EOMONTH(TODAY(),-2)+1,IPCA!$A:$B,2,0))/
VLOOKUP(EOMONTH(U122,-2)+1,IPCA!$A:$B,2,0)*
P122))</f>
        <v/>
      </c>
      <c r="W122" s="84"/>
      <c r="X122" s="13" t="s">
        <v>6</v>
      </c>
      <c r="Y122" s="158"/>
      <c r="Z122" s="106"/>
      <c r="AA122" s="107"/>
      <c r="AB122" s="15"/>
      <c r="AC122"/>
      <c r="AD122"/>
      <c r="AE122">
        <v>2</v>
      </c>
      <c r="AF122"/>
      <c r="AG122"/>
      <c r="AH122"/>
      <c r="AI122"/>
      <c r="AJ122"/>
      <c r="AK122"/>
      <c r="AL122"/>
      <c r="AM122" s="6"/>
      <c r="AN122" s="15"/>
      <c r="AO122"/>
      <c r="AP122"/>
      <c r="AQ122"/>
      <c r="AR122"/>
      <c r="AS122"/>
      <c r="AT122"/>
      <c r="AU122"/>
      <c r="AV122"/>
      <c r="AW122"/>
      <c r="AX122"/>
      <c r="AY122" s="6"/>
      <c r="AZ122" s="15"/>
      <c r="BA122"/>
      <c r="BB122"/>
      <c r="BC122"/>
      <c r="BD122"/>
      <c r="BE122"/>
      <c r="BF122"/>
      <c r="BG122"/>
      <c r="BH122"/>
      <c r="BI122"/>
      <c r="BJ122"/>
      <c r="BK122" s="6"/>
      <c r="BL122" s="15"/>
      <c r="BM122"/>
      <c r="BN122"/>
      <c r="BO122"/>
      <c r="BP122"/>
      <c r="BQ122"/>
      <c r="BR122"/>
      <c r="BS122"/>
      <c r="BT122"/>
      <c r="BU122"/>
      <c r="BV122"/>
      <c r="BW122" s="6"/>
      <c r="BX122" s="15"/>
      <c r="BY122"/>
      <c r="BZ122"/>
      <c r="CA122"/>
      <c r="CB122"/>
      <c r="CC122"/>
      <c r="CD122"/>
      <c r="CE122"/>
      <c r="CF122"/>
      <c r="CG122"/>
      <c r="CH122"/>
      <c r="CI122" s="6"/>
      <c r="CJ122" s="16">
        <v>0.16438356164383561</v>
      </c>
      <c r="CK122" s="16" t="s">
        <v>578</v>
      </c>
      <c r="CL122" s="16" t="s">
        <v>578</v>
      </c>
      <c r="CM122" s="16" t="s">
        <v>578</v>
      </c>
      <c r="CN122" s="16" t="s">
        <v>578</v>
      </c>
      <c r="CO122" s="18"/>
      <c r="CP122" s="15"/>
      <c r="CQ122"/>
      <c r="CR122"/>
      <c r="CS122">
        <v>73</v>
      </c>
      <c r="CT122"/>
      <c r="CU122"/>
      <c r="CV122"/>
      <c r="CW122"/>
      <c r="CX122"/>
      <c r="CY122"/>
      <c r="CZ122"/>
      <c r="DA122" s="6"/>
      <c r="DB122" s="15"/>
      <c r="DC122"/>
      <c r="DD122"/>
      <c r="DE122"/>
      <c r="DF122"/>
      <c r="DG122"/>
      <c r="DH122"/>
      <c r="DI122"/>
      <c r="DJ122"/>
      <c r="DK122"/>
      <c r="DL122"/>
      <c r="DM122" s="6"/>
      <c r="DN122" s="15"/>
      <c r="DO122"/>
      <c r="DP122"/>
      <c r="DQ122"/>
      <c r="DR122"/>
      <c r="DS122"/>
      <c r="DT122"/>
      <c r="DU122"/>
      <c r="DV122"/>
      <c r="DW122"/>
      <c r="DX122"/>
      <c r="DY122" s="6"/>
      <c r="DZ122" s="15"/>
      <c r="EA122"/>
      <c r="EB122"/>
      <c r="EC122"/>
      <c r="ED122"/>
      <c r="EE122"/>
      <c r="EF122"/>
      <c r="EG122"/>
      <c r="EH122"/>
      <c r="EI122"/>
      <c r="EJ122"/>
      <c r="EK122" s="6"/>
      <c r="EL122" s="15"/>
      <c r="EM122"/>
      <c r="EN122"/>
      <c r="EO122"/>
      <c r="EP122"/>
      <c r="EQ122"/>
      <c r="ER122"/>
      <c r="ES122"/>
      <c r="ET122"/>
      <c r="EU122"/>
      <c r="EV122"/>
      <c r="EW122" s="6"/>
      <c r="EX122" s="16">
        <v>6</v>
      </c>
      <c r="EY122" s="16" t="s">
        <v>578</v>
      </c>
      <c r="EZ122" s="16" t="s">
        <v>578</v>
      </c>
      <c r="FA122" s="154" t="s">
        <v>578</v>
      </c>
      <c r="FB122" s="154" t="s">
        <v>578</v>
      </c>
      <c r="FC122" t="s">
        <v>195</v>
      </c>
      <c r="FD122" s="20" t="s">
        <v>125</v>
      </c>
      <c r="FE122"/>
      <c r="FF122" s="199" t="s">
        <v>197</v>
      </c>
      <c r="FG122"/>
      <c r="FH122" s="206">
        <f t="shared" ca="1" si="13"/>
        <v>0</v>
      </c>
      <c r="FI122" s="198">
        <f t="shared" si="14"/>
        <v>0.96666666666666667</v>
      </c>
      <c r="FJ122"/>
      <c r="FK122" t="str">
        <f t="shared" si="15"/>
        <v>GOLD COMERCIALIZADORA DE ENERGIA LTDA</v>
      </c>
      <c r="FL122" s="191">
        <f t="shared" ca="1" si="16"/>
        <v>0</v>
      </c>
      <c r="FM122" s="191">
        <f t="shared" ca="1" si="17"/>
        <v>5760</v>
      </c>
      <c r="FN122" s="190">
        <f>AB122*AB$2*IF($FC122="V",1,-1)*IF($Q122="Fixo",(CP122-INDEX('Curva Forward'!$C$5:$AN$13,MATCH(CONCATENATE(BD_COMERCIAL!$K122," ",BD_COMERCIAL!$L122),'Curva Forward'!$B$5:$B$13,0),MATCH(FN$4,'Curva Forward'!$C$4:$AN$4,0))),CP122)</f>
        <v>0</v>
      </c>
      <c r="FO122" s="190">
        <f>AC122*AC$2*IF($FC122="V",1,-1)*IF($Q122="Fixo",(CQ122-INDEX('Curva Forward'!$C$5:$AN$13,MATCH(CONCATENATE(BD_COMERCIAL!$K122," ",BD_COMERCIAL!$L122),'Curva Forward'!$B$5:$B$13,0),MATCH(FO$4,'Curva Forward'!$C$4:$AN$4,0))),CQ122)</f>
        <v>0</v>
      </c>
      <c r="FP122" s="190">
        <f>AD122*AD$2*IF($FC122="V",1,-1)*IF($Q122="Fixo",(CR122-INDEX('Curva Forward'!$C$5:$AN$13,MATCH(CONCATENATE(BD_COMERCIAL!$K122," ",BD_COMERCIAL!$L122),'Curva Forward'!$B$5:$B$13,0),MATCH(FP$4,'Curva Forward'!$C$4:$AN$4,0))),CR122)</f>
        <v>0</v>
      </c>
      <c r="FQ122" s="190">
        <f>AE122*AE$2*IF($FC122="V",1,-1)*IF($Q122="Fixo",(CS122-INDEX('Curva Forward'!$C$5:$AN$13,MATCH(CONCATENATE(BD_COMERCIAL!$K122," ",BD_COMERCIAL!$L122),'Curva Forward'!$B$5:$B$13,0),MATCH(FQ$4,'Curva Forward'!$C$4:$AN$4,0))),CS122)</f>
        <v>5760</v>
      </c>
      <c r="FR122" s="190">
        <f>AF122*AF$2*IF($FC122="V",1,-1)*IF($Q122="Fixo",(CT122-INDEX('Curva Forward'!$C$5:$AN$13,MATCH(CONCATENATE(BD_COMERCIAL!$K122," ",BD_COMERCIAL!$L122),'Curva Forward'!$B$5:$B$13,0),MATCH(FR$4,'Curva Forward'!$C$4:$AN$4,0))),CT122)</f>
        <v>0</v>
      </c>
      <c r="FS122" s="190">
        <f>AG122*AG$2*IF($FC122="V",1,-1)*IF($Q122="Fixo",(CU122-INDEX('Curva Forward'!$C$5:$AN$13,MATCH(CONCATENATE(BD_COMERCIAL!$K122," ",BD_COMERCIAL!$L122),'Curva Forward'!$B$5:$B$13,0),MATCH(FS$4,'Curva Forward'!$C$4:$AN$4,0))),CU122)</f>
        <v>0</v>
      </c>
      <c r="FT122" s="190">
        <f>AH122*AH$2*IF($FC122="V",1,-1)*IF($Q122="Fixo",(CV122-INDEX('Curva Forward'!$C$5:$AN$13,MATCH(CONCATENATE(BD_COMERCIAL!$K122," ",BD_COMERCIAL!$L122),'Curva Forward'!$B$5:$B$13,0),MATCH(FT$4,'Curva Forward'!$C$4:$AN$4,0))),CV122)</f>
        <v>0</v>
      </c>
      <c r="FU122" s="190">
        <f>AI122*AI$2*IF($FC122="V",1,-1)*IF($Q122="Fixo",(CW122-INDEX('Curva Forward'!$C$5:$AN$13,MATCH(CONCATENATE(BD_COMERCIAL!$K122," ",BD_COMERCIAL!$L122),'Curva Forward'!$B$5:$B$13,0),MATCH(FU$4,'Curva Forward'!$C$4:$AN$4,0))),CW122)</f>
        <v>0</v>
      </c>
      <c r="FV122" s="190">
        <f>AJ122*AJ$2*IF($FC122="V",1,-1)*IF($Q122="Fixo",(CX122-INDEX('Curva Forward'!$C$5:$AN$13,MATCH(CONCATENATE(BD_COMERCIAL!$K122," ",BD_COMERCIAL!$L122),'Curva Forward'!$B$5:$B$13,0),MATCH(FV$4,'Curva Forward'!$C$4:$AN$4,0))),CX122)</f>
        <v>0</v>
      </c>
      <c r="FW122" s="190">
        <f>AK122*AK$2*IF($FC122="V",1,-1)*IF($Q122="Fixo",(CY122-INDEX('Curva Forward'!$C$5:$AN$13,MATCH(CONCATENATE(BD_COMERCIAL!$K122," ",BD_COMERCIAL!$L122),'Curva Forward'!$B$5:$B$13,0),MATCH(FW$4,'Curva Forward'!$C$4:$AN$4,0))),CY122)</f>
        <v>0</v>
      </c>
      <c r="FX122" s="190">
        <f>AL122*AL$2*IF($FC122="V",1,-1)*IF($Q122="Fixo",(CZ122-INDEX('Curva Forward'!$C$5:$AN$13,MATCH(CONCATENATE(BD_COMERCIAL!$K122," ",BD_COMERCIAL!$L122),'Curva Forward'!$B$5:$B$13,0),MATCH(FX$4,'Curva Forward'!$C$4:$AN$4,0))),CZ122)</f>
        <v>0</v>
      </c>
      <c r="FY122" s="190">
        <f>AM122*AM$2*IF($FC122="V",1,-1)*IF($Q122="Fixo",(DA122-INDEX('Curva Forward'!$C$5:$AN$13,MATCH(CONCATENATE(BD_COMERCIAL!$K122," ",BD_COMERCIAL!$L122),'Curva Forward'!$B$5:$B$13,0),MATCH(FY$4,'Curva Forward'!$C$4:$AN$4,0))),DA122)</f>
        <v>0</v>
      </c>
      <c r="FZ122" s="190">
        <f>AN122*AN$2*IF($FC122="V",1,-1)*IF($Q122="Fixo",(DB122-INDEX('Curva Forward'!$C$5:$AN$13,MATCH(CONCATENATE(BD_COMERCIAL!$K122," ",BD_COMERCIAL!$L122),'Curva Forward'!$B$5:$B$13,0),MATCH(FZ$4,'Curva Forward'!$C$4:$AN$4,0))),DB122)</f>
        <v>0</v>
      </c>
      <c r="GA122" s="190">
        <f>AO122*AO$2*IF($FC122="V",1,-1)*IF($Q122="Fixo",(DC122-INDEX('Curva Forward'!$C$5:$AN$13,MATCH(CONCATENATE(BD_COMERCIAL!$K122," ",BD_COMERCIAL!$L122),'Curva Forward'!$B$5:$B$13,0),MATCH(GA$4,'Curva Forward'!$C$4:$AN$4,0))),DC122)</f>
        <v>0</v>
      </c>
      <c r="GB122" s="190">
        <f>AP122*AP$2*IF($FC122="V",1,-1)*IF($Q122="Fixo",(DD122-INDEX('Curva Forward'!$C$5:$AN$13,MATCH(CONCATENATE(BD_COMERCIAL!$K122," ",BD_COMERCIAL!$L122),'Curva Forward'!$B$5:$B$13,0),MATCH(GB$4,'Curva Forward'!$C$4:$AN$4,0))),DD122)</f>
        <v>0</v>
      </c>
      <c r="GC122" s="190">
        <f>AQ122*AQ$2*IF($FC122="V",1,-1)*IF($Q122="Fixo",(DE122-INDEX('Curva Forward'!$C$5:$AN$13,MATCH(CONCATENATE(BD_COMERCIAL!$K122," ",BD_COMERCIAL!$L122),'Curva Forward'!$B$5:$B$13,0),MATCH(GC$4,'Curva Forward'!$C$4:$AN$4,0))),DE122)</f>
        <v>0</v>
      </c>
      <c r="GD122" s="190">
        <f>AR122*AR$2*IF($FC122="V",1,-1)*IF($Q122="Fixo",(DF122-INDEX('Curva Forward'!$C$5:$AN$13,MATCH(CONCATENATE(BD_COMERCIAL!$K122," ",BD_COMERCIAL!$L122),'Curva Forward'!$B$5:$B$13,0),MATCH(GD$4,'Curva Forward'!$C$4:$AN$4,0))),DF122)</f>
        <v>0</v>
      </c>
      <c r="GE122" s="190">
        <f>AS122*AS$2*IF($FC122="V",1,-1)*IF($Q122="Fixo",(DG122-INDEX('Curva Forward'!$C$5:$AN$13,MATCH(CONCATENATE(BD_COMERCIAL!$K122," ",BD_COMERCIAL!$L122),'Curva Forward'!$B$5:$B$13,0),MATCH(GE$4,'Curva Forward'!$C$4:$AN$4,0))),DG122)</f>
        <v>0</v>
      </c>
      <c r="GF122" s="190">
        <f>AT122*AT$2*IF($FC122="V",1,-1)*IF($Q122="Fixo",(DH122-INDEX('Curva Forward'!$C$5:$AN$13,MATCH(CONCATENATE(BD_COMERCIAL!$K122," ",BD_COMERCIAL!$L122),'Curva Forward'!$B$5:$B$13,0),MATCH(GF$4,'Curva Forward'!$C$4:$AN$4,0))),DH122)</f>
        <v>0</v>
      </c>
      <c r="GG122" s="190">
        <f>AU122*AU$2*IF($FC122="V",1,-1)*IF($Q122="Fixo",(DI122-INDEX('Curva Forward'!$C$5:$AN$13,MATCH(CONCATENATE(BD_COMERCIAL!$K122," ",BD_COMERCIAL!$L122),'Curva Forward'!$B$5:$B$13,0),MATCH(GG$4,'Curva Forward'!$C$4:$AN$4,0))),DI122)</f>
        <v>0</v>
      </c>
      <c r="GH122" s="190">
        <f>AV122*AV$2*IF($FC122="V",1,-1)*IF($Q122="Fixo",(DJ122-INDEX('Curva Forward'!$C$5:$AN$13,MATCH(CONCATENATE(BD_COMERCIAL!$K122," ",BD_COMERCIAL!$L122),'Curva Forward'!$B$5:$B$13,0),MATCH(GH$4,'Curva Forward'!$C$4:$AN$4,0))),DJ122)</f>
        <v>0</v>
      </c>
      <c r="GI122" s="190">
        <f>AW122*AW$2*IF($FC122="V",1,-1)*IF($Q122="Fixo",(DK122-INDEX('Curva Forward'!$C$5:$AN$13,MATCH(CONCATENATE(BD_COMERCIAL!$K122," ",BD_COMERCIAL!$L122),'Curva Forward'!$B$5:$B$13,0),MATCH(GI$4,'Curva Forward'!$C$4:$AN$4,0))),DK122)</f>
        <v>0</v>
      </c>
      <c r="GJ122" s="190">
        <f>AX122*AX$2*IF($FC122="V",1,-1)*IF($Q122="Fixo",(DL122-INDEX('Curva Forward'!$C$5:$AN$13,MATCH(CONCATENATE(BD_COMERCIAL!$K122," ",BD_COMERCIAL!$L122),'Curva Forward'!$B$5:$B$13,0),MATCH(GJ$4,'Curva Forward'!$C$4:$AN$4,0))),DL122)</f>
        <v>0</v>
      </c>
      <c r="GK122" s="190">
        <f>AY122*AY$2*IF($FC122="V",1,-1)*IF($Q122="Fixo",(DM122-INDEX('Curva Forward'!$C$5:$AN$13,MATCH(CONCATENATE(BD_COMERCIAL!$K122," ",BD_COMERCIAL!$L122),'Curva Forward'!$B$5:$B$13,0),MATCH(GK$4,'Curva Forward'!$C$4:$AN$4,0))),DM122)</f>
        <v>0</v>
      </c>
      <c r="GL122" s="190">
        <f>IF(EZ122="",0,CL122*CL$2*IF($FC122="V",1,-1)*IF($Q122="Fixo",(EZ122-INDEX('Curva Forward'!$C$5:$AN$13,MATCH(CONCATENATE(BD_COMERCIAL!$K122," ",BD_COMERCIAL!$L122),'Curva Forward'!$B$5:$B$13,0),MATCH(GL$4,'Curva Forward'!$C$4:$AN$4,0))),EZ122))</f>
        <v>0</v>
      </c>
      <c r="GM122" s="190">
        <f>IF(FA122="",0,CM122*CM$2*IF($FC122="V",1,-1)*IF($Q122="Fixo",(FA122-INDEX('Curva Forward'!$C$5:$AN$13,MATCH(CONCATENATE(BD_COMERCIAL!$K122," ",BD_COMERCIAL!$L122),'Curva Forward'!$B$5:$B$13,0),MATCH(GM$4,'Curva Forward'!$C$4:$AN$4,0))),FA122))</f>
        <v>0</v>
      </c>
      <c r="GN122" s="190">
        <f>IF(FB122="",0,CN122*CN$2*IF($FC122="V",1,-1)*IF($Q122="Fixo",(FB122-INDEX('Curva Forward'!$C$5:$AN$13,MATCH(CONCATENATE(BD_COMERCIAL!$K122," ",BD_COMERCIAL!$L122),'Curva Forward'!$B$5:$B$13,0),MATCH(GN$4,'Curva Forward'!$C$4:$AN$4,0))),FB122))</f>
        <v>0</v>
      </c>
      <c r="GO122" s="191">
        <f t="shared" ca="1" si="18"/>
        <v>5760</v>
      </c>
      <c r="GP122" s="191">
        <f t="shared" ca="1" si="19"/>
        <v>0</v>
      </c>
      <c r="GQ122" s="115"/>
      <c r="GR122" s="115"/>
      <c r="GS122"/>
      <c r="GT122" s="65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</row>
    <row r="123" spans="1:236" s="265" customFormat="1" ht="15" customHeight="1" x14ac:dyDescent="0.35">
      <c r="A123" s="251"/>
      <c r="B123" s="7" t="s">
        <v>501</v>
      </c>
      <c r="C123" s="8">
        <v>44916</v>
      </c>
      <c r="D123" s="9" t="s">
        <v>130</v>
      </c>
      <c r="E123" s="9" t="s">
        <v>145</v>
      </c>
      <c r="F123" s="112" t="e">
        <v>#N/A</v>
      </c>
      <c r="G123" s="10" t="s">
        <v>381</v>
      </c>
      <c r="H123" s="112" t="s">
        <v>348</v>
      </c>
      <c r="I123" s="9" t="s">
        <v>137</v>
      </c>
      <c r="J123" s="158" t="s">
        <v>496</v>
      </c>
      <c r="K123" s="10" t="s">
        <v>126</v>
      </c>
      <c r="L123" s="84" t="s">
        <v>22</v>
      </c>
      <c r="M123" s="11">
        <v>45047</v>
      </c>
      <c r="N123" s="12">
        <v>45077</v>
      </c>
      <c r="O123" s="10">
        <v>20</v>
      </c>
      <c r="P123" s="84">
        <v>73</v>
      </c>
      <c r="Q123" s="84" t="s">
        <v>127</v>
      </c>
      <c r="R123" s="10" t="s">
        <v>128</v>
      </c>
      <c r="S123" s="14" t="s">
        <v>133</v>
      </c>
      <c r="T123" s="11"/>
      <c r="U123" s="12"/>
      <c r="V123" s="202" t="str">
        <f ca="1">IF(U123="","",
IF(U123="NA","",
IFERROR(VLOOKUP(EOMONTH(M123,-2)+1,IPCA!$A:$B,2,0),
VLOOKUP(EOMONTH(TODAY(),-2)+1,IPCA!$A:$B,2,0))/
VLOOKUP(EOMONTH(U123,-2)+1,IPCA!$A:$B,2,0)*
P123))</f>
        <v/>
      </c>
      <c r="W123" s="84"/>
      <c r="X123" s="13"/>
      <c r="Y123" s="158"/>
      <c r="Z123" s="106" t="s">
        <v>146</v>
      </c>
      <c r="AA123" s="106" t="s">
        <v>146</v>
      </c>
      <c r="AB123" s="15"/>
      <c r="AC123"/>
      <c r="AD123"/>
      <c r="AE123"/>
      <c r="AF123">
        <v>20</v>
      </c>
      <c r="AG123"/>
      <c r="AH123"/>
      <c r="AI123"/>
      <c r="AJ123"/>
      <c r="AK123"/>
      <c r="AL123"/>
      <c r="AM123" s="6"/>
      <c r="AN123" s="15"/>
      <c r="AO123"/>
      <c r="AP123"/>
      <c r="AQ123"/>
      <c r="AR123"/>
      <c r="AS123"/>
      <c r="AT123"/>
      <c r="AU123"/>
      <c r="AV123"/>
      <c r="AW123"/>
      <c r="AX123"/>
      <c r="AY123" s="6"/>
      <c r="AZ123" s="15"/>
      <c r="BA123"/>
      <c r="BB123"/>
      <c r="BC123"/>
      <c r="BD123"/>
      <c r="BE123"/>
      <c r="BF123"/>
      <c r="BG123"/>
      <c r="BH123"/>
      <c r="BI123"/>
      <c r="BJ123"/>
      <c r="BK123" s="6"/>
      <c r="BL123" s="15"/>
      <c r="BM123"/>
      <c r="BN123"/>
      <c r="BO123"/>
      <c r="BP123"/>
      <c r="BQ123"/>
      <c r="BR123"/>
      <c r="BS123"/>
      <c r="BT123"/>
      <c r="BU123"/>
      <c r="BV123"/>
      <c r="BW123" s="6"/>
      <c r="BX123" s="15"/>
      <c r="BY123"/>
      <c r="BZ123"/>
      <c r="CA123"/>
      <c r="CB123"/>
      <c r="CC123"/>
      <c r="CD123"/>
      <c r="CE123"/>
      <c r="CF123"/>
      <c r="CG123"/>
      <c r="CH123"/>
      <c r="CI123" s="6"/>
      <c r="CJ123" s="16">
        <v>1.6986301369863013</v>
      </c>
      <c r="CK123" s="16" t="s">
        <v>578</v>
      </c>
      <c r="CL123" s="16" t="s">
        <v>578</v>
      </c>
      <c r="CM123" s="16" t="s">
        <v>578</v>
      </c>
      <c r="CN123" s="16" t="s">
        <v>578</v>
      </c>
      <c r="CO123" s="18"/>
      <c r="CP123" s="15"/>
      <c r="CQ123"/>
      <c r="CR123"/>
      <c r="CS123"/>
      <c r="CT123">
        <v>73</v>
      </c>
      <c r="CU123"/>
      <c r="CV123"/>
      <c r="CW123"/>
      <c r="CX123"/>
      <c r="CY123"/>
      <c r="CZ123"/>
      <c r="DA123" s="6"/>
      <c r="DB123" s="15"/>
      <c r="DC123"/>
      <c r="DD123"/>
      <c r="DE123"/>
      <c r="DF123"/>
      <c r="DG123"/>
      <c r="DH123"/>
      <c r="DI123"/>
      <c r="DJ123"/>
      <c r="DK123"/>
      <c r="DL123"/>
      <c r="DM123" s="6"/>
      <c r="DN123" s="15"/>
      <c r="DO123"/>
      <c r="DP123"/>
      <c r="DQ123"/>
      <c r="DR123"/>
      <c r="DS123"/>
      <c r="DT123"/>
      <c r="DU123"/>
      <c r="DV123"/>
      <c r="DW123"/>
      <c r="DX123"/>
      <c r="DY123" s="6"/>
      <c r="DZ123" s="15"/>
      <c r="EA123"/>
      <c r="EB123"/>
      <c r="EC123"/>
      <c r="ED123"/>
      <c r="EE123"/>
      <c r="EF123"/>
      <c r="EG123"/>
      <c r="EH123"/>
      <c r="EI123"/>
      <c r="EJ123"/>
      <c r="EK123" s="6"/>
      <c r="EL123" s="15"/>
      <c r="EM123"/>
      <c r="EN123"/>
      <c r="EO123"/>
      <c r="EP123"/>
      <c r="EQ123"/>
      <c r="ER123"/>
      <c r="ES123"/>
      <c r="ET123"/>
      <c r="EU123"/>
      <c r="EV123"/>
      <c r="EW123" s="6"/>
      <c r="EX123" s="16">
        <v>6.2</v>
      </c>
      <c r="EY123" s="16" t="s">
        <v>578</v>
      </c>
      <c r="EZ123" s="16" t="s">
        <v>578</v>
      </c>
      <c r="FA123" s="154" t="s">
        <v>578</v>
      </c>
      <c r="FB123" s="154" t="s">
        <v>578</v>
      </c>
      <c r="FC123" t="s">
        <v>196</v>
      </c>
      <c r="FD123" s="20" t="s">
        <v>145</v>
      </c>
      <c r="FE123"/>
      <c r="FF123" s="199" t="s">
        <v>197</v>
      </c>
      <c r="FG123"/>
      <c r="FH123" s="206">
        <f t="shared" ca="1" si="13"/>
        <v>0</v>
      </c>
      <c r="FI123" s="198">
        <f t="shared" si="14"/>
        <v>1</v>
      </c>
      <c r="FJ123"/>
      <c r="FK123" t="str">
        <f t="shared" si="15"/>
        <v>Portfólio</v>
      </c>
      <c r="FL123" s="191">
        <f t="shared" ca="1" si="16"/>
        <v>0</v>
      </c>
      <c r="FM123" s="191">
        <f t="shared" ca="1" si="17"/>
        <v>-44640</v>
      </c>
      <c r="FN123" s="190">
        <f>AB123*AB$2*IF($FC123="V",1,-1)*IF($Q123="Fixo",(CP123-INDEX('Curva Forward'!$C$5:$AN$13,MATCH(CONCATENATE(BD_COMERCIAL!$K123," ",BD_COMERCIAL!$L123),'Curva Forward'!$B$5:$B$13,0),MATCH(FN$4,'Curva Forward'!$C$4:$AN$4,0))),CP123)</f>
        <v>0</v>
      </c>
      <c r="FO123" s="190">
        <f>AC123*AC$2*IF($FC123="V",1,-1)*IF($Q123="Fixo",(CQ123-INDEX('Curva Forward'!$C$5:$AN$13,MATCH(CONCATENATE(BD_COMERCIAL!$K123," ",BD_COMERCIAL!$L123),'Curva Forward'!$B$5:$B$13,0),MATCH(FO$4,'Curva Forward'!$C$4:$AN$4,0))),CQ123)</f>
        <v>0</v>
      </c>
      <c r="FP123" s="190">
        <f>AD123*AD$2*IF($FC123="V",1,-1)*IF($Q123="Fixo",(CR123-INDEX('Curva Forward'!$C$5:$AN$13,MATCH(CONCATENATE(BD_COMERCIAL!$K123," ",BD_COMERCIAL!$L123),'Curva Forward'!$B$5:$B$13,0),MATCH(FP$4,'Curva Forward'!$C$4:$AN$4,0))),CR123)</f>
        <v>0</v>
      </c>
      <c r="FQ123" s="190">
        <f>AE123*AE$2*IF($FC123="V",1,-1)*IF($Q123="Fixo",(CS123-INDEX('Curva Forward'!$C$5:$AN$13,MATCH(CONCATENATE(BD_COMERCIAL!$K123," ",BD_COMERCIAL!$L123),'Curva Forward'!$B$5:$B$13,0),MATCH(FQ$4,'Curva Forward'!$C$4:$AN$4,0))),CS123)</f>
        <v>0</v>
      </c>
      <c r="FR123" s="190">
        <f>AF123*AF$2*IF($FC123="V",1,-1)*IF($Q123="Fixo",(CT123-INDEX('Curva Forward'!$C$5:$AN$13,MATCH(CONCATENATE(BD_COMERCIAL!$K123," ",BD_COMERCIAL!$L123),'Curva Forward'!$B$5:$B$13,0),MATCH(FR$4,'Curva Forward'!$C$4:$AN$4,0))),CT123)</f>
        <v>-44640</v>
      </c>
      <c r="FS123" s="190">
        <f>AG123*AG$2*IF($FC123="V",1,-1)*IF($Q123="Fixo",(CU123-INDEX('Curva Forward'!$C$5:$AN$13,MATCH(CONCATENATE(BD_COMERCIAL!$K123," ",BD_COMERCIAL!$L123),'Curva Forward'!$B$5:$B$13,0),MATCH(FS$4,'Curva Forward'!$C$4:$AN$4,0))),CU123)</f>
        <v>0</v>
      </c>
      <c r="FT123" s="190">
        <f>AH123*AH$2*IF($FC123="V",1,-1)*IF($Q123="Fixo",(CV123-INDEX('Curva Forward'!$C$5:$AN$13,MATCH(CONCATENATE(BD_COMERCIAL!$K123," ",BD_COMERCIAL!$L123),'Curva Forward'!$B$5:$B$13,0),MATCH(FT$4,'Curva Forward'!$C$4:$AN$4,0))),CV123)</f>
        <v>0</v>
      </c>
      <c r="FU123" s="190">
        <f>AI123*AI$2*IF($FC123="V",1,-1)*IF($Q123="Fixo",(CW123-INDEX('Curva Forward'!$C$5:$AN$13,MATCH(CONCATENATE(BD_COMERCIAL!$K123," ",BD_COMERCIAL!$L123),'Curva Forward'!$B$5:$B$13,0),MATCH(FU$4,'Curva Forward'!$C$4:$AN$4,0))),CW123)</f>
        <v>0</v>
      </c>
      <c r="FV123" s="190">
        <f>AJ123*AJ$2*IF($FC123="V",1,-1)*IF($Q123="Fixo",(CX123-INDEX('Curva Forward'!$C$5:$AN$13,MATCH(CONCATENATE(BD_COMERCIAL!$K123," ",BD_COMERCIAL!$L123),'Curva Forward'!$B$5:$B$13,0),MATCH(FV$4,'Curva Forward'!$C$4:$AN$4,0))),CX123)</f>
        <v>0</v>
      </c>
      <c r="FW123" s="190">
        <f>AK123*AK$2*IF($FC123="V",1,-1)*IF($Q123="Fixo",(CY123-INDEX('Curva Forward'!$C$5:$AN$13,MATCH(CONCATENATE(BD_COMERCIAL!$K123," ",BD_COMERCIAL!$L123),'Curva Forward'!$B$5:$B$13,0),MATCH(FW$4,'Curva Forward'!$C$4:$AN$4,0))),CY123)</f>
        <v>0</v>
      </c>
      <c r="FX123" s="190">
        <f>AL123*AL$2*IF($FC123="V",1,-1)*IF($Q123="Fixo",(CZ123-INDEX('Curva Forward'!$C$5:$AN$13,MATCH(CONCATENATE(BD_COMERCIAL!$K123," ",BD_COMERCIAL!$L123),'Curva Forward'!$B$5:$B$13,0),MATCH(FX$4,'Curva Forward'!$C$4:$AN$4,0))),CZ123)</f>
        <v>0</v>
      </c>
      <c r="FY123" s="190">
        <f>AM123*AM$2*IF($FC123="V",1,-1)*IF($Q123="Fixo",(DA123-INDEX('Curva Forward'!$C$5:$AN$13,MATCH(CONCATENATE(BD_COMERCIAL!$K123," ",BD_COMERCIAL!$L123),'Curva Forward'!$B$5:$B$13,0),MATCH(FY$4,'Curva Forward'!$C$4:$AN$4,0))),DA123)</f>
        <v>0</v>
      </c>
      <c r="FZ123" s="190">
        <f>AN123*AN$2*IF($FC123="V",1,-1)*IF($Q123="Fixo",(DB123-INDEX('Curva Forward'!$C$5:$AN$13,MATCH(CONCATENATE(BD_COMERCIAL!$K123," ",BD_COMERCIAL!$L123),'Curva Forward'!$B$5:$B$13,0),MATCH(FZ$4,'Curva Forward'!$C$4:$AN$4,0))),DB123)</f>
        <v>0</v>
      </c>
      <c r="GA123" s="190">
        <f>AO123*AO$2*IF($FC123="V",1,-1)*IF($Q123="Fixo",(DC123-INDEX('Curva Forward'!$C$5:$AN$13,MATCH(CONCATENATE(BD_COMERCIAL!$K123," ",BD_COMERCIAL!$L123),'Curva Forward'!$B$5:$B$13,0),MATCH(GA$4,'Curva Forward'!$C$4:$AN$4,0))),DC123)</f>
        <v>0</v>
      </c>
      <c r="GB123" s="190">
        <f>AP123*AP$2*IF($FC123="V",1,-1)*IF($Q123="Fixo",(DD123-INDEX('Curva Forward'!$C$5:$AN$13,MATCH(CONCATENATE(BD_COMERCIAL!$K123," ",BD_COMERCIAL!$L123),'Curva Forward'!$B$5:$B$13,0),MATCH(GB$4,'Curva Forward'!$C$4:$AN$4,0))),DD123)</f>
        <v>0</v>
      </c>
      <c r="GC123" s="190">
        <f>AQ123*AQ$2*IF($FC123="V",1,-1)*IF($Q123="Fixo",(DE123-INDEX('Curva Forward'!$C$5:$AN$13,MATCH(CONCATENATE(BD_COMERCIAL!$K123," ",BD_COMERCIAL!$L123),'Curva Forward'!$B$5:$B$13,0),MATCH(GC$4,'Curva Forward'!$C$4:$AN$4,0))),DE123)</f>
        <v>0</v>
      </c>
      <c r="GD123" s="190">
        <f>AR123*AR$2*IF($FC123="V",1,-1)*IF($Q123="Fixo",(DF123-INDEX('Curva Forward'!$C$5:$AN$13,MATCH(CONCATENATE(BD_COMERCIAL!$K123," ",BD_COMERCIAL!$L123),'Curva Forward'!$B$5:$B$13,0),MATCH(GD$4,'Curva Forward'!$C$4:$AN$4,0))),DF123)</f>
        <v>0</v>
      </c>
      <c r="GE123" s="190">
        <f>AS123*AS$2*IF($FC123="V",1,-1)*IF($Q123="Fixo",(DG123-INDEX('Curva Forward'!$C$5:$AN$13,MATCH(CONCATENATE(BD_COMERCIAL!$K123," ",BD_COMERCIAL!$L123),'Curva Forward'!$B$5:$B$13,0),MATCH(GE$4,'Curva Forward'!$C$4:$AN$4,0))),DG123)</f>
        <v>0</v>
      </c>
      <c r="GF123" s="190">
        <f>AT123*AT$2*IF($FC123="V",1,-1)*IF($Q123="Fixo",(DH123-INDEX('Curva Forward'!$C$5:$AN$13,MATCH(CONCATENATE(BD_COMERCIAL!$K123," ",BD_COMERCIAL!$L123),'Curva Forward'!$B$5:$B$13,0),MATCH(GF$4,'Curva Forward'!$C$4:$AN$4,0))),DH123)</f>
        <v>0</v>
      </c>
      <c r="GG123" s="190">
        <f>AU123*AU$2*IF($FC123="V",1,-1)*IF($Q123="Fixo",(DI123-INDEX('Curva Forward'!$C$5:$AN$13,MATCH(CONCATENATE(BD_COMERCIAL!$K123," ",BD_COMERCIAL!$L123),'Curva Forward'!$B$5:$B$13,0),MATCH(GG$4,'Curva Forward'!$C$4:$AN$4,0))),DI123)</f>
        <v>0</v>
      </c>
      <c r="GH123" s="190">
        <f>AV123*AV$2*IF($FC123="V",1,-1)*IF($Q123="Fixo",(DJ123-INDEX('Curva Forward'!$C$5:$AN$13,MATCH(CONCATENATE(BD_COMERCIAL!$K123," ",BD_COMERCIAL!$L123),'Curva Forward'!$B$5:$B$13,0),MATCH(GH$4,'Curva Forward'!$C$4:$AN$4,0))),DJ123)</f>
        <v>0</v>
      </c>
      <c r="GI123" s="190">
        <f>AW123*AW$2*IF($FC123="V",1,-1)*IF($Q123="Fixo",(DK123-INDEX('Curva Forward'!$C$5:$AN$13,MATCH(CONCATENATE(BD_COMERCIAL!$K123," ",BD_COMERCIAL!$L123),'Curva Forward'!$B$5:$B$13,0),MATCH(GI$4,'Curva Forward'!$C$4:$AN$4,0))),DK123)</f>
        <v>0</v>
      </c>
      <c r="GJ123" s="190">
        <f>AX123*AX$2*IF($FC123="V",1,-1)*IF($Q123="Fixo",(DL123-INDEX('Curva Forward'!$C$5:$AN$13,MATCH(CONCATENATE(BD_COMERCIAL!$K123," ",BD_COMERCIAL!$L123),'Curva Forward'!$B$5:$B$13,0),MATCH(GJ$4,'Curva Forward'!$C$4:$AN$4,0))),DL123)</f>
        <v>0</v>
      </c>
      <c r="GK123" s="190">
        <f>AY123*AY$2*IF($FC123="V",1,-1)*IF($Q123="Fixo",(DM123-INDEX('Curva Forward'!$C$5:$AN$13,MATCH(CONCATENATE(BD_COMERCIAL!$K123," ",BD_COMERCIAL!$L123),'Curva Forward'!$B$5:$B$13,0),MATCH(GK$4,'Curva Forward'!$C$4:$AN$4,0))),DM123)</f>
        <v>0</v>
      </c>
      <c r="GL123" s="190">
        <f>IF(EZ123="",0,CL123*CL$2*IF($FC123="V",1,-1)*IF($Q123="Fixo",(EZ123-INDEX('Curva Forward'!$C$5:$AN$13,MATCH(CONCATENATE(BD_COMERCIAL!$K123," ",BD_COMERCIAL!$L123),'Curva Forward'!$B$5:$B$13,0),MATCH(GL$4,'Curva Forward'!$C$4:$AN$4,0))),EZ123))</f>
        <v>0</v>
      </c>
      <c r="GM123" s="190">
        <f>IF(FA123="",0,CM123*CM$2*IF($FC123="V",1,-1)*IF($Q123="Fixo",(FA123-INDEX('Curva Forward'!$C$5:$AN$13,MATCH(CONCATENATE(BD_COMERCIAL!$K123," ",BD_COMERCIAL!$L123),'Curva Forward'!$B$5:$B$13,0),MATCH(GM$4,'Curva Forward'!$C$4:$AN$4,0))),FA123))</f>
        <v>0</v>
      </c>
      <c r="GN123" s="190">
        <f>IF(FB123="",0,CN123*CN$2*IF($FC123="V",1,-1)*IF($Q123="Fixo",(FB123-INDEX('Curva Forward'!$C$5:$AN$13,MATCH(CONCATENATE(BD_COMERCIAL!$K123," ",BD_COMERCIAL!$L123),'Curva Forward'!$B$5:$B$13,0),MATCH(GN$4,'Curva Forward'!$C$4:$AN$4,0))),FB123))</f>
        <v>0</v>
      </c>
      <c r="GO123" s="191">
        <f t="shared" ca="1" si="18"/>
        <v>0</v>
      </c>
      <c r="GP123" s="191">
        <f t="shared" ca="1" si="19"/>
        <v>-44640</v>
      </c>
      <c r="GQ123" s="115"/>
      <c r="GR123" s="115"/>
      <c r="GS123"/>
      <c r="GT123" s="65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</row>
    <row r="124" spans="1:236" s="265" customFormat="1" ht="15" customHeight="1" x14ac:dyDescent="0.35">
      <c r="A124" s="251"/>
      <c r="B124" s="7" t="s">
        <v>502</v>
      </c>
      <c r="C124" s="8">
        <v>44916</v>
      </c>
      <c r="D124" s="9" t="s">
        <v>123</v>
      </c>
      <c r="E124" s="9" t="s">
        <v>381</v>
      </c>
      <c r="F124" s="112" t="s">
        <v>348</v>
      </c>
      <c r="G124" s="10" t="s">
        <v>145</v>
      </c>
      <c r="H124" s="112" t="e">
        <v>#N/A</v>
      </c>
      <c r="I124" s="9" t="s">
        <v>500</v>
      </c>
      <c r="J124" s="158" t="s">
        <v>496</v>
      </c>
      <c r="K124" s="10" t="s">
        <v>126</v>
      </c>
      <c r="L124" s="84" t="s">
        <v>22</v>
      </c>
      <c r="M124" s="11">
        <v>45108</v>
      </c>
      <c r="N124" s="12">
        <v>45199</v>
      </c>
      <c r="O124" s="10">
        <v>10</v>
      </c>
      <c r="P124" s="84">
        <v>93</v>
      </c>
      <c r="Q124" s="84" t="s">
        <v>127</v>
      </c>
      <c r="R124" s="10" t="s">
        <v>128</v>
      </c>
      <c r="S124" s="14" t="s">
        <v>133</v>
      </c>
      <c r="T124" s="11"/>
      <c r="U124" s="12"/>
      <c r="V124" s="202" t="str">
        <f ca="1">IF(U124="","",
IF(U124="NA","",
IFERROR(VLOOKUP(EOMONTH(M124,-2)+1,IPCA!$A:$B,2,0),
VLOOKUP(EOMONTH(TODAY(),-2)+1,IPCA!$A:$B,2,0))/
VLOOKUP(EOMONTH(U124,-2)+1,IPCA!$A:$B,2,0)*
P124))</f>
        <v/>
      </c>
      <c r="W124" s="84"/>
      <c r="X124" s="13"/>
      <c r="Y124" s="158"/>
      <c r="Z124" s="106" t="s">
        <v>146</v>
      </c>
      <c r="AA124" s="106" t="s">
        <v>146</v>
      </c>
      <c r="AB124" s="15"/>
      <c r="AC124"/>
      <c r="AD124"/>
      <c r="AE124"/>
      <c r="AF124"/>
      <c r="AG124"/>
      <c r="AH124">
        <v>10</v>
      </c>
      <c r="AI124">
        <v>10</v>
      </c>
      <c r="AJ124">
        <v>10</v>
      </c>
      <c r="AK124"/>
      <c r="AL124"/>
      <c r="AM124" s="6"/>
      <c r="AN124" s="15"/>
      <c r="AO124"/>
      <c r="AP124"/>
      <c r="AQ124"/>
      <c r="AR124"/>
      <c r="AS124"/>
      <c r="AT124"/>
      <c r="AU124"/>
      <c r="AV124"/>
      <c r="AW124"/>
      <c r="AX124"/>
      <c r="AY124" s="6"/>
      <c r="AZ124" s="15"/>
      <c r="BA124"/>
      <c r="BB124"/>
      <c r="BC124"/>
      <c r="BD124"/>
      <c r="BE124"/>
      <c r="BF124"/>
      <c r="BG124"/>
      <c r="BH124"/>
      <c r="BI124"/>
      <c r="BJ124"/>
      <c r="BK124" s="6"/>
      <c r="BL124" s="15"/>
      <c r="BM124"/>
      <c r="BN124"/>
      <c r="BO124"/>
      <c r="BP124"/>
      <c r="BQ124"/>
      <c r="BR124"/>
      <c r="BS124"/>
      <c r="BT124"/>
      <c r="BU124"/>
      <c r="BV124"/>
      <c r="BW124" s="6"/>
      <c r="BX124" s="15"/>
      <c r="BY124"/>
      <c r="BZ124"/>
      <c r="CA124"/>
      <c r="CB124"/>
      <c r="CC124"/>
      <c r="CD124"/>
      <c r="CE124"/>
      <c r="CF124"/>
      <c r="CG124"/>
      <c r="CH124"/>
      <c r="CI124" s="6"/>
      <c r="CJ124" s="16">
        <v>2.5205479452054793</v>
      </c>
      <c r="CK124" s="16" t="s">
        <v>578</v>
      </c>
      <c r="CL124" s="16" t="s">
        <v>578</v>
      </c>
      <c r="CM124" s="16" t="s">
        <v>578</v>
      </c>
      <c r="CN124" s="16" t="s">
        <v>578</v>
      </c>
      <c r="CO124" s="18"/>
      <c r="CP124" s="15"/>
      <c r="CQ124"/>
      <c r="CR124"/>
      <c r="CS124"/>
      <c r="CT124"/>
      <c r="CU124"/>
      <c r="CV124">
        <v>93</v>
      </c>
      <c r="CW124">
        <v>93</v>
      </c>
      <c r="CX124">
        <v>93</v>
      </c>
      <c r="CY124"/>
      <c r="CZ124"/>
      <c r="DA124" s="6"/>
      <c r="DB124" s="15"/>
      <c r="DC124"/>
      <c r="DD124"/>
      <c r="DE124"/>
      <c r="DF124"/>
      <c r="DG124"/>
      <c r="DH124"/>
      <c r="DI124"/>
      <c r="DJ124"/>
      <c r="DK124"/>
      <c r="DL124"/>
      <c r="DM124" s="6"/>
      <c r="DN124" s="15"/>
      <c r="DO124"/>
      <c r="DP124"/>
      <c r="DQ124"/>
      <c r="DR124"/>
      <c r="DS124"/>
      <c r="DT124"/>
      <c r="DU124"/>
      <c r="DV124"/>
      <c r="DW124"/>
      <c r="DX124"/>
      <c r="DY124" s="6"/>
      <c r="DZ124" s="15"/>
      <c r="EA124"/>
      <c r="EB124"/>
      <c r="EC124"/>
      <c r="ED124"/>
      <c r="EE124"/>
      <c r="EF124"/>
      <c r="EG124"/>
      <c r="EH124"/>
      <c r="EI124"/>
      <c r="EJ124"/>
      <c r="EK124" s="6"/>
      <c r="EL124" s="15"/>
      <c r="EM124"/>
      <c r="EN124"/>
      <c r="EO124"/>
      <c r="EP124"/>
      <c r="EQ124"/>
      <c r="ER124"/>
      <c r="ES124"/>
      <c r="ET124"/>
      <c r="EU124"/>
      <c r="EV124"/>
      <c r="EW124" s="6"/>
      <c r="EX124" s="16">
        <v>23.44109589041096</v>
      </c>
      <c r="EY124" s="16" t="s">
        <v>578</v>
      </c>
      <c r="EZ124" s="16" t="s">
        <v>578</v>
      </c>
      <c r="FA124" s="154" t="s">
        <v>578</v>
      </c>
      <c r="FB124" s="154" t="s">
        <v>578</v>
      </c>
      <c r="FC124" t="s">
        <v>195</v>
      </c>
      <c r="FD124" s="20" t="s">
        <v>145</v>
      </c>
      <c r="FE124"/>
      <c r="FF124" s="199" t="s">
        <v>197</v>
      </c>
      <c r="FG124"/>
      <c r="FH124" s="206">
        <f t="shared" ca="1" si="13"/>
        <v>0</v>
      </c>
      <c r="FI124" s="198">
        <f t="shared" si="14"/>
        <v>3.0333333333333332</v>
      </c>
      <c r="FJ124"/>
      <c r="FK124" t="str">
        <f t="shared" si="15"/>
        <v>Portfólio</v>
      </c>
      <c r="FL124" s="191">
        <f t="shared" ca="1" si="16"/>
        <v>0</v>
      </c>
      <c r="FM124" s="191">
        <f t="shared" ca="1" si="17"/>
        <v>441600</v>
      </c>
      <c r="FN124" s="190">
        <f>AB124*AB$2*IF($FC124="V",1,-1)*IF($Q124="Fixo",(CP124-INDEX('Curva Forward'!$C$5:$AN$13,MATCH(CONCATENATE(BD_COMERCIAL!$K124," ",BD_COMERCIAL!$L124),'Curva Forward'!$B$5:$B$13,0),MATCH(FN$4,'Curva Forward'!$C$4:$AN$4,0))),CP124)</f>
        <v>0</v>
      </c>
      <c r="FO124" s="190">
        <f>AC124*AC$2*IF($FC124="V",1,-1)*IF($Q124="Fixo",(CQ124-INDEX('Curva Forward'!$C$5:$AN$13,MATCH(CONCATENATE(BD_COMERCIAL!$K124," ",BD_COMERCIAL!$L124),'Curva Forward'!$B$5:$B$13,0),MATCH(FO$4,'Curva Forward'!$C$4:$AN$4,0))),CQ124)</f>
        <v>0</v>
      </c>
      <c r="FP124" s="190">
        <f>AD124*AD$2*IF($FC124="V",1,-1)*IF($Q124="Fixo",(CR124-INDEX('Curva Forward'!$C$5:$AN$13,MATCH(CONCATENATE(BD_COMERCIAL!$K124," ",BD_COMERCIAL!$L124),'Curva Forward'!$B$5:$B$13,0),MATCH(FP$4,'Curva Forward'!$C$4:$AN$4,0))),CR124)</f>
        <v>0</v>
      </c>
      <c r="FQ124" s="190">
        <f>AE124*AE$2*IF($FC124="V",1,-1)*IF($Q124="Fixo",(CS124-INDEX('Curva Forward'!$C$5:$AN$13,MATCH(CONCATENATE(BD_COMERCIAL!$K124," ",BD_COMERCIAL!$L124),'Curva Forward'!$B$5:$B$13,0),MATCH(FQ$4,'Curva Forward'!$C$4:$AN$4,0))),CS124)</f>
        <v>0</v>
      </c>
      <c r="FR124" s="190">
        <f>AF124*AF$2*IF($FC124="V",1,-1)*IF($Q124="Fixo",(CT124-INDEX('Curva Forward'!$C$5:$AN$13,MATCH(CONCATENATE(BD_COMERCIAL!$K124," ",BD_COMERCIAL!$L124),'Curva Forward'!$B$5:$B$13,0),MATCH(FR$4,'Curva Forward'!$C$4:$AN$4,0))),CT124)</f>
        <v>0</v>
      </c>
      <c r="FS124" s="190">
        <f>AG124*AG$2*IF($FC124="V",1,-1)*IF($Q124="Fixo",(CU124-INDEX('Curva Forward'!$C$5:$AN$13,MATCH(CONCATENATE(BD_COMERCIAL!$K124," ",BD_COMERCIAL!$L124),'Curva Forward'!$B$5:$B$13,0),MATCH(FS$4,'Curva Forward'!$C$4:$AN$4,0))),CU124)</f>
        <v>0</v>
      </c>
      <c r="FT124" s="190">
        <f>AH124*AH$2*IF($FC124="V",1,-1)*IF($Q124="Fixo",(CV124-INDEX('Curva Forward'!$C$5:$AN$13,MATCH(CONCATENATE(BD_COMERCIAL!$K124," ",BD_COMERCIAL!$L124),'Curva Forward'!$B$5:$B$13,0),MATCH(FT$4,'Curva Forward'!$C$4:$AN$4,0))),CV124)</f>
        <v>148800</v>
      </c>
      <c r="FU124" s="190">
        <f>AI124*AI$2*IF($FC124="V",1,-1)*IF($Q124="Fixo",(CW124-INDEX('Curva Forward'!$C$5:$AN$13,MATCH(CONCATENATE(BD_COMERCIAL!$K124," ",BD_COMERCIAL!$L124),'Curva Forward'!$B$5:$B$13,0),MATCH(FU$4,'Curva Forward'!$C$4:$AN$4,0))),CW124)</f>
        <v>148800</v>
      </c>
      <c r="FV124" s="190">
        <f>AJ124*AJ$2*IF($FC124="V",1,-1)*IF($Q124="Fixo",(CX124-INDEX('Curva Forward'!$C$5:$AN$13,MATCH(CONCATENATE(BD_COMERCIAL!$K124," ",BD_COMERCIAL!$L124),'Curva Forward'!$B$5:$B$13,0),MATCH(FV$4,'Curva Forward'!$C$4:$AN$4,0))),CX124)</f>
        <v>144000</v>
      </c>
      <c r="FW124" s="190">
        <f>AK124*AK$2*IF($FC124="V",1,-1)*IF($Q124="Fixo",(CY124-INDEX('Curva Forward'!$C$5:$AN$13,MATCH(CONCATENATE(BD_COMERCIAL!$K124," ",BD_COMERCIAL!$L124),'Curva Forward'!$B$5:$B$13,0),MATCH(FW$4,'Curva Forward'!$C$4:$AN$4,0))),CY124)</f>
        <v>0</v>
      </c>
      <c r="FX124" s="190">
        <f>AL124*AL$2*IF($FC124="V",1,-1)*IF($Q124="Fixo",(CZ124-INDEX('Curva Forward'!$C$5:$AN$13,MATCH(CONCATENATE(BD_COMERCIAL!$K124," ",BD_COMERCIAL!$L124),'Curva Forward'!$B$5:$B$13,0),MATCH(FX$4,'Curva Forward'!$C$4:$AN$4,0))),CZ124)</f>
        <v>0</v>
      </c>
      <c r="FY124" s="190">
        <f>AM124*AM$2*IF($FC124="V",1,-1)*IF($Q124="Fixo",(DA124-INDEX('Curva Forward'!$C$5:$AN$13,MATCH(CONCATENATE(BD_COMERCIAL!$K124," ",BD_COMERCIAL!$L124),'Curva Forward'!$B$5:$B$13,0),MATCH(FY$4,'Curva Forward'!$C$4:$AN$4,0))),DA124)</f>
        <v>0</v>
      </c>
      <c r="FZ124" s="190">
        <f>AN124*AN$2*IF($FC124="V",1,-1)*IF($Q124="Fixo",(DB124-INDEX('Curva Forward'!$C$5:$AN$13,MATCH(CONCATENATE(BD_COMERCIAL!$K124," ",BD_COMERCIAL!$L124),'Curva Forward'!$B$5:$B$13,0),MATCH(FZ$4,'Curva Forward'!$C$4:$AN$4,0))),DB124)</f>
        <v>0</v>
      </c>
      <c r="GA124" s="190">
        <f>AO124*AO$2*IF($FC124="V",1,-1)*IF($Q124="Fixo",(DC124-INDEX('Curva Forward'!$C$5:$AN$13,MATCH(CONCATENATE(BD_COMERCIAL!$K124," ",BD_COMERCIAL!$L124),'Curva Forward'!$B$5:$B$13,0),MATCH(GA$4,'Curva Forward'!$C$4:$AN$4,0))),DC124)</f>
        <v>0</v>
      </c>
      <c r="GB124" s="190">
        <f>AP124*AP$2*IF($FC124="V",1,-1)*IF($Q124="Fixo",(DD124-INDEX('Curva Forward'!$C$5:$AN$13,MATCH(CONCATENATE(BD_COMERCIAL!$K124," ",BD_COMERCIAL!$L124),'Curva Forward'!$B$5:$B$13,0),MATCH(GB$4,'Curva Forward'!$C$4:$AN$4,0))),DD124)</f>
        <v>0</v>
      </c>
      <c r="GC124" s="190">
        <f>AQ124*AQ$2*IF($FC124="V",1,-1)*IF($Q124="Fixo",(DE124-INDEX('Curva Forward'!$C$5:$AN$13,MATCH(CONCATENATE(BD_COMERCIAL!$K124," ",BD_COMERCIAL!$L124),'Curva Forward'!$B$5:$B$13,0),MATCH(GC$4,'Curva Forward'!$C$4:$AN$4,0))),DE124)</f>
        <v>0</v>
      </c>
      <c r="GD124" s="190">
        <f>AR124*AR$2*IF($FC124="V",1,-1)*IF($Q124="Fixo",(DF124-INDEX('Curva Forward'!$C$5:$AN$13,MATCH(CONCATENATE(BD_COMERCIAL!$K124," ",BD_COMERCIAL!$L124),'Curva Forward'!$B$5:$B$13,0),MATCH(GD$4,'Curva Forward'!$C$4:$AN$4,0))),DF124)</f>
        <v>0</v>
      </c>
      <c r="GE124" s="190">
        <f>AS124*AS$2*IF($FC124="V",1,-1)*IF($Q124="Fixo",(DG124-INDEX('Curva Forward'!$C$5:$AN$13,MATCH(CONCATENATE(BD_COMERCIAL!$K124," ",BD_COMERCIAL!$L124),'Curva Forward'!$B$5:$B$13,0),MATCH(GE$4,'Curva Forward'!$C$4:$AN$4,0))),DG124)</f>
        <v>0</v>
      </c>
      <c r="GF124" s="190">
        <f>AT124*AT$2*IF($FC124="V",1,-1)*IF($Q124="Fixo",(DH124-INDEX('Curva Forward'!$C$5:$AN$13,MATCH(CONCATENATE(BD_COMERCIAL!$K124," ",BD_COMERCIAL!$L124),'Curva Forward'!$B$5:$B$13,0),MATCH(GF$4,'Curva Forward'!$C$4:$AN$4,0))),DH124)</f>
        <v>0</v>
      </c>
      <c r="GG124" s="190">
        <f>AU124*AU$2*IF($FC124="V",1,-1)*IF($Q124="Fixo",(DI124-INDEX('Curva Forward'!$C$5:$AN$13,MATCH(CONCATENATE(BD_COMERCIAL!$K124," ",BD_COMERCIAL!$L124),'Curva Forward'!$B$5:$B$13,0),MATCH(GG$4,'Curva Forward'!$C$4:$AN$4,0))),DI124)</f>
        <v>0</v>
      </c>
      <c r="GH124" s="190">
        <f>AV124*AV$2*IF($FC124="V",1,-1)*IF($Q124="Fixo",(DJ124-INDEX('Curva Forward'!$C$5:$AN$13,MATCH(CONCATENATE(BD_COMERCIAL!$K124," ",BD_COMERCIAL!$L124),'Curva Forward'!$B$5:$B$13,0),MATCH(GH$4,'Curva Forward'!$C$4:$AN$4,0))),DJ124)</f>
        <v>0</v>
      </c>
      <c r="GI124" s="190">
        <f>AW124*AW$2*IF($FC124="V",1,-1)*IF($Q124="Fixo",(DK124-INDEX('Curva Forward'!$C$5:$AN$13,MATCH(CONCATENATE(BD_COMERCIAL!$K124," ",BD_COMERCIAL!$L124),'Curva Forward'!$B$5:$B$13,0),MATCH(GI$4,'Curva Forward'!$C$4:$AN$4,0))),DK124)</f>
        <v>0</v>
      </c>
      <c r="GJ124" s="190">
        <f>AX124*AX$2*IF($FC124="V",1,-1)*IF($Q124="Fixo",(DL124-INDEX('Curva Forward'!$C$5:$AN$13,MATCH(CONCATENATE(BD_COMERCIAL!$K124," ",BD_COMERCIAL!$L124),'Curva Forward'!$B$5:$B$13,0),MATCH(GJ$4,'Curva Forward'!$C$4:$AN$4,0))),DL124)</f>
        <v>0</v>
      </c>
      <c r="GK124" s="190">
        <f>AY124*AY$2*IF($FC124="V",1,-1)*IF($Q124="Fixo",(DM124-INDEX('Curva Forward'!$C$5:$AN$13,MATCH(CONCATENATE(BD_COMERCIAL!$K124," ",BD_COMERCIAL!$L124),'Curva Forward'!$B$5:$B$13,0),MATCH(GK$4,'Curva Forward'!$C$4:$AN$4,0))),DM124)</f>
        <v>0</v>
      </c>
      <c r="GL124" s="190">
        <f>IF(EZ124="",0,CL124*CL$2*IF($FC124="V",1,-1)*IF($Q124="Fixo",(EZ124-INDEX('Curva Forward'!$C$5:$AN$13,MATCH(CONCATENATE(BD_COMERCIAL!$K124," ",BD_COMERCIAL!$L124),'Curva Forward'!$B$5:$B$13,0),MATCH(GL$4,'Curva Forward'!$C$4:$AN$4,0))),EZ124))</f>
        <v>0</v>
      </c>
      <c r="GM124" s="190">
        <f>IF(FA124="",0,CM124*CM$2*IF($FC124="V",1,-1)*IF($Q124="Fixo",(FA124-INDEX('Curva Forward'!$C$5:$AN$13,MATCH(CONCATENATE(BD_COMERCIAL!$K124," ",BD_COMERCIAL!$L124),'Curva Forward'!$B$5:$B$13,0),MATCH(GM$4,'Curva Forward'!$C$4:$AN$4,0))),FA124))</f>
        <v>0</v>
      </c>
      <c r="GN124" s="190">
        <f>IF(FB124="",0,CN124*CN$2*IF($FC124="V",1,-1)*IF($Q124="Fixo",(FB124-INDEX('Curva Forward'!$C$5:$AN$13,MATCH(CONCATENATE(BD_COMERCIAL!$K124," ",BD_COMERCIAL!$L124),'Curva Forward'!$B$5:$B$13,0),MATCH(GN$4,'Curva Forward'!$C$4:$AN$4,0))),FB124))</f>
        <v>0</v>
      </c>
      <c r="GO124" s="191">
        <f t="shared" ca="1" si="18"/>
        <v>441600</v>
      </c>
      <c r="GP124" s="191">
        <f t="shared" ca="1" si="19"/>
        <v>0</v>
      </c>
      <c r="GQ124" s="115"/>
      <c r="GR124" s="115"/>
      <c r="GS124"/>
      <c r="GT124" s="65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</row>
    <row r="125" spans="1:236" s="265" customFormat="1" ht="15" customHeight="1" x14ac:dyDescent="0.35">
      <c r="A125" s="251"/>
      <c r="B125" s="7" t="s">
        <v>503</v>
      </c>
      <c r="C125" s="8">
        <v>44916</v>
      </c>
      <c r="D125" s="9" t="s">
        <v>123</v>
      </c>
      <c r="E125" s="9" t="s">
        <v>381</v>
      </c>
      <c r="F125" s="112" t="s">
        <v>348</v>
      </c>
      <c r="G125" s="10" t="s">
        <v>145</v>
      </c>
      <c r="H125" s="112" t="e">
        <v>#N/A</v>
      </c>
      <c r="I125" s="9" t="s">
        <v>500</v>
      </c>
      <c r="J125" s="158" t="s">
        <v>496</v>
      </c>
      <c r="K125" s="10" t="s">
        <v>126</v>
      </c>
      <c r="L125" s="84" t="s">
        <v>22</v>
      </c>
      <c r="M125" s="11">
        <v>45108</v>
      </c>
      <c r="N125" s="12">
        <v>45291</v>
      </c>
      <c r="O125" s="10">
        <v>20</v>
      </c>
      <c r="P125" s="84">
        <v>93</v>
      </c>
      <c r="Q125" s="84" t="s">
        <v>127</v>
      </c>
      <c r="R125" s="10" t="s">
        <v>128</v>
      </c>
      <c r="S125" s="14" t="s">
        <v>133</v>
      </c>
      <c r="T125" s="11"/>
      <c r="U125" s="12"/>
      <c r="V125" s="202" t="str">
        <f ca="1">IF(U125="","",
IF(U125="NA","",
IFERROR(VLOOKUP(EOMONTH(M125,-2)+1,IPCA!$A:$B,2,0),
VLOOKUP(EOMONTH(TODAY(),-2)+1,IPCA!$A:$B,2,0))/
VLOOKUP(EOMONTH(U125,-2)+1,IPCA!$A:$B,2,0)*
P125))</f>
        <v/>
      </c>
      <c r="W125" s="84"/>
      <c r="X125" s="13"/>
      <c r="Y125" s="158"/>
      <c r="Z125" s="106" t="s">
        <v>146</v>
      </c>
      <c r="AA125" s="106" t="s">
        <v>146</v>
      </c>
      <c r="AB125" s="15"/>
      <c r="AC125"/>
      <c r="AD125"/>
      <c r="AE125"/>
      <c r="AF125"/>
      <c r="AG125"/>
      <c r="AH125">
        <v>20</v>
      </c>
      <c r="AI125">
        <v>20</v>
      </c>
      <c r="AJ125">
        <v>20</v>
      </c>
      <c r="AK125">
        <v>20</v>
      </c>
      <c r="AL125">
        <v>20</v>
      </c>
      <c r="AM125" s="6">
        <v>20</v>
      </c>
      <c r="AN125" s="15"/>
      <c r="AO125"/>
      <c r="AP125"/>
      <c r="AQ125"/>
      <c r="AR125"/>
      <c r="AS125"/>
      <c r="AT125"/>
      <c r="AU125"/>
      <c r="AV125"/>
      <c r="AW125"/>
      <c r="AX125"/>
      <c r="AY125" s="6"/>
      <c r="AZ125" s="15"/>
      <c r="BA125"/>
      <c r="BB125"/>
      <c r="BC125"/>
      <c r="BD125"/>
      <c r="BE125"/>
      <c r="BF125"/>
      <c r="BG125"/>
      <c r="BH125"/>
      <c r="BI125"/>
      <c r="BJ125"/>
      <c r="BK125" s="6"/>
      <c r="BL125" s="15"/>
      <c r="BM125"/>
      <c r="BN125"/>
      <c r="BO125"/>
      <c r="BP125"/>
      <c r="BQ125"/>
      <c r="BR125"/>
      <c r="BS125"/>
      <c r="BT125"/>
      <c r="BU125"/>
      <c r="BV125"/>
      <c r="BW125" s="6"/>
      <c r="BX125" s="15"/>
      <c r="BY125"/>
      <c r="BZ125"/>
      <c r="CA125"/>
      <c r="CB125"/>
      <c r="CC125"/>
      <c r="CD125"/>
      <c r="CE125"/>
      <c r="CF125"/>
      <c r="CG125"/>
      <c r="CH125"/>
      <c r="CI125" s="6"/>
      <c r="CJ125" s="16">
        <v>10.082191780821917</v>
      </c>
      <c r="CK125" s="16" t="s">
        <v>578</v>
      </c>
      <c r="CL125" s="16" t="s">
        <v>578</v>
      </c>
      <c r="CM125" s="16" t="s">
        <v>578</v>
      </c>
      <c r="CN125" s="16" t="s">
        <v>578</v>
      </c>
      <c r="CO125" s="18"/>
      <c r="CP125" s="15"/>
      <c r="CQ125"/>
      <c r="CR125"/>
      <c r="CS125"/>
      <c r="CT125"/>
      <c r="CU125"/>
      <c r="CV125">
        <v>93</v>
      </c>
      <c r="CW125">
        <v>93</v>
      </c>
      <c r="CX125">
        <v>93</v>
      </c>
      <c r="CY125">
        <v>93</v>
      </c>
      <c r="CZ125">
        <v>93</v>
      </c>
      <c r="DA125" s="6">
        <v>93</v>
      </c>
      <c r="DB125" s="15"/>
      <c r="DC125"/>
      <c r="DD125"/>
      <c r="DE125"/>
      <c r="DF125"/>
      <c r="DG125"/>
      <c r="DH125"/>
      <c r="DI125"/>
      <c r="DJ125"/>
      <c r="DK125"/>
      <c r="DL125"/>
      <c r="DM125" s="6"/>
      <c r="DN125" s="15"/>
      <c r="DO125"/>
      <c r="DP125"/>
      <c r="DQ125"/>
      <c r="DR125"/>
      <c r="DS125"/>
      <c r="DT125"/>
      <c r="DU125"/>
      <c r="DV125"/>
      <c r="DW125"/>
      <c r="DX125"/>
      <c r="DY125" s="6"/>
      <c r="DZ125" s="15"/>
      <c r="EA125"/>
      <c r="EB125"/>
      <c r="EC125"/>
      <c r="ED125"/>
      <c r="EE125"/>
      <c r="EF125"/>
      <c r="EG125"/>
      <c r="EH125"/>
      <c r="EI125"/>
      <c r="EJ125"/>
      <c r="EK125" s="6"/>
      <c r="EL125" s="15"/>
      <c r="EM125"/>
      <c r="EN125"/>
      <c r="EO125"/>
      <c r="EP125"/>
      <c r="EQ125"/>
      <c r="ER125"/>
      <c r="ES125"/>
      <c r="ET125"/>
      <c r="EU125"/>
      <c r="EV125"/>
      <c r="EW125" s="6"/>
      <c r="EX125" s="16">
        <v>46.88219178082192</v>
      </c>
      <c r="EY125" s="16" t="s">
        <v>578</v>
      </c>
      <c r="EZ125" s="16" t="s">
        <v>578</v>
      </c>
      <c r="FA125" s="154" t="s">
        <v>578</v>
      </c>
      <c r="FB125" s="154" t="s">
        <v>578</v>
      </c>
      <c r="FC125" t="s">
        <v>195</v>
      </c>
      <c r="FD125" s="20" t="s">
        <v>145</v>
      </c>
      <c r="FE125"/>
      <c r="FF125" s="199" t="s">
        <v>197</v>
      </c>
      <c r="FG125"/>
      <c r="FH125" s="206">
        <f t="shared" ca="1" si="13"/>
        <v>0</v>
      </c>
      <c r="FI125" s="198">
        <f t="shared" si="14"/>
        <v>6.1</v>
      </c>
      <c r="FJ125"/>
      <c r="FK125" t="str">
        <f t="shared" si="15"/>
        <v>Portfólio</v>
      </c>
      <c r="FL125" s="191">
        <f t="shared" ca="1" si="16"/>
        <v>0</v>
      </c>
      <c r="FM125" s="191">
        <f t="shared" ca="1" si="17"/>
        <v>1678080</v>
      </c>
      <c r="FN125" s="190">
        <f>AB125*AB$2*IF($FC125="V",1,-1)*IF($Q125="Fixo",(CP125-INDEX('Curva Forward'!$C$5:$AN$13,MATCH(CONCATENATE(BD_COMERCIAL!$K125," ",BD_COMERCIAL!$L125),'Curva Forward'!$B$5:$B$13,0),MATCH(FN$4,'Curva Forward'!$C$4:$AN$4,0))),CP125)</f>
        <v>0</v>
      </c>
      <c r="FO125" s="190">
        <f>AC125*AC$2*IF($FC125="V",1,-1)*IF($Q125="Fixo",(CQ125-INDEX('Curva Forward'!$C$5:$AN$13,MATCH(CONCATENATE(BD_COMERCIAL!$K125," ",BD_COMERCIAL!$L125),'Curva Forward'!$B$5:$B$13,0),MATCH(FO$4,'Curva Forward'!$C$4:$AN$4,0))),CQ125)</f>
        <v>0</v>
      </c>
      <c r="FP125" s="190">
        <f>AD125*AD$2*IF($FC125="V",1,-1)*IF($Q125="Fixo",(CR125-INDEX('Curva Forward'!$C$5:$AN$13,MATCH(CONCATENATE(BD_COMERCIAL!$K125," ",BD_COMERCIAL!$L125),'Curva Forward'!$B$5:$B$13,0),MATCH(FP$4,'Curva Forward'!$C$4:$AN$4,0))),CR125)</f>
        <v>0</v>
      </c>
      <c r="FQ125" s="190">
        <f>AE125*AE$2*IF($FC125="V",1,-1)*IF($Q125="Fixo",(CS125-INDEX('Curva Forward'!$C$5:$AN$13,MATCH(CONCATENATE(BD_COMERCIAL!$K125," ",BD_COMERCIAL!$L125),'Curva Forward'!$B$5:$B$13,0),MATCH(FQ$4,'Curva Forward'!$C$4:$AN$4,0))),CS125)</f>
        <v>0</v>
      </c>
      <c r="FR125" s="190">
        <f>AF125*AF$2*IF($FC125="V",1,-1)*IF($Q125="Fixo",(CT125-INDEX('Curva Forward'!$C$5:$AN$13,MATCH(CONCATENATE(BD_COMERCIAL!$K125," ",BD_COMERCIAL!$L125),'Curva Forward'!$B$5:$B$13,0),MATCH(FR$4,'Curva Forward'!$C$4:$AN$4,0))),CT125)</f>
        <v>0</v>
      </c>
      <c r="FS125" s="190">
        <f>AG125*AG$2*IF($FC125="V",1,-1)*IF($Q125="Fixo",(CU125-INDEX('Curva Forward'!$C$5:$AN$13,MATCH(CONCATENATE(BD_COMERCIAL!$K125," ",BD_COMERCIAL!$L125),'Curva Forward'!$B$5:$B$13,0),MATCH(FS$4,'Curva Forward'!$C$4:$AN$4,0))),CU125)</f>
        <v>0</v>
      </c>
      <c r="FT125" s="190">
        <f>AH125*AH$2*IF($FC125="V",1,-1)*IF($Q125="Fixo",(CV125-INDEX('Curva Forward'!$C$5:$AN$13,MATCH(CONCATENATE(BD_COMERCIAL!$K125," ",BD_COMERCIAL!$L125),'Curva Forward'!$B$5:$B$13,0),MATCH(FT$4,'Curva Forward'!$C$4:$AN$4,0))),CV125)</f>
        <v>297600</v>
      </c>
      <c r="FU125" s="190">
        <f>AI125*AI$2*IF($FC125="V",1,-1)*IF($Q125="Fixo",(CW125-INDEX('Curva Forward'!$C$5:$AN$13,MATCH(CONCATENATE(BD_COMERCIAL!$K125," ",BD_COMERCIAL!$L125),'Curva Forward'!$B$5:$B$13,0),MATCH(FU$4,'Curva Forward'!$C$4:$AN$4,0))),CW125)</f>
        <v>297600</v>
      </c>
      <c r="FV125" s="190">
        <f>AJ125*AJ$2*IF($FC125="V",1,-1)*IF($Q125="Fixo",(CX125-INDEX('Curva Forward'!$C$5:$AN$13,MATCH(CONCATENATE(BD_COMERCIAL!$K125," ",BD_COMERCIAL!$L125),'Curva Forward'!$B$5:$B$13,0),MATCH(FV$4,'Curva Forward'!$C$4:$AN$4,0))),CX125)</f>
        <v>288000</v>
      </c>
      <c r="FW125" s="190">
        <f>AK125*AK$2*IF($FC125="V",1,-1)*IF($Q125="Fixo",(CY125-INDEX('Curva Forward'!$C$5:$AN$13,MATCH(CONCATENATE(BD_COMERCIAL!$K125," ",BD_COMERCIAL!$L125),'Curva Forward'!$B$5:$B$13,0),MATCH(FW$4,'Curva Forward'!$C$4:$AN$4,0))),CY125)</f>
        <v>267840</v>
      </c>
      <c r="FX125" s="190">
        <f>AL125*AL$2*IF($FC125="V",1,-1)*IF($Q125="Fixo",(CZ125-INDEX('Curva Forward'!$C$5:$AN$13,MATCH(CONCATENATE(BD_COMERCIAL!$K125," ",BD_COMERCIAL!$L125),'Curva Forward'!$B$5:$B$13,0),MATCH(FX$4,'Curva Forward'!$C$4:$AN$4,0))),CZ125)</f>
        <v>259200</v>
      </c>
      <c r="FY125" s="190">
        <f>AM125*AM$2*IF($FC125="V",1,-1)*IF($Q125="Fixo",(DA125-INDEX('Curva Forward'!$C$5:$AN$13,MATCH(CONCATENATE(BD_COMERCIAL!$K125," ",BD_COMERCIAL!$L125),'Curva Forward'!$B$5:$B$13,0),MATCH(FY$4,'Curva Forward'!$C$4:$AN$4,0))),DA125)</f>
        <v>267840</v>
      </c>
      <c r="FZ125" s="190">
        <f>AN125*AN$2*IF($FC125="V",1,-1)*IF($Q125="Fixo",(DB125-INDEX('Curva Forward'!$C$5:$AN$13,MATCH(CONCATENATE(BD_COMERCIAL!$K125," ",BD_COMERCIAL!$L125),'Curva Forward'!$B$5:$B$13,0),MATCH(FZ$4,'Curva Forward'!$C$4:$AN$4,0))),DB125)</f>
        <v>0</v>
      </c>
      <c r="GA125" s="190">
        <f>AO125*AO$2*IF($FC125="V",1,-1)*IF($Q125="Fixo",(DC125-INDEX('Curva Forward'!$C$5:$AN$13,MATCH(CONCATENATE(BD_COMERCIAL!$K125," ",BD_COMERCIAL!$L125),'Curva Forward'!$B$5:$B$13,0),MATCH(GA$4,'Curva Forward'!$C$4:$AN$4,0))),DC125)</f>
        <v>0</v>
      </c>
      <c r="GB125" s="190">
        <f>AP125*AP$2*IF($FC125="V",1,-1)*IF($Q125="Fixo",(DD125-INDEX('Curva Forward'!$C$5:$AN$13,MATCH(CONCATENATE(BD_COMERCIAL!$K125," ",BD_COMERCIAL!$L125),'Curva Forward'!$B$5:$B$13,0),MATCH(GB$4,'Curva Forward'!$C$4:$AN$4,0))),DD125)</f>
        <v>0</v>
      </c>
      <c r="GC125" s="190">
        <f>AQ125*AQ$2*IF($FC125="V",1,-1)*IF($Q125="Fixo",(DE125-INDEX('Curva Forward'!$C$5:$AN$13,MATCH(CONCATENATE(BD_COMERCIAL!$K125," ",BD_COMERCIAL!$L125),'Curva Forward'!$B$5:$B$13,0),MATCH(GC$4,'Curva Forward'!$C$4:$AN$4,0))),DE125)</f>
        <v>0</v>
      </c>
      <c r="GD125" s="190">
        <f>AR125*AR$2*IF($FC125="V",1,-1)*IF($Q125="Fixo",(DF125-INDEX('Curva Forward'!$C$5:$AN$13,MATCH(CONCATENATE(BD_COMERCIAL!$K125," ",BD_COMERCIAL!$L125),'Curva Forward'!$B$5:$B$13,0),MATCH(GD$4,'Curva Forward'!$C$4:$AN$4,0))),DF125)</f>
        <v>0</v>
      </c>
      <c r="GE125" s="190">
        <f>AS125*AS$2*IF($FC125="V",1,-1)*IF($Q125="Fixo",(DG125-INDEX('Curva Forward'!$C$5:$AN$13,MATCH(CONCATENATE(BD_COMERCIAL!$K125," ",BD_COMERCIAL!$L125),'Curva Forward'!$B$5:$B$13,0),MATCH(GE$4,'Curva Forward'!$C$4:$AN$4,0))),DG125)</f>
        <v>0</v>
      </c>
      <c r="GF125" s="190">
        <f>AT125*AT$2*IF($FC125="V",1,-1)*IF($Q125="Fixo",(DH125-INDEX('Curva Forward'!$C$5:$AN$13,MATCH(CONCATENATE(BD_COMERCIAL!$K125," ",BD_COMERCIAL!$L125),'Curva Forward'!$B$5:$B$13,0),MATCH(GF$4,'Curva Forward'!$C$4:$AN$4,0))),DH125)</f>
        <v>0</v>
      </c>
      <c r="GG125" s="190">
        <f>AU125*AU$2*IF($FC125="V",1,-1)*IF($Q125="Fixo",(DI125-INDEX('Curva Forward'!$C$5:$AN$13,MATCH(CONCATENATE(BD_COMERCIAL!$K125," ",BD_COMERCIAL!$L125),'Curva Forward'!$B$5:$B$13,0),MATCH(GG$4,'Curva Forward'!$C$4:$AN$4,0))),DI125)</f>
        <v>0</v>
      </c>
      <c r="GH125" s="190">
        <f>AV125*AV$2*IF($FC125="V",1,-1)*IF($Q125="Fixo",(DJ125-INDEX('Curva Forward'!$C$5:$AN$13,MATCH(CONCATENATE(BD_COMERCIAL!$K125," ",BD_COMERCIAL!$L125),'Curva Forward'!$B$5:$B$13,0),MATCH(GH$4,'Curva Forward'!$C$4:$AN$4,0))),DJ125)</f>
        <v>0</v>
      </c>
      <c r="GI125" s="190">
        <f>AW125*AW$2*IF($FC125="V",1,-1)*IF($Q125="Fixo",(DK125-INDEX('Curva Forward'!$C$5:$AN$13,MATCH(CONCATENATE(BD_COMERCIAL!$K125," ",BD_COMERCIAL!$L125),'Curva Forward'!$B$5:$B$13,0),MATCH(GI$4,'Curva Forward'!$C$4:$AN$4,0))),DK125)</f>
        <v>0</v>
      </c>
      <c r="GJ125" s="190">
        <f>AX125*AX$2*IF($FC125="V",1,-1)*IF($Q125="Fixo",(DL125-INDEX('Curva Forward'!$C$5:$AN$13,MATCH(CONCATENATE(BD_COMERCIAL!$K125," ",BD_COMERCIAL!$L125),'Curva Forward'!$B$5:$B$13,0),MATCH(GJ$4,'Curva Forward'!$C$4:$AN$4,0))),DL125)</f>
        <v>0</v>
      </c>
      <c r="GK125" s="190">
        <f>AY125*AY$2*IF($FC125="V",1,-1)*IF($Q125="Fixo",(DM125-INDEX('Curva Forward'!$C$5:$AN$13,MATCH(CONCATENATE(BD_COMERCIAL!$K125," ",BD_COMERCIAL!$L125),'Curva Forward'!$B$5:$B$13,0),MATCH(GK$4,'Curva Forward'!$C$4:$AN$4,0))),DM125)</f>
        <v>0</v>
      </c>
      <c r="GL125" s="190">
        <f>IF(EZ125="",0,CL125*CL$2*IF($FC125="V",1,-1)*IF($Q125="Fixo",(EZ125-INDEX('Curva Forward'!$C$5:$AN$13,MATCH(CONCATENATE(BD_COMERCIAL!$K125," ",BD_COMERCIAL!$L125),'Curva Forward'!$B$5:$B$13,0),MATCH(GL$4,'Curva Forward'!$C$4:$AN$4,0))),EZ125))</f>
        <v>0</v>
      </c>
      <c r="GM125" s="190">
        <f>IF(FA125="",0,CM125*CM$2*IF($FC125="V",1,-1)*IF($Q125="Fixo",(FA125-INDEX('Curva Forward'!$C$5:$AN$13,MATCH(CONCATENATE(BD_COMERCIAL!$K125," ",BD_COMERCIAL!$L125),'Curva Forward'!$B$5:$B$13,0),MATCH(GM$4,'Curva Forward'!$C$4:$AN$4,0))),FA125))</f>
        <v>0</v>
      </c>
      <c r="GN125" s="190">
        <f>IF(FB125="",0,CN125*CN$2*IF($FC125="V",1,-1)*IF($Q125="Fixo",(FB125-INDEX('Curva Forward'!$C$5:$AN$13,MATCH(CONCATENATE(BD_COMERCIAL!$K125," ",BD_COMERCIAL!$L125),'Curva Forward'!$B$5:$B$13,0),MATCH(GN$4,'Curva Forward'!$C$4:$AN$4,0))),FB125))</f>
        <v>0</v>
      </c>
      <c r="GO125" s="191">
        <f t="shared" ca="1" si="18"/>
        <v>1678080</v>
      </c>
      <c r="GP125" s="191">
        <f t="shared" ca="1" si="19"/>
        <v>0</v>
      </c>
      <c r="GQ125" s="115"/>
      <c r="GR125" s="115"/>
      <c r="GS125"/>
      <c r="GT125" s="6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</row>
    <row r="126" spans="1:236" s="265" customFormat="1" ht="15" customHeight="1" x14ac:dyDescent="0.35">
      <c r="A126" s="251"/>
      <c r="B126" s="7" t="s">
        <v>504</v>
      </c>
      <c r="C126" s="8">
        <v>44917</v>
      </c>
      <c r="D126" s="9" t="s">
        <v>123</v>
      </c>
      <c r="E126" s="9" t="s">
        <v>381</v>
      </c>
      <c r="F126" s="112" t="s">
        <v>348</v>
      </c>
      <c r="G126" s="10" t="s">
        <v>409</v>
      </c>
      <c r="H126" s="112" t="s">
        <v>410</v>
      </c>
      <c r="I126" s="9" t="s">
        <v>125</v>
      </c>
      <c r="J126" s="158" t="s">
        <v>496</v>
      </c>
      <c r="K126" s="10" t="s">
        <v>126</v>
      </c>
      <c r="L126" s="84" t="s">
        <v>22</v>
      </c>
      <c r="M126" s="11">
        <v>45017</v>
      </c>
      <c r="N126" s="12">
        <v>45046</v>
      </c>
      <c r="O126" s="10">
        <v>20</v>
      </c>
      <c r="P126" s="84">
        <v>73</v>
      </c>
      <c r="Q126" s="84" t="s">
        <v>127</v>
      </c>
      <c r="R126" s="10" t="s">
        <v>128</v>
      </c>
      <c r="S126" s="14" t="s">
        <v>133</v>
      </c>
      <c r="T126" s="11"/>
      <c r="U126" s="12"/>
      <c r="V126" s="202" t="str">
        <f ca="1">IF(U126="","",
IF(U126="NA","",
IFERROR(VLOOKUP(EOMONTH(M126,-2)+1,IPCA!$A:$B,2,0),
VLOOKUP(EOMONTH(TODAY(),-2)+1,IPCA!$A:$B,2,0))/
VLOOKUP(EOMONTH(U126,-2)+1,IPCA!$A:$B,2,0)*
P126))</f>
        <v/>
      </c>
      <c r="W126" s="84"/>
      <c r="X126" s="13" t="s">
        <v>132</v>
      </c>
      <c r="Y126" s="158"/>
      <c r="Z126" s="106"/>
      <c r="AA126" s="107"/>
      <c r="AB126" s="15"/>
      <c r="AC126"/>
      <c r="AD126"/>
      <c r="AE126">
        <v>20</v>
      </c>
      <c r="AF126"/>
      <c r="AG126"/>
      <c r="AH126"/>
      <c r="AI126"/>
      <c r="AJ126"/>
      <c r="AK126"/>
      <c r="AL126"/>
      <c r="AM126" s="6"/>
      <c r="AN126" s="15"/>
      <c r="AO126"/>
      <c r="AP126"/>
      <c r="AQ126"/>
      <c r="AR126"/>
      <c r="AS126"/>
      <c r="AT126"/>
      <c r="AU126"/>
      <c r="AV126"/>
      <c r="AW126"/>
      <c r="AX126"/>
      <c r="AY126" s="6"/>
      <c r="AZ126" s="15"/>
      <c r="BA126"/>
      <c r="BB126"/>
      <c r="BC126"/>
      <c r="BD126"/>
      <c r="BE126"/>
      <c r="BF126"/>
      <c r="BG126"/>
      <c r="BH126"/>
      <c r="BI126"/>
      <c r="BJ126"/>
      <c r="BK126" s="6"/>
      <c r="BL126" s="15"/>
      <c r="BM126"/>
      <c r="BN126"/>
      <c r="BO126"/>
      <c r="BP126"/>
      <c r="BQ126"/>
      <c r="BR126"/>
      <c r="BS126"/>
      <c r="BT126"/>
      <c r="BU126"/>
      <c r="BV126"/>
      <c r="BW126" s="6"/>
      <c r="BX126" s="15"/>
      <c r="BY126"/>
      <c r="BZ126"/>
      <c r="CA126"/>
      <c r="CB126"/>
      <c r="CC126"/>
      <c r="CD126"/>
      <c r="CE126"/>
      <c r="CF126"/>
      <c r="CG126"/>
      <c r="CH126"/>
      <c r="CI126" s="6"/>
      <c r="CJ126" s="16">
        <v>1.6438356164383561</v>
      </c>
      <c r="CK126" s="16" t="s">
        <v>578</v>
      </c>
      <c r="CL126" s="16" t="s">
        <v>578</v>
      </c>
      <c r="CM126" s="16" t="s">
        <v>578</v>
      </c>
      <c r="CN126" s="16" t="s">
        <v>578</v>
      </c>
      <c r="CO126" s="18"/>
      <c r="CP126" s="15"/>
      <c r="CQ126"/>
      <c r="CR126"/>
      <c r="CS126">
        <v>73</v>
      </c>
      <c r="CT126"/>
      <c r="CU126"/>
      <c r="CV126"/>
      <c r="CW126"/>
      <c r="CX126"/>
      <c r="CY126"/>
      <c r="CZ126"/>
      <c r="DA126" s="6"/>
      <c r="DB126" s="15"/>
      <c r="DC126"/>
      <c r="DD126"/>
      <c r="DE126"/>
      <c r="DF126"/>
      <c r="DG126"/>
      <c r="DH126"/>
      <c r="DI126"/>
      <c r="DJ126"/>
      <c r="DK126"/>
      <c r="DL126"/>
      <c r="DM126" s="6"/>
      <c r="DN126" s="15"/>
      <c r="DO126"/>
      <c r="DP126"/>
      <c r="DQ126"/>
      <c r="DR126"/>
      <c r="DS126"/>
      <c r="DT126"/>
      <c r="DU126"/>
      <c r="DV126"/>
      <c r="DW126"/>
      <c r="DX126"/>
      <c r="DY126" s="6"/>
      <c r="DZ126" s="15"/>
      <c r="EA126"/>
      <c r="EB126"/>
      <c r="EC126"/>
      <c r="ED126"/>
      <c r="EE126"/>
      <c r="EF126"/>
      <c r="EG126"/>
      <c r="EH126"/>
      <c r="EI126"/>
      <c r="EJ126"/>
      <c r="EK126" s="6"/>
      <c r="EL126" s="15"/>
      <c r="EM126"/>
      <c r="EN126"/>
      <c r="EO126"/>
      <c r="EP126"/>
      <c r="EQ126"/>
      <c r="ER126"/>
      <c r="ES126"/>
      <c r="ET126"/>
      <c r="EU126"/>
      <c r="EV126"/>
      <c r="EW126" s="6"/>
      <c r="EX126" s="16">
        <v>6</v>
      </c>
      <c r="EY126" s="16" t="s">
        <v>578</v>
      </c>
      <c r="EZ126" s="16" t="s">
        <v>578</v>
      </c>
      <c r="FA126" s="154" t="s">
        <v>578</v>
      </c>
      <c r="FB126" s="154" t="s">
        <v>578</v>
      </c>
      <c r="FC126" t="s">
        <v>195</v>
      </c>
      <c r="FD126" s="20" t="s">
        <v>125</v>
      </c>
      <c r="FE126"/>
      <c r="FF126" s="199" t="s">
        <v>197</v>
      </c>
      <c r="FG126"/>
      <c r="FH126" s="206">
        <f t="shared" ca="1" si="13"/>
        <v>0</v>
      </c>
      <c r="FI126" s="198">
        <f t="shared" si="14"/>
        <v>0.96666666666666667</v>
      </c>
      <c r="FJ126"/>
      <c r="FK126" t="str">
        <f t="shared" si="15"/>
        <v>GOLD COMERCIALIZADORA DE ENERGIA LTDA</v>
      </c>
      <c r="FL126" s="191">
        <f t="shared" ca="1" si="16"/>
        <v>0</v>
      </c>
      <c r="FM126" s="191">
        <f t="shared" ca="1" si="17"/>
        <v>57600</v>
      </c>
      <c r="FN126" s="190">
        <f>AB126*AB$2*IF($FC126="V",1,-1)*IF($Q126="Fixo",(CP126-INDEX('Curva Forward'!$C$5:$AN$13,MATCH(CONCATENATE(BD_COMERCIAL!$K126," ",BD_COMERCIAL!$L126),'Curva Forward'!$B$5:$B$13,0),MATCH(FN$4,'Curva Forward'!$C$4:$AN$4,0))),CP126)</f>
        <v>0</v>
      </c>
      <c r="FO126" s="190">
        <f>AC126*AC$2*IF($FC126="V",1,-1)*IF($Q126="Fixo",(CQ126-INDEX('Curva Forward'!$C$5:$AN$13,MATCH(CONCATENATE(BD_COMERCIAL!$K126," ",BD_COMERCIAL!$L126),'Curva Forward'!$B$5:$B$13,0),MATCH(FO$4,'Curva Forward'!$C$4:$AN$4,0))),CQ126)</f>
        <v>0</v>
      </c>
      <c r="FP126" s="190">
        <f>AD126*AD$2*IF($FC126="V",1,-1)*IF($Q126="Fixo",(CR126-INDEX('Curva Forward'!$C$5:$AN$13,MATCH(CONCATENATE(BD_COMERCIAL!$K126," ",BD_COMERCIAL!$L126),'Curva Forward'!$B$5:$B$13,0),MATCH(FP$4,'Curva Forward'!$C$4:$AN$4,0))),CR126)</f>
        <v>0</v>
      </c>
      <c r="FQ126" s="190">
        <f>AE126*AE$2*IF($FC126="V",1,-1)*IF($Q126="Fixo",(CS126-INDEX('Curva Forward'!$C$5:$AN$13,MATCH(CONCATENATE(BD_COMERCIAL!$K126," ",BD_COMERCIAL!$L126),'Curva Forward'!$B$5:$B$13,0),MATCH(FQ$4,'Curva Forward'!$C$4:$AN$4,0))),CS126)</f>
        <v>57600</v>
      </c>
      <c r="FR126" s="190">
        <f>AF126*AF$2*IF($FC126="V",1,-1)*IF($Q126="Fixo",(CT126-INDEX('Curva Forward'!$C$5:$AN$13,MATCH(CONCATENATE(BD_COMERCIAL!$K126," ",BD_COMERCIAL!$L126),'Curva Forward'!$B$5:$B$13,0),MATCH(FR$4,'Curva Forward'!$C$4:$AN$4,0))),CT126)</f>
        <v>0</v>
      </c>
      <c r="FS126" s="190">
        <f>AG126*AG$2*IF($FC126="V",1,-1)*IF($Q126="Fixo",(CU126-INDEX('Curva Forward'!$C$5:$AN$13,MATCH(CONCATENATE(BD_COMERCIAL!$K126," ",BD_COMERCIAL!$L126),'Curva Forward'!$B$5:$B$13,0),MATCH(FS$4,'Curva Forward'!$C$4:$AN$4,0))),CU126)</f>
        <v>0</v>
      </c>
      <c r="FT126" s="190">
        <f>AH126*AH$2*IF($FC126="V",1,-1)*IF($Q126="Fixo",(CV126-INDEX('Curva Forward'!$C$5:$AN$13,MATCH(CONCATENATE(BD_COMERCIAL!$K126," ",BD_COMERCIAL!$L126),'Curva Forward'!$B$5:$B$13,0),MATCH(FT$4,'Curva Forward'!$C$4:$AN$4,0))),CV126)</f>
        <v>0</v>
      </c>
      <c r="FU126" s="190">
        <f>AI126*AI$2*IF($FC126="V",1,-1)*IF($Q126="Fixo",(CW126-INDEX('Curva Forward'!$C$5:$AN$13,MATCH(CONCATENATE(BD_COMERCIAL!$K126," ",BD_COMERCIAL!$L126),'Curva Forward'!$B$5:$B$13,0),MATCH(FU$4,'Curva Forward'!$C$4:$AN$4,0))),CW126)</f>
        <v>0</v>
      </c>
      <c r="FV126" s="190">
        <f>AJ126*AJ$2*IF($FC126="V",1,-1)*IF($Q126="Fixo",(CX126-INDEX('Curva Forward'!$C$5:$AN$13,MATCH(CONCATENATE(BD_COMERCIAL!$K126," ",BD_COMERCIAL!$L126),'Curva Forward'!$B$5:$B$13,0),MATCH(FV$4,'Curva Forward'!$C$4:$AN$4,0))),CX126)</f>
        <v>0</v>
      </c>
      <c r="FW126" s="190">
        <f>AK126*AK$2*IF($FC126="V",1,-1)*IF($Q126="Fixo",(CY126-INDEX('Curva Forward'!$C$5:$AN$13,MATCH(CONCATENATE(BD_COMERCIAL!$K126," ",BD_COMERCIAL!$L126),'Curva Forward'!$B$5:$B$13,0),MATCH(FW$4,'Curva Forward'!$C$4:$AN$4,0))),CY126)</f>
        <v>0</v>
      </c>
      <c r="FX126" s="190">
        <f>AL126*AL$2*IF($FC126="V",1,-1)*IF($Q126="Fixo",(CZ126-INDEX('Curva Forward'!$C$5:$AN$13,MATCH(CONCATENATE(BD_COMERCIAL!$K126," ",BD_COMERCIAL!$L126),'Curva Forward'!$B$5:$B$13,0),MATCH(FX$4,'Curva Forward'!$C$4:$AN$4,0))),CZ126)</f>
        <v>0</v>
      </c>
      <c r="FY126" s="190">
        <f>AM126*AM$2*IF($FC126="V",1,-1)*IF($Q126="Fixo",(DA126-INDEX('Curva Forward'!$C$5:$AN$13,MATCH(CONCATENATE(BD_COMERCIAL!$K126," ",BD_COMERCIAL!$L126),'Curva Forward'!$B$5:$B$13,0),MATCH(FY$4,'Curva Forward'!$C$4:$AN$4,0))),DA126)</f>
        <v>0</v>
      </c>
      <c r="FZ126" s="190">
        <f>AN126*AN$2*IF($FC126="V",1,-1)*IF($Q126="Fixo",(DB126-INDEX('Curva Forward'!$C$5:$AN$13,MATCH(CONCATENATE(BD_COMERCIAL!$K126," ",BD_COMERCIAL!$L126),'Curva Forward'!$B$5:$B$13,0),MATCH(FZ$4,'Curva Forward'!$C$4:$AN$4,0))),DB126)</f>
        <v>0</v>
      </c>
      <c r="GA126" s="190">
        <f>AO126*AO$2*IF($FC126="V",1,-1)*IF($Q126="Fixo",(DC126-INDEX('Curva Forward'!$C$5:$AN$13,MATCH(CONCATENATE(BD_COMERCIAL!$K126," ",BD_COMERCIAL!$L126),'Curva Forward'!$B$5:$B$13,0),MATCH(GA$4,'Curva Forward'!$C$4:$AN$4,0))),DC126)</f>
        <v>0</v>
      </c>
      <c r="GB126" s="190">
        <f>AP126*AP$2*IF($FC126="V",1,-1)*IF($Q126="Fixo",(DD126-INDEX('Curva Forward'!$C$5:$AN$13,MATCH(CONCATENATE(BD_COMERCIAL!$K126," ",BD_COMERCIAL!$L126),'Curva Forward'!$B$5:$B$13,0),MATCH(GB$4,'Curva Forward'!$C$4:$AN$4,0))),DD126)</f>
        <v>0</v>
      </c>
      <c r="GC126" s="190">
        <f>AQ126*AQ$2*IF($FC126="V",1,-1)*IF($Q126="Fixo",(DE126-INDEX('Curva Forward'!$C$5:$AN$13,MATCH(CONCATENATE(BD_COMERCIAL!$K126," ",BD_COMERCIAL!$L126),'Curva Forward'!$B$5:$B$13,0),MATCH(GC$4,'Curva Forward'!$C$4:$AN$4,0))),DE126)</f>
        <v>0</v>
      </c>
      <c r="GD126" s="190">
        <f>AR126*AR$2*IF($FC126="V",1,-1)*IF($Q126="Fixo",(DF126-INDEX('Curva Forward'!$C$5:$AN$13,MATCH(CONCATENATE(BD_COMERCIAL!$K126," ",BD_COMERCIAL!$L126),'Curva Forward'!$B$5:$B$13,0),MATCH(GD$4,'Curva Forward'!$C$4:$AN$4,0))),DF126)</f>
        <v>0</v>
      </c>
      <c r="GE126" s="190">
        <f>AS126*AS$2*IF($FC126="V",1,-1)*IF($Q126="Fixo",(DG126-INDEX('Curva Forward'!$C$5:$AN$13,MATCH(CONCATENATE(BD_COMERCIAL!$K126," ",BD_COMERCIAL!$L126),'Curva Forward'!$B$5:$B$13,0),MATCH(GE$4,'Curva Forward'!$C$4:$AN$4,0))),DG126)</f>
        <v>0</v>
      </c>
      <c r="GF126" s="190">
        <f>AT126*AT$2*IF($FC126="V",1,-1)*IF($Q126="Fixo",(DH126-INDEX('Curva Forward'!$C$5:$AN$13,MATCH(CONCATENATE(BD_COMERCIAL!$K126," ",BD_COMERCIAL!$L126),'Curva Forward'!$B$5:$B$13,0),MATCH(GF$4,'Curva Forward'!$C$4:$AN$4,0))),DH126)</f>
        <v>0</v>
      </c>
      <c r="GG126" s="190">
        <f>AU126*AU$2*IF($FC126="V",1,-1)*IF($Q126="Fixo",(DI126-INDEX('Curva Forward'!$C$5:$AN$13,MATCH(CONCATENATE(BD_COMERCIAL!$K126," ",BD_COMERCIAL!$L126),'Curva Forward'!$B$5:$B$13,0),MATCH(GG$4,'Curva Forward'!$C$4:$AN$4,0))),DI126)</f>
        <v>0</v>
      </c>
      <c r="GH126" s="190">
        <f>AV126*AV$2*IF($FC126="V",1,-1)*IF($Q126="Fixo",(DJ126-INDEX('Curva Forward'!$C$5:$AN$13,MATCH(CONCATENATE(BD_COMERCIAL!$K126," ",BD_COMERCIAL!$L126),'Curva Forward'!$B$5:$B$13,0),MATCH(GH$4,'Curva Forward'!$C$4:$AN$4,0))),DJ126)</f>
        <v>0</v>
      </c>
      <c r="GI126" s="190">
        <f>AW126*AW$2*IF($FC126="V",1,-1)*IF($Q126="Fixo",(DK126-INDEX('Curva Forward'!$C$5:$AN$13,MATCH(CONCATENATE(BD_COMERCIAL!$K126," ",BD_COMERCIAL!$L126),'Curva Forward'!$B$5:$B$13,0),MATCH(GI$4,'Curva Forward'!$C$4:$AN$4,0))),DK126)</f>
        <v>0</v>
      </c>
      <c r="GJ126" s="190">
        <f>AX126*AX$2*IF($FC126="V",1,-1)*IF($Q126="Fixo",(DL126-INDEX('Curva Forward'!$C$5:$AN$13,MATCH(CONCATENATE(BD_COMERCIAL!$K126," ",BD_COMERCIAL!$L126),'Curva Forward'!$B$5:$B$13,0),MATCH(GJ$4,'Curva Forward'!$C$4:$AN$4,0))),DL126)</f>
        <v>0</v>
      </c>
      <c r="GK126" s="190">
        <f>AY126*AY$2*IF($FC126="V",1,-1)*IF($Q126="Fixo",(DM126-INDEX('Curva Forward'!$C$5:$AN$13,MATCH(CONCATENATE(BD_COMERCIAL!$K126," ",BD_COMERCIAL!$L126),'Curva Forward'!$B$5:$B$13,0),MATCH(GK$4,'Curva Forward'!$C$4:$AN$4,0))),DM126)</f>
        <v>0</v>
      </c>
      <c r="GL126" s="190">
        <f>IF(EZ126="",0,CL126*CL$2*IF($FC126="V",1,-1)*IF($Q126="Fixo",(EZ126-INDEX('Curva Forward'!$C$5:$AN$13,MATCH(CONCATENATE(BD_COMERCIAL!$K126," ",BD_COMERCIAL!$L126),'Curva Forward'!$B$5:$B$13,0),MATCH(GL$4,'Curva Forward'!$C$4:$AN$4,0))),EZ126))</f>
        <v>0</v>
      </c>
      <c r="GM126" s="190">
        <f>IF(FA126="",0,CM126*CM$2*IF($FC126="V",1,-1)*IF($Q126="Fixo",(FA126-INDEX('Curva Forward'!$C$5:$AN$13,MATCH(CONCATENATE(BD_COMERCIAL!$K126," ",BD_COMERCIAL!$L126),'Curva Forward'!$B$5:$B$13,0),MATCH(GM$4,'Curva Forward'!$C$4:$AN$4,0))),FA126))</f>
        <v>0</v>
      </c>
      <c r="GN126" s="190">
        <f>IF(FB126="",0,CN126*CN$2*IF($FC126="V",1,-1)*IF($Q126="Fixo",(FB126-INDEX('Curva Forward'!$C$5:$AN$13,MATCH(CONCATENATE(BD_COMERCIAL!$K126," ",BD_COMERCIAL!$L126),'Curva Forward'!$B$5:$B$13,0),MATCH(GN$4,'Curva Forward'!$C$4:$AN$4,0))),FB126))</f>
        <v>0</v>
      </c>
      <c r="GO126" s="191">
        <f t="shared" ca="1" si="18"/>
        <v>57600</v>
      </c>
      <c r="GP126" s="191">
        <f t="shared" ca="1" si="19"/>
        <v>0</v>
      </c>
      <c r="GQ126" s="115"/>
      <c r="GR126" s="115"/>
      <c r="GS126"/>
      <c r="GT126" s="65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</row>
    <row r="127" spans="1:236" s="265" customFormat="1" ht="15" customHeight="1" x14ac:dyDescent="0.35">
      <c r="A127" s="251"/>
      <c r="B127" s="7" t="s">
        <v>505</v>
      </c>
      <c r="C127" s="8">
        <v>44917</v>
      </c>
      <c r="D127" s="9" t="s">
        <v>130</v>
      </c>
      <c r="E127" s="9" t="s">
        <v>204</v>
      </c>
      <c r="F127" s="112" t="s">
        <v>472</v>
      </c>
      <c r="G127" s="10" t="s">
        <v>381</v>
      </c>
      <c r="H127" s="112" t="s">
        <v>348</v>
      </c>
      <c r="I127" s="9" t="s">
        <v>125</v>
      </c>
      <c r="J127" s="158" t="s">
        <v>496</v>
      </c>
      <c r="K127" s="10" t="s">
        <v>126</v>
      </c>
      <c r="L127" s="84" t="s">
        <v>22</v>
      </c>
      <c r="M127" s="11">
        <v>45108</v>
      </c>
      <c r="N127" s="12">
        <v>45291</v>
      </c>
      <c r="O127" s="10">
        <v>10</v>
      </c>
      <c r="P127" s="84">
        <v>92</v>
      </c>
      <c r="Q127" s="84" t="s">
        <v>127</v>
      </c>
      <c r="R127" s="10" t="s">
        <v>128</v>
      </c>
      <c r="S127" s="14" t="s">
        <v>133</v>
      </c>
      <c r="T127" s="11"/>
      <c r="U127" s="12"/>
      <c r="V127" s="202" t="str">
        <f ca="1">IF(U127="","",
IF(U127="NA","",
IFERROR(VLOOKUP(EOMONTH(M127,-2)+1,IPCA!$A:$B,2,0),
VLOOKUP(EOMONTH(TODAY(),-2)+1,IPCA!$A:$B,2,0))/
VLOOKUP(EOMONTH(U127,-2)+1,IPCA!$A:$B,2,0)*
P127))</f>
        <v/>
      </c>
      <c r="W127" s="84"/>
      <c r="X127" s="13" t="s">
        <v>132</v>
      </c>
      <c r="Y127" s="158"/>
      <c r="Z127" s="106"/>
      <c r="AA127" s="107"/>
      <c r="AB127" s="15"/>
      <c r="AC127"/>
      <c r="AD127"/>
      <c r="AE127"/>
      <c r="AF127"/>
      <c r="AG127"/>
      <c r="AH127">
        <v>10</v>
      </c>
      <c r="AI127">
        <v>10</v>
      </c>
      <c r="AJ127">
        <v>10</v>
      </c>
      <c r="AK127">
        <v>10</v>
      </c>
      <c r="AL127">
        <v>10</v>
      </c>
      <c r="AM127" s="6">
        <v>10</v>
      </c>
      <c r="AN127" s="15"/>
      <c r="AO127"/>
      <c r="AP127"/>
      <c r="AQ127"/>
      <c r="AR127"/>
      <c r="AS127"/>
      <c r="AT127"/>
      <c r="AU127"/>
      <c r="AV127"/>
      <c r="AW127"/>
      <c r="AX127"/>
      <c r="AY127" s="6"/>
      <c r="AZ127" s="15"/>
      <c r="BA127"/>
      <c r="BB127"/>
      <c r="BC127"/>
      <c r="BD127"/>
      <c r="BE127"/>
      <c r="BF127"/>
      <c r="BG127"/>
      <c r="BH127"/>
      <c r="BI127"/>
      <c r="BJ127"/>
      <c r="BK127" s="6"/>
      <c r="BL127" s="15"/>
      <c r="BM127"/>
      <c r="BN127"/>
      <c r="BO127"/>
      <c r="BP127"/>
      <c r="BQ127"/>
      <c r="BR127"/>
      <c r="BS127"/>
      <c r="BT127"/>
      <c r="BU127"/>
      <c r="BV127"/>
      <c r="BW127" s="6"/>
      <c r="BX127" s="15"/>
      <c r="BY127"/>
      <c r="BZ127"/>
      <c r="CA127"/>
      <c r="CB127"/>
      <c r="CC127"/>
      <c r="CD127"/>
      <c r="CE127"/>
      <c r="CF127"/>
      <c r="CG127"/>
      <c r="CH127"/>
      <c r="CI127" s="6"/>
      <c r="CJ127" s="16">
        <v>5.0410958904109586</v>
      </c>
      <c r="CK127" s="16" t="s">
        <v>578</v>
      </c>
      <c r="CL127" s="16" t="s">
        <v>578</v>
      </c>
      <c r="CM127" s="16" t="s">
        <v>578</v>
      </c>
      <c r="CN127" s="16" t="s">
        <v>578</v>
      </c>
      <c r="CO127" s="18"/>
      <c r="CP127" s="15"/>
      <c r="CQ127"/>
      <c r="CR127"/>
      <c r="CS127"/>
      <c r="CT127"/>
      <c r="CU127"/>
      <c r="CV127">
        <v>92</v>
      </c>
      <c r="CW127">
        <v>92</v>
      </c>
      <c r="CX127">
        <v>92</v>
      </c>
      <c r="CY127">
        <v>92</v>
      </c>
      <c r="CZ127">
        <v>92</v>
      </c>
      <c r="DA127" s="6">
        <v>92</v>
      </c>
      <c r="DB127" s="15"/>
      <c r="DC127"/>
      <c r="DD127"/>
      <c r="DE127"/>
      <c r="DF127"/>
      <c r="DG127"/>
      <c r="DH127"/>
      <c r="DI127"/>
      <c r="DJ127"/>
      <c r="DK127"/>
      <c r="DL127"/>
      <c r="DM127" s="6"/>
      <c r="DN127" s="15"/>
      <c r="DO127"/>
      <c r="DP127"/>
      <c r="DQ127"/>
      <c r="DR127"/>
      <c r="DS127"/>
      <c r="DT127"/>
      <c r="DU127"/>
      <c r="DV127"/>
      <c r="DW127"/>
      <c r="DX127"/>
      <c r="DY127" s="6"/>
      <c r="DZ127" s="15"/>
      <c r="EA127"/>
      <c r="EB127"/>
      <c r="EC127"/>
      <c r="ED127"/>
      <c r="EE127"/>
      <c r="EF127"/>
      <c r="EG127"/>
      <c r="EH127"/>
      <c r="EI127"/>
      <c r="EJ127"/>
      <c r="EK127" s="6"/>
      <c r="EL127" s="15"/>
      <c r="EM127"/>
      <c r="EN127"/>
      <c r="EO127"/>
      <c r="EP127"/>
      <c r="EQ127"/>
      <c r="ER127"/>
      <c r="ES127"/>
      <c r="ET127"/>
      <c r="EU127"/>
      <c r="EV127"/>
      <c r="EW127" s="6"/>
      <c r="EX127" s="16">
        <v>46.37808219178082</v>
      </c>
      <c r="EY127" s="16" t="s">
        <v>578</v>
      </c>
      <c r="EZ127" s="16" t="s">
        <v>578</v>
      </c>
      <c r="FA127" s="154" t="s">
        <v>578</v>
      </c>
      <c r="FB127" s="154" t="s">
        <v>578</v>
      </c>
      <c r="FC127" t="s">
        <v>196</v>
      </c>
      <c r="FD127" s="20" t="s">
        <v>125</v>
      </c>
      <c r="FE127"/>
      <c r="FF127" s="199" t="s">
        <v>197</v>
      </c>
      <c r="FG127"/>
      <c r="FH127" s="206">
        <f t="shared" ca="1" si="13"/>
        <v>0</v>
      </c>
      <c r="FI127" s="198">
        <f t="shared" si="14"/>
        <v>6.1</v>
      </c>
      <c r="FJ127"/>
      <c r="FK127" t="str">
        <f t="shared" si="15"/>
        <v>Santander Corretora de Seguros, Investimentos e Serviços S.A.</v>
      </c>
      <c r="FL127" s="191">
        <f t="shared" ca="1" si="16"/>
        <v>0</v>
      </c>
      <c r="FM127" s="191">
        <f t="shared" ca="1" si="17"/>
        <v>-794880</v>
      </c>
      <c r="FN127" s="190">
        <f>AB127*AB$2*IF($FC127="V",1,-1)*IF($Q127="Fixo",(CP127-INDEX('Curva Forward'!$C$5:$AN$13,MATCH(CONCATENATE(BD_COMERCIAL!$K127," ",BD_COMERCIAL!$L127),'Curva Forward'!$B$5:$B$13,0),MATCH(FN$4,'Curva Forward'!$C$4:$AN$4,0))),CP127)</f>
        <v>0</v>
      </c>
      <c r="FO127" s="190">
        <f>AC127*AC$2*IF($FC127="V",1,-1)*IF($Q127="Fixo",(CQ127-INDEX('Curva Forward'!$C$5:$AN$13,MATCH(CONCATENATE(BD_COMERCIAL!$K127," ",BD_COMERCIAL!$L127),'Curva Forward'!$B$5:$B$13,0),MATCH(FO$4,'Curva Forward'!$C$4:$AN$4,0))),CQ127)</f>
        <v>0</v>
      </c>
      <c r="FP127" s="190">
        <f>AD127*AD$2*IF($FC127="V",1,-1)*IF($Q127="Fixo",(CR127-INDEX('Curva Forward'!$C$5:$AN$13,MATCH(CONCATENATE(BD_COMERCIAL!$K127," ",BD_COMERCIAL!$L127),'Curva Forward'!$B$5:$B$13,0),MATCH(FP$4,'Curva Forward'!$C$4:$AN$4,0))),CR127)</f>
        <v>0</v>
      </c>
      <c r="FQ127" s="190">
        <f>AE127*AE$2*IF($FC127="V",1,-1)*IF($Q127="Fixo",(CS127-INDEX('Curva Forward'!$C$5:$AN$13,MATCH(CONCATENATE(BD_COMERCIAL!$K127," ",BD_COMERCIAL!$L127),'Curva Forward'!$B$5:$B$13,0),MATCH(FQ$4,'Curva Forward'!$C$4:$AN$4,0))),CS127)</f>
        <v>0</v>
      </c>
      <c r="FR127" s="190">
        <f>AF127*AF$2*IF($FC127="V",1,-1)*IF($Q127="Fixo",(CT127-INDEX('Curva Forward'!$C$5:$AN$13,MATCH(CONCATENATE(BD_COMERCIAL!$K127," ",BD_COMERCIAL!$L127),'Curva Forward'!$B$5:$B$13,0),MATCH(FR$4,'Curva Forward'!$C$4:$AN$4,0))),CT127)</f>
        <v>0</v>
      </c>
      <c r="FS127" s="190">
        <f>AG127*AG$2*IF($FC127="V",1,-1)*IF($Q127="Fixo",(CU127-INDEX('Curva Forward'!$C$5:$AN$13,MATCH(CONCATENATE(BD_COMERCIAL!$K127," ",BD_COMERCIAL!$L127),'Curva Forward'!$B$5:$B$13,0),MATCH(FS$4,'Curva Forward'!$C$4:$AN$4,0))),CU127)</f>
        <v>0</v>
      </c>
      <c r="FT127" s="190">
        <f>AH127*AH$2*IF($FC127="V",1,-1)*IF($Q127="Fixo",(CV127-INDEX('Curva Forward'!$C$5:$AN$13,MATCH(CONCATENATE(BD_COMERCIAL!$K127," ",BD_COMERCIAL!$L127),'Curva Forward'!$B$5:$B$13,0),MATCH(FT$4,'Curva Forward'!$C$4:$AN$4,0))),CV127)</f>
        <v>-141360</v>
      </c>
      <c r="FU127" s="190">
        <f>AI127*AI$2*IF($FC127="V",1,-1)*IF($Q127="Fixo",(CW127-INDEX('Curva Forward'!$C$5:$AN$13,MATCH(CONCATENATE(BD_COMERCIAL!$K127," ",BD_COMERCIAL!$L127),'Curva Forward'!$B$5:$B$13,0),MATCH(FU$4,'Curva Forward'!$C$4:$AN$4,0))),CW127)</f>
        <v>-141360</v>
      </c>
      <c r="FV127" s="190">
        <f>AJ127*AJ$2*IF($FC127="V",1,-1)*IF($Q127="Fixo",(CX127-INDEX('Curva Forward'!$C$5:$AN$13,MATCH(CONCATENATE(BD_COMERCIAL!$K127," ",BD_COMERCIAL!$L127),'Curva Forward'!$B$5:$B$13,0),MATCH(FV$4,'Curva Forward'!$C$4:$AN$4,0))),CX127)</f>
        <v>-136800</v>
      </c>
      <c r="FW127" s="190">
        <f>AK127*AK$2*IF($FC127="V",1,-1)*IF($Q127="Fixo",(CY127-INDEX('Curva Forward'!$C$5:$AN$13,MATCH(CONCATENATE(BD_COMERCIAL!$K127," ",BD_COMERCIAL!$L127),'Curva Forward'!$B$5:$B$13,0),MATCH(FW$4,'Curva Forward'!$C$4:$AN$4,0))),CY127)</f>
        <v>-126480</v>
      </c>
      <c r="FX127" s="190">
        <f>AL127*AL$2*IF($FC127="V",1,-1)*IF($Q127="Fixo",(CZ127-INDEX('Curva Forward'!$C$5:$AN$13,MATCH(CONCATENATE(BD_COMERCIAL!$K127," ",BD_COMERCIAL!$L127),'Curva Forward'!$B$5:$B$13,0),MATCH(FX$4,'Curva Forward'!$C$4:$AN$4,0))),CZ127)</f>
        <v>-122400</v>
      </c>
      <c r="FY127" s="190">
        <f>AM127*AM$2*IF($FC127="V",1,-1)*IF($Q127="Fixo",(DA127-INDEX('Curva Forward'!$C$5:$AN$13,MATCH(CONCATENATE(BD_COMERCIAL!$K127," ",BD_COMERCIAL!$L127),'Curva Forward'!$B$5:$B$13,0),MATCH(FY$4,'Curva Forward'!$C$4:$AN$4,0))),DA127)</f>
        <v>-126480</v>
      </c>
      <c r="FZ127" s="190">
        <f>AN127*AN$2*IF($FC127="V",1,-1)*IF($Q127="Fixo",(DB127-INDEX('Curva Forward'!$C$5:$AN$13,MATCH(CONCATENATE(BD_COMERCIAL!$K127," ",BD_COMERCIAL!$L127),'Curva Forward'!$B$5:$B$13,0),MATCH(FZ$4,'Curva Forward'!$C$4:$AN$4,0))),DB127)</f>
        <v>0</v>
      </c>
      <c r="GA127" s="190">
        <f>AO127*AO$2*IF($FC127="V",1,-1)*IF($Q127="Fixo",(DC127-INDEX('Curva Forward'!$C$5:$AN$13,MATCH(CONCATENATE(BD_COMERCIAL!$K127," ",BD_COMERCIAL!$L127),'Curva Forward'!$B$5:$B$13,0),MATCH(GA$4,'Curva Forward'!$C$4:$AN$4,0))),DC127)</f>
        <v>0</v>
      </c>
      <c r="GB127" s="190">
        <f>AP127*AP$2*IF($FC127="V",1,-1)*IF($Q127="Fixo",(DD127-INDEX('Curva Forward'!$C$5:$AN$13,MATCH(CONCATENATE(BD_COMERCIAL!$K127," ",BD_COMERCIAL!$L127),'Curva Forward'!$B$5:$B$13,0),MATCH(GB$4,'Curva Forward'!$C$4:$AN$4,0))),DD127)</f>
        <v>0</v>
      </c>
      <c r="GC127" s="190">
        <f>AQ127*AQ$2*IF($FC127="V",1,-1)*IF($Q127="Fixo",(DE127-INDEX('Curva Forward'!$C$5:$AN$13,MATCH(CONCATENATE(BD_COMERCIAL!$K127," ",BD_COMERCIAL!$L127),'Curva Forward'!$B$5:$B$13,0),MATCH(GC$4,'Curva Forward'!$C$4:$AN$4,0))),DE127)</f>
        <v>0</v>
      </c>
      <c r="GD127" s="190">
        <f>AR127*AR$2*IF($FC127="V",1,-1)*IF($Q127="Fixo",(DF127-INDEX('Curva Forward'!$C$5:$AN$13,MATCH(CONCATENATE(BD_COMERCIAL!$K127," ",BD_COMERCIAL!$L127),'Curva Forward'!$B$5:$B$13,0),MATCH(GD$4,'Curva Forward'!$C$4:$AN$4,0))),DF127)</f>
        <v>0</v>
      </c>
      <c r="GE127" s="190">
        <f>AS127*AS$2*IF($FC127="V",1,-1)*IF($Q127="Fixo",(DG127-INDEX('Curva Forward'!$C$5:$AN$13,MATCH(CONCATENATE(BD_COMERCIAL!$K127," ",BD_COMERCIAL!$L127),'Curva Forward'!$B$5:$B$13,0),MATCH(GE$4,'Curva Forward'!$C$4:$AN$4,0))),DG127)</f>
        <v>0</v>
      </c>
      <c r="GF127" s="190">
        <f>AT127*AT$2*IF($FC127="V",1,-1)*IF($Q127="Fixo",(DH127-INDEX('Curva Forward'!$C$5:$AN$13,MATCH(CONCATENATE(BD_COMERCIAL!$K127," ",BD_COMERCIAL!$L127),'Curva Forward'!$B$5:$B$13,0),MATCH(GF$4,'Curva Forward'!$C$4:$AN$4,0))),DH127)</f>
        <v>0</v>
      </c>
      <c r="GG127" s="190">
        <f>AU127*AU$2*IF($FC127="V",1,-1)*IF($Q127="Fixo",(DI127-INDEX('Curva Forward'!$C$5:$AN$13,MATCH(CONCATENATE(BD_COMERCIAL!$K127," ",BD_COMERCIAL!$L127),'Curva Forward'!$B$5:$B$13,0),MATCH(GG$4,'Curva Forward'!$C$4:$AN$4,0))),DI127)</f>
        <v>0</v>
      </c>
      <c r="GH127" s="190">
        <f>AV127*AV$2*IF($FC127="V",1,-1)*IF($Q127="Fixo",(DJ127-INDEX('Curva Forward'!$C$5:$AN$13,MATCH(CONCATENATE(BD_COMERCIAL!$K127," ",BD_COMERCIAL!$L127),'Curva Forward'!$B$5:$B$13,0),MATCH(GH$4,'Curva Forward'!$C$4:$AN$4,0))),DJ127)</f>
        <v>0</v>
      </c>
      <c r="GI127" s="190">
        <f>AW127*AW$2*IF($FC127="V",1,-1)*IF($Q127="Fixo",(DK127-INDEX('Curva Forward'!$C$5:$AN$13,MATCH(CONCATENATE(BD_COMERCIAL!$K127," ",BD_COMERCIAL!$L127),'Curva Forward'!$B$5:$B$13,0),MATCH(GI$4,'Curva Forward'!$C$4:$AN$4,0))),DK127)</f>
        <v>0</v>
      </c>
      <c r="GJ127" s="190">
        <f>AX127*AX$2*IF($FC127="V",1,-1)*IF($Q127="Fixo",(DL127-INDEX('Curva Forward'!$C$5:$AN$13,MATCH(CONCATENATE(BD_COMERCIAL!$K127," ",BD_COMERCIAL!$L127),'Curva Forward'!$B$5:$B$13,0),MATCH(GJ$4,'Curva Forward'!$C$4:$AN$4,0))),DL127)</f>
        <v>0</v>
      </c>
      <c r="GK127" s="190">
        <f>AY127*AY$2*IF($FC127="V",1,-1)*IF($Q127="Fixo",(DM127-INDEX('Curva Forward'!$C$5:$AN$13,MATCH(CONCATENATE(BD_COMERCIAL!$K127," ",BD_COMERCIAL!$L127),'Curva Forward'!$B$5:$B$13,0),MATCH(GK$4,'Curva Forward'!$C$4:$AN$4,0))),DM127)</f>
        <v>0</v>
      </c>
      <c r="GL127" s="190">
        <f>IF(EZ127="",0,CL127*CL$2*IF($FC127="V",1,-1)*IF($Q127="Fixo",(EZ127-INDEX('Curva Forward'!$C$5:$AN$13,MATCH(CONCATENATE(BD_COMERCIAL!$K127," ",BD_COMERCIAL!$L127),'Curva Forward'!$B$5:$B$13,0),MATCH(GL$4,'Curva Forward'!$C$4:$AN$4,0))),EZ127))</f>
        <v>0</v>
      </c>
      <c r="GM127" s="190">
        <f>IF(FA127="",0,CM127*CM$2*IF($FC127="V",1,-1)*IF($Q127="Fixo",(FA127-INDEX('Curva Forward'!$C$5:$AN$13,MATCH(CONCATENATE(BD_COMERCIAL!$K127," ",BD_COMERCIAL!$L127),'Curva Forward'!$B$5:$B$13,0),MATCH(GM$4,'Curva Forward'!$C$4:$AN$4,0))),FA127))</f>
        <v>0</v>
      </c>
      <c r="GN127" s="190">
        <f>IF(FB127="",0,CN127*CN$2*IF($FC127="V",1,-1)*IF($Q127="Fixo",(FB127-INDEX('Curva Forward'!$C$5:$AN$13,MATCH(CONCATENATE(BD_COMERCIAL!$K127," ",BD_COMERCIAL!$L127),'Curva Forward'!$B$5:$B$13,0),MATCH(GN$4,'Curva Forward'!$C$4:$AN$4,0))),FB127))</f>
        <v>0</v>
      </c>
      <c r="GO127" s="191">
        <f t="shared" ca="1" si="18"/>
        <v>0</v>
      </c>
      <c r="GP127" s="191">
        <f t="shared" ca="1" si="19"/>
        <v>-794880</v>
      </c>
      <c r="GQ127" s="115"/>
      <c r="GR127" s="115"/>
      <c r="GS127"/>
      <c r="GT127" s="65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</row>
    <row r="128" spans="1:236" s="265" customFormat="1" ht="15" customHeight="1" x14ac:dyDescent="0.35">
      <c r="A128" s="251"/>
      <c r="B128" s="7" t="s">
        <v>506</v>
      </c>
      <c r="C128" s="8">
        <v>44917</v>
      </c>
      <c r="D128" s="9" t="s">
        <v>123</v>
      </c>
      <c r="E128" s="9" t="s">
        <v>381</v>
      </c>
      <c r="F128" s="112" t="s">
        <v>348</v>
      </c>
      <c r="G128" s="10" t="s">
        <v>409</v>
      </c>
      <c r="H128" s="112" t="s">
        <v>410</v>
      </c>
      <c r="I128" s="9" t="s">
        <v>125</v>
      </c>
      <c r="J128" s="158" t="s">
        <v>496</v>
      </c>
      <c r="K128" s="10" t="s">
        <v>126</v>
      </c>
      <c r="L128" s="84" t="s">
        <v>22</v>
      </c>
      <c r="M128" s="11">
        <v>44986</v>
      </c>
      <c r="N128" s="12">
        <v>45016</v>
      </c>
      <c r="O128" s="10">
        <v>20</v>
      </c>
      <c r="P128" s="84">
        <v>71</v>
      </c>
      <c r="Q128" s="84" t="s">
        <v>127</v>
      </c>
      <c r="R128" s="10" t="s">
        <v>128</v>
      </c>
      <c r="S128" s="14" t="s">
        <v>133</v>
      </c>
      <c r="T128" s="11"/>
      <c r="U128" s="12"/>
      <c r="V128" s="202" t="str">
        <f ca="1">IF(U128="","",
IF(U128="NA","",
IFERROR(VLOOKUP(EOMONTH(M128,-2)+1,IPCA!$A:$B,2,0),
VLOOKUP(EOMONTH(TODAY(),-2)+1,IPCA!$A:$B,2,0))/
VLOOKUP(EOMONTH(U128,-2)+1,IPCA!$A:$B,2,0)*
P128))</f>
        <v/>
      </c>
      <c r="W128" s="84"/>
      <c r="X128" s="13" t="s">
        <v>132</v>
      </c>
      <c r="Y128" s="158"/>
      <c r="Z128" s="106"/>
      <c r="AA128" s="107"/>
      <c r="AB128" s="15"/>
      <c r="AC128"/>
      <c r="AD128">
        <v>20</v>
      </c>
      <c r="AE128"/>
      <c r="AF128"/>
      <c r="AG128"/>
      <c r="AH128"/>
      <c r="AI128"/>
      <c r="AJ128"/>
      <c r="AK128"/>
      <c r="AL128"/>
      <c r="AM128" s="6"/>
      <c r="AN128" s="15"/>
      <c r="AO128"/>
      <c r="AP128"/>
      <c r="AQ128"/>
      <c r="AR128"/>
      <c r="AS128"/>
      <c r="AT128"/>
      <c r="AU128"/>
      <c r="AV128"/>
      <c r="AW128"/>
      <c r="AX128"/>
      <c r="AY128" s="6"/>
      <c r="AZ128" s="15"/>
      <c r="BA128"/>
      <c r="BB128"/>
      <c r="BC128"/>
      <c r="BD128"/>
      <c r="BE128"/>
      <c r="BF128"/>
      <c r="BG128"/>
      <c r="BH128"/>
      <c r="BI128"/>
      <c r="BJ128"/>
      <c r="BK128" s="6"/>
      <c r="BL128" s="15"/>
      <c r="BM128"/>
      <c r="BN128"/>
      <c r="BO128"/>
      <c r="BP128"/>
      <c r="BQ128"/>
      <c r="BR128"/>
      <c r="BS128"/>
      <c r="BT128"/>
      <c r="BU128"/>
      <c r="BV128"/>
      <c r="BW128" s="6"/>
      <c r="BX128" s="15"/>
      <c r="BY128"/>
      <c r="BZ128"/>
      <c r="CA128"/>
      <c r="CB128"/>
      <c r="CC128"/>
      <c r="CD128"/>
      <c r="CE128"/>
      <c r="CF128"/>
      <c r="CG128"/>
      <c r="CH128"/>
      <c r="CI128" s="6"/>
      <c r="CJ128" s="16">
        <v>1.6986301369863013</v>
      </c>
      <c r="CK128" s="16" t="s">
        <v>578</v>
      </c>
      <c r="CL128" s="16" t="s">
        <v>578</v>
      </c>
      <c r="CM128" s="16" t="s">
        <v>578</v>
      </c>
      <c r="CN128" s="16" t="s">
        <v>578</v>
      </c>
      <c r="CO128" s="18"/>
      <c r="CP128" s="15"/>
      <c r="CQ128"/>
      <c r="CR128">
        <v>71</v>
      </c>
      <c r="CS128"/>
      <c r="CT128"/>
      <c r="CU128"/>
      <c r="CV128"/>
      <c r="CW128"/>
      <c r="CX128"/>
      <c r="CY128"/>
      <c r="CZ128"/>
      <c r="DA128" s="6"/>
      <c r="DB128" s="15"/>
      <c r="DC128"/>
      <c r="DD128"/>
      <c r="DE128"/>
      <c r="DF128"/>
      <c r="DG128"/>
      <c r="DH128"/>
      <c r="DI128"/>
      <c r="DJ128"/>
      <c r="DK128"/>
      <c r="DL128"/>
      <c r="DM128" s="6"/>
      <c r="DN128" s="15"/>
      <c r="DO128"/>
      <c r="DP128"/>
      <c r="DQ128"/>
      <c r="DR128"/>
      <c r="DS128"/>
      <c r="DT128"/>
      <c r="DU128"/>
      <c r="DV128"/>
      <c r="DW128"/>
      <c r="DX128"/>
      <c r="DY128" s="6"/>
      <c r="DZ128" s="15"/>
      <c r="EA128"/>
      <c r="EB128"/>
      <c r="EC128"/>
      <c r="ED128"/>
      <c r="EE128"/>
      <c r="EF128"/>
      <c r="EG128"/>
      <c r="EH128"/>
      <c r="EI128"/>
      <c r="EJ128"/>
      <c r="EK128" s="6"/>
      <c r="EL128" s="15"/>
      <c r="EM128"/>
      <c r="EN128"/>
      <c r="EO128"/>
      <c r="EP128"/>
      <c r="EQ128"/>
      <c r="ER128"/>
      <c r="ES128"/>
      <c r="ET128"/>
      <c r="EU128"/>
      <c r="EV128"/>
      <c r="EW128" s="6"/>
      <c r="EX128" s="16">
        <v>6.0301369863013701</v>
      </c>
      <c r="EY128" s="16" t="s">
        <v>578</v>
      </c>
      <c r="EZ128" s="16" t="s">
        <v>578</v>
      </c>
      <c r="FA128" s="154" t="s">
        <v>578</v>
      </c>
      <c r="FB128" s="154" t="s">
        <v>578</v>
      </c>
      <c r="FC128" t="s">
        <v>195</v>
      </c>
      <c r="FD128" s="20" t="s">
        <v>125</v>
      </c>
      <c r="FE128"/>
      <c r="FF128" s="199" t="s">
        <v>197</v>
      </c>
      <c r="FG128"/>
      <c r="FH128" s="206">
        <f t="shared" ca="1" si="13"/>
        <v>0</v>
      </c>
      <c r="FI128" s="198">
        <f t="shared" si="14"/>
        <v>1</v>
      </c>
      <c r="FJ128"/>
      <c r="FK128" t="str">
        <f t="shared" si="15"/>
        <v>GOLD COMERCIALIZADORA DE ENERGIA LTDA</v>
      </c>
      <c r="FL128" s="191">
        <f t="shared" ca="1" si="16"/>
        <v>0</v>
      </c>
      <c r="FM128" s="191">
        <f t="shared" ca="1" si="17"/>
        <v>29760</v>
      </c>
      <c r="FN128" s="190">
        <f>AB128*AB$2*IF($FC128="V",1,-1)*IF($Q128="Fixo",(CP128-INDEX('Curva Forward'!$C$5:$AN$13,MATCH(CONCATENATE(BD_COMERCIAL!$K128," ",BD_COMERCIAL!$L128),'Curva Forward'!$B$5:$B$13,0),MATCH(FN$4,'Curva Forward'!$C$4:$AN$4,0))),CP128)</f>
        <v>0</v>
      </c>
      <c r="FO128" s="190">
        <f>AC128*AC$2*IF($FC128="V",1,-1)*IF($Q128="Fixo",(CQ128-INDEX('Curva Forward'!$C$5:$AN$13,MATCH(CONCATENATE(BD_COMERCIAL!$K128," ",BD_COMERCIAL!$L128),'Curva Forward'!$B$5:$B$13,0),MATCH(FO$4,'Curva Forward'!$C$4:$AN$4,0))),CQ128)</f>
        <v>0</v>
      </c>
      <c r="FP128" s="190">
        <f>AD128*AD$2*IF($FC128="V",1,-1)*IF($Q128="Fixo",(CR128-INDEX('Curva Forward'!$C$5:$AN$13,MATCH(CONCATENATE(BD_COMERCIAL!$K128," ",BD_COMERCIAL!$L128),'Curva Forward'!$B$5:$B$13,0),MATCH(FP$4,'Curva Forward'!$C$4:$AN$4,0))),CR128)</f>
        <v>29760</v>
      </c>
      <c r="FQ128" s="190">
        <f>AE128*AE$2*IF($FC128="V",1,-1)*IF($Q128="Fixo",(CS128-INDEX('Curva Forward'!$C$5:$AN$13,MATCH(CONCATENATE(BD_COMERCIAL!$K128," ",BD_COMERCIAL!$L128),'Curva Forward'!$B$5:$B$13,0),MATCH(FQ$4,'Curva Forward'!$C$4:$AN$4,0))),CS128)</f>
        <v>0</v>
      </c>
      <c r="FR128" s="190">
        <f>AF128*AF$2*IF($FC128="V",1,-1)*IF($Q128="Fixo",(CT128-INDEX('Curva Forward'!$C$5:$AN$13,MATCH(CONCATENATE(BD_COMERCIAL!$K128," ",BD_COMERCIAL!$L128),'Curva Forward'!$B$5:$B$13,0),MATCH(FR$4,'Curva Forward'!$C$4:$AN$4,0))),CT128)</f>
        <v>0</v>
      </c>
      <c r="FS128" s="190">
        <f>AG128*AG$2*IF($FC128="V",1,-1)*IF($Q128="Fixo",(CU128-INDEX('Curva Forward'!$C$5:$AN$13,MATCH(CONCATENATE(BD_COMERCIAL!$K128," ",BD_COMERCIAL!$L128),'Curva Forward'!$B$5:$B$13,0),MATCH(FS$4,'Curva Forward'!$C$4:$AN$4,0))),CU128)</f>
        <v>0</v>
      </c>
      <c r="FT128" s="190">
        <f>AH128*AH$2*IF($FC128="V",1,-1)*IF($Q128="Fixo",(CV128-INDEX('Curva Forward'!$C$5:$AN$13,MATCH(CONCATENATE(BD_COMERCIAL!$K128," ",BD_COMERCIAL!$L128),'Curva Forward'!$B$5:$B$13,0),MATCH(FT$4,'Curva Forward'!$C$4:$AN$4,0))),CV128)</f>
        <v>0</v>
      </c>
      <c r="FU128" s="190">
        <f>AI128*AI$2*IF($FC128="V",1,-1)*IF($Q128="Fixo",(CW128-INDEX('Curva Forward'!$C$5:$AN$13,MATCH(CONCATENATE(BD_COMERCIAL!$K128," ",BD_COMERCIAL!$L128),'Curva Forward'!$B$5:$B$13,0),MATCH(FU$4,'Curva Forward'!$C$4:$AN$4,0))),CW128)</f>
        <v>0</v>
      </c>
      <c r="FV128" s="190">
        <f>AJ128*AJ$2*IF($FC128="V",1,-1)*IF($Q128="Fixo",(CX128-INDEX('Curva Forward'!$C$5:$AN$13,MATCH(CONCATENATE(BD_COMERCIAL!$K128," ",BD_COMERCIAL!$L128),'Curva Forward'!$B$5:$B$13,0),MATCH(FV$4,'Curva Forward'!$C$4:$AN$4,0))),CX128)</f>
        <v>0</v>
      </c>
      <c r="FW128" s="190">
        <f>AK128*AK$2*IF($FC128="V",1,-1)*IF($Q128="Fixo",(CY128-INDEX('Curva Forward'!$C$5:$AN$13,MATCH(CONCATENATE(BD_COMERCIAL!$K128," ",BD_COMERCIAL!$L128),'Curva Forward'!$B$5:$B$13,0),MATCH(FW$4,'Curva Forward'!$C$4:$AN$4,0))),CY128)</f>
        <v>0</v>
      </c>
      <c r="FX128" s="190">
        <f>AL128*AL$2*IF($FC128="V",1,-1)*IF($Q128="Fixo",(CZ128-INDEX('Curva Forward'!$C$5:$AN$13,MATCH(CONCATENATE(BD_COMERCIAL!$K128," ",BD_COMERCIAL!$L128),'Curva Forward'!$B$5:$B$13,0),MATCH(FX$4,'Curva Forward'!$C$4:$AN$4,0))),CZ128)</f>
        <v>0</v>
      </c>
      <c r="FY128" s="190">
        <f>AM128*AM$2*IF($FC128="V",1,-1)*IF($Q128="Fixo",(DA128-INDEX('Curva Forward'!$C$5:$AN$13,MATCH(CONCATENATE(BD_COMERCIAL!$K128," ",BD_COMERCIAL!$L128),'Curva Forward'!$B$5:$B$13,0),MATCH(FY$4,'Curva Forward'!$C$4:$AN$4,0))),DA128)</f>
        <v>0</v>
      </c>
      <c r="FZ128" s="190">
        <f>AN128*AN$2*IF($FC128="V",1,-1)*IF($Q128="Fixo",(DB128-INDEX('Curva Forward'!$C$5:$AN$13,MATCH(CONCATENATE(BD_COMERCIAL!$K128," ",BD_COMERCIAL!$L128),'Curva Forward'!$B$5:$B$13,0),MATCH(FZ$4,'Curva Forward'!$C$4:$AN$4,0))),DB128)</f>
        <v>0</v>
      </c>
      <c r="GA128" s="190">
        <f>AO128*AO$2*IF($FC128="V",1,-1)*IF($Q128="Fixo",(DC128-INDEX('Curva Forward'!$C$5:$AN$13,MATCH(CONCATENATE(BD_COMERCIAL!$K128," ",BD_COMERCIAL!$L128),'Curva Forward'!$B$5:$B$13,0),MATCH(GA$4,'Curva Forward'!$C$4:$AN$4,0))),DC128)</f>
        <v>0</v>
      </c>
      <c r="GB128" s="190">
        <f>AP128*AP$2*IF($FC128="V",1,-1)*IF($Q128="Fixo",(DD128-INDEX('Curva Forward'!$C$5:$AN$13,MATCH(CONCATENATE(BD_COMERCIAL!$K128," ",BD_COMERCIAL!$L128),'Curva Forward'!$B$5:$B$13,0),MATCH(GB$4,'Curva Forward'!$C$4:$AN$4,0))),DD128)</f>
        <v>0</v>
      </c>
      <c r="GC128" s="190">
        <f>AQ128*AQ$2*IF($FC128="V",1,-1)*IF($Q128="Fixo",(DE128-INDEX('Curva Forward'!$C$5:$AN$13,MATCH(CONCATENATE(BD_COMERCIAL!$K128," ",BD_COMERCIAL!$L128),'Curva Forward'!$B$5:$B$13,0),MATCH(GC$4,'Curva Forward'!$C$4:$AN$4,0))),DE128)</f>
        <v>0</v>
      </c>
      <c r="GD128" s="190">
        <f>AR128*AR$2*IF($FC128="V",1,-1)*IF($Q128="Fixo",(DF128-INDEX('Curva Forward'!$C$5:$AN$13,MATCH(CONCATENATE(BD_COMERCIAL!$K128," ",BD_COMERCIAL!$L128),'Curva Forward'!$B$5:$B$13,0),MATCH(GD$4,'Curva Forward'!$C$4:$AN$4,0))),DF128)</f>
        <v>0</v>
      </c>
      <c r="GE128" s="190">
        <f>AS128*AS$2*IF($FC128="V",1,-1)*IF($Q128="Fixo",(DG128-INDEX('Curva Forward'!$C$5:$AN$13,MATCH(CONCATENATE(BD_COMERCIAL!$K128," ",BD_COMERCIAL!$L128),'Curva Forward'!$B$5:$B$13,0),MATCH(GE$4,'Curva Forward'!$C$4:$AN$4,0))),DG128)</f>
        <v>0</v>
      </c>
      <c r="GF128" s="190">
        <f>AT128*AT$2*IF($FC128="V",1,-1)*IF($Q128="Fixo",(DH128-INDEX('Curva Forward'!$C$5:$AN$13,MATCH(CONCATENATE(BD_COMERCIAL!$K128," ",BD_COMERCIAL!$L128),'Curva Forward'!$B$5:$B$13,0),MATCH(GF$4,'Curva Forward'!$C$4:$AN$4,0))),DH128)</f>
        <v>0</v>
      </c>
      <c r="GG128" s="190">
        <f>AU128*AU$2*IF($FC128="V",1,-1)*IF($Q128="Fixo",(DI128-INDEX('Curva Forward'!$C$5:$AN$13,MATCH(CONCATENATE(BD_COMERCIAL!$K128," ",BD_COMERCIAL!$L128),'Curva Forward'!$B$5:$B$13,0),MATCH(GG$4,'Curva Forward'!$C$4:$AN$4,0))),DI128)</f>
        <v>0</v>
      </c>
      <c r="GH128" s="190">
        <f>AV128*AV$2*IF($FC128="V",1,-1)*IF($Q128="Fixo",(DJ128-INDEX('Curva Forward'!$C$5:$AN$13,MATCH(CONCATENATE(BD_COMERCIAL!$K128," ",BD_COMERCIAL!$L128),'Curva Forward'!$B$5:$B$13,0),MATCH(GH$4,'Curva Forward'!$C$4:$AN$4,0))),DJ128)</f>
        <v>0</v>
      </c>
      <c r="GI128" s="190">
        <f>AW128*AW$2*IF($FC128="V",1,-1)*IF($Q128="Fixo",(DK128-INDEX('Curva Forward'!$C$5:$AN$13,MATCH(CONCATENATE(BD_COMERCIAL!$K128," ",BD_COMERCIAL!$L128),'Curva Forward'!$B$5:$B$13,0),MATCH(GI$4,'Curva Forward'!$C$4:$AN$4,0))),DK128)</f>
        <v>0</v>
      </c>
      <c r="GJ128" s="190">
        <f>AX128*AX$2*IF($FC128="V",1,-1)*IF($Q128="Fixo",(DL128-INDEX('Curva Forward'!$C$5:$AN$13,MATCH(CONCATENATE(BD_COMERCIAL!$K128," ",BD_COMERCIAL!$L128),'Curva Forward'!$B$5:$B$13,0),MATCH(GJ$4,'Curva Forward'!$C$4:$AN$4,0))),DL128)</f>
        <v>0</v>
      </c>
      <c r="GK128" s="190">
        <f>AY128*AY$2*IF($FC128="V",1,-1)*IF($Q128="Fixo",(DM128-INDEX('Curva Forward'!$C$5:$AN$13,MATCH(CONCATENATE(BD_COMERCIAL!$K128," ",BD_COMERCIAL!$L128),'Curva Forward'!$B$5:$B$13,0),MATCH(GK$4,'Curva Forward'!$C$4:$AN$4,0))),DM128)</f>
        <v>0</v>
      </c>
      <c r="GL128" s="190">
        <f>IF(EZ128="",0,CL128*CL$2*IF($FC128="V",1,-1)*IF($Q128="Fixo",(EZ128-INDEX('Curva Forward'!$C$5:$AN$13,MATCH(CONCATENATE(BD_COMERCIAL!$K128," ",BD_COMERCIAL!$L128),'Curva Forward'!$B$5:$B$13,0),MATCH(GL$4,'Curva Forward'!$C$4:$AN$4,0))),EZ128))</f>
        <v>0</v>
      </c>
      <c r="GM128" s="190">
        <f>IF(FA128="",0,CM128*CM$2*IF($FC128="V",1,-1)*IF($Q128="Fixo",(FA128-INDEX('Curva Forward'!$C$5:$AN$13,MATCH(CONCATENATE(BD_COMERCIAL!$K128," ",BD_COMERCIAL!$L128),'Curva Forward'!$B$5:$B$13,0),MATCH(GM$4,'Curva Forward'!$C$4:$AN$4,0))),FA128))</f>
        <v>0</v>
      </c>
      <c r="GN128" s="190">
        <f>IF(FB128="",0,CN128*CN$2*IF($FC128="V",1,-1)*IF($Q128="Fixo",(FB128-INDEX('Curva Forward'!$C$5:$AN$13,MATCH(CONCATENATE(BD_COMERCIAL!$K128," ",BD_COMERCIAL!$L128),'Curva Forward'!$B$5:$B$13,0),MATCH(GN$4,'Curva Forward'!$C$4:$AN$4,0))),FB128))</f>
        <v>0</v>
      </c>
      <c r="GO128" s="191">
        <f t="shared" ca="1" si="18"/>
        <v>29760</v>
      </c>
      <c r="GP128" s="191">
        <f t="shared" ca="1" si="19"/>
        <v>0</v>
      </c>
      <c r="GQ128" s="115"/>
      <c r="GR128" s="115"/>
      <c r="GS128"/>
      <c r="GT128" s="65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</row>
    <row r="129" spans="1:236" s="265" customFormat="1" ht="15" customHeight="1" x14ac:dyDescent="0.35">
      <c r="A129" s="251"/>
      <c r="B129" s="7" t="s">
        <v>507</v>
      </c>
      <c r="C129" s="8">
        <v>44917</v>
      </c>
      <c r="D129" s="9" t="s">
        <v>123</v>
      </c>
      <c r="E129" s="9" t="s">
        <v>381</v>
      </c>
      <c r="F129" s="112" t="s">
        <v>348</v>
      </c>
      <c r="G129" s="10" t="s">
        <v>409</v>
      </c>
      <c r="H129" s="112" t="s">
        <v>410</v>
      </c>
      <c r="I129" s="9" t="s">
        <v>125</v>
      </c>
      <c r="J129" s="158" t="s">
        <v>496</v>
      </c>
      <c r="K129" s="10" t="s">
        <v>126</v>
      </c>
      <c r="L129" s="84" t="s">
        <v>22</v>
      </c>
      <c r="M129" s="11">
        <v>44986</v>
      </c>
      <c r="N129" s="12">
        <v>45016</v>
      </c>
      <c r="O129" s="10">
        <v>2</v>
      </c>
      <c r="P129" s="84">
        <v>71</v>
      </c>
      <c r="Q129" s="84" t="s">
        <v>127</v>
      </c>
      <c r="R129" s="10" t="s">
        <v>128</v>
      </c>
      <c r="S129" s="14" t="s">
        <v>133</v>
      </c>
      <c r="T129" s="11"/>
      <c r="U129" s="12"/>
      <c r="V129" s="202" t="str">
        <f ca="1">IF(U129="","",
IF(U129="NA","",
IFERROR(VLOOKUP(EOMONTH(M129,-2)+1,IPCA!$A:$B,2,0),
VLOOKUP(EOMONTH(TODAY(),-2)+1,IPCA!$A:$B,2,0))/
VLOOKUP(EOMONTH(U129,-2)+1,IPCA!$A:$B,2,0)*
P129))</f>
        <v/>
      </c>
      <c r="W129" s="84"/>
      <c r="X129" s="13" t="s">
        <v>6</v>
      </c>
      <c r="Y129" s="158"/>
      <c r="Z129" s="106"/>
      <c r="AA129" s="107"/>
      <c r="AB129" s="15"/>
      <c r="AC129"/>
      <c r="AD129">
        <v>2</v>
      </c>
      <c r="AE129"/>
      <c r="AF129"/>
      <c r="AG129"/>
      <c r="AH129"/>
      <c r="AI129"/>
      <c r="AJ129"/>
      <c r="AK129"/>
      <c r="AL129"/>
      <c r="AM129" s="6"/>
      <c r="AN129" s="15"/>
      <c r="AO129"/>
      <c r="AP129"/>
      <c r="AQ129"/>
      <c r="AR129"/>
      <c r="AS129"/>
      <c r="AT129"/>
      <c r="AU129"/>
      <c r="AV129"/>
      <c r="AW129"/>
      <c r="AX129"/>
      <c r="AY129" s="6"/>
      <c r="AZ129" s="15"/>
      <c r="BA129"/>
      <c r="BB129"/>
      <c r="BC129"/>
      <c r="BD129"/>
      <c r="BE129"/>
      <c r="BF129"/>
      <c r="BG129"/>
      <c r="BH129"/>
      <c r="BI129"/>
      <c r="BJ129"/>
      <c r="BK129" s="6"/>
      <c r="BL129" s="15"/>
      <c r="BM129"/>
      <c r="BN129"/>
      <c r="BO129"/>
      <c r="BP129"/>
      <c r="BQ129"/>
      <c r="BR129"/>
      <c r="BS129"/>
      <c r="BT129"/>
      <c r="BU129"/>
      <c r="BV129"/>
      <c r="BW129" s="6"/>
      <c r="BX129" s="15"/>
      <c r="BY129"/>
      <c r="BZ129"/>
      <c r="CA129"/>
      <c r="CB129"/>
      <c r="CC129"/>
      <c r="CD129"/>
      <c r="CE129"/>
      <c r="CF129"/>
      <c r="CG129"/>
      <c r="CH129"/>
      <c r="CI129" s="6"/>
      <c r="CJ129" s="16">
        <v>0.16986301369863013</v>
      </c>
      <c r="CK129" s="16" t="s">
        <v>578</v>
      </c>
      <c r="CL129" s="16" t="s">
        <v>578</v>
      </c>
      <c r="CM129" s="16" t="s">
        <v>578</v>
      </c>
      <c r="CN129" s="16" t="s">
        <v>578</v>
      </c>
      <c r="CO129" s="18"/>
      <c r="CP129" s="15"/>
      <c r="CQ129"/>
      <c r="CR129">
        <v>71</v>
      </c>
      <c r="CS129"/>
      <c r="CT129"/>
      <c r="CU129"/>
      <c r="CV129"/>
      <c r="CW129"/>
      <c r="CX129"/>
      <c r="CY129"/>
      <c r="CZ129"/>
      <c r="DA129" s="6"/>
      <c r="DB129" s="15"/>
      <c r="DC129"/>
      <c r="DD129"/>
      <c r="DE129"/>
      <c r="DF129"/>
      <c r="DG129"/>
      <c r="DH129"/>
      <c r="DI129"/>
      <c r="DJ129"/>
      <c r="DK129"/>
      <c r="DL129"/>
      <c r="DM129" s="6"/>
      <c r="DN129" s="15"/>
      <c r="DO129"/>
      <c r="DP129"/>
      <c r="DQ129"/>
      <c r="DR129"/>
      <c r="DS129"/>
      <c r="DT129"/>
      <c r="DU129"/>
      <c r="DV129"/>
      <c r="DW129"/>
      <c r="DX129"/>
      <c r="DY129" s="6"/>
      <c r="DZ129" s="15"/>
      <c r="EA129"/>
      <c r="EB129"/>
      <c r="EC129"/>
      <c r="ED129"/>
      <c r="EE129"/>
      <c r="EF129"/>
      <c r="EG129"/>
      <c r="EH129"/>
      <c r="EI129"/>
      <c r="EJ129"/>
      <c r="EK129" s="6"/>
      <c r="EL129" s="15"/>
      <c r="EM129"/>
      <c r="EN129"/>
      <c r="EO129"/>
      <c r="EP129"/>
      <c r="EQ129"/>
      <c r="ER129"/>
      <c r="ES129"/>
      <c r="ET129"/>
      <c r="EU129"/>
      <c r="EV129"/>
      <c r="EW129" s="6"/>
      <c r="EX129" s="16">
        <v>6.0301369863013701</v>
      </c>
      <c r="EY129" s="16" t="s">
        <v>578</v>
      </c>
      <c r="EZ129" s="16" t="s">
        <v>578</v>
      </c>
      <c r="FA129" s="154" t="s">
        <v>578</v>
      </c>
      <c r="FB129" s="154" t="s">
        <v>578</v>
      </c>
      <c r="FC129" t="s">
        <v>195</v>
      </c>
      <c r="FD129" s="20" t="s">
        <v>125</v>
      </c>
      <c r="FE129"/>
      <c r="FF129" s="199" t="s">
        <v>197</v>
      </c>
      <c r="FG129"/>
      <c r="FH129" s="206">
        <f t="shared" ca="1" si="13"/>
        <v>0</v>
      </c>
      <c r="FI129" s="198">
        <f t="shared" si="14"/>
        <v>1</v>
      </c>
      <c r="FJ129"/>
      <c r="FK129" t="str">
        <f t="shared" si="15"/>
        <v>GOLD COMERCIALIZADORA DE ENERGIA LTDA</v>
      </c>
      <c r="FL129" s="191">
        <f t="shared" ca="1" si="16"/>
        <v>0</v>
      </c>
      <c r="FM129" s="191">
        <f t="shared" ca="1" si="17"/>
        <v>2976</v>
      </c>
      <c r="FN129" s="190">
        <f>AB129*AB$2*IF($FC129="V",1,-1)*IF($Q129="Fixo",(CP129-INDEX('Curva Forward'!$C$5:$AN$13,MATCH(CONCATENATE(BD_COMERCIAL!$K129," ",BD_COMERCIAL!$L129),'Curva Forward'!$B$5:$B$13,0),MATCH(FN$4,'Curva Forward'!$C$4:$AN$4,0))),CP129)</f>
        <v>0</v>
      </c>
      <c r="FO129" s="190">
        <f>AC129*AC$2*IF($FC129="V",1,-1)*IF($Q129="Fixo",(CQ129-INDEX('Curva Forward'!$C$5:$AN$13,MATCH(CONCATENATE(BD_COMERCIAL!$K129," ",BD_COMERCIAL!$L129),'Curva Forward'!$B$5:$B$13,0),MATCH(FO$4,'Curva Forward'!$C$4:$AN$4,0))),CQ129)</f>
        <v>0</v>
      </c>
      <c r="FP129" s="190">
        <f>AD129*AD$2*IF($FC129="V",1,-1)*IF($Q129="Fixo",(CR129-INDEX('Curva Forward'!$C$5:$AN$13,MATCH(CONCATENATE(BD_COMERCIAL!$K129," ",BD_COMERCIAL!$L129),'Curva Forward'!$B$5:$B$13,0),MATCH(FP$4,'Curva Forward'!$C$4:$AN$4,0))),CR129)</f>
        <v>2976</v>
      </c>
      <c r="FQ129" s="190">
        <f>AE129*AE$2*IF($FC129="V",1,-1)*IF($Q129="Fixo",(CS129-INDEX('Curva Forward'!$C$5:$AN$13,MATCH(CONCATENATE(BD_COMERCIAL!$K129," ",BD_COMERCIAL!$L129),'Curva Forward'!$B$5:$B$13,0),MATCH(FQ$4,'Curva Forward'!$C$4:$AN$4,0))),CS129)</f>
        <v>0</v>
      </c>
      <c r="FR129" s="190">
        <f>AF129*AF$2*IF($FC129="V",1,-1)*IF($Q129="Fixo",(CT129-INDEX('Curva Forward'!$C$5:$AN$13,MATCH(CONCATENATE(BD_COMERCIAL!$K129," ",BD_COMERCIAL!$L129),'Curva Forward'!$B$5:$B$13,0),MATCH(FR$4,'Curva Forward'!$C$4:$AN$4,0))),CT129)</f>
        <v>0</v>
      </c>
      <c r="FS129" s="190">
        <f>AG129*AG$2*IF($FC129="V",1,-1)*IF($Q129="Fixo",(CU129-INDEX('Curva Forward'!$C$5:$AN$13,MATCH(CONCATENATE(BD_COMERCIAL!$K129," ",BD_COMERCIAL!$L129),'Curva Forward'!$B$5:$B$13,0),MATCH(FS$4,'Curva Forward'!$C$4:$AN$4,0))),CU129)</f>
        <v>0</v>
      </c>
      <c r="FT129" s="190">
        <f>AH129*AH$2*IF($FC129="V",1,-1)*IF($Q129="Fixo",(CV129-INDEX('Curva Forward'!$C$5:$AN$13,MATCH(CONCATENATE(BD_COMERCIAL!$K129," ",BD_COMERCIAL!$L129),'Curva Forward'!$B$5:$B$13,0),MATCH(FT$4,'Curva Forward'!$C$4:$AN$4,0))),CV129)</f>
        <v>0</v>
      </c>
      <c r="FU129" s="190">
        <f>AI129*AI$2*IF($FC129="V",1,-1)*IF($Q129="Fixo",(CW129-INDEX('Curva Forward'!$C$5:$AN$13,MATCH(CONCATENATE(BD_COMERCIAL!$K129," ",BD_COMERCIAL!$L129),'Curva Forward'!$B$5:$B$13,0),MATCH(FU$4,'Curva Forward'!$C$4:$AN$4,0))),CW129)</f>
        <v>0</v>
      </c>
      <c r="FV129" s="190">
        <f>AJ129*AJ$2*IF($FC129="V",1,-1)*IF($Q129="Fixo",(CX129-INDEX('Curva Forward'!$C$5:$AN$13,MATCH(CONCATENATE(BD_COMERCIAL!$K129," ",BD_COMERCIAL!$L129),'Curva Forward'!$B$5:$B$13,0),MATCH(FV$4,'Curva Forward'!$C$4:$AN$4,0))),CX129)</f>
        <v>0</v>
      </c>
      <c r="FW129" s="190">
        <f>AK129*AK$2*IF($FC129="V",1,-1)*IF($Q129="Fixo",(CY129-INDEX('Curva Forward'!$C$5:$AN$13,MATCH(CONCATENATE(BD_COMERCIAL!$K129," ",BD_COMERCIAL!$L129),'Curva Forward'!$B$5:$B$13,0),MATCH(FW$4,'Curva Forward'!$C$4:$AN$4,0))),CY129)</f>
        <v>0</v>
      </c>
      <c r="FX129" s="190">
        <f>AL129*AL$2*IF($FC129="V",1,-1)*IF($Q129="Fixo",(CZ129-INDEX('Curva Forward'!$C$5:$AN$13,MATCH(CONCATENATE(BD_COMERCIAL!$K129," ",BD_COMERCIAL!$L129),'Curva Forward'!$B$5:$B$13,0),MATCH(FX$4,'Curva Forward'!$C$4:$AN$4,0))),CZ129)</f>
        <v>0</v>
      </c>
      <c r="FY129" s="190">
        <f>AM129*AM$2*IF($FC129="V",1,-1)*IF($Q129="Fixo",(DA129-INDEX('Curva Forward'!$C$5:$AN$13,MATCH(CONCATENATE(BD_COMERCIAL!$K129," ",BD_COMERCIAL!$L129),'Curva Forward'!$B$5:$B$13,0),MATCH(FY$4,'Curva Forward'!$C$4:$AN$4,0))),DA129)</f>
        <v>0</v>
      </c>
      <c r="FZ129" s="190">
        <f>AN129*AN$2*IF($FC129="V",1,-1)*IF($Q129="Fixo",(DB129-INDEX('Curva Forward'!$C$5:$AN$13,MATCH(CONCATENATE(BD_COMERCIAL!$K129," ",BD_COMERCIAL!$L129),'Curva Forward'!$B$5:$B$13,0),MATCH(FZ$4,'Curva Forward'!$C$4:$AN$4,0))),DB129)</f>
        <v>0</v>
      </c>
      <c r="GA129" s="190">
        <f>AO129*AO$2*IF($FC129="V",1,-1)*IF($Q129="Fixo",(DC129-INDEX('Curva Forward'!$C$5:$AN$13,MATCH(CONCATENATE(BD_COMERCIAL!$K129," ",BD_COMERCIAL!$L129),'Curva Forward'!$B$5:$B$13,0),MATCH(GA$4,'Curva Forward'!$C$4:$AN$4,0))),DC129)</f>
        <v>0</v>
      </c>
      <c r="GB129" s="190">
        <f>AP129*AP$2*IF($FC129="V",1,-1)*IF($Q129="Fixo",(DD129-INDEX('Curva Forward'!$C$5:$AN$13,MATCH(CONCATENATE(BD_COMERCIAL!$K129," ",BD_COMERCIAL!$L129),'Curva Forward'!$B$5:$B$13,0),MATCH(GB$4,'Curva Forward'!$C$4:$AN$4,0))),DD129)</f>
        <v>0</v>
      </c>
      <c r="GC129" s="190">
        <f>AQ129*AQ$2*IF($FC129="V",1,-1)*IF($Q129="Fixo",(DE129-INDEX('Curva Forward'!$C$5:$AN$13,MATCH(CONCATENATE(BD_COMERCIAL!$K129," ",BD_COMERCIAL!$L129),'Curva Forward'!$B$5:$B$13,0),MATCH(GC$4,'Curva Forward'!$C$4:$AN$4,0))),DE129)</f>
        <v>0</v>
      </c>
      <c r="GD129" s="190">
        <f>AR129*AR$2*IF($FC129="V",1,-1)*IF($Q129="Fixo",(DF129-INDEX('Curva Forward'!$C$5:$AN$13,MATCH(CONCATENATE(BD_COMERCIAL!$K129," ",BD_COMERCIAL!$L129),'Curva Forward'!$B$5:$B$13,0),MATCH(GD$4,'Curva Forward'!$C$4:$AN$4,0))),DF129)</f>
        <v>0</v>
      </c>
      <c r="GE129" s="190">
        <f>AS129*AS$2*IF($FC129="V",1,-1)*IF($Q129="Fixo",(DG129-INDEX('Curva Forward'!$C$5:$AN$13,MATCH(CONCATENATE(BD_COMERCIAL!$K129," ",BD_COMERCIAL!$L129),'Curva Forward'!$B$5:$B$13,0),MATCH(GE$4,'Curva Forward'!$C$4:$AN$4,0))),DG129)</f>
        <v>0</v>
      </c>
      <c r="GF129" s="190">
        <f>AT129*AT$2*IF($FC129="V",1,-1)*IF($Q129="Fixo",(DH129-INDEX('Curva Forward'!$C$5:$AN$13,MATCH(CONCATENATE(BD_COMERCIAL!$K129," ",BD_COMERCIAL!$L129),'Curva Forward'!$B$5:$B$13,0),MATCH(GF$4,'Curva Forward'!$C$4:$AN$4,0))),DH129)</f>
        <v>0</v>
      </c>
      <c r="GG129" s="190">
        <f>AU129*AU$2*IF($FC129="V",1,-1)*IF($Q129="Fixo",(DI129-INDEX('Curva Forward'!$C$5:$AN$13,MATCH(CONCATENATE(BD_COMERCIAL!$K129," ",BD_COMERCIAL!$L129),'Curva Forward'!$B$5:$B$13,0),MATCH(GG$4,'Curva Forward'!$C$4:$AN$4,0))),DI129)</f>
        <v>0</v>
      </c>
      <c r="GH129" s="190">
        <f>AV129*AV$2*IF($FC129="V",1,-1)*IF($Q129="Fixo",(DJ129-INDEX('Curva Forward'!$C$5:$AN$13,MATCH(CONCATENATE(BD_COMERCIAL!$K129," ",BD_COMERCIAL!$L129),'Curva Forward'!$B$5:$B$13,0),MATCH(GH$4,'Curva Forward'!$C$4:$AN$4,0))),DJ129)</f>
        <v>0</v>
      </c>
      <c r="GI129" s="190">
        <f>AW129*AW$2*IF($FC129="V",1,-1)*IF($Q129="Fixo",(DK129-INDEX('Curva Forward'!$C$5:$AN$13,MATCH(CONCATENATE(BD_COMERCIAL!$K129," ",BD_COMERCIAL!$L129),'Curva Forward'!$B$5:$B$13,0),MATCH(GI$4,'Curva Forward'!$C$4:$AN$4,0))),DK129)</f>
        <v>0</v>
      </c>
      <c r="GJ129" s="190">
        <f>AX129*AX$2*IF($FC129="V",1,-1)*IF($Q129="Fixo",(DL129-INDEX('Curva Forward'!$C$5:$AN$13,MATCH(CONCATENATE(BD_COMERCIAL!$K129," ",BD_COMERCIAL!$L129),'Curva Forward'!$B$5:$B$13,0),MATCH(GJ$4,'Curva Forward'!$C$4:$AN$4,0))),DL129)</f>
        <v>0</v>
      </c>
      <c r="GK129" s="190">
        <f>AY129*AY$2*IF($FC129="V",1,-1)*IF($Q129="Fixo",(DM129-INDEX('Curva Forward'!$C$5:$AN$13,MATCH(CONCATENATE(BD_COMERCIAL!$K129," ",BD_COMERCIAL!$L129),'Curva Forward'!$B$5:$B$13,0),MATCH(GK$4,'Curva Forward'!$C$4:$AN$4,0))),DM129)</f>
        <v>0</v>
      </c>
      <c r="GL129" s="190">
        <f>IF(EZ129="",0,CL129*CL$2*IF($FC129="V",1,-1)*IF($Q129="Fixo",(EZ129-INDEX('Curva Forward'!$C$5:$AN$13,MATCH(CONCATENATE(BD_COMERCIAL!$K129," ",BD_COMERCIAL!$L129),'Curva Forward'!$B$5:$B$13,0),MATCH(GL$4,'Curva Forward'!$C$4:$AN$4,0))),EZ129))</f>
        <v>0</v>
      </c>
      <c r="GM129" s="190">
        <f>IF(FA129="",0,CM129*CM$2*IF($FC129="V",1,-1)*IF($Q129="Fixo",(FA129-INDEX('Curva Forward'!$C$5:$AN$13,MATCH(CONCATENATE(BD_COMERCIAL!$K129," ",BD_COMERCIAL!$L129),'Curva Forward'!$B$5:$B$13,0),MATCH(GM$4,'Curva Forward'!$C$4:$AN$4,0))),FA129))</f>
        <v>0</v>
      </c>
      <c r="GN129" s="190">
        <f>IF(FB129="",0,CN129*CN$2*IF($FC129="V",1,-1)*IF($Q129="Fixo",(FB129-INDEX('Curva Forward'!$C$5:$AN$13,MATCH(CONCATENATE(BD_COMERCIAL!$K129," ",BD_COMERCIAL!$L129),'Curva Forward'!$B$5:$B$13,0),MATCH(GN$4,'Curva Forward'!$C$4:$AN$4,0))),FB129))</f>
        <v>0</v>
      </c>
      <c r="GO129" s="191">
        <f t="shared" ca="1" si="18"/>
        <v>2976</v>
      </c>
      <c r="GP129" s="191">
        <f t="shared" ca="1" si="19"/>
        <v>0</v>
      </c>
      <c r="GQ129" s="115"/>
      <c r="GR129" s="115"/>
      <c r="GS129"/>
      <c r="GT129" s="65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</row>
    <row r="130" spans="1:236" s="265" customFormat="1" ht="15" customHeight="1" x14ac:dyDescent="0.35">
      <c r="A130" s="251"/>
      <c r="B130" s="7" t="s">
        <v>508</v>
      </c>
      <c r="C130" s="8">
        <v>44917</v>
      </c>
      <c r="D130" s="9" t="s">
        <v>123</v>
      </c>
      <c r="E130" s="9" t="s">
        <v>381</v>
      </c>
      <c r="F130" s="112" t="s">
        <v>348</v>
      </c>
      <c r="G130" s="10" t="s">
        <v>409</v>
      </c>
      <c r="H130" s="112" t="s">
        <v>410</v>
      </c>
      <c r="I130" s="9" t="s">
        <v>125</v>
      </c>
      <c r="J130" s="158" t="s">
        <v>496</v>
      </c>
      <c r="K130" s="10" t="s">
        <v>126</v>
      </c>
      <c r="L130" s="84" t="s">
        <v>22</v>
      </c>
      <c r="M130" s="11">
        <v>45017</v>
      </c>
      <c r="N130" s="12">
        <v>45077</v>
      </c>
      <c r="O130" s="10">
        <v>10</v>
      </c>
      <c r="P130" s="84">
        <v>73.5</v>
      </c>
      <c r="Q130" s="84" t="s">
        <v>127</v>
      </c>
      <c r="R130" s="10" t="s">
        <v>128</v>
      </c>
      <c r="S130" s="14" t="s">
        <v>133</v>
      </c>
      <c r="T130" s="11"/>
      <c r="U130" s="12"/>
      <c r="V130" s="202" t="str">
        <f ca="1">IF(U130="","",
IF(U130="NA","",
IFERROR(VLOOKUP(EOMONTH(M130,-2)+1,IPCA!$A:$B,2,0),
VLOOKUP(EOMONTH(TODAY(),-2)+1,IPCA!$A:$B,2,0))/
VLOOKUP(EOMONTH(U130,-2)+1,IPCA!$A:$B,2,0)*
P130))</f>
        <v/>
      </c>
      <c r="W130" s="84"/>
      <c r="X130" s="13" t="s">
        <v>132</v>
      </c>
      <c r="Y130" s="158"/>
      <c r="Z130" s="106"/>
      <c r="AA130" s="107"/>
      <c r="AB130" s="15"/>
      <c r="AC130"/>
      <c r="AD130"/>
      <c r="AE130">
        <v>10</v>
      </c>
      <c r="AF130">
        <v>10</v>
      </c>
      <c r="AG130"/>
      <c r="AH130"/>
      <c r="AI130"/>
      <c r="AJ130"/>
      <c r="AK130"/>
      <c r="AL130"/>
      <c r="AM130" s="6"/>
      <c r="AN130" s="15"/>
      <c r="AO130"/>
      <c r="AP130"/>
      <c r="AQ130"/>
      <c r="AR130"/>
      <c r="AS130"/>
      <c r="AT130"/>
      <c r="AU130"/>
      <c r="AV130"/>
      <c r="AW130"/>
      <c r="AX130"/>
      <c r="AY130" s="6"/>
      <c r="AZ130" s="15"/>
      <c r="BA130"/>
      <c r="BB130"/>
      <c r="BC130"/>
      <c r="BD130"/>
      <c r="BE130"/>
      <c r="BF130"/>
      <c r="BG130"/>
      <c r="BH130"/>
      <c r="BI130"/>
      <c r="BJ130"/>
      <c r="BK130" s="6"/>
      <c r="BL130" s="15"/>
      <c r="BM130"/>
      <c r="BN130"/>
      <c r="BO130"/>
      <c r="BP130"/>
      <c r="BQ130"/>
      <c r="BR130"/>
      <c r="BS130"/>
      <c r="BT130"/>
      <c r="BU130"/>
      <c r="BV130"/>
      <c r="BW130" s="6"/>
      <c r="BX130" s="15"/>
      <c r="BY130"/>
      <c r="BZ130"/>
      <c r="CA130"/>
      <c r="CB130"/>
      <c r="CC130"/>
      <c r="CD130"/>
      <c r="CE130"/>
      <c r="CF130"/>
      <c r="CG130"/>
      <c r="CH130"/>
      <c r="CI130" s="6"/>
      <c r="CJ130" s="16">
        <v>1.6712328767123288</v>
      </c>
      <c r="CK130" s="16" t="s">
        <v>578</v>
      </c>
      <c r="CL130" s="16" t="s">
        <v>578</v>
      </c>
      <c r="CM130" s="16" t="s">
        <v>578</v>
      </c>
      <c r="CN130" s="16" t="s">
        <v>578</v>
      </c>
      <c r="CO130" s="18"/>
      <c r="CP130" s="15"/>
      <c r="CQ130"/>
      <c r="CR130"/>
      <c r="CS130">
        <v>73.5</v>
      </c>
      <c r="CT130">
        <v>73.5</v>
      </c>
      <c r="CU130"/>
      <c r="CV130"/>
      <c r="CW130"/>
      <c r="CX130"/>
      <c r="CY130"/>
      <c r="CZ130"/>
      <c r="DA130" s="6"/>
      <c r="DB130" s="15"/>
      <c r="DC130"/>
      <c r="DD130"/>
      <c r="DE130"/>
      <c r="DF130"/>
      <c r="DG130"/>
      <c r="DH130"/>
      <c r="DI130"/>
      <c r="DJ130"/>
      <c r="DK130"/>
      <c r="DL130"/>
      <c r="DM130" s="6"/>
      <c r="DN130" s="15"/>
      <c r="DO130"/>
      <c r="DP130"/>
      <c r="DQ130"/>
      <c r="DR130"/>
      <c r="DS130"/>
      <c r="DT130"/>
      <c r="DU130"/>
      <c r="DV130"/>
      <c r="DW130"/>
      <c r="DX130"/>
      <c r="DY130" s="6"/>
      <c r="DZ130" s="15"/>
      <c r="EA130"/>
      <c r="EB130"/>
      <c r="EC130"/>
      <c r="ED130"/>
      <c r="EE130"/>
      <c r="EF130"/>
      <c r="EG130"/>
      <c r="EH130"/>
      <c r="EI130"/>
      <c r="EJ130"/>
      <c r="EK130" s="6"/>
      <c r="EL130" s="15"/>
      <c r="EM130"/>
      <c r="EN130"/>
      <c r="EO130"/>
      <c r="EP130"/>
      <c r="EQ130"/>
      <c r="ER130"/>
      <c r="ES130"/>
      <c r="ET130"/>
      <c r="EU130"/>
      <c r="EV130"/>
      <c r="EW130" s="6"/>
      <c r="EX130" s="16">
        <v>12.283561643835617</v>
      </c>
      <c r="EY130" s="16" t="s">
        <v>578</v>
      </c>
      <c r="EZ130" s="16" t="s">
        <v>578</v>
      </c>
      <c r="FA130" s="154" t="s">
        <v>578</v>
      </c>
      <c r="FB130" s="154" t="s">
        <v>578</v>
      </c>
      <c r="FC130" t="s">
        <v>195</v>
      </c>
      <c r="FD130" s="20" t="s">
        <v>125</v>
      </c>
      <c r="FE130"/>
      <c r="FF130" s="199" t="s">
        <v>197</v>
      </c>
      <c r="FG130"/>
      <c r="FH130" s="206">
        <f t="shared" ca="1" si="13"/>
        <v>0</v>
      </c>
      <c r="FI130" s="198">
        <f t="shared" si="14"/>
        <v>2</v>
      </c>
      <c r="FJ130"/>
      <c r="FK130" t="str">
        <f t="shared" si="15"/>
        <v>GOLD COMERCIALIZADORA DE ENERGIA LTDA</v>
      </c>
      <c r="FL130" s="191">
        <f t="shared" ca="1" si="16"/>
        <v>0</v>
      </c>
      <c r="FM130" s="191">
        <f t="shared" ca="1" si="17"/>
        <v>58440</v>
      </c>
      <c r="FN130" s="190">
        <f>AB130*AB$2*IF($FC130="V",1,-1)*IF($Q130="Fixo",(CP130-INDEX('Curva Forward'!$C$5:$AN$13,MATCH(CONCATENATE(BD_COMERCIAL!$K130," ",BD_COMERCIAL!$L130),'Curva Forward'!$B$5:$B$13,0),MATCH(FN$4,'Curva Forward'!$C$4:$AN$4,0))),CP130)</f>
        <v>0</v>
      </c>
      <c r="FO130" s="190">
        <f>AC130*AC$2*IF($FC130="V",1,-1)*IF($Q130="Fixo",(CQ130-INDEX('Curva Forward'!$C$5:$AN$13,MATCH(CONCATENATE(BD_COMERCIAL!$K130," ",BD_COMERCIAL!$L130),'Curva Forward'!$B$5:$B$13,0),MATCH(FO$4,'Curva Forward'!$C$4:$AN$4,0))),CQ130)</f>
        <v>0</v>
      </c>
      <c r="FP130" s="190">
        <f>AD130*AD$2*IF($FC130="V",1,-1)*IF($Q130="Fixo",(CR130-INDEX('Curva Forward'!$C$5:$AN$13,MATCH(CONCATENATE(BD_COMERCIAL!$K130," ",BD_COMERCIAL!$L130),'Curva Forward'!$B$5:$B$13,0),MATCH(FP$4,'Curva Forward'!$C$4:$AN$4,0))),CR130)</f>
        <v>0</v>
      </c>
      <c r="FQ130" s="190">
        <f>AE130*AE$2*IF($FC130="V",1,-1)*IF($Q130="Fixo",(CS130-INDEX('Curva Forward'!$C$5:$AN$13,MATCH(CONCATENATE(BD_COMERCIAL!$K130," ",BD_COMERCIAL!$L130),'Curva Forward'!$B$5:$B$13,0),MATCH(FQ$4,'Curva Forward'!$C$4:$AN$4,0))),CS130)</f>
        <v>32400</v>
      </c>
      <c r="FR130" s="190">
        <f>AF130*AF$2*IF($FC130="V",1,-1)*IF($Q130="Fixo",(CT130-INDEX('Curva Forward'!$C$5:$AN$13,MATCH(CONCATENATE(BD_COMERCIAL!$K130," ",BD_COMERCIAL!$L130),'Curva Forward'!$B$5:$B$13,0),MATCH(FR$4,'Curva Forward'!$C$4:$AN$4,0))),CT130)</f>
        <v>26040</v>
      </c>
      <c r="FS130" s="190">
        <f>AG130*AG$2*IF($FC130="V",1,-1)*IF($Q130="Fixo",(CU130-INDEX('Curva Forward'!$C$5:$AN$13,MATCH(CONCATENATE(BD_COMERCIAL!$K130," ",BD_COMERCIAL!$L130),'Curva Forward'!$B$5:$B$13,0),MATCH(FS$4,'Curva Forward'!$C$4:$AN$4,0))),CU130)</f>
        <v>0</v>
      </c>
      <c r="FT130" s="190">
        <f>AH130*AH$2*IF($FC130="V",1,-1)*IF($Q130="Fixo",(CV130-INDEX('Curva Forward'!$C$5:$AN$13,MATCH(CONCATENATE(BD_COMERCIAL!$K130," ",BD_COMERCIAL!$L130),'Curva Forward'!$B$5:$B$13,0),MATCH(FT$4,'Curva Forward'!$C$4:$AN$4,0))),CV130)</f>
        <v>0</v>
      </c>
      <c r="FU130" s="190">
        <f>AI130*AI$2*IF($FC130="V",1,-1)*IF($Q130="Fixo",(CW130-INDEX('Curva Forward'!$C$5:$AN$13,MATCH(CONCATENATE(BD_COMERCIAL!$K130," ",BD_COMERCIAL!$L130),'Curva Forward'!$B$5:$B$13,0),MATCH(FU$4,'Curva Forward'!$C$4:$AN$4,0))),CW130)</f>
        <v>0</v>
      </c>
      <c r="FV130" s="190">
        <f>AJ130*AJ$2*IF($FC130="V",1,-1)*IF($Q130="Fixo",(CX130-INDEX('Curva Forward'!$C$5:$AN$13,MATCH(CONCATENATE(BD_COMERCIAL!$K130," ",BD_COMERCIAL!$L130),'Curva Forward'!$B$5:$B$13,0),MATCH(FV$4,'Curva Forward'!$C$4:$AN$4,0))),CX130)</f>
        <v>0</v>
      </c>
      <c r="FW130" s="190">
        <f>AK130*AK$2*IF($FC130="V",1,-1)*IF($Q130="Fixo",(CY130-INDEX('Curva Forward'!$C$5:$AN$13,MATCH(CONCATENATE(BD_COMERCIAL!$K130," ",BD_COMERCIAL!$L130),'Curva Forward'!$B$5:$B$13,0),MATCH(FW$4,'Curva Forward'!$C$4:$AN$4,0))),CY130)</f>
        <v>0</v>
      </c>
      <c r="FX130" s="190">
        <f>AL130*AL$2*IF($FC130="V",1,-1)*IF($Q130="Fixo",(CZ130-INDEX('Curva Forward'!$C$5:$AN$13,MATCH(CONCATENATE(BD_COMERCIAL!$K130," ",BD_COMERCIAL!$L130),'Curva Forward'!$B$5:$B$13,0),MATCH(FX$4,'Curva Forward'!$C$4:$AN$4,0))),CZ130)</f>
        <v>0</v>
      </c>
      <c r="FY130" s="190">
        <f>AM130*AM$2*IF($FC130="V",1,-1)*IF($Q130="Fixo",(DA130-INDEX('Curva Forward'!$C$5:$AN$13,MATCH(CONCATENATE(BD_COMERCIAL!$K130," ",BD_COMERCIAL!$L130),'Curva Forward'!$B$5:$B$13,0),MATCH(FY$4,'Curva Forward'!$C$4:$AN$4,0))),DA130)</f>
        <v>0</v>
      </c>
      <c r="FZ130" s="190">
        <f>AN130*AN$2*IF($FC130="V",1,-1)*IF($Q130="Fixo",(DB130-INDEX('Curva Forward'!$C$5:$AN$13,MATCH(CONCATENATE(BD_COMERCIAL!$K130," ",BD_COMERCIAL!$L130),'Curva Forward'!$B$5:$B$13,0),MATCH(FZ$4,'Curva Forward'!$C$4:$AN$4,0))),DB130)</f>
        <v>0</v>
      </c>
      <c r="GA130" s="190">
        <f>AO130*AO$2*IF($FC130="V",1,-1)*IF($Q130="Fixo",(DC130-INDEX('Curva Forward'!$C$5:$AN$13,MATCH(CONCATENATE(BD_COMERCIAL!$K130," ",BD_COMERCIAL!$L130),'Curva Forward'!$B$5:$B$13,0),MATCH(GA$4,'Curva Forward'!$C$4:$AN$4,0))),DC130)</f>
        <v>0</v>
      </c>
      <c r="GB130" s="190">
        <f>AP130*AP$2*IF($FC130="V",1,-1)*IF($Q130="Fixo",(DD130-INDEX('Curva Forward'!$C$5:$AN$13,MATCH(CONCATENATE(BD_COMERCIAL!$K130," ",BD_COMERCIAL!$L130),'Curva Forward'!$B$5:$B$13,0),MATCH(GB$4,'Curva Forward'!$C$4:$AN$4,0))),DD130)</f>
        <v>0</v>
      </c>
      <c r="GC130" s="190">
        <f>AQ130*AQ$2*IF($FC130="V",1,-1)*IF($Q130="Fixo",(DE130-INDEX('Curva Forward'!$C$5:$AN$13,MATCH(CONCATENATE(BD_COMERCIAL!$K130," ",BD_COMERCIAL!$L130),'Curva Forward'!$B$5:$B$13,0),MATCH(GC$4,'Curva Forward'!$C$4:$AN$4,0))),DE130)</f>
        <v>0</v>
      </c>
      <c r="GD130" s="190">
        <f>AR130*AR$2*IF($FC130="V",1,-1)*IF($Q130="Fixo",(DF130-INDEX('Curva Forward'!$C$5:$AN$13,MATCH(CONCATENATE(BD_COMERCIAL!$K130," ",BD_COMERCIAL!$L130),'Curva Forward'!$B$5:$B$13,0),MATCH(GD$4,'Curva Forward'!$C$4:$AN$4,0))),DF130)</f>
        <v>0</v>
      </c>
      <c r="GE130" s="190">
        <f>AS130*AS$2*IF($FC130="V",1,-1)*IF($Q130="Fixo",(DG130-INDEX('Curva Forward'!$C$5:$AN$13,MATCH(CONCATENATE(BD_COMERCIAL!$K130," ",BD_COMERCIAL!$L130),'Curva Forward'!$B$5:$B$13,0),MATCH(GE$4,'Curva Forward'!$C$4:$AN$4,0))),DG130)</f>
        <v>0</v>
      </c>
      <c r="GF130" s="190">
        <f>AT130*AT$2*IF($FC130="V",1,-1)*IF($Q130="Fixo",(DH130-INDEX('Curva Forward'!$C$5:$AN$13,MATCH(CONCATENATE(BD_COMERCIAL!$K130," ",BD_COMERCIAL!$L130),'Curva Forward'!$B$5:$B$13,0),MATCH(GF$4,'Curva Forward'!$C$4:$AN$4,0))),DH130)</f>
        <v>0</v>
      </c>
      <c r="GG130" s="190">
        <f>AU130*AU$2*IF($FC130="V",1,-1)*IF($Q130="Fixo",(DI130-INDEX('Curva Forward'!$C$5:$AN$13,MATCH(CONCATENATE(BD_COMERCIAL!$K130," ",BD_COMERCIAL!$L130),'Curva Forward'!$B$5:$B$13,0),MATCH(GG$4,'Curva Forward'!$C$4:$AN$4,0))),DI130)</f>
        <v>0</v>
      </c>
      <c r="GH130" s="190">
        <f>AV130*AV$2*IF($FC130="V",1,-1)*IF($Q130="Fixo",(DJ130-INDEX('Curva Forward'!$C$5:$AN$13,MATCH(CONCATENATE(BD_COMERCIAL!$K130," ",BD_COMERCIAL!$L130),'Curva Forward'!$B$5:$B$13,0),MATCH(GH$4,'Curva Forward'!$C$4:$AN$4,0))),DJ130)</f>
        <v>0</v>
      </c>
      <c r="GI130" s="190">
        <f>AW130*AW$2*IF($FC130="V",1,-1)*IF($Q130="Fixo",(DK130-INDEX('Curva Forward'!$C$5:$AN$13,MATCH(CONCATENATE(BD_COMERCIAL!$K130," ",BD_COMERCIAL!$L130),'Curva Forward'!$B$5:$B$13,0),MATCH(GI$4,'Curva Forward'!$C$4:$AN$4,0))),DK130)</f>
        <v>0</v>
      </c>
      <c r="GJ130" s="190">
        <f>AX130*AX$2*IF($FC130="V",1,-1)*IF($Q130="Fixo",(DL130-INDEX('Curva Forward'!$C$5:$AN$13,MATCH(CONCATENATE(BD_COMERCIAL!$K130," ",BD_COMERCIAL!$L130),'Curva Forward'!$B$5:$B$13,0),MATCH(GJ$4,'Curva Forward'!$C$4:$AN$4,0))),DL130)</f>
        <v>0</v>
      </c>
      <c r="GK130" s="190">
        <f>AY130*AY$2*IF($FC130="V",1,-1)*IF($Q130="Fixo",(DM130-INDEX('Curva Forward'!$C$5:$AN$13,MATCH(CONCATENATE(BD_COMERCIAL!$K130," ",BD_COMERCIAL!$L130),'Curva Forward'!$B$5:$B$13,0),MATCH(GK$4,'Curva Forward'!$C$4:$AN$4,0))),DM130)</f>
        <v>0</v>
      </c>
      <c r="GL130" s="190">
        <f>IF(EZ130="",0,CL130*CL$2*IF($FC130="V",1,-1)*IF($Q130="Fixo",(EZ130-INDEX('Curva Forward'!$C$5:$AN$13,MATCH(CONCATENATE(BD_COMERCIAL!$K130," ",BD_COMERCIAL!$L130),'Curva Forward'!$B$5:$B$13,0),MATCH(GL$4,'Curva Forward'!$C$4:$AN$4,0))),EZ130))</f>
        <v>0</v>
      </c>
      <c r="GM130" s="190">
        <f>IF(FA130="",0,CM130*CM$2*IF($FC130="V",1,-1)*IF($Q130="Fixo",(FA130-INDEX('Curva Forward'!$C$5:$AN$13,MATCH(CONCATENATE(BD_COMERCIAL!$K130," ",BD_COMERCIAL!$L130),'Curva Forward'!$B$5:$B$13,0),MATCH(GM$4,'Curva Forward'!$C$4:$AN$4,0))),FA130))</f>
        <v>0</v>
      </c>
      <c r="GN130" s="190">
        <f>IF(FB130="",0,CN130*CN$2*IF($FC130="V",1,-1)*IF($Q130="Fixo",(FB130-INDEX('Curva Forward'!$C$5:$AN$13,MATCH(CONCATENATE(BD_COMERCIAL!$K130," ",BD_COMERCIAL!$L130),'Curva Forward'!$B$5:$B$13,0),MATCH(GN$4,'Curva Forward'!$C$4:$AN$4,0))),FB130))</f>
        <v>0</v>
      </c>
      <c r="GO130" s="191">
        <f t="shared" ca="1" si="18"/>
        <v>58440</v>
      </c>
      <c r="GP130" s="191">
        <f t="shared" ca="1" si="19"/>
        <v>0</v>
      </c>
      <c r="GQ130" s="115"/>
      <c r="GR130" s="115"/>
      <c r="GS130"/>
      <c r="GT130" s="65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</row>
    <row r="131" spans="1:236" s="265" customFormat="1" ht="15" customHeight="1" x14ac:dyDescent="0.35">
      <c r="A131" s="251"/>
      <c r="B131" s="7" t="s">
        <v>509</v>
      </c>
      <c r="C131" s="8">
        <v>44917</v>
      </c>
      <c r="D131" s="9" t="s">
        <v>123</v>
      </c>
      <c r="E131" s="9" t="s">
        <v>381</v>
      </c>
      <c r="F131" s="112" t="s">
        <v>348</v>
      </c>
      <c r="G131" s="10" t="s">
        <v>409</v>
      </c>
      <c r="H131" s="112" t="s">
        <v>410</v>
      </c>
      <c r="I131" s="9" t="s">
        <v>125</v>
      </c>
      <c r="J131" s="158" t="s">
        <v>496</v>
      </c>
      <c r="K131" s="10" t="s">
        <v>126</v>
      </c>
      <c r="L131" s="84" t="s">
        <v>22</v>
      </c>
      <c r="M131" s="11">
        <v>45047</v>
      </c>
      <c r="N131" s="12">
        <v>45077</v>
      </c>
      <c r="O131" s="10">
        <v>2</v>
      </c>
      <c r="P131" s="84">
        <v>74</v>
      </c>
      <c r="Q131" s="84" t="s">
        <v>127</v>
      </c>
      <c r="R131" s="10" t="s">
        <v>128</v>
      </c>
      <c r="S131" s="14" t="s">
        <v>133</v>
      </c>
      <c r="T131" s="11"/>
      <c r="U131" s="12"/>
      <c r="V131" s="202" t="str">
        <f ca="1">IF(U131="","",
IF(U131="NA","",
IFERROR(VLOOKUP(EOMONTH(M131,-2)+1,IPCA!$A:$B,2,0),
VLOOKUP(EOMONTH(TODAY(),-2)+1,IPCA!$A:$B,2,0))/
VLOOKUP(EOMONTH(U131,-2)+1,IPCA!$A:$B,2,0)*
P131))</f>
        <v/>
      </c>
      <c r="W131" s="84"/>
      <c r="X131" s="13" t="s">
        <v>6</v>
      </c>
      <c r="Y131" s="158"/>
      <c r="Z131" s="106"/>
      <c r="AA131" s="107"/>
      <c r="AB131" s="15"/>
      <c r="AC131"/>
      <c r="AD131"/>
      <c r="AE131"/>
      <c r="AF131">
        <v>2</v>
      </c>
      <c r="AG131"/>
      <c r="AH131"/>
      <c r="AI131"/>
      <c r="AJ131"/>
      <c r="AK131"/>
      <c r="AL131"/>
      <c r="AM131" s="6"/>
      <c r="AN131" s="15"/>
      <c r="AO131"/>
      <c r="AP131"/>
      <c r="AQ131"/>
      <c r="AR131"/>
      <c r="AS131"/>
      <c r="AT131"/>
      <c r="AU131"/>
      <c r="AV131"/>
      <c r="AW131"/>
      <c r="AX131"/>
      <c r="AY131" s="6"/>
      <c r="AZ131" s="15"/>
      <c r="BA131"/>
      <c r="BB131"/>
      <c r="BC131"/>
      <c r="BD131"/>
      <c r="BE131"/>
      <c r="BF131"/>
      <c r="BG131"/>
      <c r="BH131"/>
      <c r="BI131"/>
      <c r="BJ131"/>
      <c r="BK131" s="6"/>
      <c r="BL131" s="15"/>
      <c r="BM131"/>
      <c r="BN131"/>
      <c r="BO131"/>
      <c r="BP131"/>
      <c r="BQ131"/>
      <c r="BR131"/>
      <c r="BS131"/>
      <c r="BT131"/>
      <c r="BU131"/>
      <c r="BV131"/>
      <c r="BW131" s="6"/>
      <c r="BX131" s="15"/>
      <c r="BY131"/>
      <c r="BZ131"/>
      <c r="CA131"/>
      <c r="CB131"/>
      <c r="CC131"/>
      <c r="CD131"/>
      <c r="CE131"/>
      <c r="CF131"/>
      <c r="CG131"/>
      <c r="CH131"/>
      <c r="CI131" s="6"/>
      <c r="CJ131" s="16">
        <v>0.16986301369863013</v>
      </c>
      <c r="CK131" s="16" t="s">
        <v>578</v>
      </c>
      <c r="CL131" s="16" t="s">
        <v>578</v>
      </c>
      <c r="CM131" s="16" t="s">
        <v>578</v>
      </c>
      <c r="CN131" s="16" t="s">
        <v>578</v>
      </c>
      <c r="CO131" s="18"/>
      <c r="CP131" s="15"/>
      <c r="CQ131"/>
      <c r="CR131"/>
      <c r="CS131"/>
      <c r="CT131">
        <v>74</v>
      </c>
      <c r="CU131"/>
      <c r="CV131"/>
      <c r="CW131"/>
      <c r="CX131"/>
      <c r="CY131"/>
      <c r="CZ131"/>
      <c r="DA131" s="6"/>
      <c r="DB131" s="15"/>
      <c r="DC131"/>
      <c r="DD131"/>
      <c r="DE131"/>
      <c r="DF131"/>
      <c r="DG131"/>
      <c r="DH131"/>
      <c r="DI131"/>
      <c r="DJ131"/>
      <c r="DK131"/>
      <c r="DL131"/>
      <c r="DM131" s="6"/>
      <c r="DN131" s="15"/>
      <c r="DO131"/>
      <c r="DP131"/>
      <c r="DQ131"/>
      <c r="DR131"/>
      <c r="DS131"/>
      <c r="DT131"/>
      <c r="DU131"/>
      <c r="DV131"/>
      <c r="DW131"/>
      <c r="DX131"/>
      <c r="DY131" s="6"/>
      <c r="DZ131" s="15"/>
      <c r="EA131"/>
      <c r="EB131"/>
      <c r="EC131"/>
      <c r="ED131"/>
      <c r="EE131"/>
      <c r="EF131"/>
      <c r="EG131"/>
      <c r="EH131"/>
      <c r="EI131"/>
      <c r="EJ131"/>
      <c r="EK131" s="6"/>
      <c r="EL131" s="15"/>
      <c r="EM131"/>
      <c r="EN131"/>
      <c r="EO131"/>
      <c r="EP131"/>
      <c r="EQ131"/>
      <c r="ER131"/>
      <c r="ES131"/>
      <c r="ET131"/>
      <c r="EU131"/>
      <c r="EV131"/>
      <c r="EW131" s="6"/>
      <c r="EX131" s="16">
        <v>6.2849315068493148</v>
      </c>
      <c r="EY131" s="16" t="s">
        <v>578</v>
      </c>
      <c r="EZ131" s="16" t="s">
        <v>578</v>
      </c>
      <c r="FA131" s="154" t="s">
        <v>578</v>
      </c>
      <c r="FB131" s="154" t="s">
        <v>578</v>
      </c>
      <c r="FC131" t="s">
        <v>195</v>
      </c>
      <c r="FD131" s="20" t="s">
        <v>125</v>
      </c>
      <c r="FE131"/>
      <c r="FF131" s="199" t="s">
        <v>197</v>
      </c>
      <c r="FG131"/>
      <c r="FH131" s="206">
        <f t="shared" ca="1" si="13"/>
        <v>0</v>
      </c>
      <c r="FI131" s="198">
        <f t="shared" si="14"/>
        <v>1</v>
      </c>
      <c r="FJ131"/>
      <c r="FK131" t="str">
        <f t="shared" si="15"/>
        <v>GOLD COMERCIALIZADORA DE ENERGIA LTDA</v>
      </c>
      <c r="FL131" s="191">
        <f t="shared" ca="1" si="16"/>
        <v>0</v>
      </c>
      <c r="FM131" s="191">
        <f t="shared" ca="1" si="17"/>
        <v>5952</v>
      </c>
      <c r="FN131" s="190">
        <f>AB131*AB$2*IF($FC131="V",1,-1)*IF($Q131="Fixo",(CP131-INDEX('Curva Forward'!$C$5:$AN$13,MATCH(CONCATENATE(BD_COMERCIAL!$K131," ",BD_COMERCIAL!$L131),'Curva Forward'!$B$5:$B$13,0),MATCH(FN$4,'Curva Forward'!$C$4:$AN$4,0))),CP131)</f>
        <v>0</v>
      </c>
      <c r="FO131" s="190">
        <f>AC131*AC$2*IF($FC131="V",1,-1)*IF($Q131="Fixo",(CQ131-INDEX('Curva Forward'!$C$5:$AN$13,MATCH(CONCATENATE(BD_COMERCIAL!$K131," ",BD_COMERCIAL!$L131),'Curva Forward'!$B$5:$B$13,0),MATCH(FO$4,'Curva Forward'!$C$4:$AN$4,0))),CQ131)</f>
        <v>0</v>
      </c>
      <c r="FP131" s="190">
        <f>AD131*AD$2*IF($FC131="V",1,-1)*IF($Q131="Fixo",(CR131-INDEX('Curva Forward'!$C$5:$AN$13,MATCH(CONCATENATE(BD_COMERCIAL!$K131," ",BD_COMERCIAL!$L131),'Curva Forward'!$B$5:$B$13,0),MATCH(FP$4,'Curva Forward'!$C$4:$AN$4,0))),CR131)</f>
        <v>0</v>
      </c>
      <c r="FQ131" s="190">
        <f>AE131*AE$2*IF($FC131="V",1,-1)*IF($Q131="Fixo",(CS131-INDEX('Curva Forward'!$C$5:$AN$13,MATCH(CONCATENATE(BD_COMERCIAL!$K131," ",BD_COMERCIAL!$L131),'Curva Forward'!$B$5:$B$13,0),MATCH(FQ$4,'Curva Forward'!$C$4:$AN$4,0))),CS131)</f>
        <v>0</v>
      </c>
      <c r="FR131" s="190">
        <f>AF131*AF$2*IF($FC131="V",1,-1)*IF($Q131="Fixo",(CT131-INDEX('Curva Forward'!$C$5:$AN$13,MATCH(CONCATENATE(BD_COMERCIAL!$K131," ",BD_COMERCIAL!$L131),'Curva Forward'!$B$5:$B$13,0),MATCH(FR$4,'Curva Forward'!$C$4:$AN$4,0))),CT131)</f>
        <v>5952</v>
      </c>
      <c r="FS131" s="190">
        <f>AG131*AG$2*IF($FC131="V",1,-1)*IF($Q131="Fixo",(CU131-INDEX('Curva Forward'!$C$5:$AN$13,MATCH(CONCATENATE(BD_COMERCIAL!$K131," ",BD_COMERCIAL!$L131),'Curva Forward'!$B$5:$B$13,0),MATCH(FS$4,'Curva Forward'!$C$4:$AN$4,0))),CU131)</f>
        <v>0</v>
      </c>
      <c r="FT131" s="190">
        <f>AH131*AH$2*IF($FC131="V",1,-1)*IF($Q131="Fixo",(CV131-INDEX('Curva Forward'!$C$5:$AN$13,MATCH(CONCATENATE(BD_COMERCIAL!$K131," ",BD_COMERCIAL!$L131),'Curva Forward'!$B$5:$B$13,0),MATCH(FT$4,'Curva Forward'!$C$4:$AN$4,0))),CV131)</f>
        <v>0</v>
      </c>
      <c r="FU131" s="190">
        <f>AI131*AI$2*IF($FC131="V",1,-1)*IF($Q131="Fixo",(CW131-INDEX('Curva Forward'!$C$5:$AN$13,MATCH(CONCATENATE(BD_COMERCIAL!$K131," ",BD_COMERCIAL!$L131),'Curva Forward'!$B$5:$B$13,0),MATCH(FU$4,'Curva Forward'!$C$4:$AN$4,0))),CW131)</f>
        <v>0</v>
      </c>
      <c r="FV131" s="190">
        <f>AJ131*AJ$2*IF($FC131="V",1,-1)*IF($Q131="Fixo",(CX131-INDEX('Curva Forward'!$C$5:$AN$13,MATCH(CONCATENATE(BD_COMERCIAL!$K131," ",BD_COMERCIAL!$L131),'Curva Forward'!$B$5:$B$13,0),MATCH(FV$4,'Curva Forward'!$C$4:$AN$4,0))),CX131)</f>
        <v>0</v>
      </c>
      <c r="FW131" s="190">
        <f>AK131*AK$2*IF($FC131="V",1,-1)*IF($Q131="Fixo",(CY131-INDEX('Curva Forward'!$C$5:$AN$13,MATCH(CONCATENATE(BD_COMERCIAL!$K131," ",BD_COMERCIAL!$L131),'Curva Forward'!$B$5:$B$13,0),MATCH(FW$4,'Curva Forward'!$C$4:$AN$4,0))),CY131)</f>
        <v>0</v>
      </c>
      <c r="FX131" s="190">
        <f>AL131*AL$2*IF($FC131="V",1,-1)*IF($Q131="Fixo",(CZ131-INDEX('Curva Forward'!$C$5:$AN$13,MATCH(CONCATENATE(BD_COMERCIAL!$K131," ",BD_COMERCIAL!$L131),'Curva Forward'!$B$5:$B$13,0),MATCH(FX$4,'Curva Forward'!$C$4:$AN$4,0))),CZ131)</f>
        <v>0</v>
      </c>
      <c r="FY131" s="190">
        <f>AM131*AM$2*IF($FC131="V",1,-1)*IF($Q131="Fixo",(DA131-INDEX('Curva Forward'!$C$5:$AN$13,MATCH(CONCATENATE(BD_COMERCIAL!$K131," ",BD_COMERCIAL!$L131),'Curva Forward'!$B$5:$B$13,0),MATCH(FY$4,'Curva Forward'!$C$4:$AN$4,0))),DA131)</f>
        <v>0</v>
      </c>
      <c r="FZ131" s="190">
        <f>AN131*AN$2*IF($FC131="V",1,-1)*IF($Q131="Fixo",(DB131-INDEX('Curva Forward'!$C$5:$AN$13,MATCH(CONCATENATE(BD_COMERCIAL!$K131," ",BD_COMERCIAL!$L131),'Curva Forward'!$B$5:$B$13,0),MATCH(FZ$4,'Curva Forward'!$C$4:$AN$4,0))),DB131)</f>
        <v>0</v>
      </c>
      <c r="GA131" s="190">
        <f>AO131*AO$2*IF($FC131="V",1,-1)*IF($Q131="Fixo",(DC131-INDEX('Curva Forward'!$C$5:$AN$13,MATCH(CONCATENATE(BD_COMERCIAL!$K131," ",BD_COMERCIAL!$L131),'Curva Forward'!$B$5:$B$13,0),MATCH(GA$4,'Curva Forward'!$C$4:$AN$4,0))),DC131)</f>
        <v>0</v>
      </c>
      <c r="GB131" s="190">
        <f>AP131*AP$2*IF($FC131="V",1,-1)*IF($Q131="Fixo",(DD131-INDEX('Curva Forward'!$C$5:$AN$13,MATCH(CONCATENATE(BD_COMERCIAL!$K131," ",BD_COMERCIAL!$L131),'Curva Forward'!$B$5:$B$13,0),MATCH(GB$4,'Curva Forward'!$C$4:$AN$4,0))),DD131)</f>
        <v>0</v>
      </c>
      <c r="GC131" s="190">
        <f>AQ131*AQ$2*IF($FC131="V",1,-1)*IF($Q131="Fixo",(DE131-INDEX('Curva Forward'!$C$5:$AN$13,MATCH(CONCATENATE(BD_COMERCIAL!$K131," ",BD_COMERCIAL!$L131),'Curva Forward'!$B$5:$B$13,0),MATCH(GC$4,'Curva Forward'!$C$4:$AN$4,0))),DE131)</f>
        <v>0</v>
      </c>
      <c r="GD131" s="190">
        <f>AR131*AR$2*IF($FC131="V",1,-1)*IF($Q131="Fixo",(DF131-INDEX('Curva Forward'!$C$5:$AN$13,MATCH(CONCATENATE(BD_COMERCIAL!$K131," ",BD_COMERCIAL!$L131),'Curva Forward'!$B$5:$B$13,0),MATCH(GD$4,'Curva Forward'!$C$4:$AN$4,0))),DF131)</f>
        <v>0</v>
      </c>
      <c r="GE131" s="190">
        <f>AS131*AS$2*IF($FC131="V",1,-1)*IF($Q131="Fixo",(DG131-INDEX('Curva Forward'!$C$5:$AN$13,MATCH(CONCATENATE(BD_COMERCIAL!$K131," ",BD_COMERCIAL!$L131),'Curva Forward'!$B$5:$B$13,0),MATCH(GE$4,'Curva Forward'!$C$4:$AN$4,0))),DG131)</f>
        <v>0</v>
      </c>
      <c r="GF131" s="190">
        <f>AT131*AT$2*IF($FC131="V",1,-1)*IF($Q131="Fixo",(DH131-INDEX('Curva Forward'!$C$5:$AN$13,MATCH(CONCATENATE(BD_COMERCIAL!$K131," ",BD_COMERCIAL!$L131),'Curva Forward'!$B$5:$B$13,0),MATCH(GF$4,'Curva Forward'!$C$4:$AN$4,0))),DH131)</f>
        <v>0</v>
      </c>
      <c r="GG131" s="190">
        <f>AU131*AU$2*IF($FC131="V",1,-1)*IF($Q131="Fixo",(DI131-INDEX('Curva Forward'!$C$5:$AN$13,MATCH(CONCATENATE(BD_COMERCIAL!$K131," ",BD_COMERCIAL!$L131),'Curva Forward'!$B$5:$B$13,0),MATCH(GG$4,'Curva Forward'!$C$4:$AN$4,0))),DI131)</f>
        <v>0</v>
      </c>
      <c r="GH131" s="190">
        <f>AV131*AV$2*IF($FC131="V",1,-1)*IF($Q131="Fixo",(DJ131-INDEX('Curva Forward'!$C$5:$AN$13,MATCH(CONCATENATE(BD_COMERCIAL!$K131," ",BD_COMERCIAL!$L131),'Curva Forward'!$B$5:$B$13,0),MATCH(GH$4,'Curva Forward'!$C$4:$AN$4,0))),DJ131)</f>
        <v>0</v>
      </c>
      <c r="GI131" s="190">
        <f>AW131*AW$2*IF($FC131="V",1,-1)*IF($Q131="Fixo",(DK131-INDEX('Curva Forward'!$C$5:$AN$13,MATCH(CONCATENATE(BD_COMERCIAL!$K131," ",BD_COMERCIAL!$L131),'Curva Forward'!$B$5:$B$13,0),MATCH(GI$4,'Curva Forward'!$C$4:$AN$4,0))),DK131)</f>
        <v>0</v>
      </c>
      <c r="GJ131" s="190">
        <f>AX131*AX$2*IF($FC131="V",1,-1)*IF($Q131="Fixo",(DL131-INDEX('Curva Forward'!$C$5:$AN$13,MATCH(CONCATENATE(BD_COMERCIAL!$K131," ",BD_COMERCIAL!$L131),'Curva Forward'!$B$5:$B$13,0),MATCH(GJ$4,'Curva Forward'!$C$4:$AN$4,0))),DL131)</f>
        <v>0</v>
      </c>
      <c r="GK131" s="190">
        <f>AY131*AY$2*IF($FC131="V",1,-1)*IF($Q131="Fixo",(DM131-INDEX('Curva Forward'!$C$5:$AN$13,MATCH(CONCATENATE(BD_COMERCIAL!$K131," ",BD_COMERCIAL!$L131),'Curva Forward'!$B$5:$B$13,0),MATCH(GK$4,'Curva Forward'!$C$4:$AN$4,0))),DM131)</f>
        <v>0</v>
      </c>
      <c r="GL131" s="190">
        <f>IF(EZ131="",0,CL131*CL$2*IF($FC131="V",1,-1)*IF($Q131="Fixo",(EZ131-INDEX('Curva Forward'!$C$5:$AN$13,MATCH(CONCATENATE(BD_COMERCIAL!$K131," ",BD_COMERCIAL!$L131),'Curva Forward'!$B$5:$B$13,0),MATCH(GL$4,'Curva Forward'!$C$4:$AN$4,0))),EZ131))</f>
        <v>0</v>
      </c>
      <c r="GM131" s="190">
        <f>IF(FA131="",0,CM131*CM$2*IF($FC131="V",1,-1)*IF($Q131="Fixo",(FA131-INDEX('Curva Forward'!$C$5:$AN$13,MATCH(CONCATENATE(BD_COMERCIAL!$K131," ",BD_COMERCIAL!$L131),'Curva Forward'!$B$5:$B$13,0),MATCH(GM$4,'Curva Forward'!$C$4:$AN$4,0))),FA131))</f>
        <v>0</v>
      </c>
      <c r="GN131" s="190">
        <f>IF(FB131="",0,CN131*CN$2*IF($FC131="V",1,-1)*IF($Q131="Fixo",(FB131-INDEX('Curva Forward'!$C$5:$AN$13,MATCH(CONCATENATE(BD_COMERCIAL!$K131," ",BD_COMERCIAL!$L131),'Curva Forward'!$B$5:$B$13,0),MATCH(GN$4,'Curva Forward'!$C$4:$AN$4,0))),FB131))</f>
        <v>0</v>
      </c>
      <c r="GO131" s="191">
        <f t="shared" ca="1" si="18"/>
        <v>5952</v>
      </c>
      <c r="GP131" s="191">
        <f t="shared" ca="1" si="19"/>
        <v>0</v>
      </c>
      <c r="GQ131" s="115"/>
      <c r="GR131" s="115"/>
      <c r="GS131"/>
      <c r="GT131" s="65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</row>
    <row r="132" spans="1:236" s="265" customFormat="1" ht="15" customHeight="1" x14ac:dyDescent="0.35">
      <c r="A132" s="251"/>
      <c r="B132" s="7" t="s">
        <v>563</v>
      </c>
      <c r="C132" s="8">
        <v>44918</v>
      </c>
      <c r="D132" s="9" t="s">
        <v>130</v>
      </c>
      <c r="E132" s="9" t="s">
        <v>204</v>
      </c>
      <c r="F132" s="112" t="s">
        <v>472</v>
      </c>
      <c r="G132" s="10" t="s">
        <v>381</v>
      </c>
      <c r="H132" s="112" t="s">
        <v>348</v>
      </c>
      <c r="I132" s="9" t="s">
        <v>125</v>
      </c>
      <c r="J132" s="158" t="s">
        <v>496</v>
      </c>
      <c r="K132" s="10" t="s">
        <v>126</v>
      </c>
      <c r="L132" s="84" t="s">
        <v>22</v>
      </c>
      <c r="M132" s="11">
        <v>45200</v>
      </c>
      <c r="N132" s="12">
        <v>45291</v>
      </c>
      <c r="O132" s="10">
        <v>5</v>
      </c>
      <c r="P132" s="84">
        <v>93</v>
      </c>
      <c r="Q132" s="84" t="s">
        <v>127</v>
      </c>
      <c r="R132" s="10" t="s">
        <v>128</v>
      </c>
      <c r="S132" s="14" t="s">
        <v>133</v>
      </c>
      <c r="T132" s="11"/>
      <c r="U132" s="12"/>
      <c r="V132" s="202" t="str">
        <f ca="1">IF(U132="","",
IF(U132="NA","",
IFERROR(VLOOKUP(EOMONTH(M132,-2)+1,IPCA!$A:$B,2,0),
VLOOKUP(EOMONTH(TODAY(),-2)+1,IPCA!$A:$B,2,0))/
VLOOKUP(EOMONTH(U132,-2)+1,IPCA!$A:$B,2,0)*
P132))</f>
        <v/>
      </c>
      <c r="W132" s="84"/>
      <c r="X132" s="13" t="s">
        <v>132</v>
      </c>
      <c r="Y132" s="158"/>
      <c r="Z132" s="106"/>
      <c r="AA132" s="107"/>
      <c r="AB132" s="15"/>
      <c r="AC132"/>
      <c r="AD132"/>
      <c r="AE132"/>
      <c r="AF132"/>
      <c r="AG132"/>
      <c r="AH132"/>
      <c r="AI132"/>
      <c r="AJ132"/>
      <c r="AK132">
        <v>5</v>
      </c>
      <c r="AL132">
        <v>5</v>
      </c>
      <c r="AM132" s="6">
        <v>5</v>
      </c>
      <c r="AN132" s="15"/>
      <c r="AO132"/>
      <c r="AP132"/>
      <c r="AQ132"/>
      <c r="AR132"/>
      <c r="AS132"/>
      <c r="AT132"/>
      <c r="AU132"/>
      <c r="AV132"/>
      <c r="AW132"/>
      <c r="AX132"/>
      <c r="AY132" s="6"/>
      <c r="AZ132" s="15"/>
      <c r="BA132"/>
      <c r="BB132"/>
      <c r="BC132"/>
      <c r="BD132"/>
      <c r="BE132"/>
      <c r="BF132"/>
      <c r="BG132"/>
      <c r="BH132"/>
      <c r="BI132"/>
      <c r="BJ132"/>
      <c r="BK132" s="6"/>
      <c r="BL132" s="15"/>
      <c r="BM132"/>
      <c r="BN132"/>
      <c r="BO132"/>
      <c r="BP132"/>
      <c r="BQ132"/>
      <c r="BR132"/>
      <c r="BS132"/>
      <c r="BT132"/>
      <c r="BU132"/>
      <c r="BV132"/>
      <c r="BW132" s="6"/>
      <c r="BX132" s="15"/>
      <c r="BY132"/>
      <c r="BZ132"/>
      <c r="CA132"/>
      <c r="CB132"/>
      <c r="CC132"/>
      <c r="CD132"/>
      <c r="CE132"/>
      <c r="CF132"/>
      <c r="CG132"/>
      <c r="CH132"/>
      <c r="CI132" s="6"/>
      <c r="CJ132" s="16">
        <v>1.2602739726027397</v>
      </c>
      <c r="CK132" s="16" t="s">
        <v>578</v>
      </c>
      <c r="CL132" s="16" t="s">
        <v>578</v>
      </c>
      <c r="CM132" s="16" t="s">
        <v>578</v>
      </c>
      <c r="CN132" s="16" t="s">
        <v>578</v>
      </c>
      <c r="CO132" s="18"/>
      <c r="CP132" s="15"/>
      <c r="CQ132"/>
      <c r="CR132"/>
      <c r="CS132"/>
      <c r="CT132"/>
      <c r="CU132"/>
      <c r="CV132"/>
      <c r="CW132"/>
      <c r="CX132"/>
      <c r="CY132">
        <v>93</v>
      </c>
      <c r="CZ132">
        <v>93</v>
      </c>
      <c r="DA132" s="6">
        <v>93</v>
      </c>
      <c r="DB132" s="15"/>
      <c r="DC132"/>
      <c r="DD132"/>
      <c r="DE132"/>
      <c r="DF132"/>
      <c r="DG132"/>
      <c r="DH132"/>
      <c r="DI132"/>
      <c r="DJ132"/>
      <c r="DK132"/>
      <c r="DL132"/>
      <c r="DM132" s="6"/>
      <c r="DN132" s="15"/>
      <c r="DO132"/>
      <c r="DP132"/>
      <c r="DQ132"/>
      <c r="DR132"/>
      <c r="DS132"/>
      <c r="DT132"/>
      <c r="DU132"/>
      <c r="DV132"/>
      <c r="DW132"/>
      <c r="DX132"/>
      <c r="DY132" s="6"/>
      <c r="DZ132" s="15"/>
      <c r="EA132"/>
      <c r="EB132"/>
      <c r="EC132"/>
      <c r="ED132"/>
      <c r="EE132"/>
      <c r="EF132"/>
      <c r="EG132"/>
      <c r="EH132"/>
      <c r="EI132"/>
      <c r="EJ132"/>
      <c r="EK132" s="6"/>
      <c r="EL132" s="15"/>
      <c r="EM132"/>
      <c r="EN132"/>
      <c r="EO132"/>
      <c r="EP132"/>
      <c r="EQ132"/>
      <c r="ER132"/>
      <c r="ES132"/>
      <c r="ET132"/>
      <c r="EU132"/>
      <c r="EV132"/>
      <c r="EW132" s="6"/>
      <c r="EX132" s="16">
        <v>23.44109589041096</v>
      </c>
      <c r="EY132" s="16" t="s">
        <v>578</v>
      </c>
      <c r="EZ132" s="16" t="s">
        <v>578</v>
      </c>
      <c r="FA132" s="154" t="s">
        <v>578</v>
      </c>
      <c r="FB132" s="154" t="s">
        <v>578</v>
      </c>
      <c r="FC132" t="s">
        <v>196</v>
      </c>
      <c r="FD132" s="20" t="s">
        <v>125</v>
      </c>
      <c r="FE132"/>
      <c r="FF132" s="199" t="s">
        <v>197</v>
      </c>
      <c r="FG132"/>
      <c r="FH132" s="206">
        <f t="shared" ca="1" si="13"/>
        <v>0</v>
      </c>
      <c r="FI132" s="198">
        <f t="shared" si="14"/>
        <v>3.0333333333333332</v>
      </c>
      <c r="FJ132"/>
      <c r="FK132" t="str">
        <f t="shared" si="15"/>
        <v>Santander Corretora de Seguros, Investimentos e Serviços S.A.</v>
      </c>
      <c r="FL132" s="191">
        <f t="shared" ca="1" si="16"/>
        <v>0</v>
      </c>
      <c r="FM132" s="191">
        <f t="shared" ca="1" si="17"/>
        <v>-198720</v>
      </c>
      <c r="FN132" s="190">
        <f>AB132*AB$2*IF($FC132="V",1,-1)*IF($Q132="Fixo",(CP132-INDEX('Curva Forward'!$C$5:$AN$13,MATCH(CONCATENATE(BD_COMERCIAL!$K132," ",BD_COMERCIAL!$L132),'Curva Forward'!$B$5:$B$13,0),MATCH(FN$4,'Curva Forward'!$C$4:$AN$4,0))),CP132)</f>
        <v>0</v>
      </c>
      <c r="FO132" s="190">
        <f>AC132*AC$2*IF($FC132="V",1,-1)*IF($Q132="Fixo",(CQ132-INDEX('Curva Forward'!$C$5:$AN$13,MATCH(CONCATENATE(BD_COMERCIAL!$K132," ",BD_COMERCIAL!$L132),'Curva Forward'!$B$5:$B$13,0),MATCH(FO$4,'Curva Forward'!$C$4:$AN$4,0))),CQ132)</f>
        <v>0</v>
      </c>
      <c r="FP132" s="190">
        <f>AD132*AD$2*IF($FC132="V",1,-1)*IF($Q132="Fixo",(CR132-INDEX('Curva Forward'!$C$5:$AN$13,MATCH(CONCATENATE(BD_COMERCIAL!$K132," ",BD_COMERCIAL!$L132),'Curva Forward'!$B$5:$B$13,0),MATCH(FP$4,'Curva Forward'!$C$4:$AN$4,0))),CR132)</f>
        <v>0</v>
      </c>
      <c r="FQ132" s="190">
        <f>AE132*AE$2*IF($FC132="V",1,-1)*IF($Q132="Fixo",(CS132-INDEX('Curva Forward'!$C$5:$AN$13,MATCH(CONCATENATE(BD_COMERCIAL!$K132," ",BD_COMERCIAL!$L132),'Curva Forward'!$B$5:$B$13,0),MATCH(FQ$4,'Curva Forward'!$C$4:$AN$4,0))),CS132)</f>
        <v>0</v>
      </c>
      <c r="FR132" s="190">
        <f>AF132*AF$2*IF($FC132="V",1,-1)*IF($Q132="Fixo",(CT132-INDEX('Curva Forward'!$C$5:$AN$13,MATCH(CONCATENATE(BD_COMERCIAL!$K132," ",BD_COMERCIAL!$L132),'Curva Forward'!$B$5:$B$13,0),MATCH(FR$4,'Curva Forward'!$C$4:$AN$4,0))),CT132)</f>
        <v>0</v>
      </c>
      <c r="FS132" s="190">
        <f>AG132*AG$2*IF($FC132="V",1,-1)*IF($Q132="Fixo",(CU132-INDEX('Curva Forward'!$C$5:$AN$13,MATCH(CONCATENATE(BD_COMERCIAL!$K132," ",BD_COMERCIAL!$L132),'Curva Forward'!$B$5:$B$13,0),MATCH(FS$4,'Curva Forward'!$C$4:$AN$4,0))),CU132)</f>
        <v>0</v>
      </c>
      <c r="FT132" s="190">
        <f>AH132*AH$2*IF($FC132="V",1,-1)*IF($Q132="Fixo",(CV132-INDEX('Curva Forward'!$C$5:$AN$13,MATCH(CONCATENATE(BD_COMERCIAL!$K132," ",BD_COMERCIAL!$L132),'Curva Forward'!$B$5:$B$13,0),MATCH(FT$4,'Curva Forward'!$C$4:$AN$4,0))),CV132)</f>
        <v>0</v>
      </c>
      <c r="FU132" s="190">
        <f>AI132*AI$2*IF($FC132="V",1,-1)*IF($Q132="Fixo",(CW132-INDEX('Curva Forward'!$C$5:$AN$13,MATCH(CONCATENATE(BD_COMERCIAL!$K132," ",BD_COMERCIAL!$L132),'Curva Forward'!$B$5:$B$13,0),MATCH(FU$4,'Curva Forward'!$C$4:$AN$4,0))),CW132)</f>
        <v>0</v>
      </c>
      <c r="FV132" s="190">
        <f>AJ132*AJ$2*IF($FC132="V",1,-1)*IF($Q132="Fixo",(CX132-INDEX('Curva Forward'!$C$5:$AN$13,MATCH(CONCATENATE(BD_COMERCIAL!$K132," ",BD_COMERCIAL!$L132),'Curva Forward'!$B$5:$B$13,0),MATCH(FV$4,'Curva Forward'!$C$4:$AN$4,0))),CX132)</f>
        <v>0</v>
      </c>
      <c r="FW132" s="190">
        <f>AK132*AK$2*IF($FC132="V",1,-1)*IF($Q132="Fixo",(CY132-INDEX('Curva Forward'!$C$5:$AN$13,MATCH(CONCATENATE(BD_COMERCIAL!$K132," ",BD_COMERCIAL!$L132),'Curva Forward'!$B$5:$B$13,0),MATCH(FW$4,'Curva Forward'!$C$4:$AN$4,0))),CY132)</f>
        <v>-66960</v>
      </c>
      <c r="FX132" s="190">
        <f>AL132*AL$2*IF($FC132="V",1,-1)*IF($Q132="Fixo",(CZ132-INDEX('Curva Forward'!$C$5:$AN$13,MATCH(CONCATENATE(BD_COMERCIAL!$K132," ",BD_COMERCIAL!$L132),'Curva Forward'!$B$5:$B$13,0),MATCH(FX$4,'Curva Forward'!$C$4:$AN$4,0))),CZ132)</f>
        <v>-64800</v>
      </c>
      <c r="FY132" s="190">
        <f>AM132*AM$2*IF($FC132="V",1,-1)*IF($Q132="Fixo",(DA132-INDEX('Curva Forward'!$C$5:$AN$13,MATCH(CONCATENATE(BD_COMERCIAL!$K132," ",BD_COMERCIAL!$L132),'Curva Forward'!$B$5:$B$13,0),MATCH(FY$4,'Curva Forward'!$C$4:$AN$4,0))),DA132)</f>
        <v>-66960</v>
      </c>
      <c r="FZ132" s="190">
        <f>AN132*AN$2*IF($FC132="V",1,-1)*IF($Q132="Fixo",(DB132-INDEX('Curva Forward'!$C$5:$AN$13,MATCH(CONCATENATE(BD_COMERCIAL!$K132," ",BD_COMERCIAL!$L132),'Curva Forward'!$B$5:$B$13,0),MATCH(FZ$4,'Curva Forward'!$C$4:$AN$4,0))),DB132)</f>
        <v>0</v>
      </c>
      <c r="GA132" s="190">
        <f>AO132*AO$2*IF($FC132="V",1,-1)*IF($Q132="Fixo",(DC132-INDEX('Curva Forward'!$C$5:$AN$13,MATCH(CONCATENATE(BD_COMERCIAL!$K132," ",BD_COMERCIAL!$L132),'Curva Forward'!$B$5:$B$13,0),MATCH(GA$4,'Curva Forward'!$C$4:$AN$4,0))),DC132)</f>
        <v>0</v>
      </c>
      <c r="GB132" s="190">
        <f>AP132*AP$2*IF($FC132="V",1,-1)*IF($Q132="Fixo",(DD132-INDEX('Curva Forward'!$C$5:$AN$13,MATCH(CONCATENATE(BD_COMERCIAL!$K132," ",BD_COMERCIAL!$L132),'Curva Forward'!$B$5:$B$13,0),MATCH(GB$4,'Curva Forward'!$C$4:$AN$4,0))),DD132)</f>
        <v>0</v>
      </c>
      <c r="GC132" s="190">
        <f>AQ132*AQ$2*IF($FC132="V",1,-1)*IF($Q132="Fixo",(DE132-INDEX('Curva Forward'!$C$5:$AN$13,MATCH(CONCATENATE(BD_COMERCIAL!$K132," ",BD_COMERCIAL!$L132),'Curva Forward'!$B$5:$B$13,0),MATCH(GC$4,'Curva Forward'!$C$4:$AN$4,0))),DE132)</f>
        <v>0</v>
      </c>
      <c r="GD132" s="190">
        <f>AR132*AR$2*IF($FC132="V",1,-1)*IF($Q132="Fixo",(DF132-INDEX('Curva Forward'!$C$5:$AN$13,MATCH(CONCATENATE(BD_COMERCIAL!$K132," ",BD_COMERCIAL!$L132),'Curva Forward'!$B$5:$B$13,0),MATCH(GD$4,'Curva Forward'!$C$4:$AN$4,0))),DF132)</f>
        <v>0</v>
      </c>
      <c r="GE132" s="190">
        <f>AS132*AS$2*IF($FC132="V",1,-1)*IF($Q132="Fixo",(DG132-INDEX('Curva Forward'!$C$5:$AN$13,MATCH(CONCATENATE(BD_COMERCIAL!$K132," ",BD_COMERCIAL!$L132),'Curva Forward'!$B$5:$B$13,0),MATCH(GE$4,'Curva Forward'!$C$4:$AN$4,0))),DG132)</f>
        <v>0</v>
      </c>
      <c r="GF132" s="190">
        <f>AT132*AT$2*IF($FC132="V",1,-1)*IF($Q132="Fixo",(DH132-INDEX('Curva Forward'!$C$5:$AN$13,MATCH(CONCATENATE(BD_COMERCIAL!$K132," ",BD_COMERCIAL!$L132),'Curva Forward'!$B$5:$B$13,0),MATCH(GF$4,'Curva Forward'!$C$4:$AN$4,0))),DH132)</f>
        <v>0</v>
      </c>
      <c r="GG132" s="190">
        <f>AU132*AU$2*IF($FC132="V",1,-1)*IF($Q132="Fixo",(DI132-INDEX('Curva Forward'!$C$5:$AN$13,MATCH(CONCATENATE(BD_COMERCIAL!$K132," ",BD_COMERCIAL!$L132),'Curva Forward'!$B$5:$B$13,0),MATCH(GG$4,'Curva Forward'!$C$4:$AN$4,0))),DI132)</f>
        <v>0</v>
      </c>
      <c r="GH132" s="190">
        <f>AV132*AV$2*IF($FC132="V",1,-1)*IF($Q132="Fixo",(DJ132-INDEX('Curva Forward'!$C$5:$AN$13,MATCH(CONCATENATE(BD_COMERCIAL!$K132," ",BD_COMERCIAL!$L132),'Curva Forward'!$B$5:$B$13,0),MATCH(GH$4,'Curva Forward'!$C$4:$AN$4,0))),DJ132)</f>
        <v>0</v>
      </c>
      <c r="GI132" s="190">
        <f>AW132*AW$2*IF($FC132="V",1,-1)*IF($Q132="Fixo",(DK132-INDEX('Curva Forward'!$C$5:$AN$13,MATCH(CONCATENATE(BD_COMERCIAL!$K132," ",BD_COMERCIAL!$L132),'Curva Forward'!$B$5:$B$13,0),MATCH(GI$4,'Curva Forward'!$C$4:$AN$4,0))),DK132)</f>
        <v>0</v>
      </c>
      <c r="GJ132" s="190">
        <f>AX132*AX$2*IF($FC132="V",1,-1)*IF($Q132="Fixo",(DL132-INDEX('Curva Forward'!$C$5:$AN$13,MATCH(CONCATENATE(BD_COMERCIAL!$K132," ",BD_COMERCIAL!$L132),'Curva Forward'!$B$5:$B$13,0),MATCH(GJ$4,'Curva Forward'!$C$4:$AN$4,0))),DL132)</f>
        <v>0</v>
      </c>
      <c r="GK132" s="190">
        <f>AY132*AY$2*IF($FC132="V",1,-1)*IF($Q132="Fixo",(DM132-INDEX('Curva Forward'!$C$5:$AN$13,MATCH(CONCATENATE(BD_COMERCIAL!$K132," ",BD_COMERCIAL!$L132),'Curva Forward'!$B$5:$B$13,0),MATCH(GK$4,'Curva Forward'!$C$4:$AN$4,0))),DM132)</f>
        <v>0</v>
      </c>
      <c r="GL132" s="190">
        <f>IF(EZ132="",0,CL132*CL$2*IF($FC132="V",1,-1)*IF($Q132="Fixo",(EZ132-INDEX('Curva Forward'!$C$5:$AN$13,MATCH(CONCATENATE(BD_COMERCIAL!$K132," ",BD_COMERCIAL!$L132),'Curva Forward'!$B$5:$B$13,0),MATCH(GL$4,'Curva Forward'!$C$4:$AN$4,0))),EZ132))</f>
        <v>0</v>
      </c>
      <c r="GM132" s="190">
        <f>IF(FA132="",0,CM132*CM$2*IF($FC132="V",1,-1)*IF($Q132="Fixo",(FA132-INDEX('Curva Forward'!$C$5:$AN$13,MATCH(CONCATENATE(BD_COMERCIAL!$K132," ",BD_COMERCIAL!$L132),'Curva Forward'!$B$5:$B$13,0),MATCH(GM$4,'Curva Forward'!$C$4:$AN$4,0))),FA132))</f>
        <v>0</v>
      </c>
      <c r="GN132" s="190">
        <f>IF(FB132="",0,CN132*CN$2*IF($FC132="V",1,-1)*IF($Q132="Fixo",(FB132-INDEX('Curva Forward'!$C$5:$AN$13,MATCH(CONCATENATE(BD_COMERCIAL!$K132," ",BD_COMERCIAL!$L132),'Curva Forward'!$B$5:$B$13,0),MATCH(GN$4,'Curva Forward'!$C$4:$AN$4,0))),FB132))</f>
        <v>0</v>
      </c>
      <c r="GO132" s="191">
        <f t="shared" ca="1" si="18"/>
        <v>0</v>
      </c>
      <c r="GP132" s="191">
        <f t="shared" ca="1" si="19"/>
        <v>-198720</v>
      </c>
      <c r="GQ132" s="115"/>
      <c r="GR132" s="115"/>
      <c r="GS132"/>
      <c r="GT132" s="65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</row>
    <row r="133" spans="1:236" s="265" customFormat="1" ht="15" customHeight="1" x14ac:dyDescent="0.35">
      <c r="A133" s="251"/>
      <c r="B133" s="7" t="s">
        <v>564</v>
      </c>
      <c r="C133" s="8">
        <v>44918</v>
      </c>
      <c r="D133" s="9" t="s">
        <v>130</v>
      </c>
      <c r="E133" s="9" t="s">
        <v>204</v>
      </c>
      <c r="F133" s="112" t="s">
        <v>472</v>
      </c>
      <c r="G133" s="10" t="s">
        <v>381</v>
      </c>
      <c r="H133" s="112" t="s">
        <v>348</v>
      </c>
      <c r="I133" s="9" t="s">
        <v>125</v>
      </c>
      <c r="J133" s="158" t="s">
        <v>496</v>
      </c>
      <c r="K133" s="10" t="s">
        <v>126</v>
      </c>
      <c r="L133" s="84" t="s">
        <v>22</v>
      </c>
      <c r="M133" s="11">
        <v>45108</v>
      </c>
      <c r="N133" s="12">
        <v>45291</v>
      </c>
      <c r="O133" s="10">
        <v>2</v>
      </c>
      <c r="P133" s="84">
        <v>91</v>
      </c>
      <c r="Q133" s="84" t="s">
        <v>127</v>
      </c>
      <c r="R133" s="10" t="s">
        <v>128</v>
      </c>
      <c r="S133" s="14" t="s">
        <v>133</v>
      </c>
      <c r="T133" s="11"/>
      <c r="U133" s="12"/>
      <c r="V133" s="202" t="str">
        <f ca="1">IF(U133="","",
IF(U133="NA","",
IFERROR(VLOOKUP(EOMONTH(M133,-2)+1,IPCA!$A:$B,2,0),
VLOOKUP(EOMONTH(TODAY(),-2)+1,IPCA!$A:$B,2,0))/
VLOOKUP(EOMONTH(U133,-2)+1,IPCA!$A:$B,2,0)*
P133))</f>
        <v/>
      </c>
      <c r="W133" s="84"/>
      <c r="X133" s="13" t="s">
        <v>6</v>
      </c>
      <c r="Y133" s="158"/>
      <c r="Z133" s="106"/>
      <c r="AA133" s="107"/>
      <c r="AB133" s="15"/>
      <c r="AC133"/>
      <c r="AD133"/>
      <c r="AE133"/>
      <c r="AF133"/>
      <c r="AG133"/>
      <c r="AH133">
        <v>2</v>
      </c>
      <c r="AI133">
        <v>2</v>
      </c>
      <c r="AJ133">
        <v>2</v>
      </c>
      <c r="AK133">
        <v>2</v>
      </c>
      <c r="AL133">
        <v>2</v>
      </c>
      <c r="AM133" s="6">
        <v>2</v>
      </c>
      <c r="AN133" s="15"/>
      <c r="AO133"/>
      <c r="AP133"/>
      <c r="AQ133"/>
      <c r="AR133"/>
      <c r="AS133"/>
      <c r="AT133"/>
      <c r="AU133"/>
      <c r="AV133"/>
      <c r="AW133"/>
      <c r="AX133"/>
      <c r="AY133" s="6"/>
      <c r="AZ133" s="15"/>
      <c r="BA133"/>
      <c r="BB133"/>
      <c r="BC133"/>
      <c r="BD133"/>
      <c r="BE133"/>
      <c r="BF133"/>
      <c r="BG133"/>
      <c r="BH133"/>
      <c r="BI133"/>
      <c r="BJ133"/>
      <c r="BK133" s="6"/>
      <c r="BL133" s="15"/>
      <c r="BM133"/>
      <c r="BN133"/>
      <c r="BO133"/>
      <c r="BP133"/>
      <c r="BQ133"/>
      <c r="BR133"/>
      <c r="BS133"/>
      <c r="BT133"/>
      <c r="BU133"/>
      <c r="BV133"/>
      <c r="BW133" s="6"/>
      <c r="BX133" s="15"/>
      <c r="BY133"/>
      <c r="BZ133"/>
      <c r="CA133"/>
      <c r="CB133"/>
      <c r="CC133"/>
      <c r="CD133"/>
      <c r="CE133"/>
      <c r="CF133"/>
      <c r="CG133"/>
      <c r="CH133"/>
      <c r="CI133" s="6"/>
      <c r="CJ133" s="16">
        <v>1.0082191780821919</v>
      </c>
      <c r="CK133" s="16" t="s">
        <v>578</v>
      </c>
      <c r="CL133" s="16" t="s">
        <v>578</v>
      </c>
      <c r="CM133" s="16" t="s">
        <v>578</v>
      </c>
      <c r="CN133" s="16" t="s">
        <v>578</v>
      </c>
      <c r="CO133" s="18"/>
      <c r="CP133" s="15"/>
      <c r="CQ133"/>
      <c r="CR133"/>
      <c r="CS133"/>
      <c r="CT133"/>
      <c r="CU133"/>
      <c r="CV133">
        <v>91</v>
      </c>
      <c r="CW133">
        <v>91</v>
      </c>
      <c r="CX133">
        <v>91</v>
      </c>
      <c r="CY133">
        <v>91</v>
      </c>
      <c r="CZ133">
        <v>91</v>
      </c>
      <c r="DA133" s="6">
        <v>91</v>
      </c>
      <c r="DB133" s="15"/>
      <c r="DC133"/>
      <c r="DD133"/>
      <c r="DE133"/>
      <c r="DF133"/>
      <c r="DG133"/>
      <c r="DH133"/>
      <c r="DI133"/>
      <c r="DJ133"/>
      <c r="DK133"/>
      <c r="DL133"/>
      <c r="DM133" s="6"/>
      <c r="DN133" s="15"/>
      <c r="DO133"/>
      <c r="DP133"/>
      <c r="DQ133"/>
      <c r="DR133"/>
      <c r="DS133"/>
      <c r="DT133"/>
      <c r="DU133"/>
      <c r="DV133"/>
      <c r="DW133"/>
      <c r="DX133"/>
      <c r="DY133" s="6"/>
      <c r="DZ133" s="15"/>
      <c r="EA133"/>
      <c r="EB133"/>
      <c r="EC133"/>
      <c r="ED133"/>
      <c r="EE133"/>
      <c r="EF133"/>
      <c r="EG133"/>
      <c r="EH133"/>
      <c r="EI133"/>
      <c r="EJ133"/>
      <c r="EK133" s="6"/>
      <c r="EL133" s="15"/>
      <c r="EM133"/>
      <c r="EN133"/>
      <c r="EO133"/>
      <c r="EP133"/>
      <c r="EQ133"/>
      <c r="ER133"/>
      <c r="ES133"/>
      <c r="ET133"/>
      <c r="EU133"/>
      <c r="EV133"/>
      <c r="EW133" s="6"/>
      <c r="EX133" s="16">
        <v>45.873972602739727</v>
      </c>
      <c r="EY133" s="16" t="s">
        <v>578</v>
      </c>
      <c r="EZ133" s="16" t="s">
        <v>578</v>
      </c>
      <c r="FA133" s="154" t="s">
        <v>578</v>
      </c>
      <c r="FB133" s="154" t="s">
        <v>578</v>
      </c>
      <c r="FC133" t="s">
        <v>196</v>
      </c>
      <c r="FD133" s="20" t="s">
        <v>125</v>
      </c>
      <c r="FE133"/>
      <c r="FF133" s="199" t="s">
        <v>197</v>
      </c>
      <c r="FG133"/>
      <c r="FH133" s="206">
        <f t="shared" ca="1" si="13"/>
        <v>0</v>
      </c>
      <c r="FI133" s="198">
        <f t="shared" si="14"/>
        <v>6.1</v>
      </c>
      <c r="FJ133"/>
      <c r="FK133" t="str">
        <f t="shared" si="15"/>
        <v>Santander Corretora de Seguros, Investimentos e Serviços S.A.</v>
      </c>
      <c r="FL133" s="191">
        <f t="shared" ca="1" si="16"/>
        <v>0</v>
      </c>
      <c r="FM133" s="191">
        <f t="shared" ca="1" si="17"/>
        <v>-150144</v>
      </c>
      <c r="FN133" s="190">
        <f>AB133*AB$2*IF($FC133="V",1,-1)*IF($Q133="Fixo",(CP133-INDEX('Curva Forward'!$C$5:$AN$13,MATCH(CONCATENATE(BD_COMERCIAL!$K133," ",BD_COMERCIAL!$L133),'Curva Forward'!$B$5:$B$13,0),MATCH(FN$4,'Curva Forward'!$C$4:$AN$4,0))),CP133)</f>
        <v>0</v>
      </c>
      <c r="FO133" s="190">
        <f>AC133*AC$2*IF($FC133="V",1,-1)*IF($Q133="Fixo",(CQ133-INDEX('Curva Forward'!$C$5:$AN$13,MATCH(CONCATENATE(BD_COMERCIAL!$K133," ",BD_COMERCIAL!$L133),'Curva Forward'!$B$5:$B$13,0),MATCH(FO$4,'Curva Forward'!$C$4:$AN$4,0))),CQ133)</f>
        <v>0</v>
      </c>
      <c r="FP133" s="190">
        <f>AD133*AD$2*IF($FC133="V",1,-1)*IF($Q133="Fixo",(CR133-INDEX('Curva Forward'!$C$5:$AN$13,MATCH(CONCATENATE(BD_COMERCIAL!$K133," ",BD_COMERCIAL!$L133),'Curva Forward'!$B$5:$B$13,0),MATCH(FP$4,'Curva Forward'!$C$4:$AN$4,0))),CR133)</f>
        <v>0</v>
      </c>
      <c r="FQ133" s="190">
        <f>AE133*AE$2*IF($FC133="V",1,-1)*IF($Q133="Fixo",(CS133-INDEX('Curva Forward'!$C$5:$AN$13,MATCH(CONCATENATE(BD_COMERCIAL!$K133," ",BD_COMERCIAL!$L133),'Curva Forward'!$B$5:$B$13,0),MATCH(FQ$4,'Curva Forward'!$C$4:$AN$4,0))),CS133)</f>
        <v>0</v>
      </c>
      <c r="FR133" s="190">
        <f>AF133*AF$2*IF($FC133="V",1,-1)*IF($Q133="Fixo",(CT133-INDEX('Curva Forward'!$C$5:$AN$13,MATCH(CONCATENATE(BD_COMERCIAL!$K133," ",BD_COMERCIAL!$L133),'Curva Forward'!$B$5:$B$13,0),MATCH(FR$4,'Curva Forward'!$C$4:$AN$4,0))),CT133)</f>
        <v>0</v>
      </c>
      <c r="FS133" s="190">
        <f>AG133*AG$2*IF($FC133="V",1,-1)*IF($Q133="Fixo",(CU133-INDEX('Curva Forward'!$C$5:$AN$13,MATCH(CONCATENATE(BD_COMERCIAL!$K133," ",BD_COMERCIAL!$L133),'Curva Forward'!$B$5:$B$13,0),MATCH(FS$4,'Curva Forward'!$C$4:$AN$4,0))),CU133)</f>
        <v>0</v>
      </c>
      <c r="FT133" s="190">
        <f>AH133*AH$2*IF($FC133="V",1,-1)*IF($Q133="Fixo",(CV133-INDEX('Curva Forward'!$C$5:$AN$13,MATCH(CONCATENATE(BD_COMERCIAL!$K133," ",BD_COMERCIAL!$L133),'Curva Forward'!$B$5:$B$13,0),MATCH(FT$4,'Curva Forward'!$C$4:$AN$4,0))),CV133)</f>
        <v>-26784</v>
      </c>
      <c r="FU133" s="190">
        <f>AI133*AI$2*IF($FC133="V",1,-1)*IF($Q133="Fixo",(CW133-INDEX('Curva Forward'!$C$5:$AN$13,MATCH(CONCATENATE(BD_COMERCIAL!$K133," ",BD_COMERCIAL!$L133),'Curva Forward'!$B$5:$B$13,0),MATCH(FU$4,'Curva Forward'!$C$4:$AN$4,0))),CW133)</f>
        <v>-26784</v>
      </c>
      <c r="FV133" s="190">
        <f>AJ133*AJ$2*IF($FC133="V",1,-1)*IF($Q133="Fixo",(CX133-INDEX('Curva Forward'!$C$5:$AN$13,MATCH(CONCATENATE(BD_COMERCIAL!$K133," ",BD_COMERCIAL!$L133),'Curva Forward'!$B$5:$B$13,0),MATCH(FV$4,'Curva Forward'!$C$4:$AN$4,0))),CX133)</f>
        <v>-25920</v>
      </c>
      <c r="FW133" s="190">
        <f>AK133*AK$2*IF($FC133="V",1,-1)*IF($Q133="Fixo",(CY133-INDEX('Curva Forward'!$C$5:$AN$13,MATCH(CONCATENATE(BD_COMERCIAL!$K133," ",BD_COMERCIAL!$L133),'Curva Forward'!$B$5:$B$13,0),MATCH(FW$4,'Curva Forward'!$C$4:$AN$4,0))),CY133)</f>
        <v>-23808</v>
      </c>
      <c r="FX133" s="190">
        <f>AL133*AL$2*IF($FC133="V",1,-1)*IF($Q133="Fixo",(CZ133-INDEX('Curva Forward'!$C$5:$AN$13,MATCH(CONCATENATE(BD_COMERCIAL!$K133," ",BD_COMERCIAL!$L133),'Curva Forward'!$B$5:$B$13,0),MATCH(FX$4,'Curva Forward'!$C$4:$AN$4,0))),CZ133)</f>
        <v>-23040</v>
      </c>
      <c r="FY133" s="190">
        <f>AM133*AM$2*IF($FC133="V",1,-1)*IF($Q133="Fixo",(DA133-INDEX('Curva Forward'!$C$5:$AN$13,MATCH(CONCATENATE(BD_COMERCIAL!$K133," ",BD_COMERCIAL!$L133),'Curva Forward'!$B$5:$B$13,0),MATCH(FY$4,'Curva Forward'!$C$4:$AN$4,0))),DA133)</f>
        <v>-23808</v>
      </c>
      <c r="FZ133" s="190">
        <f>AN133*AN$2*IF($FC133="V",1,-1)*IF($Q133="Fixo",(DB133-INDEX('Curva Forward'!$C$5:$AN$13,MATCH(CONCATENATE(BD_COMERCIAL!$K133," ",BD_COMERCIAL!$L133),'Curva Forward'!$B$5:$B$13,0),MATCH(FZ$4,'Curva Forward'!$C$4:$AN$4,0))),DB133)</f>
        <v>0</v>
      </c>
      <c r="GA133" s="190">
        <f>AO133*AO$2*IF($FC133="V",1,-1)*IF($Q133="Fixo",(DC133-INDEX('Curva Forward'!$C$5:$AN$13,MATCH(CONCATENATE(BD_COMERCIAL!$K133," ",BD_COMERCIAL!$L133),'Curva Forward'!$B$5:$B$13,0),MATCH(GA$4,'Curva Forward'!$C$4:$AN$4,0))),DC133)</f>
        <v>0</v>
      </c>
      <c r="GB133" s="190">
        <f>AP133*AP$2*IF($FC133="V",1,-1)*IF($Q133="Fixo",(DD133-INDEX('Curva Forward'!$C$5:$AN$13,MATCH(CONCATENATE(BD_COMERCIAL!$K133," ",BD_COMERCIAL!$L133),'Curva Forward'!$B$5:$B$13,0),MATCH(GB$4,'Curva Forward'!$C$4:$AN$4,0))),DD133)</f>
        <v>0</v>
      </c>
      <c r="GC133" s="190">
        <f>AQ133*AQ$2*IF($FC133="V",1,-1)*IF($Q133="Fixo",(DE133-INDEX('Curva Forward'!$C$5:$AN$13,MATCH(CONCATENATE(BD_COMERCIAL!$K133," ",BD_COMERCIAL!$L133),'Curva Forward'!$B$5:$B$13,0),MATCH(GC$4,'Curva Forward'!$C$4:$AN$4,0))),DE133)</f>
        <v>0</v>
      </c>
      <c r="GD133" s="190">
        <f>AR133*AR$2*IF($FC133="V",1,-1)*IF($Q133="Fixo",(DF133-INDEX('Curva Forward'!$C$5:$AN$13,MATCH(CONCATENATE(BD_COMERCIAL!$K133," ",BD_COMERCIAL!$L133),'Curva Forward'!$B$5:$B$13,0),MATCH(GD$4,'Curva Forward'!$C$4:$AN$4,0))),DF133)</f>
        <v>0</v>
      </c>
      <c r="GE133" s="190">
        <f>AS133*AS$2*IF($FC133="V",1,-1)*IF($Q133="Fixo",(DG133-INDEX('Curva Forward'!$C$5:$AN$13,MATCH(CONCATENATE(BD_COMERCIAL!$K133," ",BD_COMERCIAL!$L133),'Curva Forward'!$B$5:$B$13,0),MATCH(GE$4,'Curva Forward'!$C$4:$AN$4,0))),DG133)</f>
        <v>0</v>
      </c>
      <c r="GF133" s="190">
        <f>AT133*AT$2*IF($FC133="V",1,-1)*IF($Q133="Fixo",(DH133-INDEX('Curva Forward'!$C$5:$AN$13,MATCH(CONCATENATE(BD_COMERCIAL!$K133," ",BD_COMERCIAL!$L133),'Curva Forward'!$B$5:$B$13,0),MATCH(GF$4,'Curva Forward'!$C$4:$AN$4,0))),DH133)</f>
        <v>0</v>
      </c>
      <c r="GG133" s="190">
        <f>AU133*AU$2*IF($FC133="V",1,-1)*IF($Q133="Fixo",(DI133-INDEX('Curva Forward'!$C$5:$AN$13,MATCH(CONCATENATE(BD_COMERCIAL!$K133," ",BD_COMERCIAL!$L133),'Curva Forward'!$B$5:$B$13,0),MATCH(GG$4,'Curva Forward'!$C$4:$AN$4,0))),DI133)</f>
        <v>0</v>
      </c>
      <c r="GH133" s="190">
        <f>AV133*AV$2*IF($FC133="V",1,-1)*IF($Q133="Fixo",(DJ133-INDEX('Curva Forward'!$C$5:$AN$13,MATCH(CONCATENATE(BD_COMERCIAL!$K133," ",BD_COMERCIAL!$L133),'Curva Forward'!$B$5:$B$13,0),MATCH(GH$4,'Curva Forward'!$C$4:$AN$4,0))),DJ133)</f>
        <v>0</v>
      </c>
      <c r="GI133" s="190">
        <f>AW133*AW$2*IF($FC133="V",1,-1)*IF($Q133="Fixo",(DK133-INDEX('Curva Forward'!$C$5:$AN$13,MATCH(CONCATENATE(BD_COMERCIAL!$K133," ",BD_COMERCIAL!$L133),'Curva Forward'!$B$5:$B$13,0),MATCH(GI$4,'Curva Forward'!$C$4:$AN$4,0))),DK133)</f>
        <v>0</v>
      </c>
      <c r="GJ133" s="190">
        <f>AX133*AX$2*IF($FC133="V",1,-1)*IF($Q133="Fixo",(DL133-INDEX('Curva Forward'!$C$5:$AN$13,MATCH(CONCATENATE(BD_COMERCIAL!$K133," ",BD_COMERCIAL!$L133),'Curva Forward'!$B$5:$B$13,0),MATCH(GJ$4,'Curva Forward'!$C$4:$AN$4,0))),DL133)</f>
        <v>0</v>
      </c>
      <c r="GK133" s="190">
        <f>AY133*AY$2*IF($FC133="V",1,-1)*IF($Q133="Fixo",(DM133-INDEX('Curva Forward'!$C$5:$AN$13,MATCH(CONCATENATE(BD_COMERCIAL!$K133," ",BD_COMERCIAL!$L133),'Curva Forward'!$B$5:$B$13,0),MATCH(GK$4,'Curva Forward'!$C$4:$AN$4,0))),DM133)</f>
        <v>0</v>
      </c>
      <c r="GL133" s="190">
        <f>IF(EZ133="",0,CL133*CL$2*IF($FC133="V",1,-1)*IF($Q133="Fixo",(EZ133-INDEX('Curva Forward'!$C$5:$AN$13,MATCH(CONCATENATE(BD_COMERCIAL!$K133," ",BD_COMERCIAL!$L133),'Curva Forward'!$B$5:$B$13,0),MATCH(GL$4,'Curva Forward'!$C$4:$AN$4,0))),EZ133))</f>
        <v>0</v>
      </c>
      <c r="GM133" s="190">
        <f>IF(FA133="",0,CM133*CM$2*IF($FC133="V",1,-1)*IF($Q133="Fixo",(FA133-INDEX('Curva Forward'!$C$5:$AN$13,MATCH(CONCATENATE(BD_COMERCIAL!$K133," ",BD_COMERCIAL!$L133),'Curva Forward'!$B$5:$B$13,0),MATCH(GM$4,'Curva Forward'!$C$4:$AN$4,0))),FA133))</f>
        <v>0</v>
      </c>
      <c r="GN133" s="190">
        <f>IF(FB133="",0,CN133*CN$2*IF($FC133="V",1,-1)*IF($Q133="Fixo",(FB133-INDEX('Curva Forward'!$C$5:$AN$13,MATCH(CONCATENATE(BD_COMERCIAL!$K133," ",BD_COMERCIAL!$L133),'Curva Forward'!$B$5:$B$13,0),MATCH(GN$4,'Curva Forward'!$C$4:$AN$4,0))),FB133))</f>
        <v>0</v>
      </c>
      <c r="GO133" s="191">
        <f t="shared" ca="1" si="18"/>
        <v>0</v>
      </c>
      <c r="GP133" s="191">
        <f t="shared" ca="1" si="19"/>
        <v>-150144</v>
      </c>
      <c r="GQ133" s="115"/>
      <c r="GR133" s="115"/>
      <c r="GS133"/>
      <c r="GT133" s="65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</row>
    <row r="134" spans="1:236" s="265" customFormat="1" ht="15" customHeight="1" x14ac:dyDescent="0.35">
      <c r="A134" s="251"/>
      <c r="B134" s="7" t="s">
        <v>565</v>
      </c>
      <c r="C134" s="8">
        <v>44921</v>
      </c>
      <c r="D134" s="9" t="s">
        <v>123</v>
      </c>
      <c r="E134" s="9" t="s">
        <v>381</v>
      </c>
      <c r="F134" s="112" t="s">
        <v>348</v>
      </c>
      <c r="G134" s="10" t="s">
        <v>145</v>
      </c>
      <c r="H134" s="112" t="e">
        <v>#N/A</v>
      </c>
      <c r="I134" s="9" t="s">
        <v>500</v>
      </c>
      <c r="J134" s="158" t="s">
        <v>496</v>
      </c>
      <c r="K134" s="10" t="s">
        <v>126</v>
      </c>
      <c r="L134" s="84" t="s">
        <v>22</v>
      </c>
      <c r="M134" s="11">
        <v>45200</v>
      </c>
      <c r="N134" s="12">
        <v>45291</v>
      </c>
      <c r="O134" s="10">
        <v>5</v>
      </c>
      <c r="P134" s="84">
        <v>93</v>
      </c>
      <c r="Q134" s="84" t="s">
        <v>127</v>
      </c>
      <c r="R134" s="10" t="s">
        <v>128</v>
      </c>
      <c r="S134" s="14" t="s">
        <v>133</v>
      </c>
      <c r="T134" s="11"/>
      <c r="U134" s="12"/>
      <c r="V134" s="202" t="str">
        <f ca="1">IF(U134="","",
IF(U134="NA","",
IFERROR(VLOOKUP(EOMONTH(M134,-2)+1,IPCA!$A:$B,2,0),
VLOOKUP(EOMONTH(TODAY(),-2)+1,IPCA!$A:$B,2,0))/
VLOOKUP(EOMONTH(U134,-2)+1,IPCA!$A:$B,2,0)*
P134))</f>
        <v/>
      </c>
      <c r="W134" s="84"/>
      <c r="X134" s="13"/>
      <c r="Y134" s="158"/>
      <c r="Z134" s="106" t="s">
        <v>146</v>
      </c>
      <c r="AA134" s="106" t="s">
        <v>146</v>
      </c>
      <c r="AB134" s="15"/>
      <c r="AC134"/>
      <c r="AD134"/>
      <c r="AE134"/>
      <c r="AF134"/>
      <c r="AG134"/>
      <c r="AH134"/>
      <c r="AI134"/>
      <c r="AJ134"/>
      <c r="AK134">
        <v>5</v>
      </c>
      <c r="AL134">
        <v>5</v>
      </c>
      <c r="AM134" s="6">
        <v>5</v>
      </c>
      <c r="AN134" s="15"/>
      <c r="AO134"/>
      <c r="AP134"/>
      <c r="AQ134"/>
      <c r="AR134"/>
      <c r="AS134"/>
      <c r="AT134"/>
      <c r="AU134"/>
      <c r="AV134"/>
      <c r="AW134"/>
      <c r="AX134"/>
      <c r="AY134" s="6"/>
      <c r="AZ134" s="15"/>
      <c r="BA134"/>
      <c r="BB134"/>
      <c r="BC134"/>
      <c r="BD134"/>
      <c r="BE134"/>
      <c r="BF134"/>
      <c r="BG134"/>
      <c r="BH134"/>
      <c r="BI134"/>
      <c r="BJ134"/>
      <c r="BK134" s="6"/>
      <c r="BL134" s="15"/>
      <c r="BM134"/>
      <c r="BN134"/>
      <c r="BO134"/>
      <c r="BP134"/>
      <c r="BQ134"/>
      <c r="BR134"/>
      <c r="BS134"/>
      <c r="BT134"/>
      <c r="BU134"/>
      <c r="BV134"/>
      <c r="BW134" s="6"/>
      <c r="BX134" s="15"/>
      <c r="BY134"/>
      <c r="BZ134"/>
      <c r="CA134"/>
      <c r="CB134"/>
      <c r="CC134"/>
      <c r="CD134"/>
      <c r="CE134"/>
      <c r="CF134"/>
      <c r="CG134"/>
      <c r="CH134"/>
      <c r="CI134" s="6"/>
      <c r="CJ134" s="16">
        <v>1.2602739726027397</v>
      </c>
      <c r="CK134" s="16" t="s">
        <v>578</v>
      </c>
      <c r="CL134" s="16" t="s">
        <v>578</v>
      </c>
      <c r="CM134" s="16" t="s">
        <v>578</v>
      </c>
      <c r="CN134" s="16" t="s">
        <v>578</v>
      </c>
      <c r="CO134" s="18"/>
      <c r="CP134" s="15"/>
      <c r="CQ134"/>
      <c r="CR134"/>
      <c r="CS134"/>
      <c r="CT134"/>
      <c r="CU134"/>
      <c r="CV134"/>
      <c r="CW134"/>
      <c r="CX134"/>
      <c r="CY134">
        <v>93</v>
      </c>
      <c r="CZ134">
        <v>93</v>
      </c>
      <c r="DA134" s="6">
        <v>93</v>
      </c>
      <c r="DB134" s="15"/>
      <c r="DC134"/>
      <c r="DD134"/>
      <c r="DE134"/>
      <c r="DF134"/>
      <c r="DG134"/>
      <c r="DH134"/>
      <c r="DI134"/>
      <c r="DJ134"/>
      <c r="DK134"/>
      <c r="DL134"/>
      <c r="DM134" s="6"/>
      <c r="DN134" s="15"/>
      <c r="DO134"/>
      <c r="DP134"/>
      <c r="DQ134"/>
      <c r="DR134"/>
      <c r="DS134"/>
      <c r="DT134"/>
      <c r="DU134"/>
      <c r="DV134"/>
      <c r="DW134"/>
      <c r="DX134"/>
      <c r="DY134" s="6"/>
      <c r="DZ134" s="15"/>
      <c r="EA134"/>
      <c r="EB134"/>
      <c r="EC134"/>
      <c r="ED134"/>
      <c r="EE134"/>
      <c r="EF134"/>
      <c r="EG134"/>
      <c r="EH134"/>
      <c r="EI134"/>
      <c r="EJ134"/>
      <c r="EK134" s="6"/>
      <c r="EL134" s="15"/>
      <c r="EM134"/>
      <c r="EN134"/>
      <c r="EO134"/>
      <c r="EP134"/>
      <c r="EQ134"/>
      <c r="ER134"/>
      <c r="ES134"/>
      <c r="ET134"/>
      <c r="EU134"/>
      <c r="EV134"/>
      <c r="EW134" s="6"/>
      <c r="EX134" s="16">
        <v>23.44109589041096</v>
      </c>
      <c r="EY134" s="16" t="s">
        <v>578</v>
      </c>
      <c r="EZ134" s="16" t="s">
        <v>578</v>
      </c>
      <c r="FA134" s="154" t="s">
        <v>578</v>
      </c>
      <c r="FB134" s="154" t="s">
        <v>578</v>
      </c>
      <c r="FC134" t="s">
        <v>196</v>
      </c>
      <c r="FD134" s="20" t="s">
        <v>145</v>
      </c>
      <c r="FE134"/>
      <c r="FF134" s="199" t="s">
        <v>197</v>
      </c>
      <c r="FG134"/>
      <c r="FH134" s="206">
        <f t="shared" ref="FH134:FH197" ca="1" si="20">IF(V134="",0,V134-P134)</f>
        <v>0</v>
      </c>
      <c r="FI134" s="198">
        <f t="shared" ref="FI134:FI197" si="21">(N134-M134)/30</f>
        <v>3.0333333333333332</v>
      </c>
      <c r="FJ134"/>
      <c r="FK134" t="str">
        <f t="shared" ref="FK134:FK197" si="22">IF($FC134="V",G134,E134)</f>
        <v>Brookfield Energia Comercializadora LTDA</v>
      </c>
      <c r="FL134" s="191">
        <f t="shared" ref="FL134:FL197" ca="1" si="23">SUMIF($FN$4:$GK$4,"&lt;"&amp;EOMONTH(TODAY(),-1),FN134:GK134)</f>
        <v>0</v>
      </c>
      <c r="FM134" s="191">
        <f t="shared" ref="FM134:FM197" ca="1" si="24">SUM(FN134:GN134)-FL134</f>
        <v>-198720</v>
      </c>
      <c r="FN134" s="190">
        <f>AB134*AB$2*IF($FC134="V",1,-1)*IF($Q134="Fixo",(CP134-INDEX('Curva Forward'!$C$5:$AN$13,MATCH(CONCATENATE(BD_COMERCIAL!$K134," ",BD_COMERCIAL!$L134),'Curva Forward'!$B$5:$B$13,0),MATCH(FN$4,'Curva Forward'!$C$4:$AN$4,0))),CP134)</f>
        <v>0</v>
      </c>
      <c r="FO134" s="190">
        <f>AC134*AC$2*IF($FC134="V",1,-1)*IF($Q134="Fixo",(CQ134-INDEX('Curva Forward'!$C$5:$AN$13,MATCH(CONCATENATE(BD_COMERCIAL!$K134," ",BD_COMERCIAL!$L134),'Curva Forward'!$B$5:$B$13,0),MATCH(FO$4,'Curva Forward'!$C$4:$AN$4,0))),CQ134)</f>
        <v>0</v>
      </c>
      <c r="FP134" s="190">
        <f>AD134*AD$2*IF($FC134="V",1,-1)*IF($Q134="Fixo",(CR134-INDEX('Curva Forward'!$C$5:$AN$13,MATCH(CONCATENATE(BD_COMERCIAL!$K134," ",BD_COMERCIAL!$L134),'Curva Forward'!$B$5:$B$13,0),MATCH(FP$4,'Curva Forward'!$C$4:$AN$4,0))),CR134)</f>
        <v>0</v>
      </c>
      <c r="FQ134" s="190">
        <f>AE134*AE$2*IF($FC134="V",1,-1)*IF($Q134="Fixo",(CS134-INDEX('Curva Forward'!$C$5:$AN$13,MATCH(CONCATENATE(BD_COMERCIAL!$K134," ",BD_COMERCIAL!$L134),'Curva Forward'!$B$5:$B$13,0),MATCH(FQ$4,'Curva Forward'!$C$4:$AN$4,0))),CS134)</f>
        <v>0</v>
      </c>
      <c r="FR134" s="190">
        <f>AF134*AF$2*IF($FC134="V",1,-1)*IF($Q134="Fixo",(CT134-INDEX('Curva Forward'!$C$5:$AN$13,MATCH(CONCATENATE(BD_COMERCIAL!$K134," ",BD_COMERCIAL!$L134),'Curva Forward'!$B$5:$B$13,0),MATCH(FR$4,'Curva Forward'!$C$4:$AN$4,0))),CT134)</f>
        <v>0</v>
      </c>
      <c r="FS134" s="190">
        <f>AG134*AG$2*IF($FC134="V",1,-1)*IF($Q134="Fixo",(CU134-INDEX('Curva Forward'!$C$5:$AN$13,MATCH(CONCATENATE(BD_COMERCIAL!$K134," ",BD_COMERCIAL!$L134),'Curva Forward'!$B$5:$B$13,0),MATCH(FS$4,'Curva Forward'!$C$4:$AN$4,0))),CU134)</f>
        <v>0</v>
      </c>
      <c r="FT134" s="190">
        <f>AH134*AH$2*IF($FC134="V",1,-1)*IF($Q134="Fixo",(CV134-INDEX('Curva Forward'!$C$5:$AN$13,MATCH(CONCATENATE(BD_COMERCIAL!$K134," ",BD_COMERCIAL!$L134),'Curva Forward'!$B$5:$B$13,0),MATCH(FT$4,'Curva Forward'!$C$4:$AN$4,0))),CV134)</f>
        <v>0</v>
      </c>
      <c r="FU134" s="190">
        <f>AI134*AI$2*IF($FC134="V",1,-1)*IF($Q134="Fixo",(CW134-INDEX('Curva Forward'!$C$5:$AN$13,MATCH(CONCATENATE(BD_COMERCIAL!$K134," ",BD_COMERCIAL!$L134),'Curva Forward'!$B$5:$B$13,0),MATCH(FU$4,'Curva Forward'!$C$4:$AN$4,0))),CW134)</f>
        <v>0</v>
      </c>
      <c r="FV134" s="190">
        <f>AJ134*AJ$2*IF($FC134="V",1,-1)*IF($Q134="Fixo",(CX134-INDEX('Curva Forward'!$C$5:$AN$13,MATCH(CONCATENATE(BD_COMERCIAL!$K134," ",BD_COMERCIAL!$L134),'Curva Forward'!$B$5:$B$13,0),MATCH(FV$4,'Curva Forward'!$C$4:$AN$4,0))),CX134)</f>
        <v>0</v>
      </c>
      <c r="FW134" s="190">
        <f>AK134*AK$2*IF($FC134="V",1,-1)*IF($Q134="Fixo",(CY134-INDEX('Curva Forward'!$C$5:$AN$13,MATCH(CONCATENATE(BD_COMERCIAL!$K134," ",BD_COMERCIAL!$L134),'Curva Forward'!$B$5:$B$13,0),MATCH(FW$4,'Curva Forward'!$C$4:$AN$4,0))),CY134)</f>
        <v>-66960</v>
      </c>
      <c r="FX134" s="190">
        <f>AL134*AL$2*IF($FC134="V",1,-1)*IF($Q134="Fixo",(CZ134-INDEX('Curva Forward'!$C$5:$AN$13,MATCH(CONCATENATE(BD_COMERCIAL!$K134," ",BD_COMERCIAL!$L134),'Curva Forward'!$B$5:$B$13,0),MATCH(FX$4,'Curva Forward'!$C$4:$AN$4,0))),CZ134)</f>
        <v>-64800</v>
      </c>
      <c r="FY134" s="190">
        <f>AM134*AM$2*IF($FC134="V",1,-1)*IF($Q134="Fixo",(DA134-INDEX('Curva Forward'!$C$5:$AN$13,MATCH(CONCATENATE(BD_COMERCIAL!$K134," ",BD_COMERCIAL!$L134),'Curva Forward'!$B$5:$B$13,0),MATCH(FY$4,'Curva Forward'!$C$4:$AN$4,0))),DA134)</f>
        <v>-66960</v>
      </c>
      <c r="FZ134" s="190">
        <f>AN134*AN$2*IF($FC134="V",1,-1)*IF($Q134="Fixo",(DB134-INDEX('Curva Forward'!$C$5:$AN$13,MATCH(CONCATENATE(BD_COMERCIAL!$K134," ",BD_COMERCIAL!$L134),'Curva Forward'!$B$5:$B$13,0),MATCH(FZ$4,'Curva Forward'!$C$4:$AN$4,0))),DB134)</f>
        <v>0</v>
      </c>
      <c r="GA134" s="190">
        <f>AO134*AO$2*IF($FC134="V",1,-1)*IF($Q134="Fixo",(DC134-INDEX('Curva Forward'!$C$5:$AN$13,MATCH(CONCATENATE(BD_COMERCIAL!$K134," ",BD_COMERCIAL!$L134),'Curva Forward'!$B$5:$B$13,0),MATCH(GA$4,'Curva Forward'!$C$4:$AN$4,0))),DC134)</f>
        <v>0</v>
      </c>
      <c r="GB134" s="190">
        <f>AP134*AP$2*IF($FC134="V",1,-1)*IF($Q134="Fixo",(DD134-INDEX('Curva Forward'!$C$5:$AN$13,MATCH(CONCATENATE(BD_COMERCIAL!$K134," ",BD_COMERCIAL!$L134),'Curva Forward'!$B$5:$B$13,0),MATCH(GB$4,'Curva Forward'!$C$4:$AN$4,0))),DD134)</f>
        <v>0</v>
      </c>
      <c r="GC134" s="190">
        <f>AQ134*AQ$2*IF($FC134="V",1,-1)*IF($Q134="Fixo",(DE134-INDEX('Curva Forward'!$C$5:$AN$13,MATCH(CONCATENATE(BD_COMERCIAL!$K134," ",BD_COMERCIAL!$L134),'Curva Forward'!$B$5:$B$13,0),MATCH(GC$4,'Curva Forward'!$C$4:$AN$4,0))),DE134)</f>
        <v>0</v>
      </c>
      <c r="GD134" s="190">
        <f>AR134*AR$2*IF($FC134="V",1,-1)*IF($Q134="Fixo",(DF134-INDEX('Curva Forward'!$C$5:$AN$13,MATCH(CONCATENATE(BD_COMERCIAL!$K134," ",BD_COMERCIAL!$L134),'Curva Forward'!$B$5:$B$13,0),MATCH(GD$4,'Curva Forward'!$C$4:$AN$4,0))),DF134)</f>
        <v>0</v>
      </c>
      <c r="GE134" s="190">
        <f>AS134*AS$2*IF($FC134="V",1,-1)*IF($Q134="Fixo",(DG134-INDEX('Curva Forward'!$C$5:$AN$13,MATCH(CONCATENATE(BD_COMERCIAL!$K134," ",BD_COMERCIAL!$L134),'Curva Forward'!$B$5:$B$13,0),MATCH(GE$4,'Curva Forward'!$C$4:$AN$4,0))),DG134)</f>
        <v>0</v>
      </c>
      <c r="GF134" s="190">
        <f>AT134*AT$2*IF($FC134="V",1,-1)*IF($Q134="Fixo",(DH134-INDEX('Curva Forward'!$C$5:$AN$13,MATCH(CONCATENATE(BD_COMERCIAL!$K134," ",BD_COMERCIAL!$L134),'Curva Forward'!$B$5:$B$13,0),MATCH(GF$4,'Curva Forward'!$C$4:$AN$4,0))),DH134)</f>
        <v>0</v>
      </c>
      <c r="GG134" s="190">
        <f>AU134*AU$2*IF($FC134="V",1,-1)*IF($Q134="Fixo",(DI134-INDEX('Curva Forward'!$C$5:$AN$13,MATCH(CONCATENATE(BD_COMERCIAL!$K134," ",BD_COMERCIAL!$L134),'Curva Forward'!$B$5:$B$13,0),MATCH(GG$4,'Curva Forward'!$C$4:$AN$4,0))),DI134)</f>
        <v>0</v>
      </c>
      <c r="GH134" s="190">
        <f>AV134*AV$2*IF($FC134="V",1,-1)*IF($Q134="Fixo",(DJ134-INDEX('Curva Forward'!$C$5:$AN$13,MATCH(CONCATENATE(BD_COMERCIAL!$K134," ",BD_COMERCIAL!$L134),'Curva Forward'!$B$5:$B$13,0),MATCH(GH$4,'Curva Forward'!$C$4:$AN$4,0))),DJ134)</f>
        <v>0</v>
      </c>
      <c r="GI134" s="190">
        <f>AW134*AW$2*IF($FC134="V",1,-1)*IF($Q134="Fixo",(DK134-INDEX('Curva Forward'!$C$5:$AN$13,MATCH(CONCATENATE(BD_COMERCIAL!$K134," ",BD_COMERCIAL!$L134),'Curva Forward'!$B$5:$B$13,0),MATCH(GI$4,'Curva Forward'!$C$4:$AN$4,0))),DK134)</f>
        <v>0</v>
      </c>
      <c r="GJ134" s="190">
        <f>AX134*AX$2*IF($FC134="V",1,-1)*IF($Q134="Fixo",(DL134-INDEX('Curva Forward'!$C$5:$AN$13,MATCH(CONCATENATE(BD_COMERCIAL!$K134," ",BD_COMERCIAL!$L134),'Curva Forward'!$B$5:$B$13,0),MATCH(GJ$4,'Curva Forward'!$C$4:$AN$4,0))),DL134)</f>
        <v>0</v>
      </c>
      <c r="GK134" s="190">
        <f>AY134*AY$2*IF($FC134="V",1,-1)*IF($Q134="Fixo",(DM134-INDEX('Curva Forward'!$C$5:$AN$13,MATCH(CONCATENATE(BD_COMERCIAL!$K134," ",BD_COMERCIAL!$L134),'Curva Forward'!$B$5:$B$13,0),MATCH(GK$4,'Curva Forward'!$C$4:$AN$4,0))),DM134)</f>
        <v>0</v>
      </c>
      <c r="GL134" s="190">
        <f>IF(EZ134="",0,CL134*CL$2*IF($FC134="V",1,-1)*IF($Q134="Fixo",(EZ134-INDEX('Curva Forward'!$C$5:$AN$13,MATCH(CONCATENATE(BD_COMERCIAL!$K134," ",BD_COMERCIAL!$L134),'Curva Forward'!$B$5:$B$13,0),MATCH(GL$4,'Curva Forward'!$C$4:$AN$4,0))),EZ134))</f>
        <v>0</v>
      </c>
      <c r="GM134" s="190">
        <f>IF(FA134="",0,CM134*CM$2*IF($FC134="V",1,-1)*IF($Q134="Fixo",(FA134-INDEX('Curva Forward'!$C$5:$AN$13,MATCH(CONCATENATE(BD_COMERCIAL!$K134," ",BD_COMERCIAL!$L134),'Curva Forward'!$B$5:$B$13,0),MATCH(GM$4,'Curva Forward'!$C$4:$AN$4,0))),FA134))</f>
        <v>0</v>
      </c>
      <c r="GN134" s="190">
        <f>IF(FB134="",0,CN134*CN$2*IF($FC134="V",1,-1)*IF($Q134="Fixo",(FB134-INDEX('Curva Forward'!$C$5:$AN$13,MATCH(CONCATENATE(BD_COMERCIAL!$K134," ",BD_COMERCIAL!$L134),'Curva Forward'!$B$5:$B$13,0),MATCH(GN$4,'Curva Forward'!$C$4:$AN$4,0))),FB134))</f>
        <v>0</v>
      </c>
      <c r="GO134" s="191">
        <f t="shared" ref="GO134:GO197" ca="1" si="25">IF(FM134&gt;0,FM134,0)</f>
        <v>0</v>
      </c>
      <c r="GP134" s="191">
        <f t="shared" ref="GP134:GP197" ca="1" si="26">IF(FM134&lt;0,FM134,0)</f>
        <v>-198720</v>
      </c>
      <c r="GQ134" s="115"/>
      <c r="GR134" s="115"/>
      <c r="GS134"/>
      <c r="GT134" s="65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</row>
    <row r="135" spans="1:236" s="265" customFormat="1" ht="15" customHeight="1" x14ac:dyDescent="0.35">
      <c r="A135" s="251"/>
      <c r="B135" s="7" t="s">
        <v>566</v>
      </c>
      <c r="C135" s="8">
        <v>44922</v>
      </c>
      <c r="D135" s="9" t="s">
        <v>130</v>
      </c>
      <c r="E135" s="9" t="s">
        <v>567</v>
      </c>
      <c r="F135" s="112" t="s">
        <v>568</v>
      </c>
      <c r="G135" s="10" t="s">
        <v>381</v>
      </c>
      <c r="H135" s="112" t="s">
        <v>348</v>
      </c>
      <c r="I135" s="9" t="s">
        <v>125</v>
      </c>
      <c r="J135" s="158" t="s">
        <v>496</v>
      </c>
      <c r="K135" s="10" t="s">
        <v>126</v>
      </c>
      <c r="L135" s="84" t="s">
        <v>22</v>
      </c>
      <c r="M135" s="11">
        <v>45200</v>
      </c>
      <c r="N135" s="12">
        <v>45291</v>
      </c>
      <c r="O135" s="10">
        <v>5</v>
      </c>
      <c r="P135" s="84">
        <v>91</v>
      </c>
      <c r="Q135" s="84" t="s">
        <v>127</v>
      </c>
      <c r="R135" s="10" t="s">
        <v>128</v>
      </c>
      <c r="S135" s="14" t="s">
        <v>133</v>
      </c>
      <c r="T135" s="11"/>
      <c r="U135" s="12"/>
      <c r="V135" s="202" t="str">
        <f ca="1">IF(U135="","",
IF(U135="NA","",
IFERROR(VLOOKUP(EOMONTH(M135,-2)+1,IPCA!$A:$B,2,0),
VLOOKUP(EOMONTH(TODAY(),-2)+1,IPCA!$A:$B,2,0))/
VLOOKUP(EOMONTH(U135,-2)+1,IPCA!$A:$B,2,0)*
P135))</f>
        <v/>
      </c>
      <c r="W135" s="84"/>
      <c r="X135" s="13" t="s">
        <v>132</v>
      </c>
      <c r="Y135" s="158"/>
      <c r="Z135" s="106"/>
      <c r="AA135" s="107"/>
      <c r="AB135" s="15"/>
      <c r="AC135"/>
      <c r="AD135"/>
      <c r="AE135"/>
      <c r="AF135"/>
      <c r="AG135"/>
      <c r="AH135"/>
      <c r="AI135"/>
      <c r="AJ135"/>
      <c r="AK135">
        <v>5</v>
      </c>
      <c r="AL135">
        <v>5</v>
      </c>
      <c r="AM135" s="6">
        <v>5</v>
      </c>
      <c r="AN135" s="15"/>
      <c r="AO135"/>
      <c r="AP135"/>
      <c r="AQ135"/>
      <c r="AR135"/>
      <c r="AS135"/>
      <c r="AT135"/>
      <c r="AU135"/>
      <c r="AV135"/>
      <c r="AW135"/>
      <c r="AX135"/>
      <c r="AY135" s="6"/>
      <c r="AZ135" s="15"/>
      <c r="BA135"/>
      <c r="BB135"/>
      <c r="BC135"/>
      <c r="BD135"/>
      <c r="BE135"/>
      <c r="BF135"/>
      <c r="BG135"/>
      <c r="BH135"/>
      <c r="BI135"/>
      <c r="BJ135"/>
      <c r="BK135" s="6"/>
      <c r="BL135" s="15"/>
      <c r="BM135"/>
      <c r="BN135"/>
      <c r="BO135"/>
      <c r="BP135"/>
      <c r="BQ135"/>
      <c r="BR135"/>
      <c r="BS135"/>
      <c r="BT135"/>
      <c r="BU135"/>
      <c r="BV135"/>
      <c r="BW135" s="6"/>
      <c r="BX135" s="15"/>
      <c r="BY135"/>
      <c r="BZ135"/>
      <c r="CA135"/>
      <c r="CB135"/>
      <c r="CC135"/>
      <c r="CD135"/>
      <c r="CE135"/>
      <c r="CF135"/>
      <c r="CG135"/>
      <c r="CH135"/>
      <c r="CI135" s="6"/>
      <c r="CJ135" s="16">
        <v>1.2602739726027397</v>
      </c>
      <c r="CK135" s="16" t="s">
        <v>578</v>
      </c>
      <c r="CL135" s="16" t="s">
        <v>578</v>
      </c>
      <c r="CM135" s="16" t="s">
        <v>578</v>
      </c>
      <c r="CN135" s="16" t="s">
        <v>578</v>
      </c>
      <c r="CO135" s="18"/>
      <c r="CP135" s="15"/>
      <c r="CQ135"/>
      <c r="CR135"/>
      <c r="CS135"/>
      <c r="CT135"/>
      <c r="CU135"/>
      <c r="CV135"/>
      <c r="CW135"/>
      <c r="CX135"/>
      <c r="CY135">
        <v>91</v>
      </c>
      <c r="CZ135">
        <v>91</v>
      </c>
      <c r="DA135" s="6">
        <v>91</v>
      </c>
      <c r="DB135" s="15"/>
      <c r="DC135"/>
      <c r="DD135"/>
      <c r="DE135"/>
      <c r="DF135"/>
      <c r="DG135"/>
      <c r="DH135"/>
      <c r="DI135"/>
      <c r="DJ135"/>
      <c r="DK135"/>
      <c r="DL135"/>
      <c r="DM135" s="6"/>
      <c r="DN135" s="15"/>
      <c r="DO135"/>
      <c r="DP135"/>
      <c r="DQ135"/>
      <c r="DR135"/>
      <c r="DS135"/>
      <c r="DT135"/>
      <c r="DU135"/>
      <c r="DV135"/>
      <c r="DW135"/>
      <c r="DX135"/>
      <c r="DY135" s="6"/>
      <c r="DZ135" s="15"/>
      <c r="EA135"/>
      <c r="EB135"/>
      <c r="EC135"/>
      <c r="ED135"/>
      <c r="EE135"/>
      <c r="EF135"/>
      <c r="EG135"/>
      <c r="EH135"/>
      <c r="EI135"/>
      <c r="EJ135"/>
      <c r="EK135" s="6"/>
      <c r="EL135" s="15"/>
      <c r="EM135"/>
      <c r="EN135"/>
      <c r="EO135"/>
      <c r="EP135"/>
      <c r="EQ135"/>
      <c r="ER135"/>
      <c r="ES135"/>
      <c r="ET135"/>
      <c r="EU135"/>
      <c r="EV135"/>
      <c r="EW135" s="6"/>
      <c r="EX135" s="16">
        <v>22.936986301369863</v>
      </c>
      <c r="EY135" s="16" t="s">
        <v>578</v>
      </c>
      <c r="EZ135" s="16" t="s">
        <v>578</v>
      </c>
      <c r="FA135" s="154" t="s">
        <v>578</v>
      </c>
      <c r="FB135" s="154" t="s">
        <v>578</v>
      </c>
      <c r="FC135" t="s">
        <v>196</v>
      </c>
      <c r="FD135" s="20" t="s">
        <v>125</v>
      </c>
      <c r="FE135"/>
      <c r="FF135" s="199" t="s">
        <v>197</v>
      </c>
      <c r="FG135"/>
      <c r="FH135" s="206">
        <f t="shared" ca="1" si="20"/>
        <v>0</v>
      </c>
      <c r="FI135" s="198">
        <f t="shared" si="21"/>
        <v>3.0333333333333332</v>
      </c>
      <c r="FJ135"/>
      <c r="FK135" t="str">
        <f t="shared" si="22"/>
        <v>TRADENER LIMITADA</v>
      </c>
      <c r="FL135" s="191">
        <f t="shared" ca="1" si="23"/>
        <v>0</v>
      </c>
      <c r="FM135" s="191">
        <f t="shared" ca="1" si="24"/>
        <v>-176640</v>
      </c>
      <c r="FN135" s="190">
        <f>AB135*AB$2*IF($FC135="V",1,-1)*IF($Q135="Fixo",(CP135-INDEX('Curva Forward'!$C$5:$AN$13,MATCH(CONCATENATE(BD_COMERCIAL!$K135," ",BD_COMERCIAL!$L135),'Curva Forward'!$B$5:$B$13,0),MATCH(FN$4,'Curva Forward'!$C$4:$AN$4,0))),CP135)</f>
        <v>0</v>
      </c>
      <c r="FO135" s="190">
        <f>AC135*AC$2*IF($FC135="V",1,-1)*IF($Q135="Fixo",(CQ135-INDEX('Curva Forward'!$C$5:$AN$13,MATCH(CONCATENATE(BD_COMERCIAL!$K135," ",BD_COMERCIAL!$L135),'Curva Forward'!$B$5:$B$13,0),MATCH(FO$4,'Curva Forward'!$C$4:$AN$4,0))),CQ135)</f>
        <v>0</v>
      </c>
      <c r="FP135" s="190">
        <f>AD135*AD$2*IF($FC135="V",1,-1)*IF($Q135="Fixo",(CR135-INDEX('Curva Forward'!$C$5:$AN$13,MATCH(CONCATENATE(BD_COMERCIAL!$K135," ",BD_COMERCIAL!$L135),'Curva Forward'!$B$5:$B$13,0),MATCH(FP$4,'Curva Forward'!$C$4:$AN$4,0))),CR135)</f>
        <v>0</v>
      </c>
      <c r="FQ135" s="190">
        <f>AE135*AE$2*IF($FC135="V",1,-1)*IF($Q135="Fixo",(CS135-INDEX('Curva Forward'!$C$5:$AN$13,MATCH(CONCATENATE(BD_COMERCIAL!$K135," ",BD_COMERCIAL!$L135),'Curva Forward'!$B$5:$B$13,0),MATCH(FQ$4,'Curva Forward'!$C$4:$AN$4,0))),CS135)</f>
        <v>0</v>
      </c>
      <c r="FR135" s="190">
        <f>AF135*AF$2*IF($FC135="V",1,-1)*IF($Q135="Fixo",(CT135-INDEX('Curva Forward'!$C$5:$AN$13,MATCH(CONCATENATE(BD_COMERCIAL!$K135," ",BD_COMERCIAL!$L135),'Curva Forward'!$B$5:$B$13,0),MATCH(FR$4,'Curva Forward'!$C$4:$AN$4,0))),CT135)</f>
        <v>0</v>
      </c>
      <c r="FS135" s="190">
        <f>AG135*AG$2*IF($FC135="V",1,-1)*IF($Q135="Fixo",(CU135-INDEX('Curva Forward'!$C$5:$AN$13,MATCH(CONCATENATE(BD_COMERCIAL!$K135," ",BD_COMERCIAL!$L135),'Curva Forward'!$B$5:$B$13,0),MATCH(FS$4,'Curva Forward'!$C$4:$AN$4,0))),CU135)</f>
        <v>0</v>
      </c>
      <c r="FT135" s="190">
        <f>AH135*AH$2*IF($FC135="V",1,-1)*IF($Q135="Fixo",(CV135-INDEX('Curva Forward'!$C$5:$AN$13,MATCH(CONCATENATE(BD_COMERCIAL!$K135," ",BD_COMERCIAL!$L135),'Curva Forward'!$B$5:$B$13,0),MATCH(FT$4,'Curva Forward'!$C$4:$AN$4,0))),CV135)</f>
        <v>0</v>
      </c>
      <c r="FU135" s="190">
        <f>AI135*AI$2*IF($FC135="V",1,-1)*IF($Q135="Fixo",(CW135-INDEX('Curva Forward'!$C$5:$AN$13,MATCH(CONCATENATE(BD_COMERCIAL!$K135," ",BD_COMERCIAL!$L135),'Curva Forward'!$B$5:$B$13,0),MATCH(FU$4,'Curva Forward'!$C$4:$AN$4,0))),CW135)</f>
        <v>0</v>
      </c>
      <c r="FV135" s="190">
        <f>AJ135*AJ$2*IF($FC135="V",1,-1)*IF($Q135="Fixo",(CX135-INDEX('Curva Forward'!$C$5:$AN$13,MATCH(CONCATENATE(BD_COMERCIAL!$K135," ",BD_COMERCIAL!$L135),'Curva Forward'!$B$5:$B$13,0),MATCH(FV$4,'Curva Forward'!$C$4:$AN$4,0))),CX135)</f>
        <v>0</v>
      </c>
      <c r="FW135" s="190">
        <f>AK135*AK$2*IF($FC135="V",1,-1)*IF($Q135="Fixo",(CY135-INDEX('Curva Forward'!$C$5:$AN$13,MATCH(CONCATENATE(BD_COMERCIAL!$K135," ",BD_COMERCIAL!$L135),'Curva Forward'!$B$5:$B$13,0),MATCH(FW$4,'Curva Forward'!$C$4:$AN$4,0))),CY135)</f>
        <v>-59520</v>
      </c>
      <c r="FX135" s="190">
        <f>AL135*AL$2*IF($FC135="V",1,-1)*IF($Q135="Fixo",(CZ135-INDEX('Curva Forward'!$C$5:$AN$13,MATCH(CONCATENATE(BD_COMERCIAL!$K135," ",BD_COMERCIAL!$L135),'Curva Forward'!$B$5:$B$13,0),MATCH(FX$4,'Curva Forward'!$C$4:$AN$4,0))),CZ135)</f>
        <v>-57600</v>
      </c>
      <c r="FY135" s="190">
        <f>AM135*AM$2*IF($FC135="V",1,-1)*IF($Q135="Fixo",(DA135-INDEX('Curva Forward'!$C$5:$AN$13,MATCH(CONCATENATE(BD_COMERCIAL!$K135," ",BD_COMERCIAL!$L135),'Curva Forward'!$B$5:$B$13,0),MATCH(FY$4,'Curva Forward'!$C$4:$AN$4,0))),DA135)</f>
        <v>-59520</v>
      </c>
      <c r="FZ135" s="190">
        <f>AN135*AN$2*IF($FC135="V",1,-1)*IF($Q135="Fixo",(DB135-INDEX('Curva Forward'!$C$5:$AN$13,MATCH(CONCATENATE(BD_COMERCIAL!$K135," ",BD_COMERCIAL!$L135),'Curva Forward'!$B$5:$B$13,0),MATCH(FZ$4,'Curva Forward'!$C$4:$AN$4,0))),DB135)</f>
        <v>0</v>
      </c>
      <c r="GA135" s="190">
        <f>AO135*AO$2*IF($FC135="V",1,-1)*IF($Q135="Fixo",(DC135-INDEX('Curva Forward'!$C$5:$AN$13,MATCH(CONCATENATE(BD_COMERCIAL!$K135," ",BD_COMERCIAL!$L135),'Curva Forward'!$B$5:$B$13,0),MATCH(GA$4,'Curva Forward'!$C$4:$AN$4,0))),DC135)</f>
        <v>0</v>
      </c>
      <c r="GB135" s="190">
        <f>AP135*AP$2*IF($FC135="V",1,-1)*IF($Q135="Fixo",(DD135-INDEX('Curva Forward'!$C$5:$AN$13,MATCH(CONCATENATE(BD_COMERCIAL!$K135," ",BD_COMERCIAL!$L135),'Curva Forward'!$B$5:$B$13,0),MATCH(GB$4,'Curva Forward'!$C$4:$AN$4,0))),DD135)</f>
        <v>0</v>
      </c>
      <c r="GC135" s="190">
        <f>AQ135*AQ$2*IF($FC135="V",1,-1)*IF($Q135="Fixo",(DE135-INDEX('Curva Forward'!$C$5:$AN$13,MATCH(CONCATENATE(BD_COMERCIAL!$K135," ",BD_COMERCIAL!$L135),'Curva Forward'!$B$5:$B$13,0),MATCH(GC$4,'Curva Forward'!$C$4:$AN$4,0))),DE135)</f>
        <v>0</v>
      </c>
      <c r="GD135" s="190">
        <f>AR135*AR$2*IF($FC135="V",1,-1)*IF($Q135="Fixo",(DF135-INDEX('Curva Forward'!$C$5:$AN$13,MATCH(CONCATENATE(BD_COMERCIAL!$K135," ",BD_COMERCIAL!$L135),'Curva Forward'!$B$5:$B$13,0),MATCH(GD$4,'Curva Forward'!$C$4:$AN$4,0))),DF135)</f>
        <v>0</v>
      </c>
      <c r="GE135" s="190">
        <f>AS135*AS$2*IF($FC135="V",1,-1)*IF($Q135="Fixo",(DG135-INDEX('Curva Forward'!$C$5:$AN$13,MATCH(CONCATENATE(BD_COMERCIAL!$K135," ",BD_COMERCIAL!$L135),'Curva Forward'!$B$5:$B$13,0),MATCH(GE$4,'Curva Forward'!$C$4:$AN$4,0))),DG135)</f>
        <v>0</v>
      </c>
      <c r="GF135" s="190">
        <f>AT135*AT$2*IF($FC135="V",1,-1)*IF($Q135="Fixo",(DH135-INDEX('Curva Forward'!$C$5:$AN$13,MATCH(CONCATENATE(BD_COMERCIAL!$K135," ",BD_COMERCIAL!$L135),'Curva Forward'!$B$5:$B$13,0),MATCH(GF$4,'Curva Forward'!$C$4:$AN$4,0))),DH135)</f>
        <v>0</v>
      </c>
      <c r="GG135" s="190">
        <f>AU135*AU$2*IF($FC135="V",1,-1)*IF($Q135="Fixo",(DI135-INDEX('Curva Forward'!$C$5:$AN$13,MATCH(CONCATENATE(BD_COMERCIAL!$K135," ",BD_COMERCIAL!$L135),'Curva Forward'!$B$5:$B$13,0),MATCH(GG$4,'Curva Forward'!$C$4:$AN$4,0))),DI135)</f>
        <v>0</v>
      </c>
      <c r="GH135" s="190">
        <f>AV135*AV$2*IF($FC135="V",1,-1)*IF($Q135="Fixo",(DJ135-INDEX('Curva Forward'!$C$5:$AN$13,MATCH(CONCATENATE(BD_COMERCIAL!$K135," ",BD_COMERCIAL!$L135),'Curva Forward'!$B$5:$B$13,0),MATCH(GH$4,'Curva Forward'!$C$4:$AN$4,0))),DJ135)</f>
        <v>0</v>
      </c>
      <c r="GI135" s="190">
        <f>AW135*AW$2*IF($FC135="V",1,-1)*IF($Q135="Fixo",(DK135-INDEX('Curva Forward'!$C$5:$AN$13,MATCH(CONCATENATE(BD_COMERCIAL!$K135," ",BD_COMERCIAL!$L135),'Curva Forward'!$B$5:$B$13,0),MATCH(GI$4,'Curva Forward'!$C$4:$AN$4,0))),DK135)</f>
        <v>0</v>
      </c>
      <c r="GJ135" s="190">
        <f>AX135*AX$2*IF($FC135="V",1,-1)*IF($Q135="Fixo",(DL135-INDEX('Curva Forward'!$C$5:$AN$13,MATCH(CONCATENATE(BD_COMERCIAL!$K135," ",BD_COMERCIAL!$L135),'Curva Forward'!$B$5:$B$13,0),MATCH(GJ$4,'Curva Forward'!$C$4:$AN$4,0))),DL135)</f>
        <v>0</v>
      </c>
      <c r="GK135" s="190">
        <f>AY135*AY$2*IF($FC135="V",1,-1)*IF($Q135="Fixo",(DM135-INDEX('Curva Forward'!$C$5:$AN$13,MATCH(CONCATENATE(BD_COMERCIAL!$K135," ",BD_COMERCIAL!$L135),'Curva Forward'!$B$5:$B$13,0),MATCH(GK$4,'Curva Forward'!$C$4:$AN$4,0))),DM135)</f>
        <v>0</v>
      </c>
      <c r="GL135" s="190">
        <f>IF(EZ135="",0,CL135*CL$2*IF($FC135="V",1,-1)*IF($Q135="Fixo",(EZ135-INDEX('Curva Forward'!$C$5:$AN$13,MATCH(CONCATENATE(BD_COMERCIAL!$K135," ",BD_COMERCIAL!$L135),'Curva Forward'!$B$5:$B$13,0),MATCH(GL$4,'Curva Forward'!$C$4:$AN$4,0))),EZ135))</f>
        <v>0</v>
      </c>
      <c r="GM135" s="190">
        <f>IF(FA135="",0,CM135*CM$2*IF($FC135="V",1,-1)*IF($Q135="Fixo",(FA135-INDEX('Curva Forward'!$C$5:$AN$13,MATCH(CONCATENATE(BD_COMERCIAL!$K135," ",BD_COMERCIAL!$L135),'Curva Forward'!$B$5:$B$13,0),MATCH(GM$4,'Curva Forward'!$C$4:$AN$4,0))),FA135))</f>
        <v>0</v>
      </c>
      <c r="GN135" s="190">
        <f>IF(FB135="",0,CN135*CN$2*IF($FC135="V",1,-1)*IF($Q135="Fixo",(FB135-INDEX('Curva Forward'!$C$5:$AN$13,MATCH(CONCATENATE(BD_COMERCIAL!$K135," ",BD_COMERCIAL!$L135),'Curva Forward'!$B$5:$B$13,0),MATCH(GN$4,'Curva Forward'!$C$4:$AN$4,0))),FB135))</f>
        <v>0</v>
      </c>
      <c r="GO135" s="191">
        <f t="shared" ca="1" si="25"/>
        <v>0</v>
      </c>
      <c r="GP135" s="191">
        <f t="shared" ca="1" si="26"/>
        <v>-176640</v>
      </c>
      <c r="GQ135" s="115"/>
      <c r="GR135" s="115"/>
      <c r="GS135"/>
      <c r="GT135" s="6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</row>
    <row r="136" spans="1:236" s="265" customFormat="1" ht="15" customHeight="1" x14ac:dyDescent="0.35">
      <c r="A136" s="251"/>
      <c r="B136" s="7" t="s">
        <v>569</v>
      </c>
      <c r="C136" s="8">
        <v>44923</v>
      </c>
      <c r="D136" s="9" t="s">
        <v>123</v>
      </c>
      <c r="E136" s="9" t="s">
        <v>381</v>
      </c>
      <c r="F136" s="112" t="s">
        <v>348</v>
      </c>
      <c r="G136" s="10" t="s">
        <v>190</v>
      </c>
      <c r="H136" s="112" t="s">
        <v>444</v>
      </c>
      <c r="I136" s="9" t="s">
        <v>125</v>
      </c>
      <c r="J136" s="158" t="s">
        <v>496</v>
      </c>
      <c r="K136" s="10" t="s">
        <v>126</v>
      </c>
      <c r="L136" s="84" t="s">
        <v>22</v>
      </c>
      <c r="M136" s="11">
        <v>44927</v>
      </c>
      <c r="N136" s="12">
        <v>45077</v>
      </c>
      <c r="O136" s="10">
        <v>5</v>
      </c>
      <c r="P136" s="84">
        <v>71</v>
      </c>
      <c r="Q136" s="84" t="s">
        <v>127</v>
      </c>
      <c r="R136" s="10" t="s">
        <v>128</v>
      </c>
      <c r="S136" s="14" t="s">
        <v>133</v>
      </c>
      <c r="T136" s="11"/>
      <c r="U136" s="12"/>
      <c r="V136" s="202" t="str">
        <f ca="1">IF(U136="","",
IF(U136="NA","",
IFERROR(VLOOKUP(EOMONTH(M136,-2)+1,IPCA!$A:$B,2,0),
VLOOKUP(EOMONTH(TODAY(),-2)+1,IPCA!$A:$B,2,0))/
VLOOKUP(EOMONTH(U136,-2)+1,IPCA!$A:$B,2,0)*
P136))</f>
        <v/>
      </c>
      <c r="W136" s="84"/>
      <c r="X136" s="13" t="s">
        <v>132</v>
      </c>
      <c r="Y136" s="158"/>
      <c r="Z136" s="106"/>
      <c r="AA136" s="107"/>
      <c r="AB136" s="15">
        <v>5</v>
      </c>
      <c r="AC136">
        <v>5</v>
      </c>
      <c r="AD136">
        <v>5</v>
      </c>
      <c r="AE136">
        <v>5</v>
      </c>
      <c r="AF136">
        <v>5</v>
      </c>
      <c r="AG136"/>
      <c r="AH136"/>
      <c r="AI136"/>
      <c r="AJ136"/>
      <c r="AK136"/>
      <c r="AL136"/>
      <c r="AM136" s="6"/>
      <c r="AN136" s="15"/>
      <c r="AO136"/>
      <c r="AP136"/>
      <c r="AQ136"/>
      <c r="AR136"/>
      <c r="AS136"/>
      <c r="AT136"/>
      <c r="AU136"/>
      <c r="AV136"/>
      <c r="AW136"/>
      <c r="AX136"/>
      <c r="AY136" s="6"/>
      <c r="AZ136" s="15"/>
      <c r="BA136"/>
      <c r="BB136"/>
      <c r="BC136"/>
      <c r="BD136"/>
      <c r="BE136"/>
      <c r="BF136"/>
      <c r="BG136"/>
      <c r="BH136"/>
      <c r="BI136"/>
      <c r="BJ136"/>
      <c r="BK136" s="6"/>
      <c r="BL136" s="15"/>
      <c r="BM136"/>
      <c r="BN136"/>
      <c r="BO136"/>
      <c r="BP136"/>
      <c r="BQ136"/>
      <c r="BR136"/>
      <c r="BS136"/>
      <c r="BT136"/>
      <c r="BU136"/>
      <c r="BV136"/>
      <c r="BW136" s="6"/>
      <c r="BX136" s="15"/>
      <c r="BY136"/>
      <c r="BZ136"/>
      <c r="CA136"/>
      <c r="CB136"/>
      <c r="CC136"/>
      <c r="CD136"/>
      <c r="CE136"/>
      <c r="CF136"/>
      <c r="CG136"/>
      <c r="CH136"/>
      <c r="CI136" s="6"/>
      <c r="CJ136" s="16">
        <v>2.0684931506849313</v>
      </c>
      <c r="CK136" s="16" t="s">
        <v>578</v>
      </c>
      <c r="CL136" s="16" t="s">
        <v>578</v>
      </c>
      <c r="CM136" s="16" t="s">
        <v>578</v>
      </c>
      <c r="CN136" s="16" t="s">
        <v>578</v>
      </c>
      <c r="CO136" s="18"/>
      <c r="CP136" s="15">
        <v>71</v>
      </c>
      <c r="CQ136">
        <v>71</v>
      </c>
      <c r="CR136">
        <v>71</v>
      </c>
      <c r="CS136">
        <v>71</v>
      </c>
      <c r="CT136">
        <v>71</v>
      </c>
      <c r="CU136"/>
      <c r="CV136"/>
      <c r="CW136"/>
      <c r="CX136"/>
      <c r="CY136"/>
      <c r="CZ136"/>
      <c r="DA136" s="6"/>
      <c r="DB136" s="15"/>
      <c r="DC136"/>
      <c r="DD136"/>
      <c r="DE136"/>
      <c r="DF136"/>
      <c r="DG136"/>
      <c r="DH136"/>
      <c r="DI136"/>
      <c r="DJ136"/>
      <c r="DK136"/>
      <c r="DL136"/>
      <c r="DM136" s="6"/>
      <c r="DN136" s="15"/>
      <c r="DO136"/>
      <c r="DP136"/>
      <c r="DQ136"/>
      <c r="DR136"/>
      <c r="DS136"/>
      <c r="DT136"/>
      <c r="DU136"/>
      <c r="DV136"/>
      <c r="DW136"/>
      <c r="DX136"/>
      <c r="DY136" s="6"/>
      <c r="DZ136" s="15"/>
      <c r="EA136"/>
      <c r="EB136"/>
      <c r="EC136"/>
      <c r="ED136"/>
      <c r="EE136"/>
      <c r="EF136"/>
      <c r="EG136"/>
      <c r="EH136"/>
      <c r="EI136"/>
      <c r="EJ136"/>
      <c r="EK136" s="6"/>
      <c r="EL136" s="15"/>
      <c r="EM136"/>
      <c r="EN136"/>
      <c r="EO136"/>
      <c r="EP136"/>
      <c r="EQ136"/>
      <c r="ER136"/>
      <c r="ES136"/>
      <c r="ET136"/>
      <c r="EU136"/>
      <c r="EV136"/>
      <c r="EW136" s="6"/>
      <c r="EX136" s="16">
        <v>29.372602739726027</v>
      </c>
      <c r="EY136" s="16" t="s">
        <v>578</v>
      </c>
      <c r="EZ136" s="16" t="s">
        <v>578</v>
      </c>
      <c r="FA136" s="154" t="s">
        <v>578</v>
      </c>
      <c r="FB136" s="154" t="s">
        <v>578</v>
      </c>
      <c r="FC136" t="s">
        <v>195</v>
      </c>
      <c r="FD136" s="20" t="s">
        <v>125</v>
      </c>
      <c r="FE136"/>
      <c r="FF136" s="199" t="s">
        <v>197</v>
      </c>
      <c r="FG136"/>
      <c r="FH136" s="206">
        <f t="shared" ca="1" si="20"/>
        <v>0</v>
      </c>
      <c r="FI136" s="198">
        <f t="shared" si="21"/>
        <v>5</v>
      </c>
      <c r="FJ136"/>
      <c r="FK136" t="str">
        <f t="shared" si="22"/>
        <v>America Energia S/A</v>
      </c>
      <c r="FL136" s="191">
        <f t="shared" ca="1" si="23"/>
        <v>7440</v>
      </c>
      <c r="FM136" s="191">
        <f t="shared" ca="1" si="24"/>
        <v>25080</v>
      </c>
      <c r="FN136" s="190">
        <f>AB136*AB$2*IF($FC136="V",1,-1)*IF($Q136="Fixo",(CP136-INDEX('Curva Forward'!$C$5:$AN$13,MATCH(CONCATENATE(BD_COMERCIAL!$K136," ",BD_COMERCIAL!$L136),'Curva Forward'!$B$5:$B$13,0),MATCH(FN$4,'Curva Forward'!$C$4:$AN$4,0))),CP136)</f>
        <v>7440</v>
      </c>
      <c r="FO136" s="190">
        <f>AC136*AC$2*IF($FC136="V",1,-1)*IF($Q136="Fixo",(CQ136-INDEX('Curva Forward'!$C$5:$AN$13,MATCH(CONCATENATE(BD_COMERCIAL!$K136," ",BD_COMERCIAL!$L136),'Curva Forward'!$B$5:$B$13,0),MATCH(FO$4,'Curva Forward'!$C$4:$AN$4,0))),CQ136)</f>
        <v>6720</v>
      </c>
      <c r="FP136" s="190">
        <f>AD136*AD$2*IF($FC136="V",1,-1)*IF($Q136="Fixo",(CR136-INDEX('Curva Forward'!$C$5:$AN$13,MATCH(CONCATENATE(BD_COMERCIAL!$K136," ",BD_COMERCIAL!$L136),'Curva Forward'!$B$5:$B$13,0),MATCH(FP$4,'Curva Forward'!$C$4:$AN$4,0))),CR136)</f>
        <v>7440</v>
      </c>
      <c r="FQ136" s="190">
        <f>AE136*AE$2*IF($FC136="V",1,-1)*IF($Q136="Fixo",(CS136-INDEX('Curva Forward'!$C$5:$AN$13,MATCH(CONCATENATE(BD_COMERCIAL!$K136," ",BD_COMERCIAL!$L136),'Curva Forward'!$B$5:$B$13,0),MATCH(FQ$4,'Curva Forward'!$C$4:$AN$4,0))),CS136)</f>
        <v>7200</v>
      </c>
      <c r="FR136" s="190">
        <f>AF136*AF$2*IF($FC136="V",1,-1)*IF($Q136="Fixo",(CT136-INDEX('Curva Forward'!$C$5:$AN$13,MATCH(CONCATENATE(BD_COMERCIAL!$K136," ",BD_COMERCIAL!$L136),'Curva Forward'!$B$5:$B$13,0),MATCH(FR$4,'Curva Forward'!$C$4:$AN$4,0))),CT136)</f>
        <v>3720</v>
      </c>
      <c r="FS136" s="190">
        <f>AG136*AG$2*IF($FC136="V",1,-1)*IF($Q136="Fixo",(CU136-INDEX('Curva Forward'!$C$5:$AN$13,MATCH(CONCATENATE(BD_COMERCIAL!$K136," ",BD_COMERCIAL!$L136),'Curva Forward'!$B$5:$B$13,0),MATCH(FS$4,'Curva Forward'!$C$4:$AN$4,0))),CU136)</f>
        <v>0</v>
      </c>
      <c r="FT136" s="190">
        <f>AH136*AH$2*IF($FC136="V",1,-1)*IF($Q136="Fixo",(CV136-INDEX('Curva Forward'!$C$5:$AN$13,MATCH(CONCATENATE(BD_COMERCIAL!$K136," ",BD_COMERCIAL!$L136),'Curva Forward'!$B$5:$B$13,0),MATCH(FT$4,'Curva Forward'!$C$4:$AN$4,0))),CV136)</f>
        <v>0</v>
      </c>
      <c r="FU136" s="190">
        <f>AI136*AI$2*IF($FC136="V",1,-1)*IF($Q136="Fixo",(CW136-INDEX('Curva Forward'!$C$5:$AN$13,MATCH(CONCATENATE(BD_COMERCIAL!$K136," ",BD_COMERCIAL!$L136),'Curva Forward'!$B$5:$B$13,0),MATCH(FU$4,'Curva Forward'!$C$4:$AN$4,0))),CW136)</f>
        <v>0</v>
      </c>
      <c r="FV136" s="190">
        <f>AJ136*AJ$2*IF($FC136="V",1,-1)*IF($Q136="Fixo",(CX136-INDEX('Curva Forward'!$C$5:$AN$13,MATCH(CONCATENATE(BD_COMERCIAL!$K136," ",BD_COMERCIAL!$L136),'Curva Forward'!$B$5:$B$13,0),MATCH(FV$4,'Curva Forward'!$C$4:$AN$4,0))),CX136)</f>
        <v>0</v>
      </c>
      <c r="FW136" s="190">
        <f>AK136*AK$2*IF($FC136="V",1,-1)*IF($Q136="Fixo",(CY136-INDEX('Curva Forward'!$C$5:$AN$13,MATCH(CONCATENATE(BD_COMERCIAL!$K136," ",BD_COMERCIAL!$L136),'Curva Forward'!$B$5:$B$13,0),MATCH(FW$4,'Curva Forward'!$C$4:$AN$4,0))),CY136)</f>
        <v>0</v>
      </c>
      <c r="FX136" s="190">
        <f>AL136*AL$2*IF($FC136="V",1,-1)*IF($Q136="Fixo",(CZ136-INDEX('Curva Forward'!$C$5:$AN$13,MATCH(CONCATENATE(BD_COMERCIAL!$K136," ",BD_COMERCIAL!$L136),'Curva Forward'!$B$5:$B$13,0),MATCH(FX$4,'Curva Forward'!$C$4:$AN$4,0))),CZ136)</f>
        <v>0</v>
      </c>
      <c r="FY136" s="190">
        <f>AM136*AM$2*IF($FC136="V",1,-1)*IF($Q136="Fixo",(DA136-INDEX('Curva Forward'!$C$5:$AN$13,MATCH(CONCATENATE(BD_COMERCIAL!$K136," ",BD_COMERCIAL!$L136),'Curva Forward'!$B$5:$B$13,0),MATCH(FY$4,'Curva Forward'!$C$4:$AN$4,0))),DA136)</f>
        <v>0</v>
      </c>
      <c r="FZ136" s="190">
        <f>AN136*AN$2*IF($FC136="V",1,-1)*IF($Q136="Fixo",(DB136-INDEX('Curva Forward'!$C$5:$AN$13,MATCH(CONCATENATE(BD_COMERCIAL!$K136," ",BD_COMERCIAL!$L136),'Curva Forward'!$B$5:$B$13,0),MATCH(FZ$4,'Curva Forward'!$C$4:$AN$4,0))),DB136)</f>
        <v>0</v>
      </c>
      <c r="GA136" s="190">
        <f>AO136*AO$2*IF($FC136="V",1,-1)*IF($Q136="Fixo",(DC136-INDEX('Curva Forward'!$C$5:$AN$13,MATCH(CONCATENATE(BD_COMERCIAL!$K136," ",BD_COMERCIAL!$L136),'Curva Forward'!$B$5:$B$13,0),MATCH(GA$4,'Curva Forward'!$C$4:$AN$4,0))),DC136)</f>
        <v>0</v>
      </c>
      <c r="GB136" s="190">
        <f>AP136*AP$2*IF($FC136="V",1,-1)*IF($Q136="Fixo",(DD136-INDEX('Curva Forward'!$C$5:$AN$13,MATCH(CONCATENATE(BD_COMERCIAL!$K136," ",BD_COMERCIAL!$L136),'Curva Forward'!$B$5:$B$13,0),MATCH(GB$4,'Curva Forward'!$C$4:$AN$4,0))),DD136)</f>
        <v>0</v>
      </c>
      <c r="GC136" s="190">
        <f>AQ136*AQ$2*IF($FC136="V",1,-1)*IF($Q136="Fixo",(DE136-INDEX('Curva Forward'!$C$5:$AN$13,MATCH(CONCATENATE(BD_COMERCIAL!$K136," ",BD_COMERCIAL!$L136),'Curva Forward'!$B$5:$B$13,0),MATCH(GC$4,'Curva Forward'!$C$4:$AN$4,0))),DE136)</f>
        <v>0</v>
      </c>
      <c r="GD136" s="190">
        <f>AR136*AR$2*IF($FC136="V",1,-1)*IF($Q136="Fixo",(DF136-INDEX('Curva Forward'!$C$5:$AN$13,MATCH(CONCATENATE(BD_COMERCIAL!$K136," ",BD_COMERCIAL!$L136),'Curva Forward'!$B$5:$B$13,0),MATCH(GD$4,'Curva Forward'!$C$4:$AN$4,0))),DF136)</f>
        <v>0</v>
      </c>
      <c r="GE136" s="190">
        <f>AS136*AS$2*IF($FC136="V",1,-1)*IF($Q136="Fixo",(DG136-INDEX('Curva Forward'!$C$5:$AN$13,MATCH(CONCATENATE(BD_COMERCIAL!$K136," ",BD_COMERCIAL!$L136),'Curva Forward'!$B$5:$B$13,0),MATCH(GE$4,'Curva Forward'!$C$4:$AN$4,0))),DG136)</f>
        <v>0</v>
      </c>
      <c r="GF136" s="190">
        <f>AT136*AT$2*IF($FC136="V",1,-1)*IF($Q136="Fixo",(DH136-INDEX('Curva Forward'!$C$5:$AN$13,MATCH(CONCATENATE(BD_COMERCIAL!$K136," ",BD_COMERCIAL!$L136),'Curva Forward'!$B$5:$B$13,0),MATCH(GF$4,'Curva Forward'!$C$4:$AN$4,0))),DH136)</f>
        <v>0</v>
      </c>
      <c r="GG136" s="190">
        <f>AU136*AU$2*IF($FC136="V",1,-1)*IF($Q136="Fixo",(DI136-INDEX('Curva Forward'!$C$5:$AN$13,MATCH(CONCATENATE(BD_COMERCIAL!$K136," ",BD_COMERCIAL!$L136),'Curva Forward'!$B$5:$B$13,0),MATCH(GG$4,'Curva Forward'!$C$4:$AN$4,0))),DI136)</f>
        <v>0</v>
      </c>
      <c r="GH136" s="190">
        <f>AV136*AV$2*IF($FC136="V",1,-1)*IF($Q136="Fixo",(DJ136-INDEX('Curva Forward'!$C$5:$AN$13,MATCH(CONCATENATE(BD_COMERCIAL!$K136," ",BD_COMERCIAL!$L136),'Curva Forward'!$B$5:$B$13,0),MATCH(GH$4,'Curva Forward'!$C$4:$AN$4,0))),DJ136)</f>
        <v>0</v>
      </c>
      <c r="GI136" s="190">
        <f>AW136*AW$2*IF($FC136="V",1,-1)*IF($Q136="Fixo",(DK136-INDEX('Curva Forward'!$C$5:$AN$13,MATCH(CONCATENATE(BD_COMERCIAL!$K136," ",BD_COMERCIAL!$L136),'Curva Forward'!$B$5:$B$13,0),MATCH(GI$4,'Curva Forward'!$C$4:$AN$4,0))),DK136)</f>
        <v>0</v>
      </c>
      <c r="GJ136" s="190">
        <f>AX136*AX$2*IF($FC136="V",1,-1)*IF($Q136="Fixo",(DL136-INDEX('Curva Forward'!$C$5:$AN$13,MATCH(CONCATENATE(BD_COMERCIAL!$K136," ",BD_COMERCIAL!$L136),'Curva Forward'!$B$5:$B$13,0),MATCH(GJ$4,'Curva Forward'!$C$4:$AN$4,0))),DL136)</f>
        <v>0</v>
      </c>
      <c r="GK136" s="190">
        <f>AY136*AY$2*IF($FC136="V",1,-1)*IF($Q136="Fixo",(DM136-INDEX('Curva Forward'!$C$5:$AN$13,MATCH(CONCATENATE(BD_COMERCIAL!$K136," ",BD_COMERCIAL!$L136),'Curva Forward'!$B$5:$B$13,0),MATCH(GK$4,'Curva Forward'!$C$4:$AN$4,0))),DM136)</f>
        <v>0</v>
      </c>
      <c r="GL136" s="190">
        <f>IF(EZ136="",0,CL136*CL$2*IF($FC136="V",1,-1)*IF($Q136="Fixo",(EZ136-INDEX('Curva Forward'!$C$5:$AN$13,MATCH(CONCATENATE(BD_COMERCIAL!$K136," ",BD_COMERCIAL!$L136),'Curva Forward'!$B$5:$B$13,0),MATCH(GL$4,'Curva Forward'!$C$4:$AN$4,0))),EZ136))</f>
        <v>0</v>
      </c>
      <c r="GM136" s="190">
        <f>IF(FA136="",0,CM136*CM$2*IF($FC136="V",1,-1)*IF($Q136="Fixo",(FA136-INDEX('Curva Forward'!$C$5:$AN$13,MATCH(CONCATENATE(BD_COMERCIAL!$K136," ",BD_COMERCIAL!$L136),'Curva Forward'!$B$5:$B$13,0),MATCH(GM$4,'Curva Forward'!$C$4:$AN$4,0))),FA136))</f>
        <v>0</v>
      </c>
      <c r="GN136" s="190">
        <f>IF(FB136="",0,CN136*CN$2*IF($FC136="V",1,-1)*IF($Q136="Fixo",(FB136-INDEX('Curva Forward'!$C$5:$AN$13,MATCH(CONCATENATE(BD_COMERCIAL!$K136," ",BD_COMERCIAL!$L136),'Curva Forward'!$B$5:$B$13,0),MATCH(GN$4,'Curva Forward'!$C$4:$AN$4,0))),FB136))</f>
        <v>0</v>
      </c>
      <c r="GO136" s="191">
        <f t="shared" ca="1" si="25"/>
        <v>25080</v>
      </c>
      <c r="GP136" s="191">
        <f t="shared" ca="1" si="26"/>
        <v>0</v>
      </c>
      <c r="GQ136" s="115"/>
      <c r="GR136" s="115"/>
      <c r="GS136"/>
      <c r="GT136" s="65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</row>
    <row r="137" spans="1:236" s="265" customFormat="1" ht="15" customHeight="1" x14ac:dyDescent="0.35">
      <c r="A137" s="251"/>
      <c r="B137" s="7" t="s">
        <v>570</v>
      </c>
      <c r="C137" s="8">
        <v>44924</v>
      </c>
      <c r="D137" s="9" t="s">
        <v>123</v>
      </c>
      <c r="E137" s="9" t="s">
        <v>381</v>
      </c>
      <c r="F137" s="112" t="s">
        <v>348</v>
      </c>
      <c r="G137" s="10" t="s">
        <v>190</v>
      </c>
      <c r="H137" s="112" t="s">
        <v>444</v>
      </c>
      <c r="I137" s="9" t="s">
        <v>125</v>
      </c>
      <c r="J137" s="158" t="s">
        <v>496</v>
      </c>
      <c r="K137" s="10" t="s">
        <v>126</v>
      </c>
      <c r="L137" s="84" t="s">
        <v>22</v>
      </c>
      <c r="M137" s="11">
        <v>44927</v>
      </c>
      <c r="N137" s="12">
        <v>45016</v>
      </c>
      <c r="O137" s="10">
        <v>20</v>
      </c>
      <c r="P137" s="84">
        <v>70</v>
      </c>
      <c r="Q137" s="84" t="s">
        <v>127</v>
      </c>
      <c r="R137" s="10" t="s">
        <v>128</v>
      </c>
      <c r="S137" s="14" t="s">
        <v>133</v>
      </c>
      <c r="T137" s="11"/>
      <c r="U137" s="12"/>
      <c r="V137" s="202" t="str">
        <f ca="1">IF(U137="","",
IF(U137="NA","",
IFERROR(VLOOKUP(EOMONTH(M137,-2)+1,IPCA!$A:$B,2,0),
VLOOKUP(EOMONTH(TODAY(),-2)+1,IPCA!$A:$B,2,0))/
VLOOKUP(EOMONTH(U137,-2)+1,IPCA!$A:$B,2,0)*
P137))</f>
        <v/>
      </c>
      <c r="W137" s="84"/>
      <c r="X137" s="13" t="s">
        <v>132</v>
      </c>
      <c r="Y137" s="158"/>
      <c r="Z137" s="106"/>
      <c r="AA137" s="107"/>
      <c r="AB137" s="15">
        <v>20</v>
      </c>
      <c r="AC137">
        <v>20</v>
      </c>
      <c r="AD137">
        <v>20</v>
      </c>
      <c r="AE137"/>
      <c r="AF137"/>
      <c r="AG137"/>
      <c r="AH137"/>
      <c r="AI137"/>
      <c r="AJ137"/>
      <c r="AK137"/>
      <c r="AL137"/>
      <c r="AM137" s="6"/>
      <c r="AN137" s="15"/>
      <c r="AO137"/>
      <c r="AP137"/>
      <c r="AQ137"/>
      <c r="AR137"/>
      <c r="AS137"/>
      <c r="AT137"/>
      <c r="AU137"/>
      <c r="AV137"/>
      <c r="AW137"/>
      <c r="AX137"/>
      <c r="AY137" s="6"/>
      <c r="AZ137" s="15"/>
      <c r="BA137"/>
      <c r="BB137"/>
      <c r="BC137"/>
      <c r="BD137"/>
      <c r="BE137"/>
      <c r="BF137"/>
      <c r="BG137"/>
      <c r="BH137"/>
      <c r="BI137"/>
      <c r="BJ137"/>
      <c r="BK137" s="6"/>
      <c r="BL137" s="15"/>
      <c r="BM137"/>
      <c r="BN137"/>
      <c r="BO137"/>
      <c r="BP137"/>
      <c r="BQ137"/>
      <c r="BR137"/>
      <c r="BS137"/>
      <c r="BT137"/>
      <c r="BU137"/>
      <c r="BV137"/>
      <c r="BW137" s="6"/>
      <c r="BX137" s="15"/>
      <c r="BY137"/>
      <c r="BZ137"/>
      <c r="CA137"/>
      <c r="CB137"/>
      <c r="CC137"/>
      <c r="CD137"/>
      <c r="CE137"/>
      <c r="CF137"/>
      <c r="CG137"/>
      <c r="CH137"/>
      <c r="CI137" s="6"/>
      <c r="CJ137" s="16">
        <v>4.9315068493150687</v>
      </c>
      <c r="CK137" s="16" t="s">
        <v>578</v>
      </c>
      <c r="CL137" s="16" t="s">
        <v>578</v>
      </c>
      <c r="CM137" s="16" t="s">
        <v>578</v>
      </c>
      <c r="CN137" s="16" t="s">
        <v>578</v>
      </c>
      <c r="CO137" s="18"/>
      <c r="CP137" s="15">
        <v>70</v>
      </c>
      <c r="CQ137">
        <v>70</v>
      </c>
      <c r="CR137">
        <v>70</v>
      </c>
      <c r="CS137"/>
      <c r="CT137"/>
      <c r="CU137"/>
      <c r="CV137"/>
      <c r="CW137"/>
      <c r="CX137"/>
      <c r="CY137"/>
      <c r="CZ137"/>
      <c r="DA137" s="6"/>
      <c r="DB137" s="15"/>
      <c r="DC137"/>
      <c r="DD137"/>
      <c r="DE137"/>
      <c r="DF137"/>
      <c r="DG137"/>
      <c r="DH137"/>
      <c r="DI137"/>
      <c r="DJ137"/>
      <c r="DK137"/>
      <c r="DL137"/>
      <c r="DM137" s="6"/>
      <c r="DN137" s="15"/>
      <c r="DO137"/>
      <c r="DP137"/>
      <c r="DQ137"/>
      <c r="DR137"/>
      <c r="DS137"/>
      <c r="DT137"/>
      <c r="DU137"/>
      <c r="DV137"/>
      <c r="DW137"/>
      <c r="DX137"/>
      <c r="DY137" s="6"/>
      <c r="DZ137" s="15"/>
      <c r="EA137"/>
      <c r="EB137"/>
      <c r="EC137"/>
      <c r="ED137"/>
      <c r="EE137"/>
      <c r="EF137"/>
      <c r="EG137"/>
      <c r="EH137"/>
      <c r="EI137"/>
      <c r="EJ137"/>
      <c r="EK137" s="6"/>
      <c r="EL137" s="15"/>
      <c r="EM137"/>
      <c r="EN137"/>
      <c r="EO137"/>
      <c r="EP137"/>
      <c r="EQ137"/>
      <c r="ER137"/>
      <c r="ES137"/>
      <c r="ET137"/>
      <c r="EU137"/>
      <c r="EV137"/>
      <c r="EW137" s="6"/>
      <c r="EX137" s="16">
        <v>17.260273972602739</v>
      </c>
      <c r="EY137" s="16" t="s">
        <v>578</v>
      </c>
      <c r="EZ137" s="16" t="s">
        <v>578</v>
      </c>
      <c r="FA137" s="154" t="s">
        <v>578</v>
      </c>
      <c r="FB137" s="154" t="s">
        <v>578</v>
      </c>
      <c r="FC137" t="s">
        <v>195</v>
      </c>
      <c r="FD137" s="20" t="s">
        <v>125</v>
      </c>
      <c r="FE137"/>
      <c r="FF137" s="199" t="s">
        <v>197</v>
      </c>
      <c r="FG137"/>
      <c r="FH137" s="206">
        <f t="shared" ca="1" si="20"/>
        <v>0</v>
      </c>
      <c r="FI137" s="198">
        <f t="shared" si="21"/>
        <v>2.9666666666666668</v>
      </c>
      <c r="FJ137"/>
      <c r="FK137" t="str">
        <f t="shared" si="22"/>
        <v>America Energia S/A</v>
      </c>
      <c r="FL137" s="191">
        <f t="shared" ca="1" si="23"/>
        <v>14880</v>
      </c>
      <c r="FM137" s="191">
        <f t="shared" ca="1" si="24"/>
        <v>28320</v>
      </c>
      <c r="FN137" s="190">
        <f>AB137*AB$2*IF($FC137="V",1,-1)*IF($Q137="Fixo",(CP137-INDEX('Curva Forward'!$C$5:$AN$13,MATCH(CONCATENATE(BD_COMERCIAL!$K137," ",BD_COMERCIAL!$L137),'Curva Forward'!$B$5:$B$13,0),MATCH(FN$4,'Curva Forward'!$C$4:$AN$4,0))),CP137)</f>
        <v>14880</v>
      </c>
      <c r="FO137" s="190">
        <f>AC137*AC$2*IF($FC137="V",1,-1)*IF($Q137="Fixo",(CQ137-INDEX('Curva Forward'!$C$5:$AN$13,MATCH(CONCATENATE(BD_COMERCIAL!$K137," ",BD_COMERCIAL!$L137),'Curva Forward'!$B$5:$B$13,0),MATCH(FO$4,'Curva Forward'!$C$4:$AN$4,0))),CQ137)</f>
        <v>13440</v>
      </c>
      <c r="FP137" s="190">
        <f>AD137*AD$2*IF($FC137="V",1,-1)*IF($Q137="Fixo",(CR137-INDEX('Curva Forward'!$C$5:$AN$13,MATCH(CONCATENATE(BD_COMERCIAL!$K137," ",BD_COMERCIAL!$L137),'Curva Forward'!$B$5:$B$13,0),MATCH(FP$4,'Curva Forward'!$C$4:$AN$4,0))),CR137)</f>
        <v>14880</v>
      </c>
      <c r="FQ137" s="190">
        <f>AE137*AE$2*IF($FC137="V",1,-1)*IF($Q137="Fixo",(CS137-INDEX('Curva Forward'!$C$5:$AN$13,MATCH(CONCATENATE(BD_COMERCIAL!$K137," ",BD_COMERCIAL!$L137),'Curva Forward'!$B$5:$B$13,0),MATCH(FQ$4,'Curva Forward'!$C$4:$AN$4,0))),CS137)</f>
        <v>0</v>
      </c>
      <c r="FR137" s="190">
        <f>AF137*AF$2*IF($FC137="V",1,-1)*IF($Q137="Fixo",(CT137-INDEX('Curva Forward'!$C$5:$AN$13,MATCH(CONCATENATE(BD_COMERCIAL!$K137," ",BD_COMERCIAL!$L137),'Curva Forward'!$B$5:$B$13,0),MATCH(FR$4,'Curva Forward'!$C$4:$AN$4,0))),CT137)</f>
        <v>0</v>
      </c>
      <c r="FS137" s="190">
        <f>AG137*AG$2*IF($FC137="V",1,-1)*IF($Q137="Fixo",(CU137-INDEX('Curva Forward'!$C$5:$AN$13,MATCH(CONCATENATE(BD_COMERCIAL!$K137," ",BD_COMERCIAL!$L137),'Curva Forward'!$B$5:$B$13,0),MATCH(FS$4,'Curva Forward'!$C$4:$AN$4,0))),CU137)</f>
        <v>0</v>
      </c>
      <c r="FT137" s="190">
        <f>AH137*AH$2*IF($FC137="V",1,-1)*IF($Q137="Fixo",(CV137-INDEX('Curva Forward'!$C$5:$AN$13,MATCH(CONCATENATE(BD_COMERCIAL!$K137," ",BD_COMERCIAL!$L137),'Curva Forward'!$B$5:$B$13,0),MATCH(FT$4,'Curva Forward'!$C$4:$AN$4,0))),CV137)</f>
        <v>0</v>
      </c>
      <c r="FU137" s="190">
        <f>AI137*AI$2*IF($FC137="V",1,-1)*IF($Q137="Fixo",(CW137-INDEX('Curva Forward'!$C$5:$AN$13,MATCH(CONCATENATE(BD_COMERCIAL!$K137," ",BD_COMERCIAL!$L137),'Curva Forward'!$B$5:$B$13,0),MATCH(FU$4,'Curva Forward'!$C$4:$AN$4,0))),CW137)</f>
        <v>0</v>
      </c>
      <c r="FV137" s="190">
        <f>AJ137*AJ$2*IF($FC137="V",1,-1)*IF($Q137="Fixo",(CX137-INDEX('Curva Forward'!$C$5:$AN$13,MATCH(CONCATENATE(BD_COMERCIAL!$K137," ",BD_COMERCIAL!$L137),'Curva Forward'!$B$5:$B$13,0),MATCH(FV$4,'Curva Forward'!$C$4:$AN$4,0))),CX137)</f>
        <v>0</v>
      </c>
      <c r="FW137" s="190">
        <f>AK137*AK$2*IF($FC137="V",1,-1)*IF($Q137="Fixo",(CY137-INDEX('Curva Forward'!$C$5:$AN$13,MATCH(CONCATENATE(BD_COMERCIAL!$K137," ",BD_COMERCIAL!$L137),'Curva Forward'!$B$5:$B$13,0),MATCH(FW$4,'Curva Forward'!$C$4:$AN$4,0))),CY137)</f>
        <v>0</v>
      </c>
      <c r="FX137" s="190">
        <f>AL137*AL$2*IF($FC137="V",1,-1)*IF($Q137="Fixo",(CZ137-INDEX('Curva Forward'!$C$5:$AN$13,MATCH(CONCATENATE(BD_COMERCIAL!$K137," ",BD_COMERCIAL!$L137),'Curva Forward'!$B$5:$B$13,0),MATCH(FX$4,'Curva Forward'!$C$4:$AN$4,0))),CZ137)</f>
        <v>0</v>
      </c>
      <c r="FY137" s="190">
        <f>AM137*AM$2*IF($FC137="V",1,-1)*IF($Q137="Fixo",(DA137-INDEX('Curva Forward'!$C$5:$AN$13,MATCH(CONCATENATE(BD_COMERCIAL!$K137," ",BD_COMERCIAL!$L137),'Curva Forward'!$B$5:$B$13,0),MATCH(FY$4,'Curva Forward'!$C$4:$AN$4,0))),DA137)</f>
        <v>0</v>
      </c>
      <c r="FZ137" s="190">
        <f>AN137*AN$2*IF($FC137="V",1,-1)*IF($Q137="Fixo",(DB137-INDEX('Curva Forward'!$C$5:$AN$13,MATCH(CONCATENATE(BD_COMERCIAL!$K137," ",BD_COMERCIAL!$L137),'Curva Forward'!$B$5:$B$13,0),MATCH(FZ$4,'Curva Forward'!$C$4:$AN$4,0))),DB137)</f>
        <v>0</v>
      </c>
      <c r="GA137" s="190">
        <f>AO137*AO$2*IF($FC137="V",1,-1)*IF($Q137="Fixo",(DC137-INDEX('Curva Forward'!$C$5:$AN$13,MATCH(CONCATENATE(BD_COMERCIAL!$K137," ",BD_COMERCIAL!$L137),'Curva Forward'!$B$5:$B$13,0),MATCH(GA$4,'Curva Forward'!$C$4:$AN$4,0))),DC137)</f>
        <v>0</v>
      </c>
      <c r="GB137" s="190">
        <f>AP137*AP$2*IF($FC137="V",1,-1)*IF($Q137="Fixo",(DD137-INDEX('Curva Forward'!$C$5:$AN$13,MATCH(CONCATENATE(BD_COMERCIAL!$K137," ",BD_COMERCIAL!$L137),'Curva Forward'!$B$5:$B$13,0),MATCH(GB$4,'Curva Forward'!$C$4:$AN$4,0))),DD137)</f>
        <v>0</v>
      </c>
      <c r="GC137" s="190">
        <f>AQ137*AQ$2*IF($FC137="V",1,-1)*IF($Q137="Fixo",(DE137-INDEX('Curva Forward'!$C$5:$AN$13,MATCH(CONCATENATE(BD_COMERCIAL!$K137," ",BD_COMERCIAL!$L137),'Curva Forward'!$B$5:$B$13,0),MATCH(GC$4,'Curva Forward'!$C$4:$AN$4,0))),DE137)</f>
        <v>0</v>
      </c>
      <c r="GD137" s="190">
        <f>AR137*AR$2*IF($FC137="V",1,-1)*IF($Q137="Fixo",(DF137-INDEX('Curva Forward'!$C$5:$AN$13,MATCH(CONCATENATE(BD_COMERCIAL!$K137," ",BD_COMERCIAL!$L137),'Curva Forward'!$B$5:$B$13,0),MATCH(GD$4,'Curva Forward'!$C$4:$AN$4,0))),DF137)</f>
        <v>0</v>
      </c>
      <c r="GE137" s="190">
        <f>AS137*AS$2*IF($FC137="V",1,-1)*IF($Q137="Fixo",(DG137-INDEX('Curva Forward'!$C$5:$AN$13,MATCH(CONCATENATE(BD_COMERCIAL!$K137," ",BD_COMERCIAL!$L137),'Curva Forward'!$B$5:$B$13,0),MATCH(GE$4,'Curva Forward'!$C$4:$AN$4,0))),DG137)</f>
        <v>0</v>
      </c>
      <c r="GF137" s="190">
        <f>AT137*AT$2*IF($FC137="V",1,-1)*IF($Q137="Fixo",(DH137-INDEX('Curva Forward'!$C$5:$AN$13,MATCH(CONCATENATE(BD_COMERCIAL!$K137," ",BD_COMERCIAL!$L137),'Curva Forward'!$B$5:$B$13,0),MATCH(GF$4,'Curva Forward'!$C$4:$AN$4,0))),DH137)</f>
        <v>0</v>
      </c>
      <c r="GG137" s="190">
        <f>AU137*AU$2*IF($FC137="V",1,-1)*IF($Q137="Fixo",(DI137-INDEX('Curva Forward'!$C$5:$AN$13,MATCH(CONCATENATE(BD_COMERCIAL!$K137," ",BD_COMERCIAL!$L137),'Curva Forward'!$B$5:$B$13,0),MATCH(GG$4,'Curva Forward'!$C$4:$AN$4,0))),DI137)</f>
        <v>0</v>
      </c>
      <c r="GH137" s="190">
        <f>AV137*AV$2*IF($FC137="V",1,-1)*IF($Q137="Fixo",(DJ137-INDEX('Curva Forward'!$C$5:$AN$13,MATCH(CONCATENATE(BD_COMERCIAL!$K137," ",BD_COMERCIAL!$L137),'Curva Forward'!$B$5:$B$13,0),MATCH(GH$4,'Curva Forward'!$C$4:$AN$4,0))),DJ137)</f>
        <v>0</v>
      </c>
      <c r="GI137" s="190">
        <f>AW137*AW$2*IF($FC137="V",1,-1)*IF($Q137="Fixo",(DK137-INDEX('Curva Forward'!$C$5:$AN$13,MATCH(CONCATENATE(BD_COMERCIAL!$K137," ",BD_COMERCIAL!$L137),'Curva Forward'!$B$5:$B$13,0),MATCH(GI$4,'Curva Forward'!$C$4:$AN$4,0))),DK137)</f>
        <v>0</v>
      </c>
      <c r="GJ137" s="190">
        <f>AX137*AX$2*IF($FC137="V",1,-1)*IF($Q137="Fixo",(DL137-INDEX('Curva Forward'!$C$5:$AN$13,MATCH(CONCATENATE(BD_COMERCIAL!$K137," ",BD_COMERCIAL!$L137),'Curva Forward'!$B$5:$B$13,0),MATCH(GJ$4,'Curva Forward'!$C$4:$AN$4,0))),DL137)</f>
        <v>0</v>
      </c>
      <c r="GK137" s="190">
        <f>AY137*AY$2*IF($FC137="V",1,-1)*IF($Q137="Fixo",(DM137-INDEX('Curva Forward'!$C$5:$AN$13,MATCH(CONCATENATE(BD_COMERCIAL!$K137," ",BD_COMERCIAL!$L137),'Curva Forward'!$B$5:$B$13,0),MATCH(GK$4,'Curva Forward'!$C$4:$AN$4,0))),DM137)</f>
        <v>0</v>
      </c>
      <c r="GL137" s="190">
        <f>IF(EZ137="",0,CL137*CL$2*IF($FC137="V",1,-1)*IF($Q137="Fixo",(EZ137-INDEX('Curva Forward'!$C$5:$AN$13,MATCH(CONCATENATE(BD_COMERCIAL!$K137," ",BD_COMERCIAL!$L137),'Curva Forward'!$B$5:$B$13,0),MATCH(GL$4,'Curva Forward'!$C$4:$AN$4,0))),EZ137))</f>
        <v>0</v>
      </c>
      <c r="GM137" s="190">
        <f>IF(FA137="",0,CM137*CM$2*IF($FC137="V",1,-1)*IF($Q137="Fixo",(FA137-INDEX('Curva Forward'!$C$5:$AN$13,MATCH(CONCATENATE(BD_COMERCIAL!$K137," ",BD_COMERCIAL!$L137),'Curva Forward'!$B$5:$B$13,0),MATCH(GM$4,'Curva Forward'!$C$4:$AN$4,0))),FA137))</f>
        <v>0</v>
      </c>
      <c r="GN137" s="190">
        <f>IF(FB137="",0,CN137*CN$2*IF($FC137="V",1,-1)*IF($Q137="Fixo",(FB137-INDEX('Curva Forward'!$C$5:$AN$13,MATCH(CONCATENATE(BD_COMERCIAL!$K137," ",BD_COMERCIAL!$L137),'Curva Forward'!$B$5:$B$13,0),MATCH(GN$4,'Curva Forward'!$C$4:$AN$4,0))),FB137))</f>
        <v>0</v>
      </c>
      <c r="GO137" s="191">
        <f t="shared" ca="1" si="25"/>
        <v>28320</v>
      </c>
      <c r="GP137" s="191">
        <f t="shared" ca="1" si="26"/>
        <v>0</v>
      </c>
      <c r="GQ137" s="115"/>
      <c r="GR137" s="115"/>
      <c r="GS137"/>
      <c r="GT137" s="65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</row>
    <row r="138" spans="1:236" s="265" customFormat="1" ht="15" customHeight="1" x14ac:dyDescent="0.35">
      <c r="A138" s="251"/>
      <c r="B138" s="7" t="s">
        <v>571</v>
      </c>
      <c r="C138" s="8">
        <v>44924</v>
      </c>
      <c r="D138" s="9" t="s">
        <v>123</v>
      </c>
      <c r="E138" s="9" t="s">
        <v>381</v>
      </c>
      <c r="F138" s="112" t="s">
        <v>348</v>
      </c>
      <c r="G138" s="10" t="s">
        <v>190</v>
      </c>
      <c r="H138" s="112" t="s">
        <v>444</v>
      </c>
      <c r="I138" s="9" t="s">
        <v>125</v>
      </c>
      <c r="J138" s="158" t="s">
        <v>496</v>
      </c>
      <c r="K138" s="10" t="s">
        <v>126</v>
      </c>
      <c r="L138" s="84" t="s">
        <v>22</v>
      </c>
      <c r="M138" s="11">
        <v>44927</v>
      </c>
      <c r="N138" s="12">
        <v>45016</v>
      </c>
      <c r="O138" s="10">
        <v>2</v>
      </c>
      <c r="P138" s="84">
        <v>70</v>
      </c>
      <c r="Q138" s="84" t="s">
        <v>127</v>
      </c>
      <c r="R138" s="10" t="s">
        <v>128</v>
      </c>
      <c r="S138" s="14" t="s">
        <v>133</v>
      </c>
      <c r="T138" s="11"/>
      <c r="U138" s="12"/>
      <c r="V138" s="202" t="str">
        <f ca="1">IF(U138="","",
IF(U138="NA","",
IFERROR(VLOOKUP(EOMONTH(M138,-2)+1,IPCA!$A:$B,2,0),
VLOOKUP(EOMONTH(TODAY(),-2)+1,IPCA!$A:$B,2,0))/
VLOOKUP(EOMONTH(U138,-2)+1,IPCA!$A:$B,2,0)*
P138))</f>
        <v/>
      </c>
      <c r="W138" s="84"/>
      <c r="X138" s="13" t="s">
        <v>6</v>
      </c>
      <c r="Y138" s="158"/>
      <c r="Z138" s="106"/>
      <c r="AA138" s="107"/>
      <c r="AB138" s="15">
        <v>2</v>
      </c>
      <c r="AC138">
        <v>2</v>
      </c>
      <c r="AD138">
        <v>2</v>
      </c>
      <c r="AE138"/>
      <c r="AF138"/>
      <c r="AG138"/>
      <c r="AH138"/>
      <c r="AI138"/>
      <c r="AJ138"/>
      <c r="AK138"/>
      <c r="AL138"/>
      <c r="AM138" s="6"/>
      <c r="AN138" s="15"/>
      <c r="AO138"/>
      <c r="AP138"/>
      <c r="AQ138"/>
      <c r="AR138"/>
      <c r="AS138"/>
      <c r="AT138"/>
      <c r="AU138"/>
      <c r="AV138"/>
      <c r="AW138"/>
      <c r="AX138"/>
      <c r="AY138" s="6"/>
      <c r="AZ138" s="15"/>
      <c r="BA138"/>
      <c r="BB138"/>
      <c r="BC138"/>
      <c r="BD138"/>
      <c r="BE138"/>
      <c r="BF138"/>
      <c r="BG138"/>
      <c r="BH138"/>
      <c r="BI138"/>
      <c r="BJ138"/>
      <c r="BK138" s="6"/>
      <c r="BL138" s="15"/>
      <c r="BM138"/>
      <c r="BN138"/>
      <c r="BO138"/>
      <c r="BP138"/>
      <c r="BQ138"/>
      <c r="BR138"/>
      <c r="BS138"/>
      <c r="BT138"/>
      <c r="BU138"/>
      <c r="BV138"/>
      <c r="BW138" s="6"/>
      <c r="BX138" s="15"/>
      <c r="BY138"/>
      <c r="BZ138"/>
      <c r="CA138"/>
      <c r="CB138"/>
      <c r="CC138"/>
      <c r="CD138"/>
      <c r="CE138"/>
      <c r="CF138"/>
      <c r="CG138"/>
      <c r="CH138"/>
      <c r="CI138" s="6"/>
      <c r="CJ138" s="16">
        <v>0.49315068493150682</v>
      </c>
      <c r="CK138" s="16" t="s">
        <v>578</v>
      </c>
      <c r="CL138" s="16" t="s">
        <v>578</v>
      </c>
      <c r="CM138" s="16" t="s">
        <v>578</v>
      </c>
      <c r="CN138" s="16" t="s">
        <v>578</v>
      </c>
      <c r="CO138" s="18"/>
      <c r="CP138" s="15">
        <v>70</v>
      </c>
      <c r="CQ138">
        <v>70</v>
      </c>
      <c r="CR138">
        <v>70</v>
      </c>
      <c r="CS138"/>
      <c r="CT138"/>
      <c r="CU138"/>
      <c r="CV138"/>
      <c r="CW138"/>
      <c r="CX138"/>
      <c r="CY138"/>
      <c r="CZ138"/>
      <c r="DA138" s="6"/>
      <c r="DB138" s="15"/>
      <c r="DC138"/>
      <c r="DD138"/>
      <c r="DE138"/>
      <c r="DF138"/>
      <c r="DG138"/>
      <c r="DH138"/>
      <c r="DI138"/>
      <c r="DJ138"/>
      <c r="DK138"/>
      <c r="DL138"/>
      <c r="DM138" s="6"/>
      <c r="DN138" s="15"/>
      <c r="DO138"/>
      <c r="DP138"/>
      <c r="DQ138"/>
      <c r="DR138"/>
      <c r="DS138"/>
      <c r="DT138"/>
      <c r="DU138"/>
      <c r="DV138"/>
      <c r="DW138"/>
      <c r="DX138"/>
      <c r="DY138" s="6"/>
      <c r="DZ138" s="15"/>
      <c r="EA138"/>
      <c r="EB138"/>
      <c r="EC138"/>
      <c r="ED138"/>
      <c r="EE138"/>
      <c r="EF138"/>
      <c r="EG138"/>
      <c r="EH138"/>
      <c r="EI138"/>
      <c r="EJ138"/>
      <c r="EK138" s="6"/>
      <c r="EL138" s="15"/>
      <c r="EM138"/>
      <c r="EN138"/>
      <c r="EO138"/>
      <c r="EP138"/>
      <c r="EQ138"/>
      <c r="ER138"/>
      <c r="ES138"/>
      <c r="ET138"/>
      <c r="EU138"/>
      <c r="EV138"/>
      <c r="EW138" s="6"/>
      <c r="EX138" s="16">
        <v>17.260273972602739</v>
      </c>
      <c r="EY138" s="16" t="s">
        <v>578</v>
      </c>
      <c r="EZ138" s="16" t="s">
        <v>578</v>
      </c>
      <c r="FA138" s="154" t="s">
        <v>578</v>
      </c>
      <c r="FB138" s="154" t="s">
        <v>578</v>
      </c>
      <c r="FC138" t="s">
        <v>195</v>
      </c>
      <c r="FD138" s="20" t="s">
        <v>125</v>
      </c>
      <c r="FE138"/>
      <c r="FF138" s="199" t="s">
        <v>197</v>
      </c>
      <c r="FG138"/>
      <c r="FH138" s="206">
        <f t="shared" ca="1" si="20"/>
        <v>0</v>
      </c>
      <c r="FI138" s="198">
        <f t="shared" si="21"/>
        <v>2.9666666666666668</v>
      </c>
      <c r="FJ138"/>
      <c r="FK138" t="str">
        <f t="shared" si="22"/>
        <v>America Energia S/A</v>
      </c>
      <c r="FL138" s="191">
        <f t="shared" ca="1" si="23"/>
        <v>1488</v>
      </c>
      <c r="FM138" s="191">
        <f t="shared" ca="1" si="24"/>
        <v>2832</v>
      </c>
      <c r="FN138" s="190">
        <f>AB138*AB$2*IF($FC138="V",1,-1)*IF($Q138="Fixo",(CP138-INDEX('Curva Forward'!$C$5:$AN$13,MATCH(CONCATENATE(BD_COMERCIAL!$K138," ",BD_COMERCIAL!$L138),'Curva Forward'!$B$5:$B$13,0),MATCH(FN$4,'Curva Forward'!$C$4:$AN$4,0))),CP138)</f>
        <v>1488</v>
      </c>
      <c r="FO138" s="190">
        <f>AC138*AC$2*IF($FC138="V",1,-1)*IF($Q138="Fixo",(CQ138-INDEX('Curva Forward'!$C$5:$AN$13,MATCH(CONCATENATE(BD_COMERCIAL!$K138," ",BD_COMERCIAL!$L138),'Curva Forward'!$B$5:$B$13,0),MATCH(FO$4,'Curva Forward'!$C$4:$AN$4,0))),CQ138)</f>
        <v>1344</v>
      </c>
      <c r="FP138" s="190">
        <f>AD138*AD$2*IF($FC138="V",1,-1)*IF($Q138="Fixo",(CR138-INDEX('Curva Forward'!$C$5:$AN$13,MATCH(CONCATENATE(BD_COMERCIAL!$K138," ",BD_COMERCIAL!$L138),'Curva Forward'!$B$5:$B$13,0),MATCH(FP$4,'Curva Forward'!$C$4:$AN$4,0))),CR138)</f>
        <v>1488</v>
      </c>
      <c r="FQ138" s="190">
        <f>AE138*AE$2*IF($FC138="V",1,-1)*IF($Q138="Fixo",(CS138-INDEX('Curva Forward'!$C$5:$AN$13,MATCH(CONCATENATE(BD_COMERCIAL!$K138," ",BD_COMERCIAL!$L138),'Curva Forward'!$B$5:$B$13,0),MATCH(FQ$4,'Curva Forward'!$C$4:$AN$4,0))),CS138)</f>
        <v>0</v>
      </c>
      <c r="FR138" s="190">
        <f>AF138*AF$2*IF($FC138="V",1,-1)*IF($Q138="Fixo",(CT138-INDEX('Curva Forward'!$C$5:$AN$13,MATCH(CONCATENATE(BD_COMERCIAL!$K138," ",BD_COMERCIAL!$L138),'Curva Forward'!$B$5:$B$13,0),MATCH(FR$4,'Curva Forward'!$C$4:$AN$4,0))),CT138)</f>
        <v>0</v>
      </c>
      <c r="FS138" s="190">
        <f>AG138*AG$2*IF($FC138="V",1,-1)*IF($Q138="Fixo",(CU138-INDEX('Curva Forward'!$C$5:$AN$13,MATCH(CONCATENATE(BD_COMERCIAL!$K138," ",BD_COMERCIAL!$L138),'Curva Forward'!$B$5:$B$13,0),MATCH(FS$4,'Curva Forward'!$C$4:$AN$4,0))),CU138)</f>
        <v>0</v>
      </c>
      <c r="FT138" s="190">
        <f>AH138*AH$2*IF($FC138="V",1,-1)*IF($Q138="Fixo",(CV138-INDEX('Curva Forward'!$C$5:$AN$13,MATCH(CONCATENATE(BD_COMERCIAL!$K138," ",BD_COMERCIAL!$L138),'Curva Forward'!$B$5:$B$13,0),MATCH(FT$4,'Curva Forward'!$C$4:$AN$4,0))),CV138)</f>
        <v>0</v>
      </c>
      <c r="FU138" s="190">
        <f>AI138*AI$2*IF($FC138="V",1,-1)*IF($Q138="Fixo",(CW138-INDEX('Curva Forward'!$C$5:$AN$13,MATCH(CONCATENATE(BD_COMERCIAL!$K138," ",BD_COMERCIAL!$L138),'Curva Forward'!$B$5:$B$13,0),MATCH(FU$4,'Curva Forward'!$C$4:$AN$4,0))),CW138)</f>
        <v>0</v>
      </c>
      <c r="FV138" s="190">
        <f>AJ138*AJ$2*IF($FC138="V",1,-1)*IF($Q138="Fixo",(CX138-INDEX('Curva Forward'!$C$5:$AN$13,MATCH(CONCATENATE(BD_COMERCIAL!$K138," ",BD_COMERCIAL!$L138),'Curva Forward'!$B$5:$B$13,0),MATCH(FV$4,'Curva Forward'!$C$4:$AN$4,0))),CX138)</f>
        <v>0</v>
      </c>
      <c r="FW138" s="190">
        <f>AK138*AK$2*IF($FC138="V",1,-1)*IF($Q138="Fixo",(CY138-INDEX('Curva Forward'!$C$5:$AN$13,MATCH(CONCATENATE(BD_COMERCIAL!$K138," ",BD_COMERCIAL!$L138),'Curva Forward'!$B$5:$B$13,0),MATCH(FW$4,'Curva Forward'!$C$4:$AN$4,0))),CY138)</f>
        <v>0</v>
      </c>
      <c r="FX138" s="190">
        <f>AL138*AL$2*IF($FC138="V",1,-1)*IF($Q138="Fixo",(CZ138-INDEX('Curva Forward'!$C$5:$AN$13,MATCH(CONCATENATE(BD_COMERCIAL!$K138," ",BD_COMERCIAL!$L138),'Curva Forward'!$B$5:$B$13,0),MATCH(FX$4,'Curva Forward'!$C$4:$AN$4,0))),CZ138)</f>
        <v>0</v>
      </c>
      <c r="FY138" s="190">
        <f>AM138*AM$2*IF($FC138="V",1,-1)*IF($Q138="Fixo",(DA138-INDEX('Curva Forward'!$C$5:$AN$13,MATCH(CONCATENATE(BD_COMERCIAL!$K138," ",BD_COMERCIAL!$L138),'Curva Forward'!$B$5:$B$13,0),MATCH(FY$4,'Curva Forward'!$C$4:$AN$4,0))),DA138)</f>
        <v>0</v>
      </c>
      <c r="FZ138" s="190">
        <f>AN138*AN$2*IF($FC138="V",1,-1)*IF($Q138="Fixo",(DB138-INDEX('Curva Forward'!$C$5:$AN$13,MATCH(CONCATENATE(BD_COMERCIAL!$K138," ",BD_COMERCIAL!$L138),'Curva Forward'!$B$5:$B$13,0),MATCH(FZ$4,'Curva Forward'!$C$4:$AN$4,0))),DB138)</f>
        <v>0</v>
      </c>
      <c r="GA138" s="190">
        <f>AO138*AO$2*IF($FC138="V",1,-1)*IF($Q138="Fixo",(DC138-INDEX('Curva Forward'!$C$5:$AN$13,MATCH(CONCATENATE(BD_COMERCIAL!$K138," ",BD_COMERCIAL!$L138),'Curva Forward'!$B$5:$B$13,0),MATCH(GA$4,'Curva Forward'!$C$4:$AN$4,0))),DC138)</f>
        <v>0</v>
      </c>
      <c r="GB138" s="190">
        <f>AP138*AP$2*IF($FC138="V",1,-1)*IF($Q138="Fixo",(DD138-INDEX('Curva Forward'!$C$5:$AN$13,MATCH(CONCATENATE(BD_COMERCIAL!$K138," ",BD_COMERCIAL!$L138),'Curva Forward'!$B$5:$B$13,0),MATCH(GB$4,'Curva Forward'!$C$4:$AN$4,0))),DD138)</f>
        <v>0</v>
      </c>
      <c r="GC138" s="190">
        <f>AQ138*AQ$2*IF($FC138="V",1,-1)*IF($Q138="Fixo",(DE138-INDEX('Curva Forward'!$C$5:$AN$13,MATCH(CONCATENATE(BD_COMERCIAL!$K138," ",BD_COMERCIAL!$L138),'Curva Forward'!$B$5:$B$13,0),MATCH(GC$4,'Curva Forward'!$C$4:$AN$4,0))),DE138)</f>
        <v>0</v>
      </c>
      <c r="GD138" s="190">
        <f>AR138*AR$2*IF($FC138="V",1,-1)*IF($Q138="Fixo",(DF138-INDEX('Curva Forward'!$C$5:$AN$13,MATCH(CONCATENATE(BD_COMERCIAL!$K138," ",BD_COMERCIAL!$L138),'Curva Forward'!$B$5:$B$13,0),MATCH(GD$4,'Curva Forward'!$C$4:$AN$4,0))),DF138)</f>
        <v>0</v>
      </c>
      <c r="GE138" s="190">
        <f>AS138*AS$2*IF($FC138="V",1,-1)*IF($Q138="Fixo",(DG138-INDEX('Curva Forward'!$C$5:$AN$13,MATCH(CONCATENATE(BD_COMERCIAL!$K138," ",BD_COMERCIAL!$L138),'Curva Forward'!$B$5:$B$13,0),MATCH(GE$4,'Curva Forward'!$C$4:$AN$4,0))),DG138)</f>
        <v>0</v>
      </c>
      <c r="GF138" s="190">
        <f>AT138*AT$2*IF($FC138="V",1,-1)*IF($Q138="Fixo",(DH138-INDEX('Curva Forward'!$C$5:$AN$13,MATCH(CONCATENATE(BD_COMERCIAL!$K138," ",BD_COMERCIAL!$L138),'Curva Forward'!$B$5:$B$13,0),MATCH(GF$4,'Curva Forward'!$C$4:$AN$4,0))),DH138)</f>
        <v>0</v>
      </c>
      <c r="GG138" s="190">
        <f>AU138*AU$2*IF($FC138="V",1,-1)*IF($Q138="Fixo",(DI138-INDEX('Curva Forward'!$C$5:$AN$13,MATCH(CONCATENATE(BD_COMERCIAL!$K138," ",BD_COMERCIAL!$L138),'Curva Forward'!$B$5:$B$13,0),MATCH(GG$4,'Curva Forward'!$C$4:$AN$4,0))),DI138)</f>
        <v>0</v>
      </c>
      <c r="GH138" s="190">
        <f>AV138*AV$2*IF($FC138="V",1,-1)*IF($Q138="Fixo",(DJ138-INDEX('Curva Forward'!$C$5:$AN$13,MATCH(CONCATENATE(BD_COMERCIAL!$K138," ",BD_COMERCIAL!$L138),'Curva Forward'!$B$5:$B$13,0),MATCH(GH$4,'Curva Forward'!$C$4:$AN$4,0))),DJ138)</f>
        <v>0</v>
      </c>
      <c r="GI138" s="190">
        <f>AW138*AW$2*IF($FC138="V",1,-1)*IF($Q138="Fixo",(DK138-INDEX('Curva Forward'!$C$5:$AN$13,MATCH(CONCATENATE(BD_COMERCIAL!$K138," ",BD_COMERCIAL!$L138),'Curva Forward'!$B$5:$B$13,0),MATCH(GI$4,'Curva Forward'!$C$4:$AN$4,0))),DK138)</f>
        <v>0</v>
      </c>
      <c r="GJ138" s="190">
        <f>AX138*AX$2*IF($FC138="V",1,-1)*IF($Q138="Fixo",(DL138-INDEX('Curva Forward'!$C$5:$AN$13,MATCH(CONCATENATE(BD_COMERCIAL!$K138," ",BD_COMERCIAL!$L138),'Curva Forward'!$B$5:$B$13,0),MATCH(GJ$4,'Curva Forward'!$C$4:$AN$4,0))),DL138)</f>
        <v>0</v>
      </c>
      <c r="GK138" s="190">
        <f>AY138*AY$2*IF($FC138="V",1,-1)*IF($Q138="Fixo",(DM138-INDEX('Curva Forward'!$C$5:$AN$13,MATCH(CONCATENATE(BD_COMERCIAL!$K138," ",BD_COMERCIAL!$L138),'Curva Forward'!$B$5:$B$13,0),MATCH(GK$4,'Curva Forward'!$C$4:$AN$4,0))),DM138)</f>
        <v>0</v>
      </c>
      <c r="GL138" s="190">
        <f>IF(EZ138="",0,CL138*CL$2*IF($FC138="V",1,-1)*IF($Q138="Fixo",(EZ138-INDEX('Curva Forward'!$C$5:$AN$13,MATCH(CONCATENATE(BD_COMERCIAL!$K138," ",BD_COMERCIAL!$L138),'Curva Forward'!$B$5:$B$13,0),MATCH(GL$4,'Curva Forward'!$C$4:$AN$4,0))),EZ138))</f>
        <v>0</v>
      </c>
      <c r="GM138" s="190">
        <f>IF(FA138="",0,CM138*CM$2*IF($FC138="V",1,-1)*IF($Q138="Fixo",(FA138-INDEX('Curva Forward'!$C$5:$AN$13,MATCH(CONCATENATE(BD_COMERCIAL!$K138," ",BD_COMERCIAL!$L138),'Curva Forward'!$B$5:$B$13,0),MATCH(GM$4,'Curva Forward'!$C$4:$AN$4,0))),FA138))</f>
        <v>0</v>
      </c>
      <c r="GN138" s="190">
        <f>IF(FB138="",0,CN138*CN$2*IF($FC138="V",1,-1)*IF($Q138="Fixo",(FB138-INDEX('Curva Forward'!$C$5:$AN$13,MATCH(CONCATENATE(BD_COMERCIAL!$K138," ",BD_COMERCIAL!$L138),'Curva Forward'!$B$5:$B$13,0),MATCH(GN$4,'Curva Forward'!$C$4:$AN$4,0))),FB138))</f>
        <v>0</v>
      </c>
      <c r="GO138" s="191">
        <f t="shared" ca="1" si="25"/>
        <v>2832</v>
      </c>
      <c r="GP138" s="191">
        <f t="shared" ca="1" si="26"/>
        <v>0</v>
      </c>
      <c r="GQ138" s="115"/>
      <c r="GR138" s="115"/>
      <c r="GS138"/>
      <c r="GT138" s="65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</row>
    <row r="139" spans="1:236" s="265" customFormat="1" ht="15" customHeight="1" x14ac:dyDescent="0.35">
      <c r="A139" s="251"/>
      <c r="B139" s="7" t="s">
        <v>572</v>
      </c>
      <c r="C139" s="8">
        <v>44930</v>
      </c>
      <c r="D139" s="9" t="s">
        <v>123</v>
      </c>
      <c r="E139" s="9" t="s">
        <v>381</v>
      </c>
      <c r="F139" s="112" t="s">
        <v>348</v>
      </c>
      <c r="G139" s="10" t="s">
        <v>212</v>
      </c>
      <c r="H139" s="112" t="s">
        <v>372</v>
      </c>
      <c r="I139" s="9" t="s">
        <v>125</v>
      </c>
      <c r="J139" s="158" t="s">
        <v>496</v>
      </c>
      <c r="K139" s="10" t="s">
        <v>126</v>
      </c>
      <c r="L139" s="84" t="s">
        <v>22</v>
      </c>
      <c r="M139" s="11">
        <v>44927</v>
      </c>
      <c r="N139" s="12">
        <v>45016</v>
      </c>
      <c r="O139" s="10">
        <v>10</v>
      </c>
      <c r="P139" s="84">
        <v>69.5</v>
      </c>
      <c r="Q139" s="84" t="s">
        <v>127</v>
      </c>
      <c r="R139" s="10" t="s">
        <v>128</v>
      </c>
      <c r="S139" s="14" t="s">
        <v>133</v>
      </c>
      <c r="T139" s="11"/>
      <c r="U139" s="12"/>
      <c r="V139" s="202" t="str">
        <f ca="1">IF(U139="","",
IF(U139="NA","",
IFERROR(VLOOKUP(EOMONTH(M139,-2)+1,IPCA!$A:$B,2,0),
VLOOKUP(EOMONTH(TODAY(),-2)+1,IPCA!$A:$B,2,0))/
VLOOKUP(EOMONTH(U139,-2)+1,IPCA!$A:$B,2,0)*
P139))</f>
        <v/>
      </c>
      <c r="W139" s="84"/>
      <c r="X139" s="13" t="s">
        <v>132</v>
      </c>
      <c r="Y139" s="158"/>
      <c r="Z139" s="106"/>
      <c r="AA139" s="107"/>
      <c r="AB139" s="15">
        <v>10</v>
      </c>
      <c r="AC139">
        <v>10</v>
      </c>
      <c r="AD139">
        <v>10</v>
      </c>
      <c r="AE139"/>
      <c r="AF139"/>
      <c r="AG139"/>
      <c r="AH139"/>
      <c r="AI139"/>
      <c r="AJ139"/>
      <c r="AK139"/>
      <c r="AL139"/>
      <c r="AM139" s="6"/>
      <c r="AN139" s="15"/>
      <c r="AO139"/>
      <c r="AP139"/>
      <c r="AQ139"/>
      <c r="AR139"/>
      <c r="AS139"/>
      <c r="AT139"/>
      <c r="AU139"/>
      <c r="AV139"/>
      <c r="AW139"/>
      <c r="AX139"/>
      <c r="AY139" s="6"/>
      <c r="AZ139" s="15"/>
      <c r="BA139"/>
      <c r="BB139"/>
      <c r="BC139"/>
      <c r="BD139"/>
      <c r="BE139"/>
      <c r="BF139"/>
      <c r="BG139"/>
      <c r="BH139"/>
      <c r="BI139"/>
      <c r="BJ139"/>
      <c r="BK139" s="6"/>
      <c r="BL139" s="15"/>
      <c r="BM139"/>
      <c r="BN139"/>
      <c r="BO139"/>
      <c r="BP139"/>
      <c r="BQ139"/>
      <c r="BR139"/>
      <c r="BS139"/>
      <c r="BT139"/>
      <c r="BU139"/>
      <c r="BV139"/>
      <c r="BW139" s="6"/>
      <c r="BX139" s="15"/>
      <c r="BY139"/>
      <c r="BZ139"/>
      <c r="CA139"/>
      <c r="CB139"/>
      <c r="CC139"/>
      <c r="CD139"/>
      <c r="CE139"/>
      <c r="CF139"/>
      <c r="CG139"/>
      <c r="CH139"/>
      <c r="CI139" s="6"/>
      <c r="CJ139" s="16">
        <v>2.4657534246575343</v>
      </c>
      <c r="CK139" s="16" t="s">
        <v>578</v>
      </c>
      <c r="CL139" s="16" t="s">
        <v>578</v>
      </c>
      <c r="CM139" s="16" t="s">
        <v>578</v>
      </c>
      <c r="CN139" s="16" t="s">
        <v>578</v>
      </c>
      <c r="CO139" s="18"/>
      <c r="CP139" s="15">
        <v>69.5</v>
      </c>
      <c r="CQ139">
        <v>69.5</v>
      </c>
      <c r="CR139">
        <v>69.5</v>
      </c>
      <c r="CS139"/>
      <c r="CT139"/>
      <c r="CU139"/>
      <c r="CV139"/>
      <c r="CW139"/>
      <c r="CX139"/>
      <c r="CY139"/>
      <c r="CZ139"/>
      <c r="DA139" s="6"/>
      <c r="DB139" s="15"/>
      <c r="DC139"/>
      <c r="DD139"/>
      <c r="DE139"/>
      <c r="DF139"/>
      <c r="DG139"/>
      <c r="DH139"/>
      <c r="DI139"/>
      <c r="DJ139"/>
      <c r="DK139"/>
      <c r="DL139"/>
      <c r="DM139" s="6"/>
      <c r="DN139" s="15"/>
      <c r="DO139"/>
      <c r="DP139"/>
      <c r="DQ139"/>
      <c r="DR139"/>
      <c r="DS139"/>
      <c r="DT139"/>
      <c r="DU139"/>
      <c r="DV139"/>
      <c r="DW139"/>
      <c r="DX139"/>
      <c r="DY139" s="6"/>
      <c r="DZ139" s="15"/>
      <c r="EA139"/>
      <c r="EB139"/>
      <c r="EC139"/>
      <c r="ED139"/>
      <c r="EE139"/>
      <c r="EF139"/>
      <c r="EG139"/>
      <c r="EH139"/>
      <c r="EI139"/>
      <c r="EJ139"/>
      <c r="EK139" s="6"/>
      <c r="EL139" s="15"/>
      <c r="EM139"/>
      <c r="EN139"/>
      <c r="EO139"/>
      <c r="EP139"/>
      <c r="EQ139"/>
      <c r="ER139"/>
      <c r="ES139"/>
      <c r="ET139"/>
      <c r="EU139"/>
      <c r="EV139"/>
      <c r="EW139" s="6"/>
      <c r="EX139" s="16">
        <v>17.136986301369863</v>
      </c>
      <c r="EY139" s="16" t="s">
        <v>578</v>
      </c>
      <c r="EZ139" s="16" t="s">
        <v>578</v>
      </c>
      <c r="FA139" s="154" t="s">
        <v>578</v>
      </c>
      <c r="FB139" s="154" t="s">
        <v>578</v>
      </c>
      <c r="FC139" t="s">
        <v>195</v>
      </c>
      <c r="FD139" s="20" t="s">
        <v>125</v>
      </c>
      <c r="FE139"/>
      <c r="FF139" s="199" t="s">
        <v>197</v>
      </c>
      <c r="FG139"/>
      <c r="FH139" s="206">
        <f t="shared" ca="1" si="20"/>
        <v>0</v>
      </c>
      <c r="FI139" s="198">
        <f t="shared" si="21"/>
        <v>2.9666666666666668</v>
      </c>
      <c r="FJ139"/>
      <c r="FK139" t="str">
        <f t="shared" si="22"/>
        <v>Eneva Comercializadora de Energia Ltda</v>
      </c>
      <c r="FL139" s="191">
        <f t="shared" ca="1" si="23"/>
        <v>3720</v>
      </c>
      <c r="FM139" s="191">
        <f t="shared" ca="1" si="24"/>
        <v>7080</v>
      </c>
      <c r="FN139" s="190">
        <f>AB139*AB$2*IF($FC139="V",1,-1)*IF($Q139="Fixo",(CP139-INDEX('Curva Forward'!$C$5:$AN$13,MATCH(CONCATENATE(BD_COMERCIAL!$K139," ",BD_COMERCIAL!$L139),'Curva Forward'!$B$5:$B$13,0),MATCH(FN$4,'Curva Forward'!$C$4:$AN$4,0))),CP139)</f>
        <v>3720</v>
      </c>
      <c r="FO139" s="190">
        <f>AC139*AC$2*IF($FC139="V",1,-1)*IF($Q139="Fixo",(CQ139-INDEX('Curva Forward'!$C$5:$AN$13,MATCH(CONCATENATE(BD_COMERCIAL!$K139," ",BD_COMERCIAL!$L139),'Curva Forward'!$B$5:$B$13,0),MATCH(FO$4,'Curva Forward'!$C$4:$AN$4,0))),CQ139)</f>
        <v>3360</v>
      </c>
      <c r="FP139" s="190">
        <f>AD139*AD$2*IF($FC139="V",1,-1)*IF($Q139="Fixo",(CR139-INDEX('Curva Forward'!$C$5:$AN$13,MATCH(CONCATENATE(BD_COMERCIAL!$K139," ",BD_COMERCIAL!$L139),'Curva Forward'!$B$5:$B$13,0),MATCH(FP$4,'Curva Forward'!$C$4:$AN$4,0))),CR139)</f>
        <v>3720</v>
      </c>
      <c r="FQ139" s="190">
        <f>AE139*AE$2*IF($FC139="V",1,-1)*IF($Q139="Fixo",(CS139-INDEX('Curva Forward'!$C$5:$AN$13,MATCH(CONCATENATE(BD_COMERCIAL!$K139," ",BD_COMERCIAL!$L139),'Curva Forward'!$B$5:$B$13,0),MATCH(FQ$4,'Curva Forward'!$C$4:$AN$4,0))),CS139)</f>
        <v>0</v>
      </c>
      <c r="FR139" s="190">
        <f>AF139*AF$2*IF($FC139="V",1,-1)*IF($Q139="Fixo",(CT139-INDEX('Curva Forward'!$C$5:$AN$13,MATCH(CONCATENATE(BD_COMERCIAL!$K139," ",BD_COMERCIAL!$L139),'Curva Forward'!$B$5:$B$13,0),MATCH(FR$4,'Curva Forward'!$C$4:$AN$4,0))),CT139)</f>
        <v>0</v>
      </c>
      <c r="FS139" s="190">
        <f>AG139*AG$2*IF($FC139="V",1,-1)*IF($Q139="Fixo",(CU139-INDEX('Curva Forward'!$C$5:$AN$13,MATCH(CONCATENATE(BD_COMERCIAL!$K139," ",BD_COMERCIAL!$L139),'Curva Forward'!$B$5:$B$13,0),MATCH(FS$4,'Curva Forward'!$C$4:$AN$4,0))),CU139)</f>
        <v>0</v>
      </c>
      <c r="FT139" s="190">
        <f>AH139*AH$2*IF($FC139="V",1,-1)*IF($Q139="Fixo",(CV139-INDEX('Curva Forward'!$C$5:$AN$13,MATCH(CONCATENATE(BD_COMERCIAL!$K139," ",BD_COMERCIAL!$L139),'Curva Forward'!$B$5:$B$13,0),MATCH(FT$4,'Curva Forward'!$C$4:$AN$4,0))),CV139)</f>
        <v>0</v>
      </c>
      <c r="FU139" s="190">
        <f>AI139*AI$2*IF($FC139="V",1,-1)*IF($Q139="Fixo",(CW139-INDEX('Curva Forward'!$C$5:$AN$13,MATCH(CONCATENATE(BD_COMERCIAL!$K139," ",BD_COMERCIAL!$L139),'Curva Forward'!$B$5:$B$13,0),MATCH(FU$4,'Curva Forward'!$C$4:$AN$4,0))),CW139)</f>
        <v>0</v>
      </c>
      <c r="FV139" s="190">
        <f>AJ139*AJ$2*IF($FC139="V",1,-1)*IF($Q139="Fixo",(CX139-INDEX('Curva Forward'!$C$5:$AN$13,MATCH(CONCATENATE(BD_COMERCIAL!$K139," ",BD_COMERCIAL!$L139),'Curva Forward'!$B$5:$B$13,0),MATCH(FV$4,'Curva Forward'!$C$4:$AN$4,0))),CX139)</f>
        <v>0</v>
      </c>
      <c r="FW139" s="190">
        <f>AK139*AK$2*IF($FC139="V",1,-1)*IF($Q139="Fixo",(CY139-INDEX('Curva Forward'!$C$5:$AN$13,MATCH(CONCATENATE(BD_COMERCIAL!$K139," ",BD_COMERCIAL!$L139),'Curva Forward'!$B$5:$B$13,0),MATCH(FW$4,'Curva Forward'!$C$4:$AN$4,0))),CY139)</f>
        <v>0</v>
      </c>
      <c r="FX139" s="190">
        <f>AL139*AL$2*IF($FC139="V",1,-1)*IF($Q139="Fixo",(CZ139-INDEX('Curva Forward'!$C$5:$AN$13,MATCH(CONCATENATE(BD_COMERCIAL!$K139," ",BD_COMERCIAL!$L139),'Curva Forward'!$B$5:$B$13,0),MATCH(FX$4,'Curva Forward'!$C$4:$AN$4,0))),CZ139)</f>
        <v>0</v>
      </c>
      <c r="FY139" s="190">
        <f>AM139*AM$2*IF($FC139="V",1,-1)*IF($Q139="Fixo",(DA139-INDEX('Curva Forward'!$C$5:$AN$13,MATCH(CONCATENATE(BD_COMERCIAL!$K139," ",BD_COMERCIAL!$L139),'Curva Forward'!$B$5:$B$13,0),MATCH(FY$4,'Curva Forward'!$C$4:$AN$4,0))),DA139)</f>
        <v>0</v>
      </c>
      <c r="FZ139" s="190">
        <f>AN139*AN$2*IF($FC139="V",1,-1)*IF($Q139="Fixo",(DB139-INDEX('Curva Forward'!$C$5:$AN$13,MATCH(CONCATENATE(BD_COMERCIAL!$K139," ",BD_COMERCIAL!$L139),'Curva Forward'!$B$5:$B$13,0),MATCH(FZ$4,'Curva Forward'!$C$4:$AN$4,0))),DB139)</f>
        <v>0</v>
      </c>
      <c r="GA139" s="190">
        <f>AO139*AO$2*IF($FC139="V",1,-1)*IF($Q139="Fixo",(DC139-INDEX('Curva Forward'!$C$5:$AN$13,MATCH(CONCATENATE(BD_COMERCIAL!$K139," ",BD_COMERCIAL!$L139),'Curva Forward'!$B$5:$B$13,0),MATCH(GA$4,'Curva Forward'!$C$4:$AN$4,0))),DC139)</f>
        <v>0</v>
      </c>
      <c r="GB139" s="190">
        <f>AP139*AP$2*IF($FC139="V",1,-1)*IF($Q139="Fixo",(DD139-INDEX('Curva Forward'!$C$5:$AN$13,MATCH(CONCATENATE(BD_COMERCIAL!$K139," ",BD_COMERCIAL!$L139),'Curva Forward'!$B$5:$B$13,0),MATCH(GB$4,'Curva Forward'!$C$4:$AN$4,0))),DD139)</f>
        <v>0</v>
      </c>
      <c r="GC139" s="190">
        <f>AQ139*AQ$2*IF($FC139="V",1,-1)*IF($Q139="Fixo",(DE139-INDEX('Curva Forward'!$C$5:$AN$13,MATCH(CONCATENATE(BD_COMERCIAL!$K139," ",BD_COMERCIAL!$L139),'Curva Forward'!$B$5:$B$13,0),MATCH(GC$4,'Curva Forward'!$C$4:$AN$4,0))),DE139)</f>
        <v>0</v>
      </c>
      <c r="GD139" s="190">
        <f>AR139*AR$2*IF($FC139="V",1,-1)*IF($Q139="Fixo",(DF139-INDEX('Curva Forward'!$C$5:$AN$13,MATCH(CONCATENATE(BD_COMERCIAL!$K139," ",BD_COMERCIAL!$L139),'Curva Forward'!$B$5:$B$13,0),MATCH(GD$4,'Curva Forward'!$C$4:$AN$4,0))),DF139)</f>
        <v>0</v>
      </c>
      <c r="GE139" s="190">
        <f>AS139*AS$2*IF($FC139="V",1,-1)*IF($Q139="Fixo",(DG139-INDEX('Curva Forward'!$C$5:$AN$13,MATCH(CONCATENATE(BD_COMERCIAL!$K139," ",BD_COMERCIAL!$L139),'Curva Forward'!$B$5:$B$13,0),MATCH(GE$4,'Curva Forward'!$C$4:$AN$4,0))),DG139)</f>
        <v>0</v>
      </c>
      <c r="GF139" s="190">
        <f>AT139*AT$2*IF($FC139="V",1,-1)*IF($Q139="Fixo",(DH139-INDEX('Curva Forward'!$C$5:$AN$13,MATCH(CONCATENATE(BD_COMERCIAL!$K139," ",BD_COMERCIAL!$L139),'Curva Forward'!$B$5:$B$13,0),MATCH(GF$4,'Curva Forward'!$C$4:$AN$4,0))),DH139)</f>
        <v>0</v>
      </c>
      <c r="GG139" s="190">
        <f>AU139*AU$2*IF($FC139="V",1,-1)*IF($Q139="Fixo",(DI139-INDEX('Curva Forward'!$C$5:$AN$13,MATCH(CONCATENATE(BD_COMERCIAL!$K139," ",BD_COMERCIAL!$L139),'Curva Forward'!$B$5:$B$13,0),MATCH(GG$4,'Curva Forward'!$C$4:$AN$4,0))),DI139)</f>
        <v>0</v>
      </c>
      <c r="GH139" s="190">
        <f>AV139*AV$2*IF($FC139="V",1,-1)*IF($Q139="Fixo",(DJ139-INDEX('Curva Forward'!$C$5:$AN$13,MATCH(CONCATENATE(BD_COMERCIAL!$K139," ",BD_COMERCIAL!$L139),'Curva Forward'!$B$5:$B$13,0),MATCH(GH$4,'Curva Forward'!$C$4:$AN$4,0))),DJ139)</f>
        <v>0</v>
      </c>
      <c r="GI139" s="190">
        <f>AW139*AW$2*IF($FC139="V",1,-1)*IF($Q139="Fixo",(DK139-INDEX('Curva Forward'!$C$5:$AN$13,MATCH(CONCATENATE(BD_COMERCIAL!$K139," ",BD_COMERCIAL!$L139),'Curva Forward'!$B$5:$B$13,0),MATCH(GI$4,'Curva Forward'!$C$4:$AN$4,0))),DK139)</f>
        <v>0</v>
      </c>
      <c r="GJ139" s="190">
        <f>AX139*AX$2*IF($FC139="V",1,-1)*IF($Q139="Fixo",(DL139-INDEX('Curva Forward'!$C$5:$AN$13,MATCH(CONCATENATE(BD_COMERCIAL!$K139," ",BD_COMERCIAL!$L139),'Curva Forward'!$B$5:$B$13,0),MATCH(GJ$4,'Curva Forward'!$C$4:$AN$4,0))),DL139)</f>
        <v>0</v>
      </c>
      <c r="GK139" s="190">
        <f>AY139*AY$2*IF($FC139="V",1,-1)*IF($Q139="Fixo",(DM139-INDEX('Curva Forward'!$C$5:$AN$13,MATCH(CONCATENATE(BD_COMERCIAL!$K139," ",BD_COMERCIAL!$L139),'Curva Forward'!$B$5:$B$13,0),MATCH(GK$4,'Curva Forward'!$C$4:$AN$4,0))),DM139)</f>
        <v>0</v>
      </c>
      <c r="GL139" s="190">
        <f>IF(EZ139="",0,CL139*CL$2*IF($FC139="V",1,-1)*IF($Q139="Fixo",(EZ139-INDEX('Curva Forward'!$C$5:$AN$13,MATCH(CONCATENATE(BD_COMERCIAL!$K139," ",BD_COMERCIAL!$L139),'Curva Forward'!$B$5:$B$13,0),MATCH(GL$4,'Curva Forward'!$C$4:$AN$4,0))),EZ139))</f>
        <v>0</v>
      </c>
      <c r="GM139" s="190">
        <f>IF(FA139="",0,CM139*CM$2*IF($FC139="V",1,-1)*IF($Q139="Fixo",(FA139-INDEX('Curva Forward'!$C$5:$AN$13,MATCH(CONCATENATE(BD_COMERCIAL!$K139," ",BD_COMERCIAL!$L139),'Curva Forward'!$B$5:$B$13,0),MATCH(GM$4,'Curva Forward'!$C$4:$AN$4,0))),FA139))</f>
        <v>0</v>
      </c>
      <c r="GN139" s="190">
        <f>IF(FB139="",0,CN139*CN$2*IF($FC139="V",1,-1)*IF($Q139="Fixo",(FB139-INDEX('Curva Forward'!$C$5:$AN$13,MATCH(CONCATENATE(BD_COMERCIAL!$K139," ",BD_COMERCIAL!$L139),'Curva Forward'!$B$5:$B$13,0),MATCH(GN$4,'Curva Forward'!$C$4:$AN$4,0))),FB139))</f>
        <v>0</v>
      </c>
      <c r="GO139" s="191">
        <f t="shared" ca="1" si="25"/>
        <v>7080</v>
      </c>
      <c r="GP139" s="191">
        <f t="shared" ca="1" si="26"/>
        <v>0</v>
      </c>
      <c r="GQ139" s="115"/>
      <c r="GR139" s="115"/>
      <c r="GS139"/>
      <c r="GT139" s="65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</row>
    <row r="140" spans="1:236" s="265" customFormat="1" ht="15" customHeight="1" x14ac:dyDescent="0.35">
      <c r="A140" s="251"/>
      <c r="B140" s="7" t="s">
        <v>573</v>
      </c>
      <c r="C140" s="8">
        <v>44930</v>
      </c>
      <c r="D140" s="9" t="s">
        <v>123</v>
      </c>
      <c r="E140" s="9" t="s">
        <v>381</v>
      </c>
      <c r="F140" s="112" t="s">
        <v>348</v>
      </c>
      <c r="G140" s="10" t="s">
        <v>341</v>
      </c>
      <c r="H140" s="112" t="s">
        <v>384</v>
      </c>
      <c r="I140" s="9" t="s">
        <v>125</v>
      </c>
      <c r="J140" s="158" t="s">
        <v>496</v>
      </c>
      <c r="K140" s="10" t="s">
        <v>126</v>
      </c>
      <c r="L140" s="84" t="s">
        <v>22</v>
      </c>
      <c r="M140" s="11">
        <v>44927</v>
      </c>
      <c r="N140" s="12">
        <v>45016</v>
      </c>
      <c r="O140" s="10">
        <v>10</v>
      </c>
      <c r="P140" s="84">
        <v>69.5</v>
      </c>
      <c r="Q140" s="84" t="s">
        <v>127</v>
      </c>
      <c r="R140" s="10" t="s">
        <v>128</v>
      </c>
      <c r="S140" s="14" t="s">
        <v>133</v>
      </c>
      <c r="T140" s="11"/>
      <c r="U140" s="12"/>
      <c r="V140" s="202" t="str">
        <f ca="1">IF(U140="","",
IF(U140="NA","",
IFERROR(VLOOKUP(EOMONTH(M140,-2)+1,IPCA!$A:$B,2,0),
VLOOKUP(EOMONTH(TODAY(),-2)+1,IPCA!$A:$B,2,0))/
VLOOKUP(EOMONTH(U140,-2)+1,IPCA!$A:$B,2,0)*
P140))</f>
        <v/>
      </c>
      <c r="W140" s="84"/>
      <c r="X140" s="13" t="s">
        <v>132</v>
      </c>
      <c r="Y140" s="158"/>
      <c r="Z140" s="106"/>
      <c r="AA140" s="107"/>
      <c r="AB140" s="15">
        <v>10</v>
      </c>
      <c r="AC140">
        <v>10</v>
      </c>
      <c r="AD140">
        <v>10</v>
      </c>
      <c r="AE140"/>
      <c r="AF140"/>
      <c r="AG140"/>
      <c r="AH140"/>
      <c r="AI140"/>
      <c r="AJ140"/>
      <c r="AK140"/>
      <c r="AL140"/>
      <c r="AM140" s="6"/>
      <c r="AN140" s="15"/>
      <c r="AO140"/>
      <c r="AP140"/>
      <c r="AQ140"/>
      <c r="AR140"/>
      <c r="AS140"/>
      <c r="AT140"/>
      <c r="AU140"/>
      <c r="AV140"/>
      <c r="AW140"/>
      <c r="AX140"/>
      <c r="AY140" s="6"/>
      <c r="AZ140" s="15"/>
      <c r="BA140"/>
      <c r="BB140"/>
      <c r="BC140"/>
      <c r="BD140"/>
      <c r="BE140"/>
      <c r="BF140"/>
      <c r="BG140"/>
      <c r="BH140"/>
      <c r="BI140"/>
      <c r="BJ140"/>
      <c r="BK140" s="6"/>
      <c r="BL140" s="15"/>
      <c r="BM140"/>
      <c r="BN140"/>
      <c r="BO140"/>
      <c r="BP140"/>
      <c r="BQ140"/>
      <c r="BR140"/>
      <c r="BS140"/>
      <c r="BT140"/>
      <c r="BU140"/>
      <c r="BV140"/>
      <c r="BW140" s="6"/>
      <c r="BX140" s="15"/>
      <c r="BY140"/>
      <c r="BZ140"/>
      <c r="CA140"/>
      <c r="CB140"/>
      <c r="CC140"/>
      <c r="CD140"/>
      <c r="CE140"/>
      <c r="CF140"/>
      <c r="CG140"/>
      <c r="CH140"/>
      <c r="CI140" s="6"/>
      <c r="CJ140" s="16">
        <v>2.4657534246575343</v>
      </c>
      <c r="CK140" s="16" t="s">
        <v>578</v>
      </c>
      <c r="CL140" s="16" t="s">
        <v>578</v>
      </c>
      <c r="CM140" s="16" t="s">
        <v>578</v>
      </c>
      <c r="CN140" s="16" t="s">
        <v>578</v>
      </c>
      <c r="CO140" s="18"/>
      <c r="CP140" s="15">
        <v>69.5</v>
      </c>
      <c r="CQ140">
        <v>69.5</v>
      </c>
      <c r="CR140">
        <v>69.5</v>
      </c>
      <c r="CS140"/>
      <c r="CT140"/>
      <c r="CU140"/>
      <c r="CV140"/>
      <c r="CW140"/>
      <c r="CX140"/>
      <c r="CY140"/>
      <c r="CZ140"/>
      <c r="DA140" s="6"/>
      <c r="DB140" s="15"/>
      <c r="DC140"/>
      <c r="DD140"/>
      <c r="DE140"/>
      <c r="DF140"/>
      <c r="DG140"/>
      <c r="DH140"/>
      <c r="DI140"/>
      <c r="DJ140"/>
      <c r="DK140"/>
      <c r="DL140"/>
      <c r="DM140" s="6"/>
      <c r="DN140" s="15"/>
      <c r="DO140"/>
      <c r="DP140"/>
      <c r="DQ140"/>
      <c r="DR140"/>
      <c r="DS140"/>
      <c r="DT140"/>
      <c r="DU140"/>
      <c r="DV140"/>
      <c r="DW140"/>
      <c r="DX140"/>
      <c r="DY140" s="6"/>
      <c r="DZ140" s="15"/>
      <c r="EA140"/>
      <c r="EB140"/>
      <c r="EC140"/>
      <c r="ED140"/>
      <c r="EE140"/>
      <c r="EF140"/>
      <c r="EG140"/>
      <c r="EH140"/>
      <c r="EI140"/>
      <c r="EJ140"/>
      <c r="EK140" s="6"/>
      <c r="EL140" s="15"/>
      <c r="EM140"/>
      <c r="EN140"/>
      <c r="EO140"/>
      <c r="EP140"/>
      <c r="EQ140"/>
      <c r="ER140"/>
      <c r="ES140"/>
      <c r="ET140"/>
      <c r="EU140"/>
      <c r="EV140"/>
      <c r="EW140" s="6"/>
      <c r="EX140" s="16">
        <v>17.136986301369863</v>
      </c>
      <c r="EY140" s="16" t="s">
        <v>578</v>
      </c>
      <c r="EZ140" s="16" t="s">
        <v>578</v>
      </c>
      <c r="FA140" s="154" t="s">
        <v>578</v>
      </c>
      <c r="FB140" s="154" t="s">
        <v>578</v>
      </c>
      <c r="FC140" t="s">
        <v>195</v>
      </c>
      <c r="FD140" s="20" t="s">
        <v>125</v>
      </c>
      <c r="FE140"/>
      <c r="FF140" s="199" t="s">
        <v>197</v>
      </c>
      <c r="FG140"/>
      <c r="FH140" s="206">
        <f t="shared" ca="1" si="20"/>
        <v>0</v>
      </c>
      <c r="FI140" s="198">
        <f t="shared" si="21"/>
        <v>2.9666666666666668</v>
      </c>
      <c r="FJ140"/>
      <c r="FK140" t="str">
        <f t="shared" si="22"/>
        <v>MEZ COMERCIALIZADORA DE ENERGIA ELETRICA LTDA.</v>
      </c>
      <c r="FL140" s="191">
        <f t="shared" ca="1" si="23"/>
        <v>3720</v>
      </c>
      <c r="FM140" s="191">
        <f t="shared" ca="1" si="24"/>
        <v>7080</v>
      </c>
      <c r="FN140" s="190">
        <f>AB140*AB$2*IF($FC140="V",1,-1)*IF($Q140="Fixo",(CP140-INDEX('Curva Forward'!$C$5:$AN$13,MATCH(CONCATENATE(BD_COMERCIAL!$K140," ",BD_COMERCIAL!$L140),'Curva Forward'!$B$5:$B$13,0),MATCH(FN$4,'Curva Forward'!$C$4:$AN$4,0))),CP140)</f>
        <v>3720</v>
      </c>
      <c r="FO140" s="190">
        <f>AC140*AC$2*IF($FC140="V",1,-1)*IF($Q140="Fixo",(CQ140-INDEX('Curva Forward'!$C$5:$AN$13,MATCH(CONCATENATE(BD_COMERCIAL!$K140," ",BD_COMERCIAL!$L140),'Curva Forward'!$B$5:$B$13,0),MATCH(FO$4,'Curva Forward'!$C$4:$AN$4,0))),CQ140)</f>
        <v>3360</v>
      </c>
      <c r="FP140" s="190">
        <f>AD140*AD$2*IF($FC140="V",1,-1)*IF($Q140="Fixo",(CR140-INDEX('Curva Forward'!$C$5:$AN$13,MATCH(CONCATENATE(BD_COMERCIAL!$K140," ",BD_COMERCIAL!$L140),'Curva Forward'!$B$5:$B$13,0),MATCH(FP$4,'Curva Forward'!$C$4:$AN$4,0))),CR140)</f>
        <v>3720</v>
      </c>
      <c r="FQ140" s="190">
        <f>AE140*AE$2*IF($FC140="V",1,-1)*IF($Q140="Fixo",(CS140-INDEX('Curva Forward'!$C$5:$AN$13,MATCH(CONCATENATE(BD_COMERCIAL!$K140," ",BD_COMERCIAL!$L140),'Curva Forward'!$B$5:$B$13,0),MATCH(FQ$4,'Curva Forward'!$C$4:$AN$4,0))),CS140)</f>
        <v>0</v>
      </c>
      <c r="FR140" s="190">
        <f>AF140*AF$2*IF($FC140="V",1,-1)*IF($Q140="Fixo",(CT140-INDEX('Curva Forward'!$C$5:$AN$13,MATCH(CONCATENATE(BD_COMERCIAL!$K140," ",BD_COMERCIAL!$L140),'Curva Forward'!$B$5:$B$13,0),MATCH(FR$4,'Curva Forward'!$C$4:$AN$4,0))),CT140)</f>
        <v>0</v>
      </c>
      <c r="FS140" s="190">
        <f>AG140*AG$2*IF($FC140="V",1,-1)*IF($Q140="Fixo",(CU140-INDEX('Curva Forward'!$C$5:$AN$13,MATCH(CONCATENATE(BD_COMERCIAL!$K140," ",BD_COMERCIAL!$L140),'Curva Forward'!$B$5:$B$13,0),MATCH(FS$4,'Curva Forward'!$C$4:$AN$4,0))),CU140)</f>
        <v>0</v>
      </c>
      <c r="FT140" s="190">
        <f>AH140*AH$2*IF($FC140="V",1,-1)*IF($Q140="Fixo",(CV140-INDEX('Curva Forward'!$C$5:$AN$13,MATCH(CONCATENATE(BD_COMERCIAL!$K140," ",BD_COMERCIAL!$L140),'Curva Forward'!$B$5:$B$13,0),MATCH(FT$4,'Curva Forward'!$C$4:$AN$4,0))),CV140)</f>
        <v>0</v>
      </c>
      <c r="FU140" s="190">
        <f>AI140*AI$2*IF($FC140="V",1,-1)*IF($Q140="Fixo",(CW140-INDEX('Curva Forward'!$C$5:$AN$13,MATCH(CONCATENATE(BD_COMERCIAL!$K140," ",BD_COMERCIAL!$L140),'Curva Forward'!$B$5:$B$13,0),MATCH(FU$4,'Curva Forward'!$C$4:$AN$4,0))),CW140)</f>
        <v>0</v>
      </c>
      <c r="FV140" s="190">
        <f>AJ140*AJ$2*IF($FC140="V",1,-1)*IF($Q140="Fixo",(CX140-INDEX('Curva Forward'!$C$5:$AN$13,MATCH(CONCATENATE(BD_COMERCIAL!$K140," ",BD_COMERCIAL!$L140),'Curva Forward'!$B$5:$B$13,0),MATCH(FV$4,'Curva Forward'!$C$4:$AN$4,0))),CX140)</f>
        <v>0</v>
      </c>
      <c r="FW140" s="190">
        <f>AK140*AK$2*IF($FC140="V",1,-1)*IF($Q140="Fixo",(CY140-INDEX('Curva Forward'!$C$5:$AN$13,MATCH(CONCATENATE(BD_COMERCIAL!$K140," ",BD_COMERCIAL!$L140),'Curva Forward'!$B$5:$B$13,0),MATCH(FW$4,'Curva Forward'!$C$4:$AN$4,0))),CY140)</f>
        <v>0</v>
      </c>
      <c r="FX140" s="190">
        <f>AL140*AL$2*IF($FC140="V",1,-1)*IF($Q140="Fixo",(CZ140-INDEX('Curva Forward'!$C$5:$AN$13,MATCH(CONCATENATE(BD_COMERCIAL!$K140," ",BD_COMERCIAL!$L140),'Curva Forward'!$B$5:$B$13,0),MATCH(FX$4,'Curva Forward'!$C$4:$AN$4,0))),CZ140)</f>
        <v>0</v>
      </c>
      <c r="FY140" s="190">
        <f>AM140*AM$2*IF($FC140="V",1,-1)*IF($Q140="Fixo",(DA140-INDEX('Curva Forward'!$C$5:$AN$13,MATCH(CONCATENATE(BD_COMERCIAL!$K140," ",BD_COMERCIAL!$L140),'Curva Forward'!$B$5:$B$13,0),MATCH(FY$4,'Curva Forward'!$C$4:$AN$4,0))),DA140)</f>
        <v>0</v>
      </c>
      <c r="FZ140" s="190">
        <f>AN140*AN$2*IF($FC140="V",1,-1)*IF($Q140="Fixo",(DB140-INDEX('Curva Forward'!$C$5:$AN$13,MATCH(CONCATENATE(BD_COMERCIAL!$K140," ",BD_COMERCIAL!$L140),'Curva Forward'!$B$5:$B$13,0),MATCH(FZ$4,'Curva Forward'!$C$4:$AN$4,0))),DB140)</f>
        <v>0</v>
      </c>
      <c r="GA140" s="190">
        <f>AO140*AO$2*IF($FC140="V",1,-1)*IF($Q140="Fixo",(DC140-INDEX('Curva Forward'!$C$5:$AN$13,MATCH(CONCATENATE(BD_COMERCIAL!$K140," ",BD_COMERCIAL!$L140),'Curva Forward'!$B$5:$B$13,0),MATCH(GA$4,'Curva Forward'!$C$4:$AN$4,0))),DC140)</f>
        <v>0</v>
      </c>
      <c r="GB140" s="190">
        <f>AP140*AP$2*IF($FC140="V",1,-1)*IF($Q140="Fixo",(DD140-INDEX('Curva Forward'!$C$5:$AN$13,MATCH(CONCATENATE(BD_COMERCIAL!$K140," ",BD_COMERCIAL!$L140),'Curva Forward'!$B$5:$B$13,0),MATCH(GB$4,'Curva Forward'!$C$4:$AN$4,0))),DD140)</f>
        <v>0</v>
      </c>
      <c r="GC140" s="190">
        <f>AQ140*AQ$2*IF($FC140="V",1,-1)*IF($Q140="Fixo",(DE140-INDEX('Curva Forward'!$C$5:$AN$13,MATCH(CONCATENATE(BD_COMERCIAL!$K140," ",BD_COMERCIAL!$L140),'Curva Forward'!$B$5:$B$13,0),MATCH(GC$4,'Curva Forward'!$C$4:$AN$4,0))),DE140)</f>
        <v>0</v>
      </c>
      <c r="GD140" s="190">
        <f>AR140*AR$2*IF($FC140="V",1,-1)*IF($Q140="Fixo",(DF140-INDEX('Curva Forward'!$C$5:$AN$13,MATCH(CONCATENATE(BD_COMERCIAL!$K140," ",BD_COMERCIAL!$L140),'Curva Forward'!$B$5:$B$13,0),MATCH(GD$4,'Curva Forward'!$C$4:$AN$4,0))),DF140)</f>
        <v>0</v>
      </c>
      <c r="GE140" s="190">
        <f>AS140*AS$2*IF($FC140="V",1,-1)*IF($Q140="Fixo",(DG140-INDEX('Curva Forward'!$C$5:$AN$13,MATCH(CONCATENATE(BD_COMERCIAL!$K140," ",BD_COMERCIAL!$L140),'Curva Forward'!$B$5:$B$13,0),MATCH(GE$4,'Curva Forward'!$C$4:$AN$4,0))),DG140)</f>
        <v>0</v>
      </c>
      <c r="GF140" s="190">
        <f>AT140*AT$2*IF($FC140="V",1,-1)*IF($Q140="Fixo",(DH140-INDEX('Curva Forward'!$C$5:$AN$13,MATCH(CONCATENATE(BD_COMERCIAL!$K140," ",BD_COMERCIAL!$L140),'Curva Forward'!$B$5:$B$13,0),MATCH(GF$4,'Curva Forward'!$C$4:$AN$4,0))),DH140)</f>
        <v>0</v>
      </c>
      <c r="GG140" s="190">
        <f>AU140*AU$2*IF($FC140="V",1,-1)*IF($Q140="Fixo",(DI140-INDEX('Curva Forward'!$C$5:$AN$13,MATCH(CONCATENATE(BD_COMERCIAL!$K140," ",BD_COMERCIAL!$L140),'Curva Forward'!$B$5:$B$13,0),MATCH(GG$4,'Curva Forward'!$C$4:$AN$4,0))),DI140)</f>
        <v>0</v>
      </c>
      <c r="GH140" s="190">
        <f>AV140*AV$2*IF($FC140="V",1,-1)*IF($Q140="Fixo",(DJ140-INDEX('Curva Forward'!$C$5:$AN$13,MATCH(CONCATENATE(BD_COMERCIAL!$K140," ",BD_COMERCIAL!$L140),'Curva Forward'!$B$5:$B$13,0),MATCH(GH$4,'Curva Forward'!$C$4:$AN$4,0))),DJ140)</f>
        <v>0</v>
      </c>
      <c r="GI140" s="190">
        <f>AW140*AW$2*IF($FC140="V",1,-1)*IF($Q140="Fixo",(DK140-INDEX('Curva Forward'!$C$5:$AN$13,MATCH(CONCATENATE(BD_COMERCIAL!$K140," ",BD_COMERCIAL!$L140),'Curva Forward'!$B$5:$B$13,0),MATCH(GI$4,'Curva Forward'!$C$4:$AN$4,0))),DK140)</f>
        <v>0</v>
      </c>
      <c r="GJ140" s="190">
        <f>AX140*AX$2*IF($FC140="V",1,-1)*IF($Q140="Fixo",(DL140-INDEX('Curva Forward'!$C$5:$AN$13,MATCH(CONCATENATE(BD_COMERCIAL!$K140," ",BD_COMERCIAL!$L140),'Curva Forward'!$B$5:$B$13,0),MATCH(GJ$4,'Curva Forward'!$C$4:$AN$4,0))),DL140)</f>
        <v>0</v>
      </c>
      <c r="GK140" s="190">
        <f>AY140*AY$2*IF($FC140="V",1,-1)*IF($Q140="Fixo",(DM140-INDEX('Curva Forward'!$C$5:$AN$13,MATCH(CONCATENATE(BD_COMERCIAL!$K140," ",BD_COMERCIAL!$L140),'Curva Forward'!$B$5:$B$13,0),MATCH(GK$4,'Curva Forward'!$C$4:$AN$4,0))),DM140)</f>
        <v>0</v>
      </c>
      <c r="GL140" s="190">
        <f>IF(EZ140="",0,CL140*CL$2*IF($FC140="V",1,-1)*IF($Q140="Fixo",(EZ140-INDEX('Curva Forward'!$C$5:$AN$13,MATCH(CONCATENATE(BD_COMERCIAL!$K140," ",BD_COMERCIAL!$L140),'Curva Forward'!$B$5:$B$13,0),MATCH(GL$4,'Curva Forward'!$C$4:$AN$4,0))),EZ140))</f>
        <v>0</v>
      </c>
      <c r="GM140" s="190">
        <f>IF(FA140="",0,CM140*CM$2*IF($FC140="V",1,-1)*IF($Q140="Fixo",(FA140-INDEX('Curva Forward'!$C$5:$AN$13,MATCH(CONCATENATE(BD_COMERCIAL!$K140," ",BD_COMERCIAL!$L140),'Curva Forward'!$B$5:$B$13,0),MATCH(GM$4,'Curva Forward'!$C$4:$AN$4,0))),FA140))</f>
        <v>0</v>
      </c>
      <c r="GN140" s="190">
        <f>IF(FB140="",0,CN140*CN$2*IF($FC140="V",1,-1)*IF($Q140="Fixo",(FB140-INDEX('Curva Forward'!$C$5:$AN$13,MATCH(CONCATENATE(BD_COMERCIAL!$K140," ",BD_COMERCIAL!$L140),'Curva Forward'!$B$5:$B$13,0),MATCH(GN$4,'Curva Forward'!$C$4:$AN$4,0))),FB140))</f>
        <v>0</v>
      </c>
      <c r="GO140" s="191">
        <f t="shared" ca="1" si="25"/>
        <v>7080</v>
      </c>
      <c r="GP140" s="191">
        <f t="shared" ca="1" si="26"/>
        <v>0</v>
      </c>
      <c r="GQ140" s="115"/>
      <c r="GR140" s="115"/>
      <c r="GS140"/>
      <c r="GT140" s="65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</row>
    <row r="141" spans="1:236" s="265" customFormat="1" ht="15" customHeight="1" x14ac:dyDescent="0.35">
      <c r="A141" s="251"/>
      <c r="B141" s="7" t="s">
        <v>574</v>
      </c>
      <c r="C141" s="8">
        <v>44930</v>
      </c>
      <c r="D141" s="9" t="s">
        <v>123</v>
      </c>
      <c r="E141" s="9" t="s">
        <v>381</v>
      </c>
      <c r="F141" s="112" t="s">
        <v>348</v>
      </c>
      <c r="G141" s="10" t="s">
        <v>341</v>
      </c>
      <c r="H141" s="112" t="s">
        <v>384</v>
      </c>
      <c r="I141" s="9" t="s">
        <v>125</v>
      </c>
      <c r="J141" s="158" t="s">
        <v>496</v>
      </c>
      <c r="K141" s="10" t="s">
        <v>126</v>
      </c>
      <c r="L141" s="84" t="s">
        <v>22</v>
      </c>
      <c r="M141" s="11">
        <v>44927</v>
      </c>
      <c r="N141" s="12">
        <v>45016</v>
      </c>
      <c r="O141" s="10">
        <v>0.5</v>
      </c>
      <c r="P141" s="84">
        <v>70</v>
      </c>
      <c r="Q141" s="84" t="s">
        <v>127</v>
      </c>
      <c r="R141" s="10" t="s">
        <v>128</v>
      </c>
      <c r="S141" s="14" t="s">
        <v>133</v>
      </c>
      <c r="T141" s="11"/>
      <c r="U141" s="12"/>
      <c r="V141" s="202" t="str">
        <f ca="1">IF(U141="","",
IF(U141="NA","",
IFERROR(VLOOKUP(EOMONTH(M141,-2)+1,IPCA!$A:$B,2,0),
VLOOKUP(EOMONTH(TODAY(),-2)+1,IPCA!$A:$B,2,0))/
VLOOKUP(EOMONTH(U141,-2)+1,IPCA!$A:$B,2,0)*
P141))</f>
        <v/>
      </c>
      <c r="W141" s="84"/>
      <c r="X141" s="13" t="s">
        <v>6</v>
      </c>
      <c r="Y141" s="158"/>
      <c r="Z141" s="106"/>
      <c r="AA141" s="107"/>
      <c r="AB141" s="15">
        <v>0.5</v>
      </c>
      <c r="AC141">
        <v>0.5</v>
      </c>
      <c r="AD141">
        <v>0.5</v>
      </c>
      <c r="AE141"/>
      <c r="AF141"/>
      <c r="AG141"/>
      <c r="AH141"/>
      <c r="AI141"/>
      <c r="AJ141"/>
      <c r="AK141"/>
      <c r="AL141"/>
      <c r="AM141" s="6"/>
      <c r="AN141" s="15"/>
      <c r="AO141"/>
      <c r="AP141"/>
      <c r="AQ141"/>
      <c r="AR141"/>
      <c r="AS141"/>
      <c r="AT141"/>
      <c r="AU141"/>
      <c r="AV141"/>
      <c r="AW141"/>
      <c r="AX141"/>
      <c r="AY141" s="6"/>
      <c r="AZ141" s="15"/>
      <c r="BA141"/>
      <c r="BB141"/>
      <c r="BC141"/>
      <c r="BD141"/>
      <c r="BE141"/>
      <c r="BF141"/>
      <c r="BG141"/>
      <c r="BH141"/>
      <c r="BI141"/>
      <c r="BJ141"/>
      <c r="BK141" s="6"/>
      <c r="BL141" s="15"/>
      <c r="BM141"/>
      <c r="BN141"/>
      <c r="BO141"/>
      <c r="BP141"/>
      <c r="BQ141"/>
      <c r="BR141"/>
      <c r="BS141"/>
      <c r="BT141"/>
      <c r="BU141"/>
      <c r="BV141"/>
      <c r="BW141" s="6"/>
      <c r="BX141" s="15"/>
      <c r="BY141"/>
      <c r="BZ141"/>
      <c r="CA141"/>
      <c r="CB141"/>
      <c r="CC141"/>
      <c r="CD141"/>
      <c r="CE141"/>
      <c r="CF141"/>
      <c r="CG141"/>
      <c r="CH141"/>
      <c r="CI141" s="6"/>
      <c r="CJ141" s="16">
        <v>0.12328767123287671</v>
      </c>
      <c r="CK141" s="16" t="s">
        <v>578</v>
      </c>
      <c r="CL141" s="16" t="s">
        <v>578</v>
      </c>
      <c r="CM141" s="16" t="s">
        <v>578</v>
      </c>
      <c r="CN141" s="16" t="s">
        <v>578</v>
      </c>
      <c r="CO141" s="18"/>
      <c r="CP141" s="15">
        <v>70</v>
      </c>
      <c r="CQ141">
        <v>70</v>
      </c>
      <c r="CR141">
        <v>70</v>
      </c>
      <c r="CS141"/>
      <c r="CT141"/>
      <c r="CU141"/>
      <c r="CV141"/>
      <c r="CW141"/>
      <c r="CX141"/>
      <c r="CY141"/>
      <c r="CZ141"/>
      <c r="DA141" s="6"/>
      <c r="DB141" s="15"/>
      <c r="DC141"/>
      <c r="DD141"/>
      <c r="DE141"/>
      <c r="DF141"/>
      <c r="DG141"/>
      <c r="DH141"/>
      <c r="DI141"/>
      <c r="DJ141"/>
      <c r="DK141"/>
      <c r="DL141"/>
      <c r="DM141" s="6"/>
      <c r="DN141" s="15"/>
      <c r="DO141"/>
      <c r="DP141"/>
      <c r="DQ141"/>
      <c r="DR141"/>
      <c r="DS141"/>
      <c r="DT141"/>
      <c r="DU141"/>
      <c r="DV141"/>
      <c r="DW141"/>
      <c r="DX141"/>
      <c r="DY141" s="6"/>
      <c r="DZ141" s="15"/>
      <c r="EA141"/>
      <c r="EB141"/>
      <c r="EC141"/>
      <c r="ED141"/>
      <c r="EE141"/>
      <c r="EF141"/>
      <c r="EG141"/>
      <c r="EH141"/>
      <c r="EI141"/>
      <c r="EJ141"/>
      <c r="EK141" s="6"/>
      <c r="EL141" s="15"/>
      <c r="EM141"/>
      <c r="EN141"/>
      <c r="EO141"/>
      <c r="EP141"/>
      <c r="EQ141"/>
      <c r="ER141"/>
      <c r="ES141"/>
      <c r="ET141"/>
      <c r="EU141"/>
      <c r="EV141"/>
      <c r="EW141" s="6"/>
      <c r="EX141" s="16">
        <v>17.260273972602739</v>
      </c>
      <c r="EY141" s="16" t="s">
        <v>578</v>
      </c>
      <c r="EZ141" s="16" t="s">
        <v>578</v>
      </c>
      <c r="FA141" s="154" t="s">
        <v>578</v>
      </c>
      <c r="FB141" s="154" t="s">
        <v>578</v>
      </c>
      <c r="FC141" t="s">
        <v>195</v>
      </c>
      <c r="FD141" s="20" t="s">
        <v>125</v>
      </c>
      <c r="FE141"/>
      <c r="FF141" s="199" t="s">
        <v>197</v>
      </c>
      <c r="FG141"/>
      <c r="FH141" s="206">
        <f t="shared" ca="1" si="20"/>
        <v>0</v>
      </c>
      <c r="FI141" s="198">
        <f t="shared" si="21"/>
        <v>2.9666666666666668</v>
      </c>
      <c r="FJ141"/>
      <c r="FK141" t="str">
        <f t="shared" si="22"/>
        <v>MEZ COMERCIALIZADORA DE ENERGIA ELETRICA LTDA.</v>
      </c>
      <c r="FL141" s="191">
        <f t="shared" ca="1" si="23"/>
        <v>372</v>
      </c>
      <c r="FM141" s="191">
        <f t="shared" ca="1" si="24"/>
        <v>708</v>
      </c>
      <c r="FN141" s="190">
        <f>AB141*AB$2*IF($FC141="V",1,-1)*IF($Q141="Fixo",(CP141-INDEX('Curva Forward'!$C$5:$AN$13,MATCH(CONCATENATE(BD_COMERCIAL!$K141," ",BD_COMERCIAL!$L141),'Curva Forward'!$B$5:$B$13,0),MATCH(FN$4,'Curva Forward'!$C$4:$AN$4,0))),CP141)</f>
        <v>372</v>
      </c>
      <c r="FO141" s="190">
        <f>AC141*AC$2*IF($FC141="V",1,-1)*IF($Q141="Fixo",(CQ141-INDEX('Curva Forward'!$C$5:$AN$13,MATCH(CONCATENATE(BD_COMERCIAL!$K141," ",BD_COMERCIAL!$L141),'Curva Forward'!$B$5:$B$13,0),MATCH(FO$4,'Curva Forward'!$C$4:$AN$4,0))),CQ141)</f>
        <v>336</v>
      </c>
      <c r="FP141" s="190">
        <f>AD141*AD$2*IF($FC141="V",1,-1)*IF($Q141="Fixo",(CR141-INDEX('Curva Forward'!$C$5:$AN$13,MATCH(CONCATENATE(BD_COMERCIAL!$K141," ",BD_COMERCIAL!$L141),'Curva Forward'!$B$5:$B$13,0),MATCH(FP$4,'Curva Forward'!$C$4:$AN$4,0))),CR141)</f>
        <v>372</v>
      </c>
      <c r="FQ141" s="190">
        <f>AE141*AE$2*IF($FC141="V",1,-1)*IF($Q141="Fixo",(CS141-INDEX('Curva Forward'!$C$5:$AN$13,MATCH(CONCATENATE(BD_COMERCIAL!$K141," ",BD_COMERCIAL!$L141),'Curva Forward'!$B$5:$B$13,0),MATCH(FQ$4,'Curva Forward'!$C$4:$AN$4,0))),CS141)</f>
        <v>0</v>
      </c>
      <c r="FR141" s="190">
        <f>AF141*AF$2*IF($FC141="V",1,-1)*IF($Q141="Fixo",(CT141-INDEX('Curva Forward'!$C$5:$AN$13,MATCH(CONCATENATE(BD_COMERCIAL!$K141," ",BD_COMERCIAL!$L141),'Curva Forward'!$B$5:$B$13,0),MATCH(FR$4,'Curva Forward'!$C$4:$AN$4,0))),CT141)</f>
        <v>0</v>
      </c>
      <c r="FS141" s="190">
        <f>AG141*AG$2*IF($FC141="V",1,-1)*IF($Q141="Fixo",(CU141-INDEX('Curva Forward'!$C$5:$AN$13,MATCH(CONCATENATE(BD_COMERCIAL!$K141," ",BD_COMERCIAL!$L141),'Curva Forward'!$B$5:$B$13,0),MATCH(FS$4,'Curva Forward'!$C$4:$AN$4,0))),CU141)</f>
        <v>0</v>
      </c>
      <c r="FT141" s="190">
        <f>AH141*AH$2*IF($FC141="V",1,-1)*IF($Q141="Fixo",(CV141-INDEX('Curva Forward'!$C$5:$AN$13,MATCH(CONCATENATE(BD_COMERCIAL!$K141," ",BD_COMERCIAL!$L141),'Curva Forward'!$B$5:$B$13,0),MATCH(FT$4,'Curva Forward'!$C$4:$AN$4,0))),CV141)</f>
        <v>0</v>
      </c>
      <c r="FU141" s="190">
        <f>AI141*AI$2*IF($FC141="V",1,-1)*IF($Q141="Fixo",(CW141-INDEX('Curva Forward'!$C$5:$AN$13,MATCH(CONCATENATE(BD_COMERCIAL!$K141," ",BD_COMERCIAL!$L141),'Curva Forward'!$B$5:$B$13,0),MATCH(FU$4,'Curva Forward'!$C$4:$AN$4,0))),CW141)</f>
        <v>0</v>
      </c>
      <c r="FV141" s="190">
        <f>AJ141*AJ$2*IF($FC141="V",1,-1)*IF($Q141="Fixo",(CX141-INDEX('Curva Forward'!$C$5:$AN$13,MATCH(CONCATENATE(BD_COMERCIAL!$K141," ",BD_COMERCIAL!$L141),'Curva Forward'!$B$5:$B$13,0),MATCH(FV$4,'Curva Forward'!$C$4:$AN$4,0))),CX141)</f>
        <v>0</v>
      </c>
      <c r="FW141" s="190">
        <f>AK141*AK$2*IF($FC141="V",1,-1)*IF($Q141="Fixo",(CY141-INDEX('Curva Forward'!$C$5:$AN$13,MATCH(CONCATENATE(BD_COMERCIAL!$K141," ",BD_COMERCIAL!$L141),'Curva Forward'!$B$5:$B$13,0),MATCH(FW$4,'Curva Forward'!$C$4:$AN$4,0))),CY141)</f>
        <v>0</v>
      </c>
      <c r="FX141" s="190">
        <f>AL141*AL$2*IF($FC141="V",1,-1)*IF($Q141="Fixo",(CZ141-INDEX('Curva Forward'!$C$5:$AN$13,MATCH(CONCATENATE(BD_COMERCIAL!$K141," ",BD_COMERCIAL!$L141),'Curva Forward'!$B$5:$B$13,0),MATCH(FX$4,'Curva Forward'!$C$4:$AN$4,0))),CZ141)</f>
        <v>0</v>
      </c>
      <c r="FY141" s="190">
        <f>AM141*AM$2*IF($FC141="V",1,-1)*IF($Q141="Fixo",(DA141-INDEX('Curva Forward'!$C$5:$AN$13,MATCH(CONCATENATE(BD_COMERCIAL!$K141," ",BD_COMERCIAL!$L141),'Curva Forward'!$B$5:$B$13,0),MATCH(FY$4,'Curva Forward'!$C$4:$AN$4,0))),DA141)</f>
        <v>0</v>
      </c>
      <c r="FZ141" s="190">
        <f>AN141*AN$2*IF($FC141="V",1,-1)*IF($Q141="Fixo",(DB141-INDEX('Curva Forward'!$C$5:$AN$13,MATCH(CONCATENATE(BD_COMERCIAL!$K141," ",BD_COMERCIAL!$L141),'Curva Forward'!$B$5:$B$13,0),MATCH(FZ$4,'Curva Forward'!$C$4:$AN$4,0))),DB141)</f>
        <v>0</v>
      </c>
      <c r="GA141" s="190">
        <f>AO141*AO$2*IF($FC141="V",1,-1)*IF($Q141="Fixo",(DC141-INDEX('Curva Forward'!$C$5:$AN$13,MATCH(CONCATENATE(BD_COMERCIAL!$K141," ",BD_COMERCIAL!$L141),'Curva Forward'!$B$5:$B$13,0),MATCH(GA$4,'Curva Forward'!$C$4:$AN$4,0))),DC141)</f>
        <v>0</v>
      </c>
      <c r="GB141" s="190">
        <f>AP141*AP$2*IF($FC141="V",1,-1)*IF($Q141="Fixo",(DD141-INDEX('Curva Forward'!$C$5:$AN$13,MATCH(CONCATENATE(BD_COMERCIAL!$K141," ",BD_COMERCIAL!$L141),'Curva Forward'!$B$5:$B$13,0),MATCH(GB$4,'Curva Forward'!$C$4:$AN$4,0))),DD141)</f>
        <v>0</v>
      </c>
      <c r="GC141" s="190">
        <f>AQ141*AQ$2*IF($FC141="V",1,-1)*IF($Q141="Fixo",(DE141-INDEX('Curva Forward'!$C$5:$AN$13,MATCH(CONCATENATE(BD_COMERCIAL!$K141," ",BD_COMERCIAL!$L141),'Curva Forward'!$B$5:$B$13,0),MATCH(GC$4,'Curva Forward'!$C$4:$AN$4,0))),DE141)</f>
        <v>0</v>
      </c>
      <c r="GD141" s="190">
        <f>AR141*AR$2*IF($FC141="V",1,-1)*IF($Q141="Fixo",(DF141-INDEX('Curva Forward'!$C$5:$AN$13,MATCH(CONCATENATE(BD_COMERCIAL!$K141," ",BD_COMERCIAL!$L141),'Curva Forward'!$B$5:$B$13,0),MATCH(GD$4,'Curva Forward'!$C$4:$AN$4,0))),DF141)</f>
        <v>0</v>
      </c>
      <c r="GE141" s="190">
        <f>AS141*AS$2*IF($FC141="V",1,-1)*IF($Q141="Fixo",(DG141-INDEX('Curva Forward'!$C$5:$AN$13,MATCH(CONCATENATE(BD_COMERCIAL!$K141," ",BD_COMERCIAL!$L141),'Curva Forward'!$B$5:$B$13,0),MATCH(GE$4,'Curva Forward'!$C$4:$AN$4,0))),DG141)</f>
        <v>0</v>
      </c>
      <c r="GF141" s="190">
        <f>AT141*AT$2*IF($FC141="V",1,-1)*IF($Q141="Fixo",(DH141-INDEX('Curva Forward'!$C$5:$AN$13,MATCH(CONCATENATE(BD_COMERCIAL!$K141," ",BD_COMERCIAL!$L141),'Curva Forward'!$B$5:$B$13,0),MATCH(GF$4,'Curva Forward'!$C$4:$AN$4,0))),DH141)</f>
        <v>0</v>
      </c>
      <c r="GG141" s="190">
        <f>AU141*AU$2*IF($FC141="V",1,-1)*IF($Q141="Fixo",(DI141-INDEX('Curva Forward'!$C$5:$AN$13,MATCH(CONCATENATE(BD_COMERCIAL!$K141," ",BD_COMERCIAL!$L141),'Curva Forward'!$B$5:$B$13,0),MATCH(GG$4,'Curva Forward'!$C$4:$AN$4,0))),DI141)</f>
        <v>0</v>
      </c>
      <c r="GH141" s="190">
        <f>AV141*AV$2*IF($FC141="V",1,-1)*IF($Q141="Fixo",(DJ141-INDEX('Curva Forward'!$C$5:$AN$13,MATCH(CONCATENATE(BD_COMERCIAL!$K141," ",BD_COMERCIAL!$L141),'Curva Forward'!$B$5:$B$13,0),MATCH(GH$4,'Curva Forward'!$C$4:$AN$4,0))),DJ141)</f>
        <v>0</v>
      </c>
      <c r="GI141" s="190">
        <f>AW141*AW$2*IF($FC141="V",1,-1)*IF($Q141="Fixo",(DK141-INDEX('Curva Forward'!$C$5:$AN$13,MATCH(CONCATENATE(BD_COMERCIAL!$K141," ",BD_COMERCIAL!$L141),'Curva Forward'!$B$5:$B$13,0),MATCH(GI$4,'Curva Forward'!$C$4:$AN$4,0))),DK141)</f>
        <v>0</v>
      </c>
      <c r="GJ141" s="190">
        <f>AX141*AX$2*IF($FC141="V",1,-1)*IF($Q141="Fixo",(DL141-INDEX('Curva Forward'!$C$5:$AN$13,MATCH(CONCATENATE(BD_COMERCIAL!$K141," ",BD_COMERCIAL!$L141),'Curva Forward'!$B$5:$B$13,0),MATCH(GJ$4,'Curva Forward'!$C$4:$AN$4,0))),DL141)</f>
        <v>0</v>
      </c>
      <c r="GK141" s="190">
        <f>AY141*AY$2*IF($FC141="V",1,-1)*IF($Q141="Fixo",(DM141-INDEX('Curva Forward'!$C$5:$AN$13,MATCH(CONCATENATE(BD_COMERCIAL!$K141," ",BD_COMERCIAL!$L141),'Curva Forward'!$B$5:$B$13,0),MATCH(GK$4,'Curva Forward'!$C$4:$AN$4,0))),DM141)</f>
        <v>0</v>
      </c>
      <c r="GL141" s="190">
        <f>IF(EZ141="",0,CL141*CL$2*IF($FC141="V",1,-1)*IF($Q141="Fixo",(EZ141-INDEX('Curva Forward'!$C$5:$AN$13,MATCH(CONCATENATE(BD_COMERCIAL!$K141," ",BD_COMERCIAL!$L141),'Curva Forward'!$B$5:$B$13,0),MATCH(GL$4,'Curva Forward'!$C$4:$AN$4,0))),EZ141))</f>
        <v>0</v>
      </c>
      <c r="GM141" s="190">
        <f>IF(FA141="",0,CM141*CM$2*IF($FC141="V",1,-1)*IF($Q141="Fixo",(FA141-INDEX('Curva Forward'!$C$5:$AN$13,MATCH(CONCATENATE(BD_COMERCIAL!$K141," ",BD_COMERCIAL!$L141),'Curva Forward'!$B$5:$B$13,0),MATCH(GM$4,'Curva Forward'!$C$4:$AN$4,0))),FA141))</f>
        <v>0</v>
      </c>
      <c r="GN141" s="190">
        <f>IF(FB141="",0,CN141*CN$2*IF($FC141="V",1,-1)*IF($Q141="Fixo",(FB141-INDEX('Curva Forward'!$C$5:$AN$13,MATCH(CONCATENATE(BD_COMERCIAL!$K141," ",BD_COMERCIAL!$L141),'Curva Forward'!$B$5:$B$13,0),MATCH(GN$4,'Curva Forward'!$C$4:$AN$4,0))),FB141))</f>
        <v>0</v>
      </c>
      <c r="GO141" s="191">
        <f t="shared" ca="1" si="25"/>
        <v>708</v>
      </c>
      <c r="GP141" s="191">
        <f t="shared" ca="1" si="26"/>
        <v>0</v>
      </c>
      <c r="GQ141" s="115"/>
      <c r="GR141" s="115"/>
      <c r="GS141"/>
      <c r="GT141" s="65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</row>
    <row r="142" spans="1:236" s="265" customFormat="1" ht="15" customHeight="1" x14ac:dyDescent="0.35">
      <c r="A142" s="251"/>
      <c r="B142" s="7" t="s">
        <v>575</v>
      </c>
      <c r="C142" s="8">
        <v>44930</v>
      </c>
      <c r="D142" s="9" t="s">
        <v>130</v>
      </c>
      <c r="E142" s="9" t="s">
        <v>145</v>
      </c>
      <c r="F142" s="112" t="e">
        <v>#N/A</v>
      </c>
      <c r="G142" s="10" t="s">
        <v>381</v>
      </c>
      <c r="H142" s="112" t="s">
        <v>348</v>
      </c>
      <c r="I142" s="9" t="s">
        <v>137</v>
      </c>
      <c r="J142" s="158" t="s">
        <v>496</v>
      </c>
      <c r="K142" s="10" t="s">
        <v>126</v>
      </c>
      <c r="L142" s="84" t="s">
        <v>22</v>
      </c>
      <c r="M142" s="11">
        <v>45017</v>
      </c>
      <c r="N142" s="12">
        <v>45046</v>
      </c>
      <c r="O142" s="10">
        <v>26.58</v>
      </c>
      <c r="P142" s="84">
        <v>70</v>
      </c>
      <c r="Q142" s="84" t="s">
        <v>127</v>
      </c>
      <c r="R142" s="10" t="s">
        <v>128</v>
      </c>
      <c r="S142" s="14" t="s">
        <v>133</v>
      </c>
      <c r="T142" s="11"/>
      <c r="U142" s="12"/>
      <c r="V142" s="202" t="str">
        <f ca="1">IF(U142="","",
IF(U142="NA","",
IFERROR(VLOOKUP(EOMONTH(M142,-2)+1,IPCA!$A:$B,2,0),
VLOOKUP(EOMONTH(TODAY(),-2)+1,IPCA!$A:$B,2,0))/
VLOOKUP(EOMONTH(U142,-2)+1,IPCA!$A:$B,2,0)*
P142))</f>
        <v/>
      </c>
      <c r="W142" s="84"/>
      <c r="X142" s="13"/>
      <c r="Y142" s="158"/>
      <c r="Z142" s="106" t="s">
        <v>146</v>
      </c>
      <c r="AA142" s="106" t="s">
        <v>146</v>
      </c>
      <c r="AB142" s="15"/>
      <c r="AC142"/>
      <c r="AD142"/>
      <c r="AE142">
        <v>26.58</v>
      </c>
      <c r="AF142"/>
      <c r="AG142"/>
      <c r="AH142"/>
      <c r="AI142"/>
      <c r="AJ142"/>
      <c r="AK142"/>
      <c r="AL142"/>
      <c r="AM142" s="6"/>
      <c r="AN142" s="15"/>
      <c r="AO142"/>
      <c r="AP142"/>
      <c r="AQ142"/>
      <c r="AR142"/>
      <c r="AS142"/>
      <c r="AT142"/>
      <c r="AU142"/>
      <c r="AV142"/>
      <c r="AW142"/>
      <c r="AX142"/>
      <c r="AY142" s="6"/>
      <c r="AZ142" s="15"/>
      <c r="BA142"/>
      <c r="BB142"/>
      <c r="BC142"/>
      <c r="BD142"/>
      <c r="BE142"/>
      <c r="BF142"/>
      <c r="BG142"/>
      <c r="BH142"/>
      <c r="BI142"/>
      <c r="BJ142"/>
      <c r="BK142" s="6"/>
      <c r="BL142" s="15"/>
      <c r="BM142"/>
      <c r="BN142"/>
      <c r="BO142"/>
      <c r="BP142"/>
      <c r="BQ142"/>
      <c r="BR142"/>
      <c r="BS142"/>
      <c r="BT142"/>
      <c r="BU142"/>
      <c r="BV142"/>
      <c r="BW142" s="6"/>
      <c r="BX142" s="15"/>
      <c r="BY142"/>
      <c r="BZ142"/>
      <c r="CA142"/>
      <c r="CB142"/>
      <c r="CC142"/>
      <c r="CD142"/>
      <c r="CE142"/>
      <c r="CF142"/>
      <c r="CG142"/>
      <c r="CH142"/>
      <c r="CI142" s="6"/>
      <c r="CJ142" s="16">
        <v>2.1846575342465751</v>
      </c>
      <c r="CK142" s="16" t="s">
        <v>578</v>
      </c>
      <c r="CL142" s="16" t="s">
        <v>578</v>
      </c>
      <c r="CM142" s="16" t="s">
        <v>578</v>
      </c>
      <c r="CN142" s="16" t="s">
        <v>578</v>
      </c>
      <c r="CO142" s="18"/>
      <c r="CP142" s="15"/>
      <c r="CQ142"/>
      <c r="CR142"/>
      <c r="CS142">
        <v>70</v>
      </c>
      <c r="CT142"/>
      <c r="CU142"/>
      <c r="CV142"/>
      <c r="CW142"/>
      <c r="CX142"/>
      <c r="CY142"/>
      <c r="CZ142"/>
      <c r="DA142" s="6"/>
      <c r="DB142" s="15"/>
      <c r="DC142"/>
      <c r="DD142"/>
      <c r="DE142"/>
      <c r="DF142"/>
      <c r="DG142"/>
      <c r="DH142"/>
      <c r="DI142"/>
      <c r="DJ142"/>
      <c r="DK142"/>
      <c r="DL142"/>
      <c r="DM142" s="6"/>
      <c r="DN142" s="15"/>
      <c r="DO142"/>
      <c r="DP142"/>
      <c r="DQ142"/>
      <c r="DR142"/>
      <c r="DS142"/>
      <c r="DT142"/>
      <c r="DU142"/>
      <c r="DV142"/>
      <c r="DW142"/>
      <c r="DX142"/>
      <c r="DY142" s="6"/>
      <c r="DZ142" s="15"/>
      <c r="EA142"/>
      <c r="EB142"/>
      <c r="EC142"/>
      <c r="ED142"/>
      <c r="EE142"/>
      <c r="EF142"/>
      <c r="EG142"/>
      <c r="EH142"/>
      <c r="EI142"/>
      <c r="EJ142"/>
      <c r="EK142" s="6"/>
      <c r="EL142" s="15"/>
      <c r="EM142"/>
      <c r="EN142"/>
      <c r="EO142"/>
      <c r="EP142"/>
      <c r="EQ142"/>
      <c r="ER142"/>
      <c r="ES142"/>
      <c r="ET142"/>
      <c r="EU142"/>
      <c r="EV142"/>
      <c r="EW142" s="6"/>
      <c r="EX142" s="16">
        <v>5.7534246575342465</v>
      </c>
      <c r="EY142" s="16" t="s">
        <v>578</v>
      </c>
      <c r="EZ142" s="16" t="s">
        <v>578</v>
      </c>
      <c r="FA142" s="154" t="s">
        <v>578</v>
      </c>
      <c r="FB142" s="154" t="s">
        <v>578</v>
      </c>
      <c r="FC142" t="s">
        <v>196</v>
      </c>
      <c r="FD142" s="20" t="s">
        <v>145</v>
      </c>
      <c r="FE142"/>
      <c r="FF142" s="199" t="s">
        <v>197</v>
      </c>
      <c r="FG142"/>
      <c r="FH142" s="206">
        <f t="shared" ca="1" si="20"/>
        <v>0</v>
      </c>
      <c r="FI142" s="198">
        <f t="shared" si="21"/>
        <v>0.96666666666666667</v>
      </c>
      <c r="FJ142"/>
      <c r="FK142" t="str">
        <f t="shared" si="22"/>
        <v>Portfólio</v>
      </c>
      <c r="FL142" s="191">
        <f t="shared" ca="1" si="23"/>
        <v>0</v>
      </c>
      <c r="FM142" s="191">
        <f t="shared" ca="1" si="24"/>
        <v>-19137.599999999999</v>
      </c>
      <c r="FN142" s="190">
        <f>AB142*AB$2*IF($FC142="V",1,-1)*IF($Q142="Fixo",(CP142-INDEX('Curva Forward'!$C$5:$AN$13,MATCH(CONCATENATE(BD_COMERCIAL!$K142," ",BD_COMERCIAL!$L142),'Curva Forward'!$B$5:$B$13,0),MATCH(FN$4,'Curva Forward'!$C$4:$AN$4,0))),CP142)</f>
        <v>0</v>
      </c>
      <c r="FO142" s="190">
        <f>AC142*AC$2*IF($FC142="V",1,-1)*IF($Q142="Fixo",(CQ142-INDEX('Curva Forward'!$C$5:$AN$13,MATCH(CONCATENATE(BD_COMERCIAL!$K142," ",BD_COMERCIAL!$L142),'Curva Forward'!$B$5:$B$13,0),MATCH(FO$4,'Curva Forward'!$C$4:$AN$4,0))),CQ142)</f>
        <v>0</v>
      </c>
      <c r="FP142" s="190">
        <f>AD142*AD$2*IF($FC142="V",1,-1)*IF($Q142="Fixo",(CR142-INDEX('Curva Forward'!$C$5:$AN$13,MATCH(CONCATENATE(BD_COMERCIAL!$K142," ",BD_COMERCIAL!$L142),'Curva Forward'!$B$5:$B$13,0),MATCH(FP$4,'Curva Forward'!$C$4:$AN$4,0))),CR142)</f>
        <v>0</v>
      </c>
      <c r="FQ142" s="190">
        <f>AE142*AE$2*IF($FC142="V",1,-1)*IF($Q142="Fixo",(CS142-INDEX('Curva Forward'!$C$5:$AN$13,MATCH(CONCATENATE(BD_COMERCIAL!$K142," ",BD_COMERCIAL!$L142),'Curva Forward'!$B$5:$B$13,0),MATCH(FQ$4,'Curva Forward'!$C$4:$AN$4,0))),CS142)</f>
        <v>-19137.599999999999</v>
      </c>
      <c r="FR142" s="190">
        <f>AF142*AF$2*IF($FC142="V",1,-1)*IF($Q142="Fixo",(CT142-INDEX('Curva Forward'!$C$5:$AN$13,MATCH(CONCATENATE(BD_COMERCIAL!$K142," ",BD_COMERCIAL!$L142),'Curva Forward'!$B$5:$B$13,0),MATCH(FR$4,'Curva Forward'!$C$4:$AN$4,0))),CT142)</f>
        <v>0</v>
      </c>
      <c r="FS142" s="190">
        <f>AG142*AG$2*IF($FC142="V",1,-1)*IF($Q142="Fixo",(CU142-INDEX('Curva Forward'!$C$5:$AN$13,MATCH(CONCATENATE(BD_COMERCIAL!$K142," ",BD_COMERCIAL!$L142),'Curva Forward'!$B$5:$B$13,0),MATCH(FS$4,'Curva Forward'!$C$4:$AN$4,0))),CU142)</f>
        <v>0</v>
      </c>
      <c r="FT142" s="190">
        <f>AH142*AH$2*IF($FC142="V",1,-1)*IF($Q142="Fixo",(CV142-INDEX('Curva Forward'!$C$5:$AN$13,MATCH(CONCATENATE(BD_COMERCIAL!$K142," ",BD_COMERCIAL!$L142),'Curva Forward'!$B$5:$B$13,0),MATCH(FT$4,'Curva Forward'!$C$4:$AN$4,0))),CV142)</f>
        <v>0</v>
      </c>
      <c r="FU142" s="190">
        <f>AI142*AI$2*IF($FC142="V",1,-1)*IF($Q142="Fixo",(CW142-INDEX('Curva Forward'!$C$5:$AN$13,MATCH(CONCATENATE(BD_COMERCIAL!$K142," ",BD_COMERCIAL!$L142),'Curva Forward'!$B$5:$B$13,0),MATCH(FU$4,'Curva Forward'!$C$4:$AN$4,0))),CW142)</f>
        <v>0</v>
      </c>
      <c r="FV142" s="190">
        <f>AJ142*AJ$2*IF($FC142="V",1,-1)*IF($Q142="Fixo",(CX142-INDEX('Curva Forward'!$C$5:$AN$13,MATCH(CONCATENATE(BD_COMERCIAL!$K142," ",BD_COMERCIAL!$L142),'Curva Forward'!$B$5:$B$13,0),MATCH(FV$4,'Curva Forward'!$C$4:$AN$4,0))),CX142)</f>
        <v>0</v>
      </c>
      <c r="FW142" s="190">
        <f>AK142*AK$2*IF($FC142="V",1,-1)*IF($Q142="Fixo",(CY142-INDEX('Curva Forward'!$C$5:$AN$13,MATCH(CONCATENATE(BD_COMERCIAL!$K142," ",BD_COMERCIAL!$L142),'Curva Forward'!$B$5:$B$13,0),MATCH(FW$4,'Curva Forward'!$C$4:$AN$4,0))),CY142)</f>
        <v>0</v>
      </c>
      <c r="FX142" s="190">
        <f>AL142*AL$2*IF($FC142="V",1,-1)*IF($Q142="Fixo",(CZ142-INDEX('Curva Forward'!$C$5:$AN$13,MATCH(CONCATENATE(BD_COMERCIAL!$K142," ",BD_COMERCIAL!$L142),'Curva Forward'!$B$5:$B$13,0),MATCH(FX$4,'Curva Forward'!$C$4:$AN$4,0))),CZ142)</f>
        <v>0</v>
      </c>
      <c r="FY142" s="190">
        <f>AM142*AM$2*IF($FC142="V",1,-1)*IF($Q142="Fixo",(DA142-INDEX('Curva Forward'!$C$5:$AN$13,MATCH(CONCATENATE(BD_COMERCIAL!$K142," ",BD_COMERCIAL!$L142),'Curva Forward'!$B$5:$B$13,0),MATCH(FY$4,'Curva Forward'!$C$4:$AN$4,0))),DA142)</f>
        <v>0</v>
      </c>
      <c r="FZ142" s="190">
        <f>AN142*AN$2*IF($FC142="V",1,-1)*IF($Q142="Fixo",(DB142-INDEX('Curva Forward'!$C$5:$AN$13,MATCH(CONCATENATE(BD_COMERCIAL!$K142," ",BD_COMERCIAL!$L142),'Curva Forward'!$B$5:$B$13,0),MATCH(FZ$4,'Curva Forward'!$C$4:$AN$4,0))),DB142)</f>
        <v>0</v>
      </c>
      <c r="GA142" s="190">
        <f>AO142*AO$2*IF($FC142="V",1,-1)*IF($Q142="Fixo",(DC142-INDEX('Curva Forward'!$C$5:$AN$13,MATCH(CONCATENATE(BD_COMERCIAL!$K142," ",BD_COMERCIAL!$L142),'Curva Forward'!$B$5:$B$13,0),MATCH(GA$4,'Curva Forward'!$C$4:$AN$4,0))),DC142)</f>
        <v>0</v>
      </c>
      <c r="GB142" s="190">
        <f>AP142*AP$2*IF($FC142="V",1,-1)*IF($Q142="Fixo",(DD142-INDEX('Curva Forward'!$C$5:$AN$13,MATCH(CONCATENATE(BD_COMERCIAL!$K142," ",BD_COMERCIAL!$L142),'Curva Forward'!$B$5:$B$13,0),MATCH(GB$4,'Curva Forward'!$C$4:$AN$4,0))),DD142)</f>
        <v>0</v>
      </c>
      <c r="GC142" s="190">
        <f>AQ142*AQ$2*IF($FC142="V",1,-1)*IF($Q142="Fixo",(DE142-INDEX('Curva Forward'!$C$5:$AN$13,MATCH(CONCATENATE(BD_COMERCIAL!$K142," ",BD_COMERCIAL!$L142),'Curva Forward'!$B$5:$B$13,0),MATCH(GC$4,'Curva Forward'!$C$4:$AN$4,0))),DE142)</f>
        <v>0</v>
      </c>
      <c r="GD142" s="190">
        <f>AR142*AR$2*IF($FC142="V",1,-1)*IF($Q142="Fixo",(DF142-INDEX('Curva Forward'!$C$5:$AN$13,MATCH(CONCATENATE(BD_COMERCIAL!$K142," ",BD_COMERCIAL!$L142),'Curva Forward'!$B$5:$B$13,0),MATCH(GD$4,'Curva Forward'!$C$4:$AN$4,0))),DF142)</f>
        <v>0</v>
      </c>
      <c r="GE142" s="190">
        <f>AS142*AS$2*IF($FC142="V",1,-1)*IF($Q142="Fixo",(DG142-INDEX('Curva Forward'!$C$5:$AN$13,MATCH(CONCATENATE(BD_COMERCIAL!$K142," ",BD_COMERCIAL!$L142),'Curva Forward'!$B$5:$B$13,0),MATCH(GE$4,'Curva Forward'!$C$4:$AN$4,0))),DG142)</f>
        <v>0</v>
      </c>
      <c r="GF142" s="190">
        <f>AT142*AT$2*IF($FC142="V",1,-1)*IF($Q142="Fixo",(DH142-INDEX('Curva Forward'!$C$5:$AN$13,MATCH(CONCATENATE(BD_COMERCIAL!$K142," ",BD_COMERCIAL!$L142),'Curva Forward'!$B$5:$B$13,0),MATCH(GF$4,'Curva Forward'!$C$4:$AN$4,0))),DH142)</f>
        <v>0</v>
      </c>
      <c r="GG142" s="190">
        <f>AU142*AU$2*IF($FC142="V",1,-1)*IF($Q142="Fixo",(DI142-INDEX('Curva Forward'!$C$5:$AN$13,MATCH(CONCATENATE(BD_COMERCIAL!$K142," ",BD_COMERCIAL!$L142),'Curva Forward'!$B$5:$B$13,0),MATCH(GG$4,'Curva Forward'!$C$4:$AN$4,0))),DI142)</f>
        <v>0</v>
      </c>
      <c r="GH142" s="190">
        <f>AV142*AV$2*IF($FC142="V",1,-1)*IF($Q142="Fixo",(DJ142-INDEX('Curva Forward'!$C$5:$AN$13,MATCH(CONCATENATE(BD_COMERCIAL!$K142," ",BD_COMERCIAL!$L142),'Curva Forward'!$B$5:$B$13,0),MATCH(GH$4,'Curva Forward'!$C$4:$AN$4,0))),DJ142)</f>
        <v>0</v>
      </c>
      <c r="GI142" s="190">
        <f>AW142*AW$2*IF($FC142="V",1,-1)*IF($Q142="Fixo",(DK142-INDEX('Curva Forward'!$C$5:$AN$13,MATCH(CONCATENATE(BD_COMERCIAL!$K142," ",BD_COMERCIAL!$L142),'Curva Forward'!$B$5:$B$13,0),MATCH(GI$4,'Curva Forward'!$C$4:$AN$4,0))),DK142)</f>
        <v>0</v>
      </c>
      <c r="GJ142" s="190">
        <f>AX142*AX$2*IF($FC142="V",1,-1)*IF($Q142="Fixo",(DL142-INDEX('Curva Forward'!$C$5:$AN$13,MATCH(CONCATENATE(BD_COMERCIAL!$K142," ",BD_COMERCIAL!$L142),'Curva Forward'!$B$5:$B$13,0),MATCH(GJ$4,'Curva Forward'!$C$4:$AN$4,0))),DL142)</f>
        <v>0</v>
      </c>
      <c r="GK142" s="190">
        <f>AY142*AY$2*IF($FC142="V",1,-1)*IF($Q142="Fixo",(DM142-INDEX('Curva Forward'!$C$5:$AN$13,MATCH(CONCATENATE(BD_COMERCIAL!$K142," ",BD_COMERCIAL!$L142),'Curva Forward'!$B$5:$B$13,0),MATCH(GK$4,'Curva Forward'!$C$4:$AN$4,0))),DM142)</f>
        <v>0</v>
      </c>
      <c r="GL142" s="190">
        <f>IF(EZ142="",0,CL142*CL$2*IF($FC142="V",1,-1)*IF($Q142="Fixo",(EZ142-INDEX('Curva Forward'!$C$5:$AN$13,MATCH(CONCATENATE(BD_COMERCIAL!$K142," ",BD_COMERCIAL!$L142),'Curva Forward'!$B$5:$B$13,0),MATCH(GL$4,'Curva Forward'!$C$4:$AN$4,0))),EZ142))</f>
        <v>0</v>
      </c>
      <c r="GM142" s="190">
        <f>IF(FA142="",0,CM142*CM$2*IF($FC142="V",1,-1)*IF($Q142="Fixo",(FA142-INDEX('Curva Forward'!$C$5:$AN$13,MATCH(CONCATENATE(BD_COMERCIAL!$K142," ",BD_COMERCIAL!$L142),'Curva Forward'!$B$5:$B$13,0),MATCH(GM$4,'Curva Forward'!$C$4:$AN$4,0))),FA142))</f>
        <v>0</v>
      </c>
      <c r="GN142" s="190">
        <f>IF(FB142="",0,CN142*CN$2*IF($FC142="V",1,-1)*IF($Q142="Fixo",(FB142-INDEX('Curva Forward'!$C$5:$AN$13,MATCH(CONCATENATE(BD_COMERCIAL!$K142," ",BD_COMERCIAL!$L142),'Curva Forward'!$B$5:$B$13,0),MATCH(GN$4,'Curva Forward'!$C$4:$AN$4,0))),FB142))</f>
        <v>0</v>
      </c>
      <c r="GO142" s="191">
        <f t="shared" ca="1" si="25"/>
        <v>0</v>
      </c>
      <c r="GP142" s="191">
        <f t="shared" ca="1" si="26"/>
        <v>-19137.599999999999</v>
      </c>
      <c r="GQ142" s="115"/>
      <c r="GR142" s="115"/>
      <c r="GS142"/>
      <c r="GT142" s="65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</row>
    <row r="143" spans="1:236" s="265" customFormat="1" ht="15" customHeight="1" x14ac:dyDescent="0.35">
      <c r="A143" s="251"/>
      <c r="B143" s="7" t="s">
        <v>576</v>
      </c>
      <c r="C143" s="8">
        <v>44930</v>
      </c>
      <c r="D143" s="9" t="s">
        <v>130</v>
      </c>
      <c r="E143" s="9" t="s">
        <v>145</v>
      </c>
      <c r="F143" s="112" t="e">
        <v>#N/A</v>
      </c>
      <c r="G143" s="10" t="s">
        <v>381</v>
      </c>
      <c r="H143" s="112" t="s">
        <v>348</v>
      </c>
      <c r="I143" s="9" t="s">
        <v>137</v>
      </c>
      <c r="J143" s="158" t="s">
        <v>496</v>
      </c>
      <c r="K143" s="10" t="s">
        <v>126</v>
      </c>
      <c r="L143" s="84" t="s">
        <v>22</v>
      </c>
      <c r="M143" s="11">
        <v>45047</v>
      </c>
      <c r="N143" s="12">
        <v>45077</v>
      </c>
      <c r="O143" s="10">
        <v>2.36</v>
      </c>
      <c r="P143" s="84">
        <v>70</v>
      </c>
      <c r="Q143" s="84" t="s">
        <v>127</v>
      </c>
      <c r="R143" s="10" t="s">
        <v>128</v>
      </c>
      <c r="S143" s="14" t="s">
        <v>133</v>
      </c>
      <c r="T143" s="11"/>
      <c r="U143" s="12"/>
      <c r="V143" s="202" t="str">
        <f ca="1">IF(U143="","",
IF(U143="NA","",
IFERROR(VLOOKUP(EOMONTH(M143,-2)+1,IPCA!$A:$B,2,0),
VLOOKUP(EOMONTH(TODAY(),-2)+1,IPCA!$A:$B,2,0))/
VLOOKUP(EOMONTH(U143,-2)+1,IPCA!$A:$B,2,0)*
P143))</f>
        <v/>
      </c>
      <c r="W143" s="84"/>
      <c r="X143" s="13"/>
      <c r="Y143" s="158"/>
      <c r="Z143" s="106" t="s">
        <v>146</v>
      </c>
      <c r="AA143" s="106" t="s">
        <v>146</v>
      </c>
      <c r="AB143" s="15"/>
      <c r="AC143"/>
      <c r="AD143"/>
      <c r="AE143"/>
      <c r="AF143">
        <v>2.36</v>
      </c>
      <c r="AG143"/>
      <c r="AH143"/>
      <c r="AI143"/>
      <c r="AJ143"/>
      <c r="AK143"/>
      <c r="AL143"/>
      <c r="AM143" s="6"/>
      <c r="AN143" s="15"/>
      <c r="AO143"/>
      <c r="AP143"/>
      <c r="AQ143"/>
      <c r="AR143"/>
      <c r="AS143"/>
      <c r="AT143"/>
      <c r="AU143"/>
      <c r="AV143"/>
      <c r="AW143"/>
      <c r="AX143"/>
      <c r="AY143" s="6"/>
      <c r="AZ143" s="15"/>
      <c r="BA143"/>
      <c r="BB143"/>
      <c r="BC143"/>
      <c r="BD143"/>
      <c r="BE143"/>
      <c r="BF143"/>
      <c r="BG143"/>
      <c r="BH143"/>
      <c r="BI143"/>
      <c r="BJ143"/>
      <c r="BK143" s="6"/>
      <c r="BL143" s="15"/>
      <c r="BM143"/>
      <c r="BN143"/>
      <c r="BO143"/>
      <c r="BP143"/>
      <c r="BQ143"/>
      <c r="BR143"/>
      <c r="BS143"/>
      <c r="BT143"/>
      <c r="BU143"/>
      <c r="BV143"/>
      <c r="BW143" s="6"/>
      <c r="BX143" s="15"/>
      <c r="BY143"/>
      <c r="BZ143"/>
      <c r="CA143"/>
      <c r="CB143"/>
      <c r="CC143"/>
      <c r="CD143"/>
      <c r="CE143"/>
      <c r="CF143"/>
      <c r="CG143"/>
      <c r="CH143"/>
      <c r="CI143" s="6"/>
      <c r="CJ143" s="16">
        <v>0.20043835616438355</v>
      </c>
      <c r="CK143" s="16" t="s">
        <v>578</v>
      </c>
      <c r="CL143" s="16" t="s">
        <v>578</v>
      </c>
      <c r="CM143" s="16" t="s">
        <v>578</v>
      </c>
      <c r="CN143" s="16" t="s">
        <v>578</v>
      </c>
      <c r="CO143" s="18"/>
      <c r="CP143" s="15"/>
      <c r="CQ143"/>
      <c r="CR143"/>
      <c r="CS143"/>
      <c r="CT143">
        <v>70</v>
      </c>
      <c r="CU143"/>
      <c r="CV143"/>
      <c r="CW143"/>
      <c r="CX143"/>
      <c r="CY143"/>
      <c r="CZ143"/>
      <c r="DA143" s="6"/>
      <c r="DB143" s="15"/>
      <c r="DC143"/>
      <c r="DD143"/>
      <c r="DE143"/>
      <c r="DF143"/>
      <c r="DG143"/>
      <c r="DH143"/>
      <c r="DI143"/>
      <c r="DJ143"/>
      <c r="DK143"/>
      <c r="DL143"/>
      <c r="DM143" s="6"/>
      <c r="DN143" s="15"/>
      <c r="DO143"/>
      <c r="DP143"/>
      <c r="DQ143"/>
      <c r="DR143"/>
      <c r="DS143"/>
      <c r="DT143"/>
      <c r="DU143"/>
      <c r="DV143"/>
      <c r="DW143"/>
      <c r="DX143"/>
      <c r="DY143" s="6"/>
      <c r="DZ143" s="15"/>
      <c r="EA143"/>
      <c r="EB143"/>
      <c r="EC143"/>
      <c r="ED143"/>
      <c r="EE143"/>
      <c r="EF143"/>
      <c r="EG143"/>
      <c r="EH143"/>
      <c r="EI143"/>
      <c r="EJ143"/>
      <c r="EK143" s="6"/>
      <c r="EL143" s="15"/>
      <c r="EM143"/>
      <c r="EN143"/>
      <c r="EO143"/>
      <c r="EP143"/>
      <c r="EQ143"/>
      <c r="ER143"/>
      <c r="ES143"/>
      <c r="ET143"/>
      <c r="EU143"/>
      <c r="EV143"/>
      <c r="EW143" s="6"/>
      <c r="EX143" s="16">
        <v>5.9452054794520546</v>
      </c>
      <c r="EY143" s="16" t="s">
        <v>578</v>
      </c>
      <c r="EZ143" s="16" t="s">
        <v>578</v>
      </c>
      <c r="FA143" s="154" t="s">
        <v>578</v>
      </c>
      <c r="FB143" s="154" t="s">
        <v>578</v>
      </c>
      <c r="FC143" t="s">
        <v>196</v>
      </c>
      <c r="FD143" s="20" t="s">
        <v>145</v>
      </c>
      <c r="FE143"/>
      <c r="FF143" s="199" t="s">
        <v>197</v>
      </c>
      <c r="FG143"/>
      <c r="FH143" s="206">
        <f t="shared" ca="1" si="20"/>
        <v>0</v>
      </c>
      <c r="FI143" s="198">
        <f t="shared" si="21"/>
        <v>1</v>
      </c>
      <c r="FJ143"/>
      <c r="FK143" t="str">
        <f t="shared" si="22"/>
        <v>Portfólio</v>
      </c>
      <c r="FL143" s="191">
        <f t="shared" ca="1" si="23"/>
        <v>0</v>
      </c>
      <c r="FM143" s="191">
        <f t="shared" ca="1" si="24"/>
        <v>0</v>
      </c>
      <c r="FN143" s="190">
        <f>AB143*AB$2*IF($FC143="V",1,-1)*IF($Q143="Fixo",(CP143-INDEX('Curva Forward'!$C$5:$AN$13,MATCH(CONCATENATE(BD_COMERCIAL!$K143," ",BD_COMERCIAL!$L143),'Curva Forward'!$B$5:$B$13,0),MATCH(FN$4,'Curva Forward'!$C$4:$AN$4,0))),CP143)</f>
        <v>0</v>
      </c>
      <c r="FO143" s="190">
        <f>AC143*AC$2*IF($FC143="V",1,-1)*IF($Q143="Fixo",(CQ143-INDEX('Curva Forward'!$C$5:$AN$13,MATCH(CONCATENATE(BD_COMERCIAL!$K143," ",BD_COMERCIAL!$L143),'Curva Forward'!$B$5:$B$13,0),MATCH(FO$4,'Curva Forward'!$C$4:$AN$4,0))),CQ143)</f>
        <v>0</v>
      </c>
      <c r="FP143" s="190">
        <f>AD143*AD$2*IF($FC143="V",1,-1)*IF($Q143="Fixo",(CR143-INDEX('Curva Forward'!$C$5:$AN$13,MATCH(CONCATENATE(BD_COMERCIAL!$K143," ",BD_COMERCIAL!$L143),'Curva Forward'!$B$5:$B$13,0),MATCH(FP$4,'Curva Forward'!$C$4:$AN$4,0))),CR143)</f>
        <v>0</v>
      </c>
      <c r="FQ143" s="190">
        <f>AE143*AE$2*IF($FC143="V",1,-1)*IF($Q143="Fixo",(CS143-INDEX('Curva Forward'!$C$5:$AN$13,MATCH(CONCATENATE(BD_COMERCIAL!$K143," ",BD_COMERCIAL!$L143),'Curva Forward'!$B$5:$B$13,0),MATCH(FQ$4,'Curva Forward'!$C$4:$AN$4,0))),CS143)</f>
        <v>0</v>
      </c>
      <c r="FR143" s="190">
        <f>AF143*AF$2*IF($FC143="V",1,-1)*IF($Q143="Fixo",(CT143-INDEX('Curva Forward'!$C$5:$AN$13,MATCH(CONCATENATE(BD_COMERCIAL!$K143," ",BD_COMERCIAL!$L143),'Curva Forward'!$B$5:$B$13,0),MATCH(FR$4,'Curva Forward'!$C$4:$AN$4,0))),CT143)</f>
        <v>0</v>
      </c>
      <c r="FS143" s="190">
        <f>AG143*AG$2*IF($FC143="V",1,-1)*IF($Q143="Fixo",(CU143-INDEX('Curva Forward'!$C$5:$AN$13,MATCH(CONCATENATE(BD_COMERCIAL!$K143," ",BD_COMERCIAL!$L143),'Curva Forward'!$B$5:$B$13,0),MATCH(FS$4,'Curva Forward'!$C$4:$AN$4,0))),CU143)</f>
        <v>0</v>
      </c>
      <c r="FT143" s="190">
        <f>AH143*AH$2*IF($FC143="V",1,-1)*IF($Q143="Fixo",(CV143-INDEX('Curva Forward'!$C$5:$AN$13,MATCH(CONCATENATE(BD_COMERCIAL!$K143," ",BD_COMERCIAL!$L143),'Curva Forward'!$B$5:$B$13,0),MATCH(FT$4,'Curva Forward'!$C$4:$AN$4,0))),CV143)</f>
        <v>0</v>
      </c>
      <c r="FU143" s="190">
        <f>AI143*AI$2*IF($FC143="V",1,-1)*IF($Q143="Fixo",(CW143-INDEX('Curva Forward'!$C$5:$AN$13,MATCH(CONCATENATE(BD_COMERCIAL!$K143," ",BD_COMERCIAL!$L143),'Curva Forward'!$B$5:$B$13,0),MATCH(FU$4,'Curva Forward'!$C$4:$AN$4,0))),CW143)</f>
        <v>0</v>
      </c>
      <c r="FV143" s="190">
        <f>AJ143*AJ$2*IF($FC143="V",1,-1)*IF($Q143="Fixo",(CX143-INDEX('Curva Forward'!$C$5:$AN$13,MATCH(CONCATENATE(BD_COMERCIAL!$K143," ",BD_COMERCIAL!$L143),'Curva Forward'!$B$5:$B$13,0),MATCH(FV$4,'Curva Forward'!$C$4:$AN$4,0))),CX143)</f>
        <v>0</v>
      </c>
      <c r="FW143" s="190">
        <f>AK143*AK$2*IF($FC143="V",1,-1)*IF($Q143="Fixo",(CY143-INDEX('Curva Forward'!$C$5:$AN$13,MATCH(CONCATENATE(BD_COMERCIAL!$K143," ",BD_COMERCIAL!$L143),'Curva Forward'!$B$5:$B$13,0),MATCH(FW$4,'Curva Forward'!$C$4:$AN$4,0))),CY143)</f>
        <v>0</v>
      </c>
      <c r="FX143" s="190">
        <f>AL143*AL$2*IF($FC143="V",1,-1)*IF($Q143="Fixo",(CZ143-INDEX('Curva Forward'!$C$5:$AN$13,MATCH(CONCATENATE(BD_COMERCIAL!$K143," ",BD_COMERCIAL!$L143),'Curva Forward'!$B$5:$B$13,0),MATCH(FX$4,'Curva Forward'!$C$4:$AN$4,0))),CZ143)</f>
        <v>0</v>
      </c>
      <c r="FY143" s="190">
        <f>AM143*AM$2*IF($FC143="V",1,-1)*IF($Q143="Fixo",(DA143-INDEX('Curva Forward'!$C$5:$AN$13,MATCH(CONCATENATE(BD_COMERCIAL!$K143," ",BD_COMERCIAL!$L143),'Curva Forward'!$B$5:$B$13,0),MATCH(FY$4,'Curva Forward'!$C$4:$AN$4,0))),DA143)</f>
        <v>0</v>
      </c>
      <c r="FZ143" s="190">
        <f>AN143*AN$2*IF($FC143="V",1,-1)*IF($Q143="Fixo",(DB143-INDEX('Curva Forward'!$C$5:$AN$13,MATCH(CONCATENATE(BD_COMERCIAL!$K143," ",BD_COMERCIAL!$L143),'Curva Forward'!$B$5:$B$13,0),MATCH(FZ$4,'Curva Forward'!$C$4:$AN$4,0))),DB143)</f>
        <v>0</v>
      </c>
      <c r="GA143" s="190">
        <f>AO143*AO$2*IF($FC143="V",1,-1)*IF($Q143="Fixo",(DC143-INDEX('Curva Forward'!$C$5:$AN$13,MATCH(CONCATENATE(BD_COMERCIAL!$K143," ",BD_COMERCIAL!$L143),'Curva Forward'!$B$5:$B$13,0),MATCH(GA$4,'Curva Forward'!$C$4:$AN$4,0))),DC143)</f>
        <v>0</v>
      </c>
      <c r="GB143" s="190">
        <f>AP143*AP$2*IF($FC143="V",1,-1)*IF($Q143="Fixo",(DD143-INDEX('Curva Forward'!$C$5:$AN$13,MATCH(CONCATENATE(BD_COMERCIAL!$K143," ",BD_COMERCIAL!$L143),'Curva Forward'!$B$5:$B$13,0),MATCH(GB$4,'Curva Forward'!$C$4:$AN$4,0))),DD143)</f>
        <v>0</v>
      </c>
      <c r="GC143" s="190">
        <f>AQ143*AQ$2*IF($FC143="V",1,-1)*IF($Q143="Fixo",(DE143-INDEX('Curva Forward'!$C$5:$AN$13,MATCH(CONCATENATE(BD_COMERCIAL!$K143," ",BD_COMERCIAL!$L143),'Curva Forward'!$B$5:$B$13,0),MATCH(GC$4,'Curva Forward'!$C$4:$AN$4,0))),DE143)</f>
        <v>0</v>
      </c>
      <c r="GD143" s="190">
        <f>AR143*AR$2*IF($FC143="V",1,-1)*IF($Q143="Fixo",(DF143-INDEX('Curva Forward'!$C$5:$AN$13,MATCH(CONCATENATE(BD_COMERCIAL!$K143," ",BD_COMERCIAL!$L143),'Curva Forward'!$B$5:$B$13,0),MATCH(GD$4,'Curva Forward'!$C$4:$AN$4,0))),DF143)</f>
        <v>0</v>
      </c>
      <c r="GE143" s="190">
        <f>AS143*AS$2*IF($FC143="V",1,-1)*IF($Q143="Fixo",(DG143-INDEX('Curva Forward'!$C$5:$AN$13,MATCH(CONCATENATE(BD_COMERCIAL!$K143," ",BD_COMERCIAL!$L143),'Curva Forward'!$B$5:$B$13,0),MATCH(GE$4,'Curva Forward'!$C$4:$AN$4,0))),DG143)</f>
        <v>0</v>
      </c>
      <c r="GF143" s="190">
        <f>AT143*AT$2*IF($FC143="V",1,-1)*IF($Q143="Fixo",(DH143-INDEX('Curva Forward'!$C$5:$AN$13,MATCH(CONCATENATE(BD_COMERCIAL!$K143," ",BD_COMERCIAL!$L143),'Curva Forward'!$B$5:$B$13,0),MATCH(GF$4,'Curva Forward'!$C$4:$AN$4,0))),DH143)</f>
        <v>0</v>
      </c>
      <c r="GG143" s="190">
        <f>AU143*AU$2*IF($FC143="V",1,-1)*IF($Q143="Fixo",(DI143-INDEX('Curva Forward'!$C$5:$AN$13,MATCH(CONCATENATE(BD_COMERCIAL!$K143," ",BD_COMERCIAL!$L143),'Curva Forward'!$B$5:$B$13,0),MATCH(GG$4,'Curva Forward'!$C$4:$AN$4,0))),DI143)</f>
        <v>0</v>
      </c>
      <c r="GH143" s="190">
        <f>AV143*AV$2*IF($FC143="V",1,-1)*IF($Q143="Fixo",(DJ143-INDEX('Curva Forward'!$C$5:$AN$13,MATCH(CONCATENATE(BD_COMERCIAL!$K143," ",BD_COMERCIAL!$L143),'Curva Forward'!$B$5:$B$13,0),MATCH(GH$4,'Curva Forward'!$C$4:$AN$4,0))),DJ143)</f>
        <v>0</v>
      </c>
      <c r="GI143" s="190">
        <f>AW143*AW$2*IF($FC143="V",1,-1)*IF($Q143="Fixo",(DK143-INDEX('Curva Forward'!$C$5:$AN$13,MATCH(CONCATENATE(BD_COMERCIAL!$K143," ",BD_COMERCIAL!$L143),'Curva Forward'!$B$5:$B$13,0),MATCH(GI$4,'Curva Forward'!$C$4:$AN$4,0))),DK143)</f>
        <v>0</v>
      </c>
      <c r="GJ143" s="190">
        <f>AX143*AX$2*IF($FC143="V",1,-1)*IF($Q143="Fixo",(DL143-INDEX('Curva Forward'!$C$5:$AN$13,MATCH(CONCATENATE(BD_COMERCIAL!$K143," ",BD_COMERCIAL!$L143),'Curva Forward'!$B$5:$B$13,0),MATCH(GJ$4,'Curva Forward'!$C$4:$AN$4,0))),DL143)</f>
        <v>0</v>
      </c>
      <c r="GK143" s="190">
        <f>AY143*AY$2*IF($FC143="V",1,-1)*IF($Q143="Fixo",(DM143-INDEX('Curva Forward'!$C$5:$AN$13,MATCH(CONCATENATE(BD_COMERCIAL!$K143," ",BD_COMERCIAL!$L143),'Curva Forward'!$B$5:$B$13,0),MATCH(GK$4,'Curva Forward'!$C$4:$AN$4,0))),DM143)</f>
        <v>0</v>
      </c>
      <c r="GL143" s="190">
        <f>IF(EZ143="",0,CL143*CL$2*IF($FC143="V",1,-1)*IF($Q143="Fixo",(EZ143-INDEX('Curva Forward'!$C$5:$AN$13,MATCH(CONCATENATE(BD_COMERCIAL!$K143," ",BD_COMERCIAL!$L143),'Curva Forward'!$B$5:$B$13,0),MATCH(GL$4,'Curva Forward'!$C$4:$AN$4,0))),EZ143))</f>
        <v>0</v>
      </c>
      <c r="GM143" s="190">
        <f>IF(FA143="",0,CM143*CM$2*IF($FC143="V",1,-1)*IF($Q143="Fixo",(FA143-INDEX('Curva Forward'!$C$5:$AN$13,MATCH(CONCATENATE(BD_COMERCIAL!$K143," ",BD_COMERCIAL!$L143),'Curva Forward'!$B$5:$B$13,0),MATCH(GM$4,'Curva Forward'!$C$4:$AN$4,0))),FA143))</f>
        <v>0</v>
      </c>
      <c r="GN143" s="190">
        <f>IF(FB143="",0,CN143*CN$2*IF($FC143="V",1,-1)*IF($Q143="Fixo",(FB143-INDEX('Curva Forward'!$C$5:$AN$13,MATCH(CONCATENATE(BD_COMERCIAL!$K143," ",BD_COMERCIAL!$L143),'Curva Forward'!$B$5:$B$13,0),MATCH(GN$4,'Curva Forward'!$C$4:$AN$4,0))),FB143))</f>
        <v>0</v>
      </c>
      <c r="GO143" s="191">
        <f t="shared" ca="1" si="25"/>
        <v>0</v>
      </c>
      <c r="GP143" s="191">
        <f t="shared" ca="1" si="26"/>
        <v>0</v>
      </c>
      <c r="GQ143" s="115"/>
      <c r="GR143" s="115"/>
      <c r="GS143"/>
      <c r="GT143" s="65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</row>
    <row r="144" spans="1:236" s="265" customFormat="1" ht="15" customHeight="1" x14ac:dyDescent="0.35">
      <c r="A144" s="251"/>
      <c r="B144" s="7" t="s">
        <v>577</v>
      </c>
      <c r="C144" s="8">
        <v>44932</v>
      </c>
      <c r="D144" s="9" t="s">
        <v>130</v>
      </c>
      <c r="E144" s="9" t="s">
        <v>190</v>
      </c>
      <c r="F144" s="112" t="s">
        <v>444</v>
      </c>
      <c r="G144" s="10" t="s">
        <v>381</v>
      </c>
      <c r="H144" s="112" t="s">
        <v>348</v>
      </c>
      <c r="I144" s="9" t="s">
        <v>125</v>
      </c>
      <c r="J144" s="158" t="s">
        <v>496</v>
      </c>
      <c r="K144" s="10" t="s">
        <v>126</v>
      </c>
      <c r="L144" s="84" t="s">
        <v>22</v>
      </c>
      <c r="M144" s="11">
        <v>45078</v>
      </c>
      <c r="N144" s="12">
        <v>45107</v>
      </c>
      <c r="O144" s="10">
        <v>2</v>
      </c>
      <c r="P144" s="84">
        <v>73</v>
      </c>
      <c r="Q144" s="84" t="s">
        <v>127</v>
      </c>
      <c r="R144" s="10" t="s">
        <v>128</v>
      </c>
      <c r="S144" s="14" t="s">
        <v>133</v>
      </c>
      <c r="T144" s="11"/>
      <c r="U144" s="12"/>
      <c r="V144" s="202" t="str">
        <f ca="1">IF(U144="","",
IF(U144="NA","",
IFERROR(VLOOKUP(EOMONTH(M144,-2)+1,IPCA!$A:$B,2,0),
VLOOKUP(EOMONTH(TODAY(),-2)+1,IPCA!$A:$B,2,0))/
VLOOKUP(EOMONTH(U144,-2)+1,IPCA!$A:$B,2,0)*
P144))</f>
        <v/>
      </c>
      <c r="W144" s="84"/>
      <c r="X144" s="13" t="s">
        <v>6</v>
      </c>
      <c r="Y144" s="158"/>
      <c r="Z144" s="106"/>
      <c r="AA144" s="107"/>
      <c r="AB144" s="15"/>
      <c r="AC144"/>
      <c r="AD144"/>
      <c r="AE144"/>
      <c r="AF144"/>
      <c r="AG144">
        <v>2</v>
      </c>
      <c r="AH144"/>
      <c r="AI144"/>
      <c r="AJ144"/>
      <c r="AK144"/>
      <c r="AL144"/>
      <c r="AM144" s="6"/>
      <c r="AN144" s="15"/>
      <c r="AO144"/>
      <c r="AP144"/>
      <c r="AQ144"/>
      <c r="AR144"/>
      <c r="AS144"/>
      <c r="AT144"/>
      <c r="AU144"/>
      <c r="AV144"/>
      <c r="AW144"/>
      <c r="AX144"/>
      <c r="AY144" s="6"/>
      <c r="AZ144" s="15"/>
      <c r="BA144"/>
      <c r="BB144"/>
      <c r="BC144"/>
      <c r="BD144"/>
      <c r="BE144"/>
      <c r="BF144"/>
      <c r="BG144"/>
      <c r="BH144"/>
      <c r="BI144"/>
      <c r="BJ144"/>
      <c r="BK144" s="6"/>
      <c r="BL144" s="15"/>
      <c r="BM144"/>
      <c r="BN144"/>
      <c r="BO144"/>
      <c r="BP144"/>
      <c r="BQ144"/>
      <c r="BR144"/>
      <c r="BS144"/>
      <c r="BT144"/>
      <c r="BU144"/>
      <c r="BV144"/>
      <c r="BW144" s="6"/>
      <c r="BX144" s="15"/>
      <c r="BY144"/>
      <c r="BZ144"/>
      <c r="CA144"/>
      <c r="CB144"/>
      <c r="CC144"/>
      <c r="CD144"/>
      <c r="CE144"/>
      <c r="CF144"/>
      <c r="CG144"/>
      <c r="CH144"/>
      <c r="CI144" s="6"/>
      <c r="CJ144" s="16">
        <v>0.16438356164383561</v>
      </c>
      <c r="CK144" s="16" t="s">
        <v>578</v>
      </c>
      <c r="CL144" s="16" t="s">
        <v>578</v>
      </c>
      <c r="CM144" s="16" t="s">
        <v>578</v>
      </c>
      <c r="CN144" s="16" t="s">
        <v>578</v>
      </c>
      <c r="CO144" s="18"/>
      <c r="CP144" s="15"/>
      <c r="CQ144"/>
      <c r="CR144"/>
      <c r="CS144"/>
      <c r="CT144"/>
      <c r="CU144">
        <v>73</v>
      </c>
      <c r="CV144"/>
      <c r="CW144"/>
      <c r="CX144"/>
      <c r="CY144"/>
      <c r="CZ144"/>
      <c r="DA144" s="6"/>
      <c r="DB144" s="15"/>
      <c r="DC144"/>
      <c r="DD144"/>
      <c r="DE144"/>
      <c r="DF144"/>
      <c r="DG144"/>
      <c r="DH144"/>
      <c r="DI144"/>
      <c r="DJ144"/>
      <c r="DK144"/>
      <c r="DL144"/>
      <c r="DM144" s="6"/>
      <c r="DN144" s="15"/>
      <c r="DO144"/>
      <c r="DP144"/>
      <c r="DQ144"/>
      <c r="DR144"/>
      <c r="DS144"/>
      <c r="DT144"/>
      <c r="DU144"/>
      <c r="DV144"/>
      <c r="DW144"/>
      <c r="DX144"/>
      <c r="DY144" s="6"/>
      <c r="DZ144" s="15"/>
      <c r="EA144"/>
      <c r="EB144"/>
      <c r="EC144"/>
      <c r="ED144"/>
      <c r="EE144"/>
      <c r="EF144"/>
      <c r="EG144"/>
      <c r="EH144"/>
      <c r="EI144"/>
      <c r="EJ144"/>
      <c r="EK144" s="6"/>
      <c r="EL144" s="15"/>
      <c r="EM144"/>
      <c r="EN144"/>
      <c r="EO144"/>
      <c r="EP144"/>
      <c r="EQ144"/>
      <c r="ER144"/>
      <c r="ES144"/>
      <c r="ET144"/>
      <c r="EU144"/>
      <c r="EV144"/>
      <c r="EW144" s="6"/>
      <c r="EX144" s="16">
        <v>6</v>
      </c>
      <c r="EY144" s="16" t="s">
        <v>578</v>
      </c>
      <c r="EZ144" s="16" t="s">
        <v>578</v>
      </c>
      <c r="FA144" s="154" t="s">
        <v>578</v>
      </c>
      <c r="FB144" s="154" t="s">
        <v>578</v>
      </c>
      <c r="FC144" t="s">
        <v>196</v>
      </c>
      <c r="FD144" s="20" t="s">
        <v>125</v>
      </c>
      <c r="FE144"/>
      <c r="FF144" s="199" t="s">
        <v>197</v>
      </c>
      <c r="FG144"/>
      <c r="FH144" s="206">
        <f t="shared" ca="1" si="20"/>
        <v>0</v>
      </c>
      <c r="FI144" s="198">
        <f t="shared" si="21"/>
        <v>0.96666666666666667</v>
      </c>
      <c r="FJ144"/>
      <c r="FK144" t="str">
        <f t="shared" si="22"/>
        <v>America Energia S/A</v>
      </c>
      <c r="FL144" s="191">
        <f t="shared" ca="1" si="23"/>
        <v>0</v>
      </c>
      <c r="FM144" s="191">
        <f t="shared" ca="1" si="24"/>
        <v>-4320</v>
      </c>
      <c r="FN144" s="190">
        <f>AB144*AB$2*IF($FC144="V",1,-1)*IF($Q144="Fixo",(CP144-INDEX('Curva Forward'!$C$5:$AN$13,MATCH(CONCATENATE(BD_COMERCIAL!$K144," ",BD_COMERCIAL!$L144),'Curva Forward'!$B$5:$B$13,0),MATCH(FN$4,'Curva Forward'!$C$4:$AN$4,0))),CP144)</f>
        <v>0</v>
      </c>
      <c r="FO144" s="190">
        <f>AC144*AC$2*IF($FC144="V",1,-1)*IF($Q144="Fixo",(CQ144-INDEX('Curva Forward'!$C$5:$AN$13,MATCH(CONCATENATE(BD_COMERCIAL!$K144," ",BD_COMERCIAL!$L144),'Curva Forward'!$B$5:$B$13,0),MATCH(FO$4,'Curva Forward'!$C$4:$AN$4,0))),CQ144)</f>
        <v>0</v>
      </c>
      <c r="FP144" s="190">
        <f>AD144*AD$2*IF($FC144="V",1,-1)*IF($Q144="Fixo",(CR144-INDEX('Curva Forward'!$C$5:$AN$13,MATCH(CONCATENATE(BD_COMERCIAL!$K144," ",BD_COMERCIAL!$L144),'Curva Forward'!$B$5:$B$13,0),MATCH(FP$4,'Curva Forward'!$C$4:$AN$4,0))),CR144)</f>
        <v>0</v>
      </c>
      <c r="FQ144" s="190">
        <f>AE144*AE$2*IF($FC144="V",1,-1)*IF($Q144="Fixo",(CS144-INDEX('Curva Forward'!$C$5:$AN$13,MATCH(CONCATENATE(BD_COMERCIAL!$K144," ",BD_COMERCIAL!$L144),'Curva Forward'!$B$5:$B$13,0),MATCH(FQ$4,'Curva Forward'!$C$4:$AN$4,0))),CS144)</f>
        <v>0</v>
      </c>
      <c r="FR144" s="190">
        <f>AF144*AF$2*IF($FC144="V",1,-1)*IF($Q144="Fixo",(CT144-INDEX('Curva Forward'!$C$5:$AN$13,MATCH(CONCATENATE(BD_COMERCIAL!$K144," ",BD_COMERCIAL!$L144),'Curva Forward'!$B$5:$B$13,0),MATCH(FR$4,'Curva Forward'!$C$4:$AN$4,0))),CT144)</f>
        <v>0</v>
      </c>
      <c r="FS144" s="190">
        <f>AG144*AG$2*IF($FC144="V",1,-1)*IF($Q144="Fixo",(CU144-INDEX('Curva Forward'!$C$5:$AN$13,MATCH(CONCATENATE(BD_COMERCIAL!$K144," ",BD_COMERCIAL!$L144),'Curva Forward'!$B$5:$B$13,0),MATCH(FS$4,'Curva Forward'!$C$4:$AN$4,0))),CU144)</f>
        <v>-4320</v>
      </c>
      <c r="FT144" s="190">
        <f>AH144*AH$2*IF($FC144="V",1,-1)*IF($Q144="Fixo",(CV144-INDEX('Curva Forward'!$C$5:$AN$13,MATCH(CONCATENATE(BD_COMERCIAL!$K144," ",BD_COMERCIAL!$L144),'Curva Forward'!$B$5:$B$13,0),MATCH(FT$4,'Curva Forward'!$C$4:$AN$4,0))),CV144)</f>
        <v>0</v>
      </c>
      <c r="FU144" s="190">
        <f>AI144*AI$2*IF($FC144="V",1,-1)*IF($Q144="Fixo",(CW144-INDEX('Curva Forward'!$C$5:$AN$13,MATCH(CONCATENATE(BD_COMERCIAL!$K144," ",BD_COMERCIAL!$L144),'Curva Forward'!$B$5:$B$13,0),MATCH(FU$4,'Curva Forward'!$C$4:$AN$4,0))),CW144)</f>
        <v>0</v>
      </c>
      <c r="FV144" s="190">
        <f>AJ144*AJ$2*IF($FC144="V",1,-1)*IF($Q144="Fixo",(CX144-INDEX('Curva Forward'!$C$5:$AN$13,MATCH(CONCATENATE(BD_COMERCIAL!$K144," ",BD_COMERCIAL!$L144),'Curva Forward'!$B$5:$B$13,0),MATCH(FV$4,'Curva Forward'!$C$4:$AN$4,0))),CX144)</f>
        <v>0</v>
      </c>
      <c r="FW144" s="190">
        <f>AK144*AK$2*IF($FC144="V",1,-1)*IF($Q144="Fixo",(CY144-INDEX('Curva Forward'!$C$5:$AN$13,MATCH(CONCATENATE(BD_COMERCIAL!$K144," ",BD_COMERCIAL!$L144),'Curva Forward'!$B$5:$B$13,0),MATCH(FW$4,'Curva Forward'!$C$4:$AN$4,0))),CY144)</f>
        <v>0</v>
      </c>
      <c r="FX144" s="190">
        <f>AL144*AL$2*IF($FC144="V",1,-1)*IF($Q144="Fixo",(CZ144-INDEX('Curva Forward'!$C$5:$AN$13,MATCH(CONCATENATE(BD_COMERCIAL!$K144," ",BD_COMERCIAL!$L144),'Curva Forward'!$B$5:$B$13,0),MATCH(FX$4,'Curva Forward'!$C$4:$AN$4,0))),CZ144)</f>
        <v>0</v>
      </c>
      <c r="FY144" s="190">
        <f>AM144*AM$2*IF($FC144="V",1,-1)*IF($Q144="Fixo",(DA144-INDEX('Curva Forward'!$C$5:$AN$13,MATCH(CONCATENATE(BD_COMERCIAL!$K144," ",BD_COMERCIAL!$L144),'Curva Forward'!$B$5:$B$13,0),MATCH(FY$4,'Curva Forward'!$C$4:$AN$4,0))),DA144)</f>
        <v>0</v>
      </c>
      <c r="FZ144" s="190">
        <f>AN144*AN$2*IF($FC144="V",1,-1)*IF($Q144="Fixo",(DB144-INDEX('Curva Forward'!$C$5:$AN$13,MATCH(CONCATENATE(BD_COMERCIAL!$K144," ",BD_COMERCIAL!$L144),'Curva Forward'!$B$5:$B$13,0),MATCH(FZ$4,'Curva Forward'!$C$4:$AN$4,0))),DB144)</f>
        <v>0</v>
      </c>
      <c r="GA144" s="190">
        <f>AO144*AO$2*IF($FC144="V",1,-1)*IF($Q144="Fixo",(DC144-INDEX('Curva Forward'!$C$5:$AN$13,MATCH(CONCATENATE(BD_COMERCIAL!$K144," ",BD_COMERCIAL!$L144),'Curva Forward'!$B$5:$B$13,0),MATCH(GA$4,'Curva Forward'!$C$4:$AN$4,0))),DC144)</f>
        <v>0</v>
      </c>
      <c r="GB144" s="190">
        <f>AP144*AP$2*IF($FC144="V",1,-1)*IF($Q144="Fixo",(DD144-INDEX('Curva Forward'!$C$5:$AN$13,MATCH(CONCATENATE(BD_COMERCIAL!$K144," ",BD_COMERCIAL!$L144),'Curva Forward'!$B$5:$B$13,0),MATCH(GB$4,'Curva Forward'!$C$4:$AN$4,0))),DD144)</f>
        <v>0</v>
      </c>
      <c r="GC144" s="190">
        <f>AQ144*AQ$2*IF($FC144="V",1,-1)*IF($Q144="Fixo",(DE144-INDEX('Curva Forward'!$C$5:$AN$13,MATCH(CONCATENATE(BD_COMERCIAL!$K144," ",BD_COMERCIAL!$L144),'Curva Forward'!$B$5:$B$13,0),MATCH(GC$4,'Curva Forward'!$C$4:$AN$4,0))),DE144)</f>
        <v>0</v>
      </c>
      <c r="GD144" s="190">
        <f>AR144*AR$2*IF($FC144="V",1,-1)*IF($Q144="Fixo",(DF144-INDEX('Curva Forward'!$C$5:$AN$13,MATCH(CONCATENATE(BD_COMERCIAL!$K144," ",BD_COMERCIAL!$L144),'Curva Forward'!$B$5:$B$13,0),MATCH(GD$4,'Curva Forward'!$C$4:$AN$4,0))),DF144)</f>
        <v>0</v>
      </c>
      <c r="GE144" s="190">
        <f>AS144*AS$2*IF($FC144="V",1,-1)*IF($Q144="Fixo",(DG144-INDEX('Curva Forward'!$C$5:$AN$13,MATCH(CONCATENATE(BD_COMERCIAL!$K144," ",BD_COMERCIAL!$L144),'Curva Forward'!$B$5:$B$13,0),MATCH(GE$4,'Curva Forward'!$C$4:$AN$4,0))),DG144)</f>
        <v>0</v>
      </c>
      <c r="GF144" s="190">
        <f>AT144*AT$2*IF($FC144="V",1,-1)*IF($Q144="Fixo",(DH144-INDEX('Curva Forward'!$C$5:$AN$13,MATCH(CONCATENATE(BD_COMERCIAL!$K144," ",BD_COMERCIAL!$L144),'Curva Forward'!$B$5:$B$13,0),MATCH(GF$4,'Curva Forward'!$C$4:$AN$4,0))),DH144)</f>
        <v>0</v>
      </c>
      <c r="GG144" s="190">
        <f>AU144*AU$2*IF($FC144="V",1,-1)*IF($Q144="Fixo",(DI144-INDEX('Curva Forward'!$C$5:$AN$13,MATCH(CONCATENATE(BD_COMERCIAL!$K144," ",BD_COMERCIAL!$L144),'Curva Forward'!$B$5:$B$13,0),MATCH(GG$4,'Curva Forward'!$C$4:$AN$4,0))),DI144)</f>
        <v>0</v>
      </c>
      <c r="GH144" s="190">
        <f>AV144*AV$2*IF($FC144="V",1,-1)*IF($Q144="Fixo",(DJ144-INDEX('Curva Forward'!$C$5:$AN$13,MATCH(CONCATENATE(BD_COMERCIAL!$K144," ",BD_COMERCIAL!$L144),'Curva Forward'!$B$5:$B$13,0),MATCH(GH$4,'Curva Forward'!$C$4:$AN$4,0))),DJ144)</f>
        <v>0</v>
      </c>
      <c r="GI144" s="190">
        <f>AW144*AW$2*IF($FC144="V",1,-1)*IF($Q144="Fixo",(DK144-INDEX('Curva Forward'!$C$5:$AN$13,MATCH(CONCATENATE(BD_COMERCIAL!$K144," ",BD_COMERCIAL!$L144),'Curva Forward'!$B$5:$B$13,0),MATCH(GI$4,'Curva Forward'!$C$4:$AN$4,0))),DK144)</f>
        <v>0</v>
      </c>
      <c r="GJ144" s="190">
        <f>AX144*AX$2*IF($FC144="V",1,-1)*IF($Q144="Fixo",(DL144-INDEX('Curva Forward'!$C$5:$AN$13,MATCH(CONCATENATE(BD_COMERCIAL!$K144," ",BD_COMERCIAL!$L144),'Curva Forward'!$B$5:$B$13,0),MATCH(GJ$4,'Curva Forward'!$C$4:$AN$4,0))),DL144)</f>
        <v>0</v>
      </c>
      <c r="GK144" s="190">
        <f>AY144*AY$2*IF($FC144="V",1,-1)*IF($Q144="Fixo",(DM144-INDEX('Curva Forward'!$C$5:$AN$13,MATCH(CONCATENATE(BD_COMERCIAL!$K144," ",BD_COMERCIAL!$L144),'Curva Forward'!$B$5:$B$13,0),MATCH(GK$4,'Curva Forward'!$C$4:$AN$4,0))),DM144)</f>
        <v>0</v>
      </c>
      <c r="GL144" s="190">
        <f>IF(EZ144="",0,CL144*CL$2*IF($FC144="V",1,-1)*IF($Q144="Fixo",(EZ144-INDEX('Curva Forward'!$C$5:$AN$13,MATCH(CONCATENATE(BD_COMERCIAL!$K144," ",BD_COMERCIAL!$L144),'Curva Forward'!$B$5:$B$13,0),MATCH(GL$4,'Curva Forward'!$C$4:$AN$4,0))),EZ144))</f>
        <v>0</v>
      </c>
      <c r="GM144" s="190">
        <f>IF(FA144="",0,CM144*CM$2*IF($FC144="V",1,-1)*IF($Q144="Fixo",(FA144-INDEX('Curva Forward'!$C$5:$AN$13,MATCH(CONCATENATE(BD_COMERCIAL!$K144," ",BD_COMERCIAL!$L144),'Curva Forward'!$B$5:$B$13,0),MATCH(GM$4,'Curva Forward'!$C$4:$AN$4,0))),FA144))</f>
        <v>0</v>
      </c>
      <c r="GN144" s="190">
        <f>IF(FB144="",0,CN144*CN$2*IF($FC144="V",1,-1)*IF($Q144="Fixo",(FB144-INDEX('Curva Forward'!$C$5:$AN$13,MATCH(CONCATENATE(BD_COMERCIAL!$K144," ",BD_COMERCIAL!$L144),'Curva Forward'!$B$5:$B$13,0),MATCH(GN$4,'Curva Forward'!$C$4:$AN$4,0))),FB144))</f>
        <v>0</v>
      </c>
      <c r="GO144" s="191">
        <f t="shared" ca="1" si="25"/>
        <v>0</v>
      </c>
      <c r="GP144" s="191">
        <f t="shared" ca="1" si="26"/>
        <v>-4320</v>
      </c>
      <c r="GQ144" s="115"/>
      <c r="GR144" s="115"/>
      <c r="GS144"/>
      <c r="GT144" s="65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</row>
    <row r="145" spans="1:236" s="265" customFormat="1" ht="15" customHeight="1" x14ac:dyDescent="0.35">
      <c r="A145" s="251"/>
      <c r="B145" s="275" t="s">
        <v>582</v>
      </c>
      <c r="C145" s="253">
        <v>44938</v>
      </c>
      <c r="D145" s="254" t="s">
        <v>123</v>
      </c>
      <c r="E145" s="254" t="s">
        <v>381</v>
      </c>
      <c r="F145" s="255" t="s">
        <v>348</v>
      </c>
      <c r="G145" s="256" t="s">
        <v>142</v>
      </c>
      <c r="H145" s="255" t="s">
        <v>583</v>
      </c>
      <c r="I145" s="254" t="s">
        <v>125</v>
      </c>
      <c r="J145" s="257" t="s">
        <v>496</v>
      </c>
      <c r="K145" s="256" t="s">
        <v>126</v>
      </c>
      <c r="L145" s="252" t="s">
        <v>22</v>
      </c>
      <c r="M145" s="258">
        <v>45261</v>
      </c>
      <c r="N145" s="259">
        <v>45291</v>
      </c>
      <c r="O145" s="256">
        <v>6</v>
      </c>
      <c r="P145" s="252">
        <v>78</v>
      </c>
      <c r="Q145" s="252" t="s">
        <v>127</v>
      </c>
      <c r="R145" s="256" t="s">
        <v>128</v>
      </c>
      <c r="S145" s="260" t="s">
        <v>133</v>
      </c>
      <c r="T145" s="258"/>
      <c r="U145" s="259"/>
      <c r="V145" s="261"/>
      <c r="W145" s="252"/>
      <c r="X145" s="262" t="s">
        <v>132</v>
      </c>
      <c r="Y145" s="257"/>
      <c r="Z145" s="263"/>
      <c r="AA145" s="264"/>
      <c r="AB145" s="266"/>
      <c r="AM145" s="251">
        <v>6</v>
      </c>
      <c r="AN145" s="266"/>
      <c r="AY145" s="251"/>
      <c r="AZ145" s="266"/>
      <c r="BK145" s="251"/>
      <c r="BL145" s="266"/>
      <c r="BW145" s="251"/>
      <c r="BX145" s="266"/>
      <c r="CI145" s="251"/>
      <c r="CJ145" s="267"/>
      <c r="CK145" s="267"/>
      <c r="CL145" s="267"/>
      <c r="CM145" s="267"/>
      <c r="CN145" s="267"/>
      <c r="CO145" s="268"/>
      <c r="CP145" s="266"/>
      <c r="DA145" s="251">
        <v>78</v>
      </c>
      <c r="DB145" s="266"/>
      <c r="DM145" s="251"/>
      <c r="DN145" s="266"/>
      <c r="DY145" s="251"/>
      <c r="DZ145" s="266"/>
      <c r="EK145" s="251"/>
      <c r="EL145" s="266"/>
      <c r="EW145" s="251"/>
      <c r="EX145" s="267"/>
      <c r="EY145" s="267"/>
      <c r="EZ145" s="267"/>
      <c r="FA145" s="267"/>
      <c r="FB145" s="269"/>
      <c r="FC145" s="265" t="s">
        <v>195</v>
      </c>
      <c r="FD145" s="270" t="s">
        <v>125</v>
      </c>
      <c r="FF145" s="199" t="s">
        <v>197</v>
      </c>
      <c r="FH145" s="206">
        <f t="shared" si="20"/>
        <v>0</v>
      </c>
      <c r="FI145" s="198">
        <f t="shared" si="21"/>
        <v>1</v>
      </c>
      <c r="FJ145"/>
      <c r="FK145" t="str">
        <f t="shared" si="22"/>
        <v>WX Energy Comercializadora de Energia Ltda</v>
      </c>
      <c r="FL145" s="191">
        <f t="shared" ca="1" si="23"/>
        <v>0</v>
      </c>
      <c r="FM145" s="191">
        <f t="shared" ca="1" si="24"/>
        <v>13392</v>
      </c>
      <c r="FN145" s="190">
        <f>AB145*AB$2*IF($FC145="V",1,-1)*IF($Q145="Fixo",(CP145-INDEX('Curva Forward'!$C$5:$AN$13,MATCH(CONCATENATE(BD_COMERCIAL!$K145," ",BD_COMERCIAL!$L145),'Curva Forward'!$B$5:$B$13,0),MATCH(FN$4,'Curva Forward'!$C$4:$AN$4,0))),CP145)</f>
        <v>0</v>
      </c>
      <c r="FO145" s="190">
        <f>AC145*AC$2*IF($FC145="V",1,-1)*IF($Q145="Fixo",(CQ145-INDEX('Curva Forward'!$C$5:$AN$13,MATCH(CONCATENATE(BD_COMERCIAL!$K145," ",BD_COMERCIAL!$L145),'Curva Forward'!$B$5:$B$13,0),MATCH(FO$4,'Curva Forward'!$C$4:$AN$4,0))),CQ145)</f>
        <v>0</v>
      </c>
      <c r="FP145" s="190">
        <f>AD145*AD$2*IF($FC145="V",1,-1)*IF($Q145="Fixo",(CR145-INDEX('Curva Forward'!$C$5:$AN$13,MATCH(CONCATENATE(BD_COMERCIAL!$K145," ",BD_COMERCIAL!$L145),'Curva Forward'!$B$5:$B$13,0),MATCH(FP$4,'Curva Forward'!$C$4:$AN$4,0))),CR145)</f>
        <v>0</v>
      </c>
      <c r="FQ145" s="190">
        <f>AE145*AE$2*IF($FC145="V",1,-1)*IF($Q145="Fixo",(CS145-INDEX('Curva Forward'!$C$5:$AN$13,MATCH(CONCATENATE(BD_COMERCIAL!$K145," ",BD_COMERCIAL!$L145),'Curva Forward'!$B$5:$B$13,0),MATCH(FQ$4,'Curva Forward'!$C$4:$AN$4,0))),CS145)</f>
        <v>0</v>
      </c>
      <c r="FR145" s="190">
        <f>AF145*AF$2*IF($FC145="V",1,-1)*IF($Q145="Fixo",(CT145-INDEX('Curva Forward'!$C$5:$AN$13,MATCH(CONCATENATE(BD_COMERCIAL!$K145," ",BD_COMERCIAL!$L145),'Curva Forward'!$B$5:$B$13,0),MATCH(FR$4,'Curva Forward'!$C$4:$AN$4,0))),CT145)</f>
        <v>0</v>
      </c>
      <c r="FS145" s="190">
        <f>AG145*AG$2*IF($FC145="V",1,-1)*IF($Q145="Fixo",(CU145-INDEX('Curva Forward'!$C$5:$AN$13,MATCH(CONCATENATE(BD_COMERCIAL!$K145," ",BD_COMERCIAL!$L145),'Curva Forward'!$B$5:$B$13,0),MATCH(FS$4,'Curva Forward'!$C$4:$AN$4,0))),CU145)</f>
        <v>0</v>
      </c>
      <c r="FT145" s="190">
        <f>AH145*AH$2*IF($FC145="V",1,-1)*IF($Q145="Fixo",(CV145-INDEX('Curva Forward'!$C$5:$AN$13,MATCH(CONCATENATE(BD_COMERCIAL!$K145," ",BD_COMERCIAL!$L145),'Curva Forward'!$B$5:$B$13,0),MATCH(FT$4,'Curva Forward'!$C$4:$AN$4,0))),CV145)</f>
        <v>0</v>
      </c>
      <c r="FU145" s="190">
        <f>AI145*AI$2*IF($FC145="V",1,-1)*IF($Q145="Fixo",(CW145-INDEX('Curva Forward'!$C$5:$AN$13,MATCH(CONCATENATE(BD_COMERCIAL!$K145," ",BD_COMERCIAL!$L145),'Curva Forward'!$B$5:$B$13,0),MATCH(FU$4,'Curva Forward'!$C$4:$AN$4,0))),CW145)</f>
        <v>0</v>
      </c>
      <c r="FV145" s="190">
        <f>AJ145*AJ$2*IF($FC145="V",1,-1)*IF($Q145="Fixo",(CX145-INDEX('Curva Forward'!$C$5:$AN$13,MATCH(CONCATENATE(BD_COMERCIAL!$K145," ",BD_COMERCIAL!$L145),'Curva Forward'!$B$5:$B$13,0),MATCH(FV$4,'Curva Forward'!$C$4:$AN$4,0))),CX145)</f>
        <v>0</v>
      </c>
      <c r="FW145" s="190">
        <f>AK145*AK$2*IF($FC145="V",1,-1)*IF($Q145="Fixo",(CY145-INDEX('Curva Forward'!$C$5:$AN$13,MATCH(CONCATENATE(BD_COMERCIAL!$K145," ",BD_COMERCIAL!$L145),'Curva Forward'!$B$5:$B$13,0),MATCH(FW$4,'Curva Forward'!$C$4:$AN$4,0))),CY145)</f>
        <v>0</v>
      </c>
      <c r="FX145" s="190">
        <f>AL145*AL$2*IF($FC145="V",1,-1)*IF($Q145="Fixo",(CZ145-INDEX('Curva Forward'!$C$5:$AN$13,MATCH(CONCATENATE(BD_COMERCIAL!$K145," ",BD_COMERCIAL!$L145),'Curva Forward'!$B$5:$B$13,0),MATCH(FX$4,'Curva Forward'!$C$4:$AN$4,0))),CZ145)</f>
        <v>0</v>
      </c>
      <c r="FY145" s="190">
        <f>AM145*AM$2*IF($FC145="V",1,-1)*IF($Q145="Fixo",(DA145-INDEX('Curva Forward'!$C$5:$AN$13,MATCH(CONCATENATE(BD_COMERCIAL!$K145," ",BD_COMERCIAL!$L145),'Curva Forward'!$B$5:$B$13,0),MATCH(FY$4,'Curva Forward'!$C$4:$AN$4,0))),DA145)</f>
        <v>13392</v>
      </c>
      <c r="FZ145" s="190">
        <f>AN145*AN$2*IF($FC145="V",1,-1)*IF($Q145="Fixo",(DB145-INDEX('Curva Forward'!$C$5:$AN$13,MATCH(CONCATENATE(BD_COMERCIAL!$K145," ",BD_COMERCIAL!$L145),'Curva Forward'!$B$5:$B$13,0),MATCH(FZ$4,'Curva Forward'!$C$4:$AN$4,0))),DB145)</f>
        <v>0</v>
      </c>
      <c r="GA145" s="190">
        <f>AO145*AO$2*IF($FC145="V",1,-1)*IF($Q145="Fixo",(DC145-INDEX('Curva Forward'!$C$5:$AN$13,MATCH(CONCATENATE(BD_COMERCIAL!$K145," ",BD_COMERCIAL!$L145),'Curva Forward'!$B$5:$B$13,0),MATCH(GA$4,'Curva Forward'!$C$4:$AN$4,0))),DC145)</f>
        <v>0</v>
      </c>
      <c r="GB145" s="190">
        <f>AP145*AP$2*IF($FC145="V",1,-1)*IF($Q145="Fixo",(DD145-INDEX('Curva Forward'!$C$5:$AN$13,MATCH(CONCATENATE(BD_COMERCIAL!$K145," ",BD_COMERCIAL!$L145),'Curva Forward'!$B$5:$B$13,0),MATCH(GB$4,'Curva Forward'!$C$4:$AN$4,0))),DD145)</f>
        <v>0</v>
      </c>
      <c r="GC145" s="190">
        <f>AQ145*AQ$2*IF($FC145="V",1,-1)*IF($Q145="Fixo",(DE145-INDEX('Curva Forward'!$C$5:$AN$13,MATCH(CONCATENATE(BD_COMERCIAL!$K145," ",BD_COMERCIAL!$L145),'Curva Forward'!$B$5:$B$13,0),MATCH(GC$4,'Curva Forward'!$C$4:$AN$4,0))),DE145)</f>
        <v>0</v>
      </c>
      <c r="GD145" s="190">
        <f>AR145*AR$2*IF($FC145="V",1,-1)*IF($Q145="Fixo",(DF145-INDEX('Curva Forward'!$C$5:$AN$13,MATCH(CONCATENATE(BD_COMERCIAL!$K145," ",BD_COMERCIAL!$L145),'Curva Forward'!$B$5:$B$13,0),MATCH(GD$4,'Curva Forward'!$C$4:$AN$4,0))),DF145)</f>
        <v>0</v>
      </c>
      <c r="GE145" s="190">
        <f>AS145*AS$2*IF($FC145="V",1,-1)*IF($Q145="Fixo",(DG145-INDEX('Curva Forward'!$C$5:$AN$13,MATCH(CONCATENATE(BD_COMERCIAL!$K145," ",BD_COMERCIAL!$L145),'Curva Forward'!$B$5:$B$13,0),MATCH(GE$4,'Curva Forward'!$C$4:$AN$4,0))),DG145)</f>
        <v>0</v>
      </c>
      <c r="GF145" s="190">
        <f>AT145*AT$2*IF($FC145="V",1,-1)*IF($Q145="Fixo",(DH145-INDEX('Curva Forward'!$C$5:$AN$13,MATCH(CONCATENATE(BD_COMERCIAL!$K145," ",BD_COMERCIAL!$L145),'Curva Forward'!$B$5:$B$13,0),MATCH(GF$4,'Curva Forward'!$C$4:$AN$4,0))),DH145)</f>
        <v>0</v>
      </c>
      <c r="GG145" s="190">
        <f>AU145*AU$2*IF($FC145="V",1,-1)*IF($Q145="Fixo",(DI145-INDEX('Curva Forward'!$C$5:$AN$13,MATCH(CONCATENATE(BD_COMERCIAL!$K145," ",BD_COMERCIAL!$L145),'Curva Forward'!$B$5:$B$13,0),MATCH(GG$4,'Curva Forward'!$C$4:$AN$4,0))),DI145)</f>
        <v>0</v>
      </c>
      <c r="GH145" s="190">
        <f>AV145*AV$2*IF($FC145="V",1,-1)*IF($Q145="Fixo",(DJ145-INDEX('Curva Forward'!$C$5:$AN$13,MATCH(CONCATENATE(BD_COMERCIAL!$K145," ",BD_COMERCIAL!$L145),'Curva Forward'!$B$5:$B$13,0),MATCH(GH$4,'Curva Forward'!$C$4:$AN$4,0))),DJ145)</f>
        <v>0</v>
      </c>
      <c r="GI145" s="190">
        <f>AW145*AW$2*IF($FC145="V",1,-1)*IF($Q145="Fixo",(DK145-INDEX('Curva Forward'!$C$5:$AN$13,MATCH(CONCATENATE(BD_COMERCIAL!$K145," ",BD_COMERCIAL!$L145),'Curva Forward'!$B$5:$B$13,0),MATCH(GI$4,'Curva Forward'!$C$4:$AN$4,0))),DK145)</f>
        <v>0</v>
      </c>
      <c r="GJ145" s="190">
        <f>AX145*AX$2*IF($FC145="V",1,-1)*IF($Q145="Fixo",(DL145-INDEX('Curva Forward'!$C$5:$AN$13,MATCH(CONCATENATE(BD_COMERCIAL!$K145," ",BD_COMERCIAL!$L145),'Curva Forward'!$B$5:$B$13,0),MATCH(GJ$4,'Curva Forward'!$C$4:$AN$4,0))),DL145)</f>
        <v>0</v>
      </c>
      <c r="GK145" s="190">
        <f>AY145*AY$2*IF($FC145="V",1,-1)*IF($Q145="Fixo",(DM145-INDEX('Curva Forward'!$C$5:$AN$13,MATCH(CONCATENATE(BD_COMERCIAL!$K145," ",BD_COMERCIAL!$L145),'Curva Forward'!$B$5:$B$13,0),MATCH(GK$4,'Curva Forward'!$C$4:$AN$4,0))),DM145)</f>
        <v>0</v>
      </c>
      <c r="GL145" s="190">
        <f>IF(EZ145="",0,CL145*CL$2*IF($FC145="V",1,-1)*IF($Q145="Fixo",(EZ145-INDEX('Curva Forward'!$C$5:$AN$13,MATCH(CONCATENATE(BD_COMERCIAL!$K145," ",BD_COMERCIAL!$L145),'Curva Forward'!$B$5:$B$13,0),MATCH(GL$4,'Curva Forward'!$C$4:$AN$4,0))),EZ145))</f>
        <v>0</v>
      </c>
      <c r="GM145" s="190">
        <f>IF(FA145="",0,CM145*CM$2*IF($FC145="V",1,-1)*IF($Q145="Fixo",(FA145-INDEX('Curva Forward'!$C$5:$AN$13,MATCH(CONCATENATE(BD_COMERCIAL!$K145," ",BD_COMERCIAL!$L145),'Curva Forward'!$B$5:$B$13,0),MATCH(GM$4,'Curva Forward'!$C$4:$AN$4,0))),FA145))</f>
        <v>0</v>
      </c>
      <c r="GN145" s="190">
        <f>IF(FB145="",0,CN145*CN$2*IF($FC145="V",1,-1)*IF($Q145="Fixo",(FB145-INDEX('Curva Forward'!$C$5:$AN$13,MATCH(CONCATENATE(BD_COMERCIAL!$K145," ",BD_COMERCIAL!$L145),'Curva Forward'!$B$5:$B$13,0),MATCH(GN$4,'Curva Forward'!$C$4:$AN$4,0))),FB145))</f>
        <v>0</v>
      </c>
      <c r="GO145" s="191">
        <f t="shared" ca="1" si="25"/>
        <v>13392</v>
      </c>
      <c r="GP145" s="191">
        <f t="shared" ca="1" si="26"/>
        <v>0</v>
      </c>
      <c r="GQ145" s="115"/>
      <c r="GR145" s="115"/>
      <c r="GS145"/>
      <c r="GT145" s="6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</row>
    <row r="146" spans="1:236" s="265" customFormat="1" ht="15" customHeight="1" x14ac:dyDescent="0.35">
      <c r="A146" s="251"/>
      <c r="B146" s="275" t="s">
        <v>584</v>
      </c>
      <c r="C146" s="253">
        <v>44938</v>
      </c>
      <c r="D146" s="254" t="s">
        <v>123</v>
      </c>
      <c r="E146" s="254" t="s">
        <v>381</v>
      </c>
      <c r="F146" s="255" t="s">
        <v>348</v>
      </c>
      <c r="G146" s="256" t="s">
        <v>145</v>
      </c>
      <c r="H146" s="255" t="e">
        <v>#N/A</v>
      </c>
      <c r="I146" s="254" t="s">
        <v>137</v>
      </c>
      <c r="J146" s="257" t="s">
        <v>496</v>
      </c>
      <c r="K146" s="256" t="s">
        <v>126</v>
      </c>
      <c r="L146" s="252" t="s">
        <v>22</v>
      </c>
      <c r="M146" s="258">
        <v>45200</v>
      </c>
      <c r="N146" s="259">
        <v>45230</v>
      </c>
      <c r="O146" s="256">
        <v>2.81</v>
      </c>
      <c r="P146" s="252">
        <v>80</v>
      </c>
      <c r="Q146" s="252" t="s">
        <v>127</v>
      </c>
      <c r="R146" s="256" t="s">
        <v>128</v>
      </c>
      <c r="S146" s="260" t="s">
        <v>133</v>
      </c>
      <c r="T146" s="258"/>
      <c r="U146" s="259"/>
      <c r="V146" s="261"/>
      <c r="W146" s="252"/>
      <c r="X146" s="262"/>
      <c r="Y146" s="257"/>
      <c r="Z146" s="106" t="s">
        <v>146</v>
      </c>
      <c r="AA146" s="106" t="s">
        <v>146</v>
      </c>
      <c r="AB146" s="266"/>
      <c r="AK146" s="265">
        <v>2.81</v>
      </c>
      <c r="AM146" s="251"/>
      <c r="AN146" s="266"/>
      <c r="AY146" s="251"/>
      <c r="AZ146" s="266"/>
      <c r="BK146" s="251"/>
      <c r="BL146" s="266"/>
      <c r="BW146" s="251"/>
      <c r="BX146" s="266"/>
      <c r="CI146" s="251"/>
      <c r="CJ146" s="267"/>
      <c r="CK146" s="267"/>
      <c r="CL146" s="267"/>
      <c r="CM146" s="267"/>
      <c r="CN146" s="267"/>
      <c r="CO146" s="268"/>
      <c r="CP146" s="266"/>
      <c r="CY146" s="265">
        <v>80</v>
      </c>
      <c r="DA146" s="251"/>
      <c r="DB146" s="266"/>
      <c r="DM146" s="251"/>
      <c r="DN146" s="266"/>
      <c r="DY146" s="251"/>
      <c r="DZ146" s="266"/>
      <c r="EK146" s="251"/>
      <c r="EL146" s="266"/>
      <c r="EW146" s="251"/>
      <c r="EX146" s="267"/>
      <c r="EY146" s="267"/>
      <c r="EZ146" s="267"/>
      <c r="FA146" s="267"/>
      <c r="FB146" s="269"/>
      <c r="FC146" s="265" t="s">
        <v>195</v>
      </c>
      <c r="FD146" s="270" t="s">
        <v>145</v>
      </c>
      <c r="FF146" s="199" t="s">
        <v>197</v>
      </c>
      <c r="FH146" s="206">
        <f t="shared" si="20"/>
        <v>0</v>
      </c>
      <c r="FI146" s="198">
        <f t="shared" si="21"/>
        <v>1</v>
      </c>
      <c r="FJ146"/>
      <c r="FK146" t="str">
        <f t="shared" si="22"/>
        <v>Portfólio</v>
      </c>
      <c r="FL146" s="191">
        <f t="shared" ca="1" si="23"/>
        <v>0</v>
      </c>
      <c r="FM146" s="191">
        <f t="shared" ca="1" si="24"/>
        <v>10453.199999999999</v>
      </c>
      <c r="FN146" s="190">
        <f>AB146*AB$2*IF($FC146="V",1,-1)*IF($Q146="Fixo",(CP146-INDEX('Curva Forward'!$C$5:$AN$13,MATCH(CONCATENATE(BD_COMERCIAL!$K146," ",BD_COMERCIAL!$L146),'Curva Forward'!$B$5:$B$13,0),MATCH(FN$4,'Curva Forward'!$C$4:$AN$4,0))),CP146)</f>
        <v>0</v>
      </c>
      <c r="FO146" s="190">
        <f>AC146*AC$2*IF($FC146="V",1,-1)*IF($Q146="Fixo",(CQ146-INDEX('Curva Forward'!$C$5:$AN$13,MATCH(CONCATENATE(BD_COMERCIAL!$K146," ",BD_COMERCIAL!$L146),'Curva Forward'!$B$5:$B$13,0),MATCH(FO$4,'Curva Forward'!$C$4:$AN$4,0))),CQ146)</f>
        <v>0</v>
      </c>
      <c r="FP146" s="190">
        <f>AD146*AD$2*IF($FC146="V",1,-1)*IF($Q146="Fixo",(CR146-INDEX('Curva Forward'!$C$5:$AN$13,MATCH(CONCATENATE(BD_COMERCIAL!$K146," ",BD_COMERCIAL!$L146),'Curva Forward'!$B$5:$B$13,0),MATCH(FP$4,'Curva Forward'!$C$4:$AN$4,0))),CR146)</f>
        <v>0</v>
      </c>
      <c r="FQ146" s="190">
        <f>AE146*AE$2*IF($FC146="V",1,-1)*IF($Q146="Fixo",(CS146-INDEX('Curva Forward'!$C$5:$AN$13,MATCH(CONCATENATE(BD_COMERCIAL!$K146," ",BD_COMERCIAL!$L146),'Curva Forward'!$B$5:$B$13,0),MATCH(FQ$4,'Curva Forward'!$C$4:$AN$4,0))),CS146)</f>
        <v>0</v>
      </c>
      <c r="FR146" s="190">
        <f>AF146*AF$2*IF($FC146="V",1,-1)*IF($Q146="Fixo",(CT146-INDEX('Curva Forward'!$C$5:$AN$13,MATCH(CONCATENATE(BD_COMERCIAL!$K146," ",BD_COMERCIAL!$L146),'Curva Forward'!$B$5:$B$13,0),MATCH(FR$4,'Curva Forward'!$C$4:$AN$4,0))),CT146)</f>
        <v>0</v>
      </c>
      <c r="FS146" s="190">
        <f>AG146*AG$2*IF($FC146="V",1,-1)*IF($Q146="Fixo",(CU146-INDEX('Curva Forward'!$C$5:$AN$13,MATCH(CONCATENATE(BD_COMERCIAL!$K146," ",BD_COMERCIAL!$L146),'Curva Forward'!$B$5:$B$13,0),MATCH(FS$4,'Curva Forward'!$C$4:$AN$4,0))),CU146)</f>
        <v>0</v>
      </c>
      <c r="FT146" s="190">
        <f>AH146*AH$2*IF($FC146="V",1,-1)*IF($Q146="Fixo",(CV146-INDEX('Curva Forward'!$C$5:$AN$13,MATCH(CONCATENATE(BD_COMERCIAL!$K146," ",BD_COMERCIAL!$L146),'Curva Forward'!$B$5:$B$13,0),MATCH(FT$4,'Curva Forward'!$C$4:$AN$4,0))),CV146)</f>
        <v>0</v>
      </c>
      <c r="FU146" s="190">
        <f>AI146*AI$2*IF($FC146="V",1,-1)*IF($Q146="Fixo",(CW146-INDEX('Curva Forward'!$C$5:$AN$13,MATCH(CONCATENATE(BD_COMERCIAL!$K146," ",BD_COMERCIAL!$L146),'Curva Forward'!$B$5:$B$13,0),MATCH(FU$4,'Curva Forward'!$C$4:$AN$4,0))),CW146)</f>
        <v>0</v>
      </c>
      <c r="FV146" s="190">
        <f>AJ146*AJ$2*IF($FC146="V",1,-1)*IF($Q146="Fixo",(CX146-INDEX('Curva Forward'!$C$5:$AN$13,MATCH(CONCATENATE(BD_COMERCIAL!$K146," ",BD_COMERCIAL!$L146),'Curva Forward'!$B$5:$B$13,0),MATCH(FV$4,'Curva Forward'!$C$4:$AN$4,0))),CX146)</f>
        <v>0</v>
      </c>
      <c r="FW146" s="190">
        <f>AK146*AK$2*IF($FC146="V",1,-1)*IF($Q146="Fixo",(CY146-INDEX('Curva Forward'!$C$5:$AN$13,MATCH(CONCATENATE(BD_COMERCIAL!$K146," ",BD_COMERCIAL!$L146),'Curva Forward'!$B$5:$B$13,0),MATCH(FW$4,'Curva Forward'!$C$4:$AN$4,0))),CY146)</f>
        <v>10453.199999999999</v>
      </c>
      <c r="FX146" s="190">
        <f>AL146*AL$2*IF($FC146="V",1,-1)*IF($Q146="Fixo",(CZ146-INDEX('Curva Forward'!$C$5:$AN$13,MATCH(CONCATENATE(BD_COMERCIAL!$K146," ",BD_COMERCIAL!$L146),'Curva Forward'!$B$5:$B$13,0),MATCH(FX$4,'Curva Forward'!$C$4:$AN$4,0))),CZ146)</f>
        <v>0</v>
      </c>
      <c r="FY146" s="190">
        <f>AM146*AM$2*IF($FC146="V",1,-1)*IF($Q146="Fixo",(DA146-INDEX('Curva Forward'!$C$5:$AN$13,MATCH(CONCATENATE(BD_COMERCIAL!$K146," ",BD_COMERCIAL!$L146),'Curva Forward'!$B$5:$B$13,0),MATCH(FY$4,'Curva Forward'!$C$4:$AN$4,0))),DA146)</f>
        <v>0</v>
      </c>
      <c r="FZ146" s="190">
        <f>AN146*AN$2*IF($FC146="V",1,-1)*IF($Q146="Fixo",(DB146-INDEX('Curva Forward'!$C$5:$AN$13,MATCH(CONCATENATE(BD_COMERCIAL!$K146," ",BD_COMERCIAL!$L146),'Curva Forward'!$B$5:$B$13,0),MATCH(FZ$4,'Curva Forward'!$C$4:$AN$4,0))),DB146)</f>
        <v>0</v>
      </c>
      <c r="GA146" s="190">
        <f>AO146*AO$2*IF($FC146="V",1,-1)*IF($Q146="Fixo",(DC146-INDEX('Curva Forward'!$C$5:$AN$13,MATCH(CONCATENATE(BD_COMERCIAL!$K146," ",BD_COMERCIAL!$L146),'Curva Forward'!$B$5:$B$13,0),MATCH(GA$4,'Curva Forward'!$C$4:$AN$4,0))),DC146)</f>
        <v>0</v>
      </c>
      <c r="GB146" s="190">
        <f>AP146*AP$2*IF($FC146="V",1,-1)*IF($Q146="Fixo",(DD146-INDEX('Curva Forward'!$C$5:$AN$13,MATCH(CONCATENATE(BD_COMERCIAL!$K146," ",BD_COMERCIAL!$L146),'Curva Forward'!$B$5:$B$13,0),MATCH(GB$4,'Curva Forward'!$C$4:$AN$4,0))),DD146)</f>
        <v>0</v>
      </c>
      <c r="GC146" s="190">
        <f>AQ146*AQ$2*IF($FC146="V",1,-1)*IF($Q146="Fixo",(DE146-INDEX('Curva Forward'!$C$5:$AN$13,MATCH(CONCATENATE(BD_COMERCIAL!$K146," ",BD_COMERCIAL!$L146),'Curva Forward'!$B$5:$B$13,0),MATCH(GC$4,'Curva Forward'!$C$4:$AN$4,0))),DE146)</f>
        <v>0</v>
      </c>
      <c r="GD146" s="190">
        <f>AR146*AR$2*IF($FC146="V",1,-1)*IF($Q146="Fixo",(DF146-INDEX('Curva Forward'!$C$5:$AN$13,MATCH(CONCATENATE(BD_COMERCIAL!$K146," ",BD_COMERCIAL!$L146),'Curva Forward'!$B$5:$B$13,0),MATCH(GD$4,'Curva Forward'!$C$4:$AN$4,0))),DF146)</f>
        <v>0</v>
      </c>
      <c r="GE146" s="190">
        <f>AS146*AS$2*IF($FC146="V",1,-1)*IF($Q146="Fixo",(DG146-INDEX('Curva Forward'!$C$5:$AN$13,MATCH(CONCATENATE(BD_COMERCIAL!$K146," ",BD_COMERCIAL!$L146),'Curva Forward'!$B$5:$B$13,0),MATCH(GE$4,'Curva Forward'!$C$4:$AN$4,0))),DG146)</f>
        <v>0</v>
      </c>
      <c r="GF146" s="190">
        <f>AT146*AT$2*IF($FC146="V",1,-1)*IF($Q146="Fixo",(DH146-INDEX('Curva Forward'!$C$5:$AN$13,MATCH(CONCATENATE(BD_COMERCIAL!$K146," ",BD_COMERCIAL!$L146),'Curva Forward'!$B$5:$B$13,0),MATCH(GF$4,'Curva Forward'!$C$4:$AN$4,0))),DH146)</f>
        <v>0</v>
      </c>
      <c r="GG146" s="190">
        <f>AU146*AU$2*IF($FC146="V",1,-1)*IF($Q146="Fixo",(DI146-INDEX('Curva Forward'!$C$5:$AN$13,MATCH(CONCATENATE(BD_COMERCIAL!$K146," ",BD_COMERCIAL!$L146),'Curva Forward'!$B$5:$B$13,0),MATCH(GG$4,'Curva Forward'!$C$4:$AN$4,0))),DI146)</f>
        <v>0</v>
      </c>
      <c r="GH146" s="190">
        <f>AV146*AV$2*IF($FC146="V",1,-1)*IF($Q146="Fixo",(DJ146-INDEX('Curva Forward'!$C$5:$AN$13,MATCH(CONCATENATE(BD_COMERCIAL!$K146," ",BD_COMERCIAL!$L146),'Curva Forward'!$B$5:$B$13,0),MATCH(GH$4,'Curva Forward'!$C$4:$AN$4,0))),DJ146)</f>
        <v>0</v>
      </c>
      <c r="GI146" s="190">
        <f>AW146*AW$2*IF($FC146="V",1,-1)*IF($Q146="Fixo",(DK146-INDEX('Curva Forward'!$C$5:$AN$13,MATCH(CONCATENATE(BD_COMERCIAL!$K146," ",BD_COMERCIAL!$L146),'Curva Forward'!$B$5:$B$13,0),MATCH(GI$4,'Curva Forward'!$C$4:$AN$4,0))),DK146)</f>
        <v>0</v>
      </c>
      <c r="GJ146" s="190">
        <f>AX146*AX$2*IF($FC146="V",1,-1)*IF($Q146="Fixo",(DL146-INDEX('Curva Forward'!$C$5:$AN$13,MATCH(CONCATENATE(BD_COMERCIAL!$K146," ",BD_COMERCIAL!$L146),'Curva Forward'!$B$5:$B$13,0),MATCH(GJ$4,'Curva Forward'!$C$4:$AN$4,0))),DL146)</f>
        <v>0</v>
      </c>
      <c r="GK146" s="190">
        <f>AY146*AY$2*IF($FC146="V",1,-1)*IF($Q146="Fixo",(DM146-INDEX('Curva Forward'!$C$5:$AN$13,MATCH(CONCATENATE(BD_COMERCIAL!$K146," ",BD_COMERCIAL!$L146),'Curva Forward'!$B$5:$B$13,0),MATCH(GK$4,'Curva Forward'!$C$4:$AN$4,0))),DM146)</f>
        <v>0</v>
      </c>
      <c r="GL146" s="190">
        <f>IF(EZ146="",0,CL146*CL$2*IF($FC146="V",1,-1)*IF($Q146="Fixo",(EZ146-INDEX('Curva Forward'!$C$5:$AN$13,MATCH(CONCATENATE(BD_COMERCIAL!$K146," ",BD_COMERCIAL!$L146),'Curva Forward'!$B$5:$B$13,0),MATCH(GL$4,'Curva Forward'!$C$4:$AN$4,0))),EZ146))</f>
        <v>0</v>
      </c>
      <c r="GM146" s="190">
        <f>IF(FA146="",0,CM146*CM$2*IF($FC146="V",1,-1)*IF($Q146="Fixo",(FA146-INDEX('Curva Forward'!$C$5:$AN$13,MATCH(CONCATENATE(BD_COMERCIAL!$K146," ",BD_COMERCIAL!$L146),'Curva Forward'!$B$5:$B$13,0),MATCH(GM$4,'Curva Forward'!$C$4:$AN$4,0))),FA146))</f>
        <v>0</v>
      </c>
      <c r="GN146" s="190">
        <f>IF(FB146="",0,CN146*CN$2*IF($FC146="V",1,-1)*IF($Q146="Fixo",(FB146-INDEX('Curva Forward'!$C$5:$AN$13,MATCH(CONCATENATE(BD_COMERCIAL!$K146," ",BD_COMERCIAL!$L146),'Curva Forward'!$B$5:$B$13,0),MATCH(GN$4,'Curva Forward'!$C$4:$AN$4,0))),FB146))</f>
        <v>0</v>
      </c>
      <c r="GO146" s="191">
        <f t="shared" ca="1" si="25"/>
        <v>10453.199999999999</v>
      </c>
      <c r="GP146" s="191">
        <f t="shared" ca="1" si="26"/>
        <v>0</v>
      </c>
      <c r="GQ146" s="115"/>
      <c r="GR146" s="115"/>
      <c r="GS146"/>
      <c r="GT146" s="65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</row>
    <row r="147" spans="1:236" s="265" customFormat="1" ht="15" customHeight="1" x14ac:dyDescent="0.35">
      <c r="A147" s="251"/>
      <c r="B147" s="275" t="s">
        <v>585</v>
      </c>
      <c r="C147" s="253">
        <v>44938</v>
      </c>
      <c r="D147" s="254" t="s">
        <v>123</v>
      </c>
      <c r="E147" s="254" t="s">
        <v>381</v>
      </c>
      <c r="F147" s="255" t="s">
        <v>348</v>
      </c>
      <c r="G147" s="256" t="s">
        <v>145</v>
      </c>
      <c r="H147" s="255" t="e">
        <v>#N/A</v>
      </c>
      <c r="I147" s="254" t="s">
        <v>137</v>
      </c>
      <c r="J147" s="257" t="s">
        <v>496</v>
      </c>
      <c r="K147" s="256" t="s">
        <v>126</v>
      </c>
      <c r="L147" s="252" t="s">
        <v>22</v>
      </c>
      <c r="M147" s="258">
        <v>45231</v>
      </c>
      <c r="N147" s="259">
        <v>45260</v>
      </c>
      <c r="O147" s="256">
        <v>4</v>
      </c>
      <c r="P147" s="252">
        <v>80</v>
      </c>
      <c r="Q147" s="252" t="s">
        <v>127</v>
      </c>
      <c r="R147" s="256" t="s">
        <v>128</v>
      </c>
      <c r="S147" s="260" t="s">
        <v>133</v>
      </c>
      <c r="T147" s="258"/>
      <c r="U147" s="259"/>
      <c r="V147" s="261"/>
      <c r="W147" s="252"/>
      <c r="X147" s="262"/>
      <c r="Y147" s="257"/>
      <c r="Z147" s="106" t="s">
        <v>146</v>
      </c>
      <c r="AA147" s="106" t="s">
        <v>146</v>
      </c>
      <c r="AB147" s="266"/>
      <c r="AL147" s="265">
        <v>4</v>
      </c>
      <c r="AM147" s="251"/>
      <c r="AN147" s="266"/>
      <c r="AY147" s="251"/>
      <c r="AZ147" s="266"/>
      <c r="BK147" s="251"/>
      <c r="BL147" s="266"/>
      <c r="BW147" s="251"/>
      <c r="BX147" s="266"/>
      <c r="CI147" s="251"/>
      <c r="CJ147" s="267"/>
      <c r="CK147" s="267"/>
      <c r="CL147" s="267"/>
      <c r="CM147" s="267"/>
      <c r="CN147" s="267"/>
      <c r="CO147" s="268"/>
      <c r="CP147" s="266"/>
      <c r="CZ147" s="265">
        <v>80</v>
      </c>
      <c r="DA147" s="251"/>
      <c r="DB147" s="266"/>
      <c r="DM147" s="251"/>
      <c r="DN147" s="266"/>
      <c r="DY147" s="251"/>
      <c r="DZ147" s="266"/>
      <c r="EK147" s="251"/>
      <c r="EL147" s="266"/>
      <c r="EW147" s="251"/>
      <c r="EX147" s="267"/>
      <c r="EY147" s="267"/>
      <c r="EZ147" s="267"/>
      <c r="FA147" s="267"/>
      <c r="FB147" s="269"/>
      <c r="FC147" s="265" t="s">
        <v>195</v>
      </c>
      <c r="FD147" s="270" t="s">
        <v>145</v>
      </c>
      <c r="FF147" s="199" t="s">
        <v>197</v>
      </c>
      <c r="FH147" s="206">
        <f t="shared" si="20"/>
        <v>0</v>
      </c>
      <c r="FI147" s="198">
        <f t="shared" si="21"/>
        <v>0.96666666666666667</v>
      </c>
      <c r="FJ147"/>
      <c r="FK147" t="str">
        <f t="shared" si="22"/>
        <v>Portfólio</v>
      </c>
      <c r="FL147" s="191">
        <f t="shared" ca="1" si="23"/>
        <v>0</v>
      </c>
      <c r="FM147" s="191">
        <f t="shared" ca="1" si="24"/>
        <v>14400</v>
      </c>
      <c r="FN147" s="190">
        <f>AB147*AB$2*IF($FC147="V",1,-1)*IF($Q147="Fixo",(CP147-INDEX('Curva Forward'!$C$5:$AN$13,MATCH(CONCATENATE(BD_COMERCIAL!$K147," ",BD_COMERCIAL!$L147),'Curva Forward'!$B$5:$B$13,0),MATCH(FN$4,'Curva Forward'!$C$4:$AN$4,0))),CP147)</f>
        <v>0</v>
      </c>
      <c r="FO147" s="190">
        <f>AC147*AC$2*IF($FC147="V",1,-1)*IF($Q147="Fixo",(CQ147-INDEX('Curva Forward'!$C$5:$AN$13,MATCH(CONCATENATE(BD_COMERCIAL!$K147," ",BD_COMERCIAL!$L147),'Curva Forward'!$B$5:$B$13,0),MATCH(FO$4,'Curva Forward'!$C$4:$AN$4,0))),CQ147)</f>
        <v>0</v>
      </c>
      <c r="FP147" s="190">
        <f>AD147*AD$2*IF($FC147="V",1,-1)*IF($Q147="Fixo",(CR147-INDEX('Curva Forward'!$C$5:$AN$13,MATCH(CONCATENATE(BD_COMERCIAL!$K147," ",BD_COMERCIAL!$L147),'Curva Forward'!$B$5:$B$13,0),MATCH(FP$4,'Curva Forward'!$C$4:$AN$4,0))),CR147)</f>
        <v>0</v>
      </c>
      <c r="FQ147" s="190">
        <f>AE147*AE$2*IF($FC147="V",1,-1)*IF($Q147="Fixo",(CS147-INDEX('Curva Forward'!$C$5:$AN$13,MATCH(CONCATENATE(BD_COMERCIAL!$K147," ",BD_COMERCIAL!$L147),'Curva Forward'!$B$5:$B$13,0),MATCH(FQ$4,'Curva Forward'!$C$4:$AN$4,0))),CS147)</f>
        <v>0</v>
      </c>
      <c r="FR147" s="190">
        <f>AF147*AF$2*IF($FC147="V",1,-1)*IF($Q147="Fixo",(CT147-INDEX('Curva Forward'!$C$5:$AN$13,MATCH(CONCATENATE(BD_COMERCIAL!$K147," ",BD_COMERCIAL!$L147),'Curva Forward'!$B$5:$B$13,0),MATCH(FR$4,'Curva Forward'!$C$4:$AN$4,0))),CT147)</f>
        <v>0</v>
      </c>
      <c r="FS147" s="190">
        <f>AG147*AG$2*IF($FC147="V",1,-1)*IF($Q147="Fixo",(CU147-INDEX('Curva Forward'!$C$5:$AN$13,MATCH(CONCATENATE(BD_COMERCIAL!$K147," ",BD_COMERCIAL!$L147),'Curva Forward'!$B$5:$B$13,0),MATCH(FS$4,'Curva Forward'!$C$4:$AN$4,0))),CU147)</f>
        <v>0</v>
      </c>
      <c r="FT147" s="190">
        <f>AH147*AH$2*IF($FC147="V",1,-1)*IF($Q147="Fixo",(CV147-INDEX('Curva Forward'!$C$5:$AN$13,MATCH(CONCATENATE(BD_COMERCIAL!$K147," ",BD_COMERCIAL!$L147),'Curva Forward'!$B$5:$B$13,0),MATCH(FT$4,'Curva Forward'!$C$4:$AN$4,0))),CV147)</f>
        <v>0</v>
      </c>
      <c r="FU147" s="190">
        <f>AI147*AI$2*IF($FC147="V",1,-1)*IF($Q147="Fixo",(CW147-INDEX('Curva Forward'!$C$5:$AN$13,MATCH(CONCATENATE(BD_COMERCIAL!$K147," ",BD_COMERCIAL!$L147),'Curva Forward'!$B$5:$B$13,0),MATCH(FU$4,'Curva Forward'!$C$4:$AN$4,0))),CW147)</f>
        <v>0</v>
      </c>
      <c r="FV147" s="190">
        <f>AJ147*AJ$2*IF($FC147="V",1,-1)*IF($Q147="Fixo",(CX147-INDEX('Curva Forward'!$C$5:$AN$13,MATCH(CONCATENATE(BD_COMERCIAL!$K147," ",BD_COMERCIAL!$L147),'Curva Forward'!$B$5:$B$13,0),MATCH(FV$4,'Curva Forward'!$C$4:$AN$4,0))),CX147)</f>
        <v>0</v>
      </c>
      <c r="FW147" s="190">
        <f>AK147*AK$2*IF($FC147="V",1,-1)*IF($Q147="Fixo",(CY147-INDEX('Curva Forward'!$C$5:$AN$13,MATCH(CONCATENATE(BD_COMERCIAL!$K147," ",BD_COMERCIAL!$L147),'Curva Forward'!$B$5:$B$13,0),MATCH(FW$4,'Curva Forward'!$C$4:$AN$4,0))),CY147)</f>
        <v>0</v>
      </c>
      <c r="FX147" s="190">
        <f>AL147*AL$2*IF($FC147="V",1,-1)*IF($Q147="Fixo",(CZ147-INDEX('Curva Forward'!$C$5:$AN$13,MATCH(CONCATENATE(BD_COMERCIAL!$K147," ",BD_COMERCIAL!$L147),'Curva Forward'!$B$5:$B$13,0),MATCH(FX$4,'Curva Forward'!$C$4:$AN$4,0))),CZ147)</f>
        <v>14400</v>
      </c>
      <c r="FY147" s="190">
        <f>AM147*AM$2*IF($FC147="V",1,-1)*IF($Q147="Fixo",(DA147-INDEX('Curva Forward'!$C$5:$AN$13,MATCH(CONCATENATE(BD_COMERCIAL!$K147," ",BD_COMERCIAL!$L147),'Curva Forward'!$B$5:$B$13,0),MATCH(FY$4,'Curva Forward'!$C$4:$AN$4,0))),DA147)</f>
        <v>0</v>
      </c>
      <c r="FZ147" s="190">
        <f>AN147*AN$2*IF($FC147="V",1,-1)*IF($Q147="Fixo",(DB147-INDEX('Curva Forward'!$C$5:$AN$13,MATCH(CONCATENATE(BD_COMERCIAL!$K147," ",BD_COMERCIAL!$L147),'Curva Forward'!$B$5:$B$13,0),MATCH(FZ$4,'Curva Forward'!$C$4:$AN$4,0))),DB147)</f>
        <v>0</v>
      </c>
      <c r="GA147" s="190">
        <f>AO147*AO$2*IF($FC147="V",1,-1)*IF($Q147="Fixo",(DC147-INDEX('Curva Forward'!$C$5:$AN$13,MATCH(CONCATENATE(BD_COMERCIAL!$K147," ",BD_COMERCIAL!$L147),'Curva Forward'!$B$5:$B$13,0),MATCH(GA$4,'Curva Forward'!$C$4:$AN$4,0))),DC147)</f>
        <v>0</v>
      </c>
      <c r="GB147" s="190">
        <f>AP147*AP$2*IF($FC147="V",1,-1)*IF($Q147="Fixo",(DD147-INDEX('Curva Forward'!$C$5:$AN$13,MATCH(CONCATENATE(BD_COMERCIAL!$K147," ",BD_COMERCIAL!$L147),'Curva Forward'!$B$5:$B$13,0),MATCH(GB$4,'Curva Forward'!$C$4:$AN$4,0))),DD147)</f>
        <v>0</v>
      </c>
      <c r="GC147" s="190">
        <f>AQ147*AQ$2*IF($FC147="V",1,-1)*IF($Q147="Fixo",(DE147-INDEX('Curva Forward'!$C$5:$AN$13,MATCH(CONCATENATE(BD_COMERCIAL!$K147," ",BD_COMERCIAL!$L147),'Curva Forward'!$B$5:$B$13,0),MATCH(GC$4,'Curva Forward'!$C$4:$AN$4,0))),DE147)</f>
        <v>0</v>
      </c>
      <c r="GD147" s="190">
        <f>AR147*AR$2*IF($FC147="V",1,-1)*IF($Q147="Fixo",(DF147-INDEX('Curva Forward'!$C$5:$AN$13,MATCH(CONCATENATE(BD_COMERCIAL!$K147," ",BD_COMERCIAL!$L147),'Curva Forward'!$B$5:$B$13,0),MATCH(GD$4,'Curva Forward'!$C$4:$AN$4,0))),DF147)</f>
        <v>0</v>
      </c>
      <c r="GE147" s="190">
        <f>AS147*AS$2*IF($FC147="V",1,-1)*IF($Q147="Fixo",(DG147-INDEX('Curva Forward'!$C$5:$AN$13,MATCH(CONCATENATE(BD_COMERCIAL!$K147," ",BD_COMERCIAL!$L147),'Curva Forward'!$B$5:$B$13,0),MATCH(GE$4,'Curva Forward'!$C$4:$AN$4,0))),DG147)</f>
        <v>0</v>
      </c>
      <c r="GF147" s="190">
        <f>AT147*AT$2*IF($FC147="V",1,-1)*IF($Q147="Fixo",(DH147-INDEX('Curva Forward'!$C$5:$AN$13,MATCH(CONCATENATE(BD_COMERCIAL!$K147," ",BD_COMERCIAL!$L147),'Curva Forward'!$B$5:$B$13,0),MATCH(GF$4,'Curva Forward'!$C$4:$AN$4,0))),DH147)</f>
        <v>0</v>
      </c>
      <c r="GG147" s="190">
        <f>AU147*AU$2*IF($FC147="V",1,-1)*IF($Q147="Fixo",(DI147-INDEX('Curva Forward'!$C$5:$AN$13,MATCH(CONCATENATE(BD_COMERCIAL!$K147," ",BD_COMERCIAL!$L147),'Curva Forward'!$B$5:$B$13,0),MATCH(GG$4,'Curva Forward'!$C$4:$AN$4,0))),DI147)</f>
        <v>0</v>
      </c>
      <c r="GH147" s="190">
        <f>AV147*AV$2*IF($FC147="V",1,-1)*IF($Q147="Fixo",(DJ147-INDEX('Curva Forward'!$C$5:$AN$13,MATCH(CONCATENATE(BD_COMERCIAL!$K147," ",BD_COMERCIAL!$L147),'Curva Forward'!$B$5:$B$13,0),MATCH(GH$4,'Curva Forward'!$C$4:$AN$4,0))),DJ147)</f>
        <v>0</v>
      </c>
      <c r="GI147" s="190">
        <f>AW147*AW$2*IF($FC147="V",1,-1)*IF($Q147="Fixo",(DK147-INDEX('Curva Forward'!$C$5:$AN$13,MATCH(CONCATENATE(BD_COMERCIAL!$K147," ",BD_COMERCIAL!$L147),'Curva Forward'!$B$5:$B$13,0),MATCH(GI$4,'Curva Forward'!$C$4:$AN$4,0))),DK147)</f>
        <v>0</v>
      </c>
      <c r="GJ147" s="190">
        <f>AX147*AX$2*IF($FC147="V",1,-1)*IF($Q147="Fixo",(DL147-INDEX('Curva Forward'!$C$5:$AN$13,MATCH(CONCATENATE(BD_COMERCIAL!$K147," ",BD_COMERCIAL!$L147),'Curva Forward'!$B$5:$B$13,0),MATCH(GJ$4,'Curva Forward'!$C$4:$AN$4,0))),DL147)</f>
        <v>0</v>
      </c>
      <c r="GK147" s="190">
        <f>AY147*AY$2*IF($FC147="V",1,-1)*IF($Q147="Fixo",(DM147-INDEX('Curva Forward'!$C$5:$AN$13,MATCH(CONCATENATE(BD_COMERCIAL!$K147," ",BD_COMERCIAL!$L147),'Curva Forward'!$B$5:$B$13,0),MATCH(GK$4,'Curva Forward'!$C$4:$AN$4,0))),DM147)</f>
        <v>0</v>
      </c>
      <c r="GL147" s="190">
        <f>IF(EZ147="",0,CL147*CL$2*IF($FC147="V",1,-1)*IF($Q147="Fixo",(EZ147-INDEX('Curva Forward'!$C$5:$AN$13,MATCH(CONCATENATE(BD_COMERCIAL!$K147," ",BD_COMERCIAL!$L147),'Curva Forward'!$B$5:$B$13,0),MATCH(GL$4,'Curva Forward'!$C$4:$AN$4,0))),EZ147))</f>
        <v>0</v>
      </c>
      <c r="GM147" s="190">
        <f>IF(FA147="",0,CM147*CM$2*IF($FC147="V",1,-1)*IF($Q147="Fixo",(FA147-INDEX('Curva Forward'!$C$5:$AN$13,MATCH(CONCATENATE(BD_COMERCIAL!$K147," ",BD_COMERCIAL!$L147),'Curva Forward'!$B$5:$B$13,0),MATCH(GM$4,'Curva Forward'!$C$4:$AN$4,0))),FA147))</f>
        <v>0</v>
      </c>
      <c r="GN147" s="190">
        <f>IF(FB147="",0,CN147*CN$2*IF($FC147="V",1,-1)*IF($Q147="Fixo",(FB147-INDEX('Curva Forward'!$C$5:$AN$13,MATCH(CONCATENATE(BD_COMERCIAL!$K147," ",BD_COMERCIAL!$L147),'Curva Forward'!$B$5:$B$13,0),MATCH(GN$4,'Curva Forward'!$C$4:$AN$4,0))),FB147))</f>
        <v>0</v>
      </c>
      <c r="GO147" s="191">
        <f t="shared" ca="1" si="25"/>
        <v>14400</v>
      </c>
      <c r="GP147" s="191">
        <f t="shared" ca="1" si="26"/>
        <v>0</v>
      </c>
      <c r="GQ147" s="115"/>
      <c r="GR147" s="115"/>
      <c r="GS147"/>
      <c r="GT147" s="65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</row>
    <row r="148" spans="1:236" s="265" customFormat="1" ht="15" customHeight="1" x14ac:dyDescent="0.35">
      <c r="A148" s="251"/>
      <c r="B148" s="275" t="s">
        <v>586</v>
      </c>
      <c r="C148" s="253">
        <v>44945</v>
      </c>
      <c r="D148" s="254" t="s">
        <v>123</v>
      </c>
      <c r="E148" s="254" t="s">
        <v>381</v>
      </c>
      <c r="F148" s="255" t="s">
        <v>348</v>
      </c>
      <c r="G148" s="10" t="s">
        <v>592</v>
      </c>
      <c r="H148" s="112">
        <v>17155730000164</v>
      </c>
      <c r="I148" s="254" t="s">
        <v>137</v>
      </c>
      <c r="J148" s="257"/>
      <c r="K148" s="256" t="s">
        <v>126</v>
      </c>
      <c r="L148" s="252" t="s">
        <v>22</v>
      </c>
      <c r="M148" s="258">
        <v>45292</v>
      </c>
      <c r="N148" s="259">
        <v>45657</v>
      </c>
      <c r="O148" s="256">
        <v>4</v>
      </c>
      <c r="P148" s="252">
        <v>89</v>
      </c>
      <c r="Q148" s="252" t="s">
        <v>127</v>
      </c>
      <c r="R148" s="256" t="s">
        <v>128</v>
      </c>
      <c r="S148" s="260" t="s">
        <v>133</v>
      </c>
      <c r="T148" s="258" t="s">
        <v>129</v>
      </c>
      <c r="U148" s="259">
        <v>44945</v>
      </c>
      <c r="V148" s="261"/>
      <c r="W148" s="252"/>
      <c r="X148" s="262"/>
      <c r="Y148" s="257" t="s">
        <v>587</v>
      </c>
      <c r="Z148" s="263"/>
      <c r="AA148" s="264"/>
      <c r="AB148" s="266"/>
      <c r="AM148" s="251"/>
      <c r="AN148" s="266">
        <v>4</v>
      </c>
      <c r="AO148" s="265">
        <v>4</v>
      </c>
      <c r="AP148" s="265">
        <v>4</v>
      </c>
      <c r="AQ148" s="265">
        <v>4</v>
      </c>
      <c r="AR148" s="265">
        <v>4</v>
      </c>
      <c r="AS148" s="265">
        <v>4</v>
      </c>
      <c r="AT148" s="265">
        <v>4</v>
      </c>
      <c r="AU148" s="265">
        <v>4</v>
      </c>
      <c r="AV148" s="265">
        <v>4</v>
      </c>
      <c r="AW148" s="265">
        <v>4</v>
      </c>
      <c r="AX148" s="265">
        <v>4</v>
      </c>
      <c r="AY148" s="251">
        <v>4</v>
      </c>
      <c r="AZ148" s="266"/>
      <c r="BK148" s="251"/>
      <c r="BL148" s="266"/>
      <c r="BW148" s="251"/>
      <c r="BX148" s="266"/>
      <c r="CI148" s="251"/>
      <c r="CJ148" s="267"/>
      <c r="CK148" s="267"/>
      <c r="CL148" s="267"/>
      <c r="CM148" s="267"/>
      <c r="CN148" s="267"/>
      <c r="CO148" s="268"/>
      <c r="CP148" s="266"/>
      <c r="DA148" s="251"/>
      <c r="DB148" s="266">
        <v>89</v>
      </c>
      <c r="DC148" s="265">
        <v>89</v>
      </c>
      <c r="DD148" s="265">
        <v>89</v>
      </c>
      <c r="DE148" s="265">
        <v>89</v>
      </c>
      <c r="DF148" s="265">
        <v>89</v>
      </c>
      <c r="DG148" s="265">
        <v>89</v>
      </c>
      <c r="DH148" s="265">
        <v>89</v>
      </c>
      <c r="DI148" s="265">
        <v>89</v>
      </c>
      <c r="DJ148" s="265">
        <v>89</v>
      </c>
      <c r="DK148" s="265">
        <v>89</v>
      </c>
      <c r="DL148" s="265">
        <v>89</v>
      </c>
      <c r="DM148" s="251">
        <v>89</v>
      </c>
      <c r="DN148" s="266"/>
      <c r="DY148" s="251"/>
      <c r="DZ148" s="266"/>
      <c r="EK148" s="251"/>
      <c r="EL148" s="266"/>
      <c r="EW148" s="251"/>
      <c r="EX148" s="267"/>
      <c r="EY148" s="267"/>
      <c r="EZ148" s="267"/>
      <c r="FA148" s="267"/>
      <c r="FB148" s="269"/>
      <c r="FC148" s="265" t="s">
        <v>195</v>
      </c>
      <c r="FD148" s="270" t="s">
        <v>137</v>
      </c>
      <c r="FF148" s="199" t="s">
        <v>197</v>
      </c>
      <c r="FH148" s="206">
        <f t="shared" si="20"/>
        <v>0</v>
      </c>
      <c r="FI148" s="198">
        <f t="shared" si="21"/>
        <v>12.166666666666666</v>
      </c>
      <c r="FJ148"/>
      <c r="FK148" t="str">
        <f t="shared" si="22"/>
        <v>Companhia Energética de Minas Gerais - CEMIG</v>
      </c>
      <c r="FL148" s="191">
        <f t="shared" ca="1" si="23"/>
        <v>0</v>
      </c>
      <c r="FM148" s="191">
        <f t="shared" ca="1" si="24"/>
        <v>157248</v>
      </c>
      <c r="FN148" s="190">
        <f>AB148*AB$2*IF($FC148="V",1,-1)*IF($Q148="Fixo",(CP148-INDEX('Curva Forward'!$C$5:$AN$13,MATCH(CONCATENATE(BD_COMERCIAL!$K148," ",BD_COMERCIAL!$L148),'Curva Forward'!$B$5:$B$13,0),MATCH(FN$4,'Curva Forward'!$C$4:$AN$4,0))),CP148)</f>
        <v>0</v>
      </c>
      <c r="FO148" s="190">
        <f>AC148*AC$2*IF($FC148="V",1,-1)*IF($Q148="Fixo",(CQ148-INDEX('Curva Forward'!$C$5:$AN$13,MATCH(CONCATENATE(BD_COMERCIAL!$K148," ",BD_COMERCIAL!$L148),'Curva Forward'!$B$5:$B$13,0),MATCH(FO$4,'Curva Forward'!$C$4:$AN$4,0))),CQ148)</f>
        <v>0</v>
      </c>
      <c r="FP148" s="190">
        <f>AD148*AD$2*IF($FC148="V",1,-1)*IF($Q148="Fixo",(CR148-INDEX('Curva Forward'!$C$5:$AN$13,MATCH(CONCATENATE(BD_COMERCIAL!$K148," ",BD_COMERCIAL!$L148),'Curva Forward'!$B$5:$B$13,0),MATCH(FP$4,'Curva Forward'!$C$4:$AN$4,0))),CR148)</f>
        <v>0</v>
      </c>
      <c r="FQ148" s="190">
        <f>AE148*AE$2*IF($FC148="V",1,-1)*IF($Q148="Fixo",(CS148-INDEX('Curva Forward'!$C$5:$AN$13,MATCH(CONCATENATE(BD_COMERCIAL!$K148," ",BD_COMERCIAL!$L148),'Curva Forward'!$B$5:$B$13,0),MATCH(FQ$4,'Curva Forward'!$C$4:$AN$4,0))),CS148)</f>
        <v>0</v>
      </c>
      <c r="FR148" s="190">
        <f>AF148*AF$2*IF($FC148="V",1,-1)*IF($Q148="Fixo",(CT148-INDEX('Curva Forward'!$C$5:$AN$13,MATCH(CONCATENATE(BD_COMERCIAL!$K148," ",BD_COMERCIAL!$L148),'Curva Forward'!$B$5:$B$13,0),MATCH(FR$4,'Curva Forward'!$C$4:$AN$4,0))),CT148)</f>
        <v>0</v>
      </c>
      <c r="FS148" s="190">
        <f>AG148*AG$2*IF($FC148="V",1,-1)*IF($Q148="Fixo",(CU148-INDEX('Curva Forward'!$C$5:$AN$13,MATCH(CONCATENATE(BD_COMERCIAL!$K148," ",BD_COMERCIAL!$L148),'Curva Forward'!$B$5:$B$13,0),MATCH(FS$4,'Curva Forward'!$C$4:$AN$4,0))),CU148)</f>
        <v>0</v>
      </c>
      <c r="FT148" s="190">
        <f>AH148*AH$2*IF($FC148="V",1,-1)*IF($Q148="Fixo",(CV148-INDEX('Curva Forward'!$C$5:$AN$13,MATCH(CONCATENATE(BD_COMERCIAL!$K148," ",BD_COMERCIAL!$L148),'Curva Forward'!$B$5:$B$13,0),MATCH(FT$4,'Curva Forward'!$C$4:$AN$4,0))),CV148)</f>
        <v>0</v>
      </c>
      <c r="FU148" s="190">
        <f>AI148*AI$2*IF($FC148="V",1,-1)*IF($Q148="Fixo",(CW148-INDEX('Curva Forward'!$C$5:$AN$13,MATCH(CONCATENATE(BD_COMERCIAL!$K148," ",BD_COMERCIAL!$L148),'Curva Forward'!$B$5:$B$13,0),MATCH(FU$4,'Curva Forward'!$C$4:$AN$4,0))),CW148)</f>
        <v>0</v>
      </c>
      <c r="FV148" s="190">
        <f>AJ148*AJ$2*IF($FC148="V",1,-1)*IF($Q148="Fixo",(CX148-INDEX('Curva Forward'!$C$5:$AN$13,MATCH(CONCATENATE(BD_COMERCIAL!$K148," ",BD_COMERCIAL!$L148),'Curva Forward'!$B$5:$B$13,0),MATCH(FV$4,'Curva Forward'!$C$4:$AN$4,0))),CX148)</f>
        <v>0</v>
      </c>
      <c r="FW148" s="190">
        <f>AK148*AK$2*IF($FC148="V",1,-1)*IF($Q148="Fixo",(CY148-INDEX('Curva Forward'!$C$5:$AN$13,MATCH(CONCATENATE(BD_COMERCIAL!$K148," ",BD_COMERCIAL!$L148),'Curva Forward'!$B$5:$B$13,0),MATCH(FW$4,'Curva Forward'!$C$4:$AN$4,0))),CY148)</f>
        <v>0</v>
      </c>
      <c r="FX148" s="190">
        <f>AL148*AL$2*IF($FC148="V",1,-1)*IF($Q148="Fixo",(CZ148-INDEX('Curva Forward'!$C$5:$AN$13,MATCH(CONCATENATE(BD_COMERCIAL!$K148," ",BD_COMERCIAL!$L148),'Curva Forward'!$B$5:$B$13,0),MATCH(FX$4,'Curva Forward'!$C$4:$AN$4,0))),CZ148)</f>
        <v>0</v>
      </c>
      <c r="FY148" s="190">
        <f>AM148*AM$2*IF($FC148="V",1,-1)*IF($Q148="Fixo",(DA148-INDEX('Curva Forward'!$C$5:$AN$13,MATCH(CONCATENATE(BD_COMERCIAL!$K148," ",BD_COMERCIAL!$L148),'Curva Forward'!$B$5:$B$13,0),MATCH(FY$4,'Curva Forward'!$C$4:$AN$4,0))),DA148)</f>
        <v>0</v>
      </c>
      <c r="FZ148" s="190">
        <f>AN148*AN$2*IF($FC148="V",1,-1)*IF($Q148="Fixo",(DB148-INDEX('Curva Forward'!$C$5:$AN$13,MATCH(CONCATENATE(BD_COMERCIAL!$K148," ",BD_COMERCIAL!$L148),'Curva Forward'!$B$5:$B$13,0),MATCH(FZ$4,'Curva Forward'!$C$4:$AN$4,0))),DB148)</f>
        <v>26784</v>
      </c>
      <c r="GA148" s="190">
        <f>AO148*AO$2*IF($FC148="V",1,-1)*IF($Q148="Fixo",(DC148-INDEX('Curva Forward'!$C$5:$AN$13,MATCH(CONCATENATE(BD_COMERCIAL!$K148," ",BD_COMERCIAL!$L148),'Curva Forward'!$B$5:$B$13,0),MATCH(GA$4,'Curva Forward'!$C$4:$AN$4,0))),DC148)</f>
        <v>25056</v>
      </c>
      <c r="GB148" s="190">
        <f>AP148*AP$2*IF($FC148="V",1,-1)*IF($Q148="Fixo",(DD148-INDEX('Curva Forward'!$C$5:$AN$13,MATCH(CONCATENATE(BD_COMERCIAL!$K148," ",BD_COMERCIAL!$L148),'Curva Forward'!$B$5:$B$13,0),MATCH(GB$4,'Curva Forward'!$C$4:$AN$4,0))),DD148)</f>
        <v>26784</v>
      </c>
      <c r="GC148" s="190">
        <f>AQ148*AQ$2*IF($FC148="V",1,-1)*IF($Q148="Fixo",(DE148-INDEX('Curva Forward'!$C$5:$AN$13,MATCH(CONCATENATE(BD_COMERCIAL!$K148," ",BD_COMERCIAL!$L148),'Curva Forward'!$B$5:$B$13,0),MATCH(GC$4,'Curva Forward'!$C$4:$AN$4,0))),DE148)</f>
        <v>25920</v>
      </c>
      <c r="GD148" s="190">
        <f>AR148*AR$2*IF($FC148="V",1,-1)*IF($Q148="Fixo",(DF148-INDEX('Curva Forward'!$C$5:$AN$13,MATCH(CONCATENATE(BD_COMERCIAL!$K148," ",BD_COMERCIAL!$L148),'Curva Forward'!$B$5:$B$13,0),MATCH(GD$4,'Curva Forward'!$C$4:$AN$4,0))),DF148)</f>
        <v>26784</v>
      </c>
      <c r="GE148" s="190">
        <f>AS148*AS$2*IF($FC148="V",1,-1)*IF($Q148="Fixo",(DG148-INDEX('Curva Forward'!$C$5:$AN$13,MATCH(CONCATENATE(BD_COMERCIAL!$K148," ",BD_COMERCIAL!$L148),'Curva Forward'!$B$5:$B$13,0),MATCH(GE$4,'Curva Forward'!$C$4:$AN$4,0))),DG148)</f>
        <v>25920</v>
      </c>
      <c r="GF148" s="190">
        <f>AT148*AT$2*IF($FC148="V",1,-1)*IF($Q148="Fixo",(DH148-INDEX('Curva Forward'!$C$5:$AN$13,MATCH(CONCATENATE(BD_COMERCIAL!$K148," ",BD_COMERCIAL!$L148),'Curva Forward'!$B$5:$B$13,0),MATCH(GF$4,'Curva Forward'!$C$4:$AN$4,0))),DH148)</f>
        <v>0</v>
      </c>
      <c r="GG148" s="190">
        <f>AU148*AU$2*IF($FC148="V",1,-1)*IF($Q148="Fixo",(DI148-INDEX('Curva Forward'!$C$5:$AN$13,MATCH(CONCATENATE(BD_COMERCIAL!$K148," ",BD_COMERCIAL!$L148),'Curva Forward'!$B$5:$B$13,0),MATCH(GG$4,'Curva Forward'!$C$4:$AN$4,0))),DI148)</f>
        <v>0</v>
      </c>
      <c r="GH148" s="190">
        <f>AV148*AV$2*IF($FC148="V",1,-1)*IF($Q148="Fixo",(DJ148-INDEX('Curva Forward'!$C$5:$AN$13,MATCH(CONCATENATE(BD_COMERCIAL!$K148," ",BD_COMERCIAL!$L148),'Curva Forward'!$B$5:$B$13,0),MATCH(GH$4,'Curva Forward'!$C$4:$AN$4,0))),DJ148)</f>
        <v>0</v>
      </c>
      <c r="GI148" s="190">
        <f>AW148*AW$2*IF($FC148="V",1,-1)*IF($Q148="Fixo",(DK148-INDEX('Curva Forward'!$C$5:$AN$13,MATCH(CONCATENATE(BD_COMERCIAL!$K148," ",BD_COMERCIAL!$L148),'Curva Forward'!$B$5:$B$13,0),MATCH(GI$4,'Curva Forward'!$C$4:$AN$4,0))),DK148)</f>
        <v>0</v>
      </c>
      <c r="GJ148" s="190">
        <f>AX148*AX$2*IF($FC148="V",1,-1)*IF($Q148="Fixo",(DL148-INDEX('Curva Forward'!$C$5:$AN$13,MATCH(CONCATENATE(BD_COMERCIAL!$K148," ",BD_COMERCIAL!$L148),'Curva Forward'!$B$5:$B$13,0),MATCH(GJ$4,'Curva Forward'!$C$4:$AN$4,0))),DL148)</f>
        <v>0</v>
      </c>
      <c r="GK148" s="190">
        <f>AY148*AY$2*IF($FC148="V",1,-1)*IF($Q148="Fixo",(DM148-INDEX('Curva Forward'!$C$5:$AN$13,MATCH(CONCATENATE(BD_COMERCIAL!$K148," ",BD_COMERCIAL!$L148),'Curva Forward'!$B$5:$B$13,0),MATCH(GK$4,'Curva Forward'!$C$4:$AN$4,0))),DM148)</f>
        <v>0</v>
      </c>
      <c r="GL148" s="190">
        <f>IF(EZ148="",0,CL148*CL$2*IF($FC148="V",1,-1)*IF($Q148="Fixo",(EZ148-INDEX('Curva Forward'!$C$5:$AN$13,MATCH(CONCATENATE(BD_COMERCIAL!$K148," ",BD_COMERCIAL!$L148),'Curva Forward'!$B$5:$B$13,0),MATCH(GL$4,'Curva Forward'!$C$4:$AN$4,0))),EZ148))</f>
        <v>0</v>
      </c>
      <c r="GM148" s="190">
        <f>IF(FA148="",0,CM148*CM$2*IF($FC148="V",1,-1)*IF($Q148="Fixo",(FA148-INDEX('Curva Forward'!$C$5:$AN$13,MATCH(CONCATENATE(BD_COMERCIAL!$K148," ",BD_COMERCIAL!$L148),'Curva Forward'!$B$5:$B$13,0),MATCH(GM$4,'Curva Forward'!$C$4:$AN$4,0))),FA148))</f>
        <v>0</v>
      </c>
      <c r="GN148" s="190">
        <f>IF(FB148="",0,CN148*CN$2*IF($FC148="V",1,-1)*IF($Q148="Fixo",(FB148-INDEX('Curva Forward'!$C$5:$AN$13,MATCH(CONCATENATE(BD_COMERCIAL!$K148," ",BD_COMERCIAL!$L148),'Curva Forward'!$B$5:$B$13,0),MATCH(GN$4,'Curva Forward'!$C$4:$AN$4,0))),FB148))</f>
        <v>0</v>
      </c>
      <c r="GO148" s="191">
        <f t="shared" ca="1" si="25"/>
        <v>157248</v>
      </c>
      <c r="GP148" s="191">
        <f t="shared" ca="1" si="26"/>
        <v>0</v>
      </c>
      <c r="GQ148" s="115"/>
      <c r="GR148" s="115"/>
      <c r="GS148"/>
      <c r="GT148" s="65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</row>
    <row r="149" spans="1:236" s="265" customFormat="1" ht="15" customHeight="1" x14ac:dyDescent="0.35">
      <c r="A149" s="251"/>
      <c r="B149" s="275" t="s">
        <v>588</v>
      </c>
      <c r="C149" s="253">
        <v>44949</v>
      </c>
      <c r="D149" s="254" t="s">
        <v>123</v>
      </c>
      <c r="E149" s="254" t="s">
        <v>381</v>
      </c>
      <c r="F149" s="255" t="s">
        <v>348</v>
      </c>
      <c r="G149" s="256" t="s">
        <v>589</v>
      </c>
      <c r="H149" s="255" t="s">
        <v>590</v>
      </c>
      <c r="I149" s="254" t="s">
        <v>125</v>
      </c>
      <c r="J149" s="257" t="s">
        <v>496</v>
      </c>
      <c r="K149" s="256" t="s">
        <v>126</v>
      </c>
      <c r="L149" s="252" t="s">
        <v>22</v>
      </c>
      <c r="M149" s="258">
        <v>45108</v>
      </c>
      <c r="N149" s="259">
        <v>45138</v>
      </c>
      <c r="O149" s="256">
        <v>3</v>
      </c>
      <c r="P149" s="252">
        <v>74</v>
      </c>
      <c r="Q149" s="252" t="s">
        <v>127</v>
      </c>
      <c r="R149" s="256" t="s">
        <v>128</v>
      </c>
      <c r="S149" s="260" t="s">
        <v>133</v>
      </c>
      <c r="T149" s="258"/>
      <c r="U149" s="259"/>
      <c r="V149" s="261"/>
      <c r="W149" s="252"/>
      <c r="X149" s="262" t="s">
        <v>132</v>
      </c>
      <c r="Y149" s="257"/>
      <c r="Z149" s="263"/>
      <c r="AA149" s="264"/>
      <c r="AB149" s="266"/>
      <c r="AH149" s="265">
        <v>3</v>
      </c>
      <c r="AM149" s="251"/>
      <c r="AN149" s="266"/>
      <c r="AY149" s="251"/>
      <c r="AZ149" s="266"/>
      <c r="BK149" s="251"/>
      <c r="BL149" s="266"/>
      <c r="BW149" s="251"/>
      <c r="BX149" s="266"/>
      <c r="CI149" s="251"/>
      <c r="CJ149" s="267"/>
      <c r="CK149" s="267"/>
      <c r="CL149" s="267"/>
      <c r="CM149" s="267"/>
      <c r="CN149" s="267"/>
      <c r="CO149" s="268"/>
      <c r="CP149" s="266"/>
      <c r="CV149" s="265">
        <v>74</v>
      </c>
      <c r="DA149" s="251"/>
      <c r="DB149" s="266"/>
      <c r="DM149" s="251"/>
      <c r="DN149" s="266"/>
      <c r="DY149" s="251"/>
      <c r="DZ149" s="266"/>
      <c r="EK149" s="251"/>
      <c r="EL149" s="266"/>
      <c r="EW149" s="251"/>
      <c r="EX149" s="267"/>
      <c r="EY149" s="267"/>
      <c r="EZ149" s="267"/>
      <c r="FA149" s="267"/>
      <c r="FB149" s="269"/>
      <c r="FC149" s="265" t="s">
        <v>195</v>
      </c>
      <c r="FD149" s="270" t="s">
        <v>125</v>
      </c>
      <c r="FF149" s="199" t="s">
        <v>197</v>
      </c>
      <c r="FH149" s="206">
        <f t="shared" si="20"/>
        <v>0</v>
      </c>
      <c r="FI149" s="198">
        <f t="shared" si="21"/>
        <v>1</v>
      </c>
      <c r="FJ149"/>
      <c r="FK149" t="str">
        <f t="shared" si="22"/>
        <v>Electra Comercializadora de Energia S.A.</v>
      </c>
      <c r="FL149" s="191">
        <f t="shared" ca="1" si="23"/>
        <v>0</v>
      </c>
      <c r="FM149" s="191">
        <f t="shared" ca="1" si="24"/>
        <v>2232</v>
      </c>
      <c r="FN149" s="190">
        <f>AB149*AB$2*IF($FC149="V",1,-1)*IF($Q149="Fixo",(CP149-INDEX('Curva Forward'!$C$5:$AN$13,MATCH(CONCATENATE(BD_COMERCIAL!$K149," ",BD_COMERCIAL!$L149),'Curva Forward'!$B$5:$B$13,0),MATCH(FN$4,'Curva Forward'!$C$4:$AN$4,0))),CP149)</f>
        <v>0</v>
      </c>
      <c r="FO149" s="190">
        <f>AC149*AC$2*IF($FC149="V",1,-1)*IF($Q149="Fixo",(CQ149-INDEX('Curva Forward'!$C$5:$AN$13,MATCH(CONCATENATE(BD_COMERCIAL!$K149," ",BD_COMERCIAL!$L149),'Curva Forward'!$B$5:$B$13,0),MATCH(FO$4,'Curva Forward'!$C$4:$AN$4,0))),CQ149)</f>
        <v>0</v>
      </c>
      <c r="FP149" s="190">
        <f>AD149*AD$2*IF($FC149="V",1,-1)*IF($Q149="Fixo",(CR149-INDEX('Curva Forward'!$C$5:$AN$13,MATCH(CONCATENATE(BD_COMERCIAL!$K149," ",BD_COMERCIAL!$L149),'Curva Forward'!$B$5:$B$13,0),MATCH(FP$4,'Curva Forward'!$C$4:$AN$4,0))),CR149)</f>
        <v>0</v>
      </c>
      <c r="FQ149" s="190">
        <f>AE149*AE$2*IF($FC149="V",1,-1)*IF($Q149="Fixo",(CS149-INDEX('Curva Forward'!$C$5:$AN$13,MATCH(CONCATENATE(BD_COMERCIAL!$K149," ",BD_COMERCIAL!$L149),'Curva Forward'!$B$5:$B$13,0),MATCH(FQ$4,'Curva Forward'!$C$4:$AN$4,0))),CS149)</f>
        <v>0</v>
      </c>
      <c r="FR149" s="190">
        <f>AF149*AF$2*IF($FC149="V",1,-1)*IF($Q149="Fixo",(CT149-INDEX('Curva Forward'!$C$5:$AN$13,MATCH(CONCATENATE(BD_COMERCIAL!$K149," ",BD_COMERCIAL!$L149),'Curva Forward'!$B$5:$B$13,0),MATCH(FR$4,'Curva Forward'!$C$4:$AN$4,0))),CT149)</f>
        <v>0</v>
      </c>
      <c r="FS149" s="190">
        <f>AG149*AG$2*IF($FC149="V",1,-1)*IF($Q149="Fixo",(CU149-INDEX('Curva Forward'!$C$5:$AN$13,MATCH(CONCATENATE(BD_COMERCIAL!$K149," ",BD_COMERCIAL!$L149),'Curva Forward'!$B$5:$B$13,0),MATCH(FS$4,'Curva Forward'!$C$4:$AN$4,0))),CU149)</f>
        <v>0</v>
      </c>
      <c r="FT149" s="190">
        <f>AH149*AH$2*IF($FC149="V",1,-1)*IF($Q149="Fixo",(CV149-INDEX('Curva Forward'!$C$5:$AN$13,MATCH(CONCATENATE(BD_COMERCIAL!$K149," ",BD_COMERCIAL!$L149),'Curva Forward'!$B$5:$B$13,0),MATCH(FT$4,'Curva Forward'!$C$4:$AN$4,0))),CV149)</f>
        <v>2232</v>
      </c>
      <c r="FU149" s="190">
        <f>AI149*AI$2*IF($FC149="V",1,-1)*IF($Q149="Fixo",(CW149-INDEX('Curva Forward'!$C$5:$AN$13,MATCH(CONCATENATE(BD_COMERCIAL!$K149," ",BD_COMERCIAL!$L149),'Curva Forward'!$B$5:$B$13,0),MATCH(FU$4,'Curva Forward'!$C$4:$AN$4,0))),CW149)</f>
        <v>0</v>
      </c>
      <c r="FV149" s="190">
        <f>AJ149*AJ$2*IF($FC149="V",1,-1)*IF($Q149="Fixo",(CX149-INDEX('Curva Forward'!$C$5:$AN$13,MATCH(CONCATENATE(BD_COMERCIAL!$K149," ",BD_COMERCIAL!$L149),'Curva Forward'!$B$5:$B$13,0),MATCH(FV$4,'Curva Forward'!$C$4:$AN$4,0))),CX149)</f>
        <v>0</v>
      </c>
      <c r="FW149" s="190">
        <f>AK149*AK$2*IF($FC149="V",1,-1)*IF($Q149="Fixo",(CY149-INDEX('Curva Forward'!$C$5:$AN$13,MATCH(CONCATENATE(BD_COMERCIAL!$K149," ",BD_COMERCIAL!$L149),'Curva Forward'!$B$5:$B$13,0),MATCH(FW$4,'Curva Forward'!$C$4:$AN$4,0))),CY149)</f>
        <v>0</v>
      </c>
      <c r="FX149" s="190">
        <f>AL149*AL$2*IF($FC149="V",1,-1)*IF($Q149="Fixo",(CZ149-INDEX('Curva Forward'!$C$5:$AN$13,MATCH(CONCATENATE(BD_COMERCIAL!$K149," ",BD_COMERCIAL!$L149),'Curva Forward'!$B$5:$B$13,0),MATCH(FX$4,'Curva Forward'!$C$4:$AN$4,0))),CZ149)</f>
        <v>0</v>
      </c>
      <c r="FY149" s="190">
        <f>AM149*AM$2*IF($FC149="V",1,-1)*IF($Q149="Fixo",(DA149-INDEX('Curva Forward'!$C$5:$AN$13,MATCH(CONCATENATE(BD_COMERCIAL!$K149," ",BD_COMERCIAL!$L149),'Curva Forward'!$B$5:$B$13,0),MATCH(FY$4,'Curva Forward'!$C$4:$AN$4,0))),DA149)</f>
        <v>0</v>
      </c>
      <c r="FZ149" s="190">
        <f>AN149*AN$2*IF($FC149="V",1,-1)*IF($Q149="Fixo",(DB149-INDEX('Curva Forward'!$C$5:$AN$13,MATCH(CONCATENATE(BD_COMERCIAL!$K149," ",BD_COMERCIAL!$L149),'Curva Forward'!$B$5:$B$13,0),MATCH(FZ$4,'Curva Forward'!$C$4:$AN$4,0))),DB149)</f>
        <v>0</v>
      </c>
      <c r="GA149" s="190">
        <f>AO149*AO$2*IF($FC149="V",1,-1)*IF($Q149="Fixo",(DC149-INDEX('Curva Forward'!$C$5:$AN$13,MATCH(CONCATENATE(BD_COMERCIAL!$K149," ",BD_COMERCIAL!$L149),'Curva Forward'!$B$5:$B$13,0),MATCH(GA$4,'Curva Forward'!$C$4:$AN$4,0))),DC149)</f>
        <v>0</v>
      </c>
      <c r="GB149" s="190">
        <f>AP149*AP$2*IF($FC149="V",1,-1)*IF($Q149="Fixo",(DD149-INDEX('Curva Forward'!$C$5:$AN$13,MATCH(CONCATENATE(BD_COMERCIAL!$K149," ",BD_COMERCIAL!$L149),'Curva Forward'!$B$5:$B$13,0),MATCH(GB$4,'Curva Forward'!$C$4:$AN$4,0))),DD149)</f>
        <v>0</v>
      </c>
      <c r="GC149" s="190">
        <f>AQ149*AQ$2*IF($FC149="V",1,-1)*IF($Q149="Fixo",(DE149-INDEX('Curva Forward'!$C$5:$AN$13,MATCH(CONCATENATE(BD_COMERCIAL!$K149," ",BD_COMERCIAL!$L149),'Curva Forward'!$B$5:$B$13,0),MATCH(GC$4,'Curva Forward'!$C$4:$AN$4,0))),DE149)</f>
        <v>0</v>
      </c>
      <c r="GD149" s="190">
        <f>AR149*AR$2*IF($FC149="V",1,-1)*IF($Q149="Fixo",(DF149-INDEX('Curva Forward'!$C$5:$AN$13,MATCH(CONCATENATE(BD_COMERCIAL!$K149," ",BD_COMERCIAL!$L149),'Curva Forward'!$B$5:$B$13,0),MATCH(GD$4,'Curva Forward'!$C$4:$AN$4,0))),DF149)</f>
        <v>0</v>
      </c>
      <c r="GE149" s="190">
        <f>AS149*AS$2*IF($FC149="V",1,-1)*IF($Q149="Fixo",(DG149-INDEX('Curva Forward'!$C$5:$AN$13,MATCH(CONCATENATE(BD_COMERCIAL!$K149," ",BD_COMERCIAL!$L149),'Curva Forward'!$B$5:$B$13,0),MATCH(GE$4,'Curva Forward'!$C$4:$AN$4,0))),DG149)</f>
        <v>0</v>
      </c>
      <c r="GF149" s="190">
        <f>AT149*AT$2*IF($FC149="V",1,-1)*IF($Q149="Fixo",(DH149-INDEX('Curva Forward'!$C$5:$AN$13,MATCH(CONCATENATE(BD_COMERCIAL!$K149," ",BD_COMERCIAL!$L149),'Curva Forward'!$B$5:$B$13,0),MATCH(GF$4,'Curva Forward'!$C$4:$AN$4,0))),DH149)</f>
        <v>0</v>
      </c>
      <c r="GG149" s="190">
        <f>AU149*AU$2*IF($FC149="V",1,-1)*IF($Q149="Fixo",(DI149-INDEX('Curva Forward'!$C$5:$AN$13,MATCH(CONCATENATE(BD_COMERCIAL!$K149," ",BD_COMERCIAL!$L149),'Curva Forward'!$B$5:$B$13,0),MATCH(GG$4,'Curva Forward'!$C$4:$AN$4,0))),DI149)</f>
        <v>0</v>
      </c>
      <c r="GH149" s="190">
        <f>AV149*AV$2*IF($FC149="V",1,-1)*IF($Q149="Fixo",(DJ149-INDEX('Curva Forward'!$C$5:$AN$13,MATCH(CONCATENATE(BD_COMERCIAL!$K149," ",BD_COMERCIAL!$L149),'Curva Forward'!$B$5:$B$13,0),MATCH(GH$4,'Curva Forward'!$C$4:$AN$4,0))),DJ149)</f>
        <v>0</v>
      </c>
      <c r="GI149" s="190">
        <f>AW149*AW$2*IF($FC149="V",1,-1)*IF($Q149="Fixo",(DK149-INDEX('Curva Forward'!$C$5:$AN$13,MATCH(CONCATENATE(BD_COMERCIAL!$K149," ",BD_COMERCIAL!$L149),'Curva Forward'!$B$5:$B$13,0),MATCH(GI$4,'Curva Forward'!$C$4:$AN$4,0))),DK149)</f>
        <v>0</v>
      </c>
      <c r="GJ149" s="190">
        <f>AX149*AX$2*IF($FC149="V",1,-1)*IF($Q149="Fixo",(DL149-INDEX('Curva Forward'!$C$5:$AN$13,MATCH(CONCATENATE(BD_COMERCIAL!$K149," ",BD_COMERCIAL!$L149),'Curva Forward'!$B$5:$B$13,0),MATCH(GJ$4,'Curva Forward'!$C$4:$AN$4,0))),DL149)</f>
        <v>0</v>
      </c>
      <c r="GK149" s="190">
        <f>AY149*AY$2*IF($FC149="V",1,-1)*IF($Q149="Fixo",(DM149-INDEX('Curva Forward'!$C$5:$AN$13,MATCH(CONCATENATE(BD_COMERCIAL!$K149," ",BD_COMERCIAL!$L149),'Curva Forward'!$B$5:$B$13,0),MATCH(GK$4,'Curva Forward'!$C$4:$AN$4,0))),DM149)</f>
        <v>0</v>
      </c>
      <c r="GL149" s="190">
        <f>IF(EZ149="",0,CL149*CL$2*IF($FC149="V",1,-1)*IF($Q149="Fixo",(EZ149-INDEX('Curva Forward'!$C$5:$AN$13,MATCH(CONCATENATE(BD_COMERCIAL!$K149," ",BD_COMERCIAL!$L149),'Curva Forward'!$B$5:$B$13,0),MATCH(GL$4,'Curva Forward'!$C$4:$AN$4,0))),EZ149))</f>
        <v>0</v>
      </c>
      <c r="GM149" s="190">
        <f>IF(FA149="",0,CM149*CM$2*IF($FC149="V",1,-1)*IF($Q149="Fixo",(FA149-INDEX('Curva Forward'!$C$5:$AN$13,MATCH(CONCATENATE(BD_COMERCIAL!$K149," ",BD_COMERCIAL!$L149),'Curva Forward'!$B$5:$B$13,0),MATCH(GM$4,'Curva Forward'!$C$4:$AN$4,0))),FA149))</f>
        <v>0</v>
      </c>
      <c r="GN149" s="190">
        <f>IF(FB149="",0,CN149*CN$2*IF($FC149="V",1,-1)*IF($Q149="Fixo",(FB149-INDEX('Curva Forward'!$C$5:$AN$13,MATCH(CONCATENATE(BD_COMERCIAL!$K149," ",BD_COMERCIAL!$L149),'Curva Forward'!$B$5:$B$13,0),MATCH(GN$4,'Curva Forward'!$C$4:$AN$4,0))),FB149))</f>
        <v>0</v>
      </c>
      <c r="GO149" s="191">
        <f t="shared" ca="1" si="25"/>
        <v>2232</v>
      </c>
      <c r="GP149" s="191">
        <f t="shared" ca="1" si="26"/>
        <v>0</v>
      </c>
      <c r="GQ149" s="115"/>
      <c r="GR149" s="115"/>
      <c r="GS149"/>
      <c r="GT149" s="65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</row>
    <row r="150" spans="1:236" s="265" customFormat="1" ht="15" customHeight="1" x14ac:dyDescent="0.35">
      <c r="A150" s="251"/>
      <c r="B150" s="275" t="s">
        <v>591</v>
      </c>
      <c r="C150" s="253">
        <v>44949</v>
      </c>
      <c r="D150" s="254" t="s">
        <v>123</v>
      </c>
      <c r="E150" s="254" t="s">
        <v>381</v>
      </c>
      <c r="F150" s="255" t="s">
        <v>348</v>
      </c>
      <c r="G150" s="256" t="s">
        <v>145</v>
      </c>
      <c r="H150" s="255" t="e">
        <v>#N/A</v>
      </c>
      <c r="I150" s="254" t="s">
        <v>137</v>
      </c>
      <c r="J150" s="257" t="s">
        <v>496</v>
      </c>
      <c r="K150" s="256" t="s">
        <v>126</v>
      </c>
      <c r="L150" s="252" t="s">
        <v>22</v>
      </c>
      <c r="M150" s="258">
        <v>45078</v>
      </c>
      <c r="N150" s="259">
        <v>45107</v>
      </c>
      <c r="O150" s="256">
        <v>3</v>
      </c>
      <c r="P150" s="252">
        <v>72</v>
      </c>
      <c r="Q150" s="252" t="s">
        <v>127</v>
      </c>
      <c r="R150" s="256" t="s">
        <v>128</v>
      </c>
      <c r="S150" s="260" t="s">
        <v>133</v>
      </c>
      <c r="T150" s="258"/>
      <c r="U150" s="259"/>
      <c r="V150" s="261"/>
      <c r="W150" s="252"/>
      <c r="X150" s="262"/>
      <c r="Y150" s="257"/>
      <c r="Z150" s="106" t="s">
        <v>146</v>
      </c>
      <c r="AA150" s="106" t="s">
        <v>146</v>
      </c>
      <c r="AB150" s="266"/>
      <c r="AG150" s="265">
        <v>3</v>
      </c>
      <c r="AM150" s="251"/>
      <c r="AN150" s="266"/>
      <c r="AY150" s="251"/>
      <c r="AZ150" s="266"/>
      <c r="BK150" s="251"/>
      <c r="BL150" s="266"/>
      <c r="BW150" s="251"/>
      <c r="BX150" s="266"/>
      <c r="CI150" s="251"/>
      <c r="CJ150" s="267"/>
      <c r="CK150" s="267"/>
      <c r="CL150" s="267"/>
      <c r="CM150" s="267"/>
      <c r="CN150" s="267"/>
      <c r="CO150" s="268"/>
      <c r="CP150" s="266"/>
      <c r="CU150" s="265">
        <v>72</v>
      </c>
      <c r="DA150" s="251"/>
      <c r="DB150" s="266"/>
      <c r="DM150" s="251"/>
      <c r="DN150" s="266"/>
      <c r="DY150" s="251"/>
      <c r="DZ150" s="266"/>
      <c r="EK150" s="251"/>
      <c r="EL150" s="266"/>
      <c r="EW150" s="251"/>
      <c r="EX150" s="267"/>
      <c r="EY150" s="267"/>
      <c r="EZ150" s="267"/>
      <c r="FA150" s="267"/>
      <c r="FB150" s="269"/>
      <c r="FC150" s="265" t="s">
        <v>195</v>
      </c>
      <c r="FD150" s="270" t="s">
        <v>145</v>
      </c>
      <c r="FF150" s="199" t="s">
        <v>197</v>
      </c>
      <c r="FH150" s="206">
        <f t="shared" si="20"/>
        <v>0</v>
      </c>
      <c r="FI150" s="198">
        <f t="shared" si="21"/>
        <v>0.96666666666666667</v>
      </c>
      <c r="FJ150"/>
      <c r="FK150" t="str">
        <f t="shared" si="22"/>
        <v>Portfólio</v>
      </c>
      <c r="FL150" s="191">
        <f t="shared" ca="1" si="23"/>
        <v>0</v>
      </c>
      <c r="FM150" s="191">
        <f t="shared" ca="1" si="24"/>
        <v>4320</v>
      </c>
      <c r="FN150" s="190">
        <f>AB150*AB$2*IF($FC150="V",1,-1)*IF($Q150="Fixo",(CP150-INDEX('Curva Forward'!$C$5:$AN$13,MATCH(CONCATENATE(BD_COMERCIAL!$K150," ",BD_COMERCIAL!$L150),'Curva Forward'!$B$5:$B$13,0),MATCH(FN$4,'Curva Forward'!$C$4:$AN$4,0))),CP150)</f>
        <v>0</v>
      </c>
      <c r="FO150" s="190">
        <f>AC150*AC$2*IF($FC150="V",1,-1)*IF($Q150="Fixo",(CQ150-INDEX('Curva Forward'!$C$5:$AN$13,MATCH(CONCATENATE(BD_COMERCIAL!$K150," ",BD_COMERCIAL!$L150),'Curva Forward'!$B$5:$B$13,0),MATCH(FO$4,'Curva Forward'!$C$4:$AN$4,0))),CQ150)</f>
        <v>0</v>
      </c>
      <c r="FP150" s="190">
        <f>AD150*AD$2*IF($FC150="V",1,-1)*IF($Q150="Fixo",(CR150-INDEX('Curva Forward'!$C$5:$AN$13,MATCH(CONCATENATE(BD_COMERCIAL!$K150," ",BD_COMERCIAL!$L150),'Curva Forward'!$B$5:$B$13,0),MATCH(FP$4,'Curva Forward'!$C$4:$AN$4,0))),CR150)</f>
        <v>0</v>
      </c>
      <c r="FQ150" s="190">
        <f>AE150*AE$2*IF($FC150="V",1,-1)*IF($Q150="Fixo",(CS150-INDEX('Curva Forward'!$C$5:$AN$13,MATCH(CONCATENATE(BD_COMERCIAL!$K150," ",BD_COMERCIAL!$L150),'Curva Forward'!$B$5:$B$13,0),MATCH(FQ$4,'Curva Forward'!$C$4:$AN$4,0))),CS150)</f>
        <v>0</v>
      </c>
      <c r="FR150" s="190">
        <f>AF150*AF$2*IF($FC150="V",1,-1)*IF($Q150="Fixo",(CT150-INDEX('Curva Forward'!$C$5:$AN$13,MATCH(CONCATENATE(BD_COMERCIAL!$K150," ",BD_COMERCIAL!$L150),'Curva Forward'!$B$5:$B$13,0),MATCH(FR$4,'Curva Forward'!$C$4:$AN$4,0))),CT150)</f>
        <v>0</v>
      </c>
      <c r="FS150" s="190">
        <f>AG150*AG$2*IF($FC150="V",1,-1)*IF($Q150="Fixo",(CU150-INDEX('Curva Forward'!$C$5:$AN$13,MATCH(CONCATENATE(BD_COMERCIAL!$K150," ",BD_COMERCIAL!$L150),'Curva Forward'!$B$5:$B$13,0),MATCH(FS$4,'Curva Forward'!$C$4:$AN$4,0))),CU150)</f>
        <v>4320</v>
      </c>
      <c r="FT150" s="190">
        <f>AH150*AH$2*IF($FC150="V",1,-1)*IF($Q150="Fixo",(CV150-INDEX('Curva Forward'!$C$5:$AN$13,MATCH(CONCATENATE(BD_COMERCIAL!$K150," ",BD_COMERCIAL!$L150),'Curva Forward'!$B$5:$B$13,0),MATCH(FT$4,'Curva Forward'!$C$4:$AN$4,0))),CV150)</f>
        <v>0</v>
      </c>
      <c r="FU150" s="190">
        <f>AI150*AI$2*IF($FC150="V",1,-1)*IF($Q150="Fixo",(CW150-INDEX('Curva Forward'!$C$5:$AN$13,MATCH(CONCATENATE(BD_COMERCIAL!$K150," ",BD_COMERCIAL!$L150),'Curva Forward'!$B$5:$B$13,0),MATCH(FU$4,'Curva Forward'!$C$4:$AN$4,0))),CW150)</f>
        <v>0</v>
      </c>
      <c r="FV150" s="190">
        <f>AJ150*AJ$2*IF($FC150="V",1,-1)*IF($Q150="Fixo",(CX150-INDEX('Curva Forward'!$C$5:$AN$13,MATCH(CONCATENATE(BD_COMERCIAL!$K150," ",BD_COMERCIAL!$L150),'Curva Forward'!$B$5:$B$13,0),MATCH(FV$4,'Curva Forward'!$C$4:$AN$4,0))),CX150)</f>
        <v>0</v>
      </c>
      <c r="FW150" s="190">
        <f>AK150*AK$2*IF($FC150="V",1,-1)*IF($Q150="Fixo",(CY150-INDEX('Curva Forward'!$C$5:$AN$13,MATCH(CONCATENATE(BD_COMERCIAL!$K150," ",BD_COMERCIAL!$L150),'Curva Forward'!$B$5:$B$13,0),MATCH(FW$4,'Curva Forward'!$C$4:$AN$4,0))),CY150)</f>
        <v>0</v>
      </c>
      <c r="FX150" s="190">
        <f>AL150*AL$2*IF($FC150="V",1,-1)*IF($Q150="Fixo",(CZ150-INDEX('Curva Forward'!$C$5:$AN$13,MATCH(CONCATENATE(BD_COMERCIAL!$K150," ",BD_COMERCIAL!$L150),'Curva Forward'!$B$5:$B$13,0),MATCH(FX$4,'Curva Forward'!$C$4:$AN$4,0))),CZ150)</f>
        <v>0</v>
      </c>
      <c r="FY150" s="190">
        <f>AM150*AM$2*IF($FC150="V",1,-1)*IF($Q150="Fixo",(DA150-INDEX('Curva Forward'!$C$5:$AN$13,MATCH(CONCATENATE(BD_COMERCIAL!$K150," ",BD_COMERCIAL!$L150),'Curva Forward'!$B$5:$B$13,0),MATCH(FY$4,'Curva Forward'!$C$4:$AN$4,0))),DA150)</f>
        <v>0</v>
      </c>
      <c r="FZ150" s="190">
        <f>AN150*AN$2*IF($FC150="V",1,-1)*IF($Q150="Fixo",(DB150-INDEX('Curva Forward'!$C$5:$AN$13,MATCH(CONCATENATE(BD_COMERCIAL!$K150," ",BD_COMERCIAL!$L150),'Curva Forward'!$B$5:$B$13,0),MATCH(FZ$4,'Curva Forward'!$C$4:$AN$4,0))),DB150)</f>
        <v>0</v>
      </c>
      <c r="GA150" s="190">
        <f>AO150*AO$2*IF($FC150="V",1,-1)*IF($Q150="Fixo",(DC150-INDEX('Curva Forward'!$C$5:$AN$13,MATCH(CONCATENATE(BD_COMERCIAL!$K150," ",BD_COMERCIAL!$L150),'Curva Forward'!$B$5:$B$13,0),MATCH(GA$4,'Curva Forward'!$C$4:$AN$4,0))),DC150)</f>
        <v>0</v>
      </c>
      <c r="GB150" s="190">
        <f>AP150*AP$2*IF($FC150="V",1,-1)*IF($Q150="Fixo",(DD150-INDEX('Curva Forward'!$C$5:$AN$13,MATCH(CONCATENATE(BD_COMERCIAL!$K150," ",BD_COMERCIAL!$L150),'Curva Forward'!$B$5:$B$13,0),MATCH(GB$4,'Curva Forward'!$C$4:$AN$4,0))),DD150)</f>
        <v>0</v>
      </c>
      <c r="GC150" s="190">
        <f>AQ150*AQ$2*IF($FC150="V",1,-1)*IF($Q150="Fixo",(DE150-INDEX('Curva Forward'!$C$5:$AN$13,MATCH(CONCATENATE(BD_COMERCIAL!$K150," ",BD_COMERCIAL!$L150),'Curva Forward'!$B$5:$B$13,0),MATCH(GC$4,'Curva Forward'!$C$4:$AN$4,0))),DE150)</f>
        <v>0</v>
      </c>
      <c r="GD150" s="190">
        <f>AR150*AR$2*IF($FC150="V",1,-1)*IF($Q150="Fixo",(DF150-INDEX('Curva Forward'!$C$5:$AN$13,MATCH(CONCATENATE(BD_COMERCIAL!$K150," ",BD_COMERCIAL!$L150),'Curva Forward'!$B$5:$B$13,0),MATCH(GD$4,'Curva Forward'!$C$4:$AN$4,0))),DF150)</f>
        <v>0</v>
      </c>
      <c r="GE150" s="190">
        <f>AS150*AS$2*IF($FC150="V",1,-1)*IF($Q150="Fixo",(DG150-INDEX('Curva Forward'!$C$5:$AN$13,MATCH(CONCATENATE(BD_COMERCIAL!$K150," ",BD_COMERCIAL!$L150),'Curva Forward'!$B$5:$B$13,0),MATCH(GE$4,'Curva Forward'!$C$4:$AN$4,0))),DG150)</f>
        <v>0</v>
      </c>
      <c r="GF150" s="190">
        <f>AT150*AT$2*IF($FC150="V",1,-1)*IF($Q150="Fixo",(DH150-INDEX('Curva Forward'!$C$5:$AN$13,MATCH(CONCATENATE(BD_COMERCIAL!$K150," ",BD_COMERCIAL!$L150),'Curva Forward'!$B$5:$B$13,0),MATCH(GF$4,'Curva Forward'!$C$4:$AN$4,0))),DH150)</f>
        <v>0</v>
      </c>
      <c r="GG150" s="190">
        <f>AU150*AU$2*IF($FC150="V",1,-1)*IF($Q150="Fixo",(DI150-INDEX('Curva Forward'!$C$5:$AN$13,MATCH(CONCATENATE(BD_COMERCIAL!$K150," ",BD_COMERCIAL!$L150),'Curva Forward'!$B$5:$B$13,0),MATCH(GG$4,'Curva Forward'!$C$4:$AN$4,0))),DI150)</f>
        <v>0</v>
      </c>
      <c r="GH150" s="190">
        <f>AV150*AV$2*IF($FC150="V",1,-1)*IF($Q150="Fixo",(DJ150-INDEX('Curva Forward'!$C$5:$AN$13,MATCH(CONCATENATE(BD_COMERCIAL!$K150," ",BD_COMERCIAL!$L150),'Curva Forward'!$B$5:$B$13,0),MATCH(GH$4,'Curva Forward'!$C$4:$AN$4,0))),DJ150)</f>
        <v>0</v>
      </c>
      <c r="GI150" s="190">
        <f>AW150*AW$2*IF($FC150="V",1,-1)*IF($Q150="Fixo",(DK150-INDEX('Curva Forward'!$C$5:$AN$13,MATCH(CONCATENATE(BD_COMERCIAL!$K150," ",BD_COMERCIAL!$L150),'Curva Forward'!$B$5:$B$13,0),MATCH(GI$4,'Curva Forward'!$C$4:$AN$4,0))),DK150)</f>
        <v>0</v>
      </c>
      <c r="GJ150" s="190">
        <f>AX150*AX$2*IF($FC150="V",1,-1)*IF($Q150="Fixo",(DL150-INDEX('Curva Forward'!$C$5:$AN$13,MATCH(CONCATENATE(BD_COMERCIAL!$K150," ",BD_COMERCIAL!$L150),'Curva Forward'!$B$5:$B$13,0),MATCH(GJ$4,'Curva Forward'!$C$4:$AN$4,0))),DL150)</f>
        <v>0</v>
      </c>
      <c r="GK150" s="190">
        <f>AY150*AY$2*IF($FC150="V",1,-1)*IF($Q150="Fixo",(DM150-INDEX('Curva Forward'!$C$5:$AN$13,MATCH(CONCATENATE(BD_COMERCIAL!$K150," ",BD_COMERCIAL!$L150),'Curva Forward'!$B$5:$B$13,0),MATCH(GK$4,'Curva Forward'!$C$4:$AN$4,0))),DM150)</f>
        <v>0</v>
      </c>
      <c r="GL150" s="190">
        <f>IF(EZ150="",0,CL150*CL$2*IF($FC150="V",1,-1)*IF($Q150="Fixo",(EZ150-INDEX('Curva Forward'!$C$5:$AN$13,MATCH(CONCATENATE(BD_COMERCIAL!$K150," ",BD_COMERCIAL!$L150),'Curva Forward'!$B$5:$B$13,0),MATCH(GL$4,'Curva Forward'!$C$4:$AN$4,0))),EZ150))</f>
        <v>0</v>
      </c>
      <c r="GM150" s="190">
        <f>IF(FA150="",0,CM150*CM$2*IF($FC150="V",1,-1)*IF($Q150="Fixo",(FA150-INDEX('Curva Forward'!$C$5:$AN$13,MATCH(CONCATENATE(BD_COMERCIAL!$K150," ",BD_COMERCIAL!$L150),'Curva Forward'!$B$5:$B$13,0),MATCH(GM$4,'Curva Forward'!$C$4:$AN$4,0))),FA150))</f>
        <v>0</v>
      </c>
      <c r="GN150" s="190">
        <f>IF(FB150="",0,CN150*CN$2*IF($FC150="V",1,-1)*IF($Q150="Fixo",(FB150-INDEX('Curva Forward'!$C$5:$AN$13,MATCH(CONCATENATE(BD_COMERCIAL!$K150," ",BD_COMERCIAL!$L150),'Curva Forward'!$B$5:$B$13,0),MATCH(GN$4,'Curva Forward'!$C$4:$AN$4,0))),FB150))</f>
        <v>0</v>
      </c>
      <c r="GO150" s="191">
        <f t="shared" ca="1" si="25"/>
        <v>4320</v>
      </c>
      <c r="GP150" s="191">
        <f t="shared" ca="1" si="26"/>
        <v>0</v>
      </c>
      <c r="GQ150" s="115"/>
      <c r="GR150" s="115"/>
      <c r="GS150"/>
      <c r="GT150" s="65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</row>
    <row r="151" spans="1:236" s="265" customFormat="1" ht="15" customHeight="1" x14ac:dyDescent="0.35">
      <c r="A151" s="251"/>
      <c r="B151" s="275" t="s">
        <v>593</v>
      </c>
      <c r="C151" s="253">
        <v>44952</v>
      </c>
      <c r="D151" s="254" t="s">
        <v>123</v>
      </c>
      <c r="E151" s="254" t="s">
        <v>381</v>
      </c>
      <c r="F151" s="255" t="s">
        <v>348</v>
      </c>
      <c r="G151" s="256" t="s">
        <v>220</v>
      </c>
      <c r="H151" s="255" t="s">
        <v>368</v>
      </c>
      <c r="I151" s="254" t="s">
        <v>596</v>
      </c>
      <c r="J151" s="257" t="s">
        <v>595</v>
      </c>
      <c r="K151" s="256" t="s">
        <v>29</v>
      </c>
      <c r="L151" s="252" t="s">
        <v>22</v>
      </c>
      <c r="M151" s="258">
        <v>44927</v>
      </c>
      <c r="N151" s="259">
        <v>44957</v>
      </c>
      <c r="O151" s="256">
        <v>5</v>
      </c>
      <c r="P151" s="252">
        <v>160</v>
      </c>
      <c r="Q151" s="252" t="s">
        <v>594</v>
      </c>
      <c r="R151" s="256" t="s">
        <v>128</v>
      </c>
      <c r="S151" s="260" t="s">
        <v>133</v>
      </c>
      <c r="T151" s="258"/>
      <c r="U151" s="259"/>
      <c r="V151" s="261"/>
      <c r="W151" s="252"/>
      <c r="X151" s="262" t="s">
        <v>132</v>
      </c>
      <c r="Y151" s="257"/>
      <c r="Z151" s="263"/>
      <c r="AA151" s="264"/>
      <c r="AB151" s="266">
        <v>5</v>
      </c>
      <c r="AM151" s="251"/>
      <c r="AN151" s="266"/>
      <c r="AY151" s="251"/>
      <c r="AZ151" s="266"/>
      <c r="BK151" s="251"/>
      <c r="BL151" s="266"/>
      <c r="BW151" s="251"/>
      <c r="BX151" s="266"/>
      <c r="CI151" s="251"/>
      <c r="CJ151" s="267"/>
      <c r="CK151" s="267"/>
      <c r="CL151" s="267"/>
      <c r="CM151" s="267"/>
      <c r="CN151" s="267"/>
      <c r="CO151" s="268"/>
      <c r="CP151" s="266">
        <v>160</v>
      </c>
      <c r="DA151" s="251"/>
      <c r="DB151" s="266"/>
      <c r="DM151" s="251"/>
      <c r="DN151" s="266"/>
      <c r="DY151" s="251"/>
      <c r="DZ151" s="266"/>
      <c r="EK151" s="251"/>
      <c r="EL151" s="266"/>
      <c r="EW151" s="251"/>
      <c r="EX151" s="267"/>
      <c r="EY151" s="267"/>
      <c r="EZ151" s="267"/>
      <c r="FA151" s="267"/>
      <c r="FB151" s="269"/>
      <c r="FC151" s="265" t="s">
        <v>195</v>
      </c>
      <c r="FD151" s="270" t="s">
        <v>596</v>
      </c>
      <c r="FF151" s="199" t="s">
        <v>197</v>
      </c>
      <c r="FH151" s="206">
        <f t="shared" si="20"/>
        <v>0</v>
      </c>
      <c r="FI151" s="198">
        <f t="shared" si="21"/>
        <v>1</v>
      </c>
      <c r="FJ151"/>
      <c r="FK151" t="str">
        <f t="shared" si="22"/>
        <v>2W Energia S.A</v>
      </c>
      <c r="FL151" s="191">
        <f t="shared" ca="1" si="23"/>
        <v>595200</v>
      </c>
      <c r="FM151" s="191">
        <f t="shared" ca="1" si="24"/>
        <v>0</v>
      </c>
      <c r="FN151" s="190">
        <f>AB151*AB$2*IF($FC151="V",1,-1)*IF($Q151="Fixo",(CP151-INDEX('Curva Forward'!$C$5:$AN$13,MATCH(CONCATENATE(BD_COMERCIAL!$K151," ",BD_COMERCIAL!$L151),'Curva Forward'!$B$5:$B$13,0),MATCH(FN$4,'Curva Forward'!$C$4:$AN$4,0))),CP151)</f>
        <v>595200</v>
      </c>
      <c r="FO151" s="190">
        <f>AC151*AC$2*IF($FC151="V",1,-1)*IF($Q151="Fixo",(CQ151-INDEX('Curva Forward'!$C$5:$AN$13,MATCH(CONCATENATE(BD_COMERCIAL!$K151," ",BD_COMERCIAL!$L151),'Curva Forward'!$B$5:$B$13,0),MATCH(FO$4,'Curva Forward'!$C$4:$AN$4,0))),CQ151)</f>
        <v>0</v>
      </c>
      <c r="FP151" s="190">
        <f>AD151*AD$2*IF($FC151="V",1,-1)*IF($Q151="Fixo",(CR151-INDEX('Curva Forward'!$C$5:$AN$13,MATCH(CONCATENATE(BD_COMERCIAL!$K151," ",BD_COMERCIAL!$L151),'Curva Forward'!$B$5:$B$13,0),MATCH(FP$4,'Curva Forward'!$C$4:$AN$4,0))),CR151)</f>
        <v>0</v>
      </c>
      <c r="FQ151" s="190">
        <f>AE151*AE$2*IF($FC151="V",1,-1)*IF($Q151="Fixo",(CS151-INDEX('Curva Forward'!$C$5:$AN$13,MATCH(CONCATENATE(BD_COMERCIAL!$K151," ",BD_COMERCIAL!$L151),'Curva Forward'!$B$5:$B$13,0),MATCH(FQ$4,'Curva Forward'!$C$4:$AN$4,0))),CS151)</f>
        <v>0</v>
      </c>
      <c r="FR151" s="190">
        <f>AF151*AF$2*IF($FC151="V",1,-1)*IF($Q151="Fixo",(CT151-INDEX('Curva Forward'!$C$5:$AN$13,MATCH(CONCATENATE(BD_COMERCIAL!$K151," ",BD_COMERCIAL!$L151),'Curva Forward'!$B$5:$B$13,0),MATCH(FR$4,'Curva Forward'!$C$4:$AN$4,0))),CT151)</f>
        <v>0</v>
      </c>
      <c r="FS151" s="190">
        <f>AG151*AG$2*IF($FC151="V",1,-1)*IF($Q151="Fixo",(CU151-INDEX('Curva Forward'!$C$5:$AN$13,MATCH(CONCATENATE(BD_COMERCIAL!$K151," ",BD_COMERCIAL!$L151),'Curva Forward'!$B$5:$B$13,0),MATCH(FS$4,'Curva Forward'!$C$4:$AN$4,0))),CU151)</f>
        <v>0</v>
      </c>
      <c r="FT151" s="190">
        <f>AH151*AH$2*IF($FC151="V",1,-1)*IF($Q151="Fixo",(CV151-INDEX('Curva Forward'!$C$5:$AN$13,MATCH(CONCATENATE(BD_COMERCIAL!$K151," ",BD_COMERCIAL!$L151),'Curva Forward'!$B$5:$B$13,0),MATCH(FT$4,'Curva Forward'!$C$4:$AN$4,0))),CV151)</f>
        <v>0</v>
      </c>
      <c r="FU151" s="190">
        <f>AI151*AI$2*IF($FC151="V",1,-1)*IF($Q151="Fixo",(CW151-INDEX('Curva Forward'!$C$5:$AN$13,MATCH(CONCATENATE(BD_COMERCIAL!$K151," ",BD_COMERCIAL!$L151),'Curva Forward'!$B$5:$B$13,0),MATCH(FU$4,'Curva Forward'!$C$4:$AN$4,0))),CW151)</f>
        <v>0</v>
      </c>
      <c r="FV151" s="190">
        <f>AJ151*AJ$2*IF($FC151="V",1,-1)*IF($Q151="Fixo",(CX151-INDEX('Curva Forward'!$C$5:$AN$13,MATCH(CONCATENATE(BD_COMERCIAL!$K151," ",BD_COMERCIAL!$L151),'Curva Forward'!$B$5:$B$13,0),MATCH(FV$4,'Curva Forward'!$C$4:$AN$4,0))),CX151)</f>
        <v>0</v>
      </c>
      <c r="FW151" s="190">
        <f>AK151*AK$2*IF($FC151="V",1,-1)*IF($Q151="Fixo",(CY151-INDEX('Curva Forward'!$C$5:$AN$13,MATCH(CONCATENATE(BD_COMERCIAL!$K151," ",BD_COMERCIAL!$L151),'Curva Forward'!$B$5:$B$13,0),MATCH(FW$4,'Curva Forward'!$C$4:$AN$4,0))),CY151)</f>
        <v>0</v>
      </c>
      <c r="FX151" s="190">
        <f>AL151*AL$2*IF($FC151="V",1,-1)*IF($Q151="Fixo",(CZ151-INDEX('Curva Forward'!$C$5:$AN$13,MATCH(CONCATENATE(BD_COMERCIAL!$K151," ",BD_COMERCIAL!$L151),'Curva Forward'!$B$5:$B$13,0),MATCH(FX$4,'Curva Forward'!$C$4:$AN$4,0))),CZ151)</f>
        <v>0</v>
      </c>
      <c r="FY151" s="190">
        <f>AM151*AM$2*IF($FC151="V",1,-1)*IF($Q151="Fixo",(DA151-INDEX('Curva Forward'!$C$5:$AN$13,MATCH(CONCATENATE(BD_COMERCIAL!$K151," ",BD_COMERCIAL!$L151),'Curva Forward'!$B$5:$B$13,0),MATCH(FY$4,'Curva Forward'!$C$4:$AN$4,0))),DA151)</f>
        <v>0</v>
      </c>
      <c r="FZ151" s="190">
        <f>AN151*AN$2*IF($FC151="V",1,-1)*IF($Q151="Fixo",(DB151-INDEX('Curva Forward'!$C$5:$AN$13,MATCH(CONCATENATE(BD_COMERCIAL!$K151," ",BD_COMERCIAL!$L151),'Curva Forward'!$B$5:$B$13,0),MATCH(FZ$4,'Curva Forward'!$C$4:$AN$4,0))),DB151)</f>
        <v>0</v>
      </c>
      <c r="GA151" s="190">
        <f>AO151*AO$2*IF($FC151="V",1,-1)*IF($Q151="Fixo",(DC151-INDEX('Curva Forward'!$C$5:$AN$13,MATCH(CONCATENATE(BD_COMERCIAL!$K151," ",BD_COMERCIAL!$L151),'Curva Forward'!$B$5:$B$13,0),MATCH(GA$4,'Curva Forward'!$C$4:$AN$4,0))),DC151)</f>
        <v>0</v>
      </c>
      <c r="GB151" s="190">
        <f>AP151*AP$2*IF($FC151="V",1,-1)*IF($Q151="Fixo",(DD151-INDEX('Curva Forward'!$C$5:$AN$13,MATCH(CONCATENATE(BD_COMERCIAL!$K151," ",BD_COMERCIAL!$L151),'Curva Forward'!$B$5:$B$13,0),MATCH(GB$4,'Curva Forward'!$C$4:$AN$4,0))),DD151)</f>
        <v>0</v>
      </c>
      <c r="GC151" s="190">
        <f>AQ151*AQ$2*IF($FC151="V",1,-1)*IF($Q151="Fixo",(DE151-INDEX('Curva Forward'!$C$5:$AN$13,MATCH(CONCATENATE(BD_COMERCIAL!$K151," ",BD_COMERCIAL!$L151),'Curva Forward'!$B$5:$B$13,0),MATCH(GC$4,'Curva Forward'!$C$4:$AN$4,0))),DE151)</f>
        <v>0</v>
      </c>
      <c r="GD151" s="190">
        <f>AR151*AR$2*IF($FC151="V",1,-1)*IF($Q151="Fixo",(DF151-INDEX('Curva Forward'!$C$5:$AN$13,MATCH(CONCATENATE(BD_COMERCIAL!$K151," ",BD_COMERCIAL!$L151),'Curva Forward'!$B$5:$B$13,0),MATCH(GD$4,'Curva Forward'!$C$4:$AN$4,0))),DF151)</f>
        <v>0</v>
      </c>
      <c r="GE151" s="190">
        <f>AS151*AS$2*IF($FC151="V",1,-1)*IF($Q151="Fixo",(DG151-INDEX('Curva Forward'!$C$5:$AN$13,MATCH(CONCATENATE(BD_COMERCIAL!$K151," ",BD_COMERCIAL!$L151),'Curva Forward'!$B$5:$B$13,0),MATCH(GE$4,'Curva Forward'!$C$4:$AN$4,0))),DG151)</f>
        <v>0</v>
      </c>
      <c r="GF151" s="190">
        <f>AT151*AT$2*IF($FC151="V",1,-1)*IF($Q151="Fixo",(DH151-INDEX('Curva Forward'!$C$5:$AN$13,MATCH(CONCATENATE(BD_COMERCIAL!$K151," ",BD_COMERCIAL!$L151),'Curva Forward'!$B$5:$B$13,0),MATCH(GF$4,'Curva Forward'!$C$4:$AN$4,0))),DH151)</f>
        <v>0</v>
      </c>
      <c r="GG151" s="190">
        <f>AU151*AU$2*IF($FC151="V",1,-1)*IF($Q151="Fixo",(DI151-INDEX('Curva Forward'!$C$5:$AN$13,MATCH(CONCATENATE(BD_COMERCIAL!$K151," ",BD_COMERCIAL!$L151),'Curva Forward'!$B$5:$B$13,0),MATCH(GG$4,'Curva Forward'!$C$4:$AN$4,0))),DI151)</f>
        <v>0</v>
      </c>
      <c r="GH151" s="190">
        <f>AV151*AV$2*IF($FC151="V",1,-1)*IF($Q151="Fixo",(DJ151-INDEX('Curva Forward'!$C$5:$AN$13,MATCH(CONCATENATE(BD_COMERCIAL!$K151," ",BD_COMERCIAL!$L151),'Curva Forward'!$B$5:$B$13,0),MATCH(GH$4,'Curva Forward'!$C$4:$AN$4,0))),DJ151)</f>
        <v>0</v>
      </c>
      <c r="GI151" s="190">
        <f>AW151*AW$2*IF($FC151="V",1,-1)*IF($Q151="Fixo",(DK151-INDEX('Curva Forward'!$C$5:$AN$13,MATCH(CONCATENATE(BD_COMERCIAL!$K151," ",BD_COMERCIAL!$L151),'Curva Forward'!$B$5:$B$13,0),MATCH(GI$4,'Curva Forward'!$C$4:$AN$4,0))),DK151)</f>
        <v>0</v>
      </c>
      <c r="GJ151" s="190">
        <f>AX151*AX$2*IF($FC151="V",1,-1)*IF($Q151="Fixo",(DL151-INDEX('Curva Forward'!$C$5:$AN$13,MATCH(CONCATENATE(BD_COMERCIAL!$K151," ",BD_COMERCIAL!$L151),'Curva Forward'!$B$5:$B$13,0),MATCH(GJ$4,'Curva Forward'!$C$4:$AN$4,0))),DL151)</f>
        <v>0</v>
      </c>
      <c r="GK151" s="190">
        <f>AY151*AY$2*IF($FC151="V",1,-1)*IF($Q151="Fixo",(DM151-INDEX('Curva Forward'!$C$5:$AN$13,MATCH(CONCATENATE(BD_COMERCIAL!$K151," ",BD_COMERCIAL!$L151),'Curva Forward'!$B$5:$B$13,0),MATCH(GK$4,'Curva Forward'!$C$4:$AN$4,0))),DM151)</f>
        <v>0</v>
      </c>
      <c r="GL151" s="190">
        <f>IF(EZ151="",0,CL151*CL$2*IF($FC151="V",1,-1)*IF($Q151="Fixo",(EZ151-INDEX('Curva Forward'!$C$5:$AN$13,MATCH(CONCATENATE(BD_COMERCIAL!$K151," ",BD_COMERCIAL!$L151),'Curva Forward'!$B$5:$B$13,0),MATCH(GL$4,'Curva Forward'!$C$4:$AN$4,0))),EZ151))</f>
        <v>0</v>
      </c>
      <c r="GM151" s="190">
        <f>IF(FA151="",0,CM151*CM$2*IF($FC151="V",1,-1)*IF($Q151="Fixo",(FA151-INDEX('Curva Forward'!$C$5:$AN$13,MATCH(CONCATENATE(BD_COMERCIAL!$K151," ",BD_COMERCIAL!$L151),'Curva Forward'!$B$5:$B$13,0),MATCH(GM$4,'Curva Forward'!$C$4:$AN$4,0))),FA151))</f>
        <v>0</v>
      </c>
      <c r="GN151" s="190">
        <f>IF(FB151="",0,CN151*CN$2*IF($FC151="V",1,-1)*IF($Q151="Fixo",(FB151-INDEX('Curva Forward'!$C$5:$AN$13,MATCH(CONCATENATE(BD_COMERCIAL!$K151," ",BD_COMERCIAL!$L151),'Curva Forward'!$B$5:$B$13,0),MATCH(GN$4,'Curva Forward'!$C$4:$AN$4,0))),FB151))</f>
        <v>0</v>
      </c>
      <c r="GO151" s="191">
        <f t="shared" ca="1" si="25"/>
        <v>0</v>
      </c>
      <c r="GP151" s="191">
        <f t="shared" ca="1" si="26"/>
        <v>0</v>
      </c>
      <c r="GQ151" s="115"/>
      <c r="GR151" s="115"/>
      <c r="GS151"/>
      <c r="GT151" s="65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</row>
    <row r="152" spans="1:236" s="265" customFormat="1" ht="15" customHeight="1" x14ac:dyDescent="0.35">
      <c r="A152" s="251"/>
      <c r="B152" s="275" t="s">
        <v>597</v>
      </c>
      <c r="C152" s="253">
        <v>44953</v>
      </c>
      <c r="D152" s="254" t="s">
        <v>123</v>
      </c>
      <c r="E152" s="254" t="s">
        <v>381</v>
      </c>
      <c r="F152" s="255" t="s">
        <v>348</v>
      </c>
      <c r="G152" s="256" t="s">
        <v>313</v>
      </c>
      <c r="H152" s="255" t="s">
        <v>474</v>
      </c>
      <c r="I152" s="254" t="s">
        <v>596</v>
      </c>
      <c r="J152" s="257" t="s">
        <v>595</v>
      </c>
      <c r="K152" s="256" t="s">
        <v>30</v>
      </c>
      <c r="L152" s="252" t="s">
        <v>22</v>
      </c>
      <c r="M152" s="258">
        <v>44927</v>
      </c>
      <c r="N152" s="259">
        <v>44957</v>
      </c>
      <c r="O152" s="256">
        <v>3</v>
      </c>
      <c r="P152" s="252">
        <v>26.5</v>
      </c>
      <c r="Q152" s="252" t="s">
        <v>594</v>
      </c>
      <c r="R152" s="256" t="s">
        <v>128</v>
      </c>
      <c r="S152" s="260" t="s">
        <v>133</v>
      </c>
      <c r="T152" s="258"/>
      <c r="U152" s="259"/>
      <c r="V152" s="261"/>
      <c r="W152" s="252"/>
      <c r="X152" s="262" t="s">
        <v>132</v>
      </c>
      <c r="Y152" s="257"/>
      <c r="Z152" s="263"/>
      <c r="AA152" s="264"/>
      <c r="AB152" s="266">
        <v>3</v>
      </c>
      <c r="AM152" s="251"/>
      <c r="AN152" s="266"/>
      <c r="AY152" s="251"/>
      <c r="AZ152" s="266"/>
      <c r="BK152" s="251"/>
      <c r="BL152" s="266"/>
      <c r="BW152" s="251"/>
      <c r="BX152" s="266"/>
      <c r="CI152" s="251"/>
      <c r="CJ152" s="267"/>
      <c r="CK152" s="267"/>
      <c r="CL152" s="267"/>
      <c r="CM152" s="267"/>
      <c r="CN152" s="267"/>
      <c r="CO152" s="268"/>
      <c r="CP152" s="266">
        <v>26.5</v>
      </c>
      <c r="DA152" s="251"/>
      <c r="DB152" s="266"/>
      <c r="DM152" s="251"/>
      <c r="DN152" s="266"/>
      <c r="DY152" s="251"/>
      <c r="DZ152" s="266"/>
      <c r="EK152" s="251"/>
      <c r="EL152" s="266"/>
      <c r="EW152" s="251"/>
      <c r="EX152" s="267"/>
      <c r="EY152" s="267"/>
      <c r="EZ152" s="267"/>
      <c r="FA152" s="267"/>
      <c r="FB152" s="269"/>
      <c r="FC152" s="265" t="s">
        <v>195</v>
      </c>
      <c r="FD152" s="270" t="s">
        <v>596</v>
      </c>
      <c r="FF152" s="199" t="s">
        <v>197</v>
      </c>
      <c r="FH152" s="206">
        <f t="shared" si="20"/>
        <v>0</v>
      </c>
      <c r="FI152" s="198">
        <f t="shared" si="21"/>
        <v>1</v>
      </c>
      <c r="FJ152"/>
      <c r="FK152" t="str">
        <f t="shared" si="22"/>
        <v>IBITU COMERCIALIZADORA DE ENERGIA LTDA</v>
      </c>
      <c r="FL152" s="191">
        <f t="shared" ca="1" si="23"/>
        <v>59148</v>
      </c>
      <c r="FM152" s="191">
        <f t="shared" ca="1" si="24"/>
        <v>0</v>
      </c>
      <c r="FN152" s="190">
        <f>AB152*AB$2*IF($FC152="V",1,-1)*IF($Q152="Fixo",(CP152-INDEX('Curva Forward'!$C$5:$AN$13,MATCH(CONCATENATE(BD_COMERCIAL!$K152," ",BD_COMERCIAL!$L152),'Curva Forward'!$B$5:$B$13,0),MATCH(FN$4,'Curva Forward'!$C$4:$AN$4,0))),CP152)</f>
        <v>59148</v>
      </c>
      <c r="FO152" s="190">
        <f>AC152*AC$2*IF($FC152="V",1,-1)*IF($Q152="Fixo",(CQ152-INDEX('Curva Forward'!$C$5:$AN$13,MATCH(CONCATENATE(BD_COMERCIAL!$K152," ",BD_COMERCIAL!$L152),'Curva Forward'!$B$5:$B$13,0),MATCH(FO$4,'Curva Forward'!$C$4:$AN$4,0))),CQ152)</f>
        <v>0</v>
      </c>
      <c r="FP152" s="190">
        <f>AD152*AD$2*IF($FC152="V",1,-1)*IF($Q152="Fixo",(CR152-INDEX('Curva Forward'!$C$5:$AN$13,MATCH(CONCATENATE(BD_COMERCIAL!$K152," ",BD_COMERCIAL!$L152),'Curva Forward'!$B$5:$B$13,0),MATCH(FP$4,'Curva Forward'!$C$4:$AN$4,0))),CR152)</f>
        <v>0</v>
      </c>
      <c r="FQ152" s="190">
        <f>AE152*AE$2*IF($FC152="V",1,-1)*IF($Q152="Fixo",(CS152-INDEX('Curva Forward'!$C$5:$AN$13,MATCH(CONCATENATE(BD_COMERCIAL!$K152," ",BD_COMERCIAL!$L152),'Curva Forward'!$B$5:$B$13,0),MATCH(FQ$4,'Curva Forward'!$C$4:$AN$4,0))),CS152)</f>
        <v>0</v>
      </c>
      <c r="FR152" s="190">
        <f>AF152*AF$2*IF($FC152="V",1,-1)*IF($Q152="Fixo",(CT152-INDEX('Curva Forward'!$C$5:$AN$13,MATCH(CONCATENATE(BD_COMERCIAL!$K152," ",BD_COMERCIAL!$L152),'Curva Forward'!$B$5:$B$13,0),MATCH(FR$4,'Curva Forward'!$C$4:$AN$4,0))),CT152)</f>
        <v>0</v>
      </c>
      <c r="FS152" s="190">
        <f>AG152*AG$2*IF($FC152="V",1,-1)*IF($Q152="Fixo",(CU152-INDEX('Curva Forward'!$C$5:$AN$13,MATCH(CONCATENATE(BD_COMERCIAL!$K152," ",BD_COMERCIAL!$L152),'Curva Forward'!$B$5:$B$13,0),MATCH(FS$4,'Curva Forward'!$C$4:$AN$4,0))),CU152)</f>
        <v>0</v>
      </c>
      <c r="FT152" s="190">
        <f>AH152*AH$2*IF($FC152="V",1,-1)*IF($Q152="Fixo",(CV152-INDEX('Curva Forward'!$C$5:$AN$13,MATCH(CONCATENATE(BD_COMERCIAL!$K152," ",BD_COMERCIAL!$L152),'Curva Forward'!$B$5:$B$13,0),MATCH(FT$4,'Curva Forward'!$C$4:$AN$4,0))),CV152)</f>
        <v>0</v>
      </c>
      <c r="FU152" s="190">
        <f>AI152*AI$2*IF($FC152="V",1,-1)*IF($Q152="Fixo",(CW152-INDEX('Curva Forward'!$C$5:$AN$13,MATCH(CONCATENATE(BD_COMERCIAL!$K152," ",BD_COMERCIAL!$L152),'Curva Forward'!$B$5:$B$13,0),MATCH(FU$4,'Curva Forward'!$C$4:$AN$4,0))),CW152)</f>
        <v>0</v>
      </c>
      <c r="FV152" s="190">
        <f>AJ152*AJ$2*IF($FC152="V",1,-1)*IF($Q152="Fixo",(CX152-INDEX('Curva Forward'!$C$5:$AN$13,MATCH(CONCATENATE(BD_COMERCIAL!$K152," ",BD_COMERCIAL!$L152),'Curva Forward'!$B$5:$B$13,0),MATCH(FV$4,'Curva Forward'!$C$4:$AN$4,0))),CX152)</f>
        <v>0</v>
      </c>
      <c r="FW152" s="190">
        <f>AK152*AK$2*IF($FC152="V",1,-1)*IF($Q152="Fixo",(CY152-INDEX('Curva Forward'!$C$5:$AN$13,MATCH(CONCATENATE(BD_COMERCIAL!$K152," ",BD_COMERCIAL!$L152),'Curva Forward'!$B$5:$B$13,0),MATCH(FW$4,'Curva Forward'!$C$4:$AN$4,0))),CY152)</f>
        <v>0</v>
      </c>
      <c r="FX152" s="190">
        <f>AL152*AL$2*IF($FC152="V",1,-1)*IF($Q152="Fixo",(CZ152-INDEX('Curva Forward'!$C$5:$AN$13,MATCH(CONCATENATE(BD_COMERCIAL!$K152," ",BD_COMERCIAL!$L152),'Curva Forward'!$B$5:$B$13,0),MATCH(FX$4,'Curva Forward'!$C$4:$AN$4,0))),CZ152)</f>
        <v>0</v>
      </c>
      <c r="FY152" s="190">
        <f>AM152*AM$2*IF($FC152="V",1,-1)*IF($Q152="Fixo",(DA152-INDEX('Curva Forward'!$C$5:$AN$13,MATCH(CONCATENATE(BD_COMERCIAL!$K152," ",BD_COMERCIAL!$L152),'Curva Forward'!$B$5:$B$13,0),MATCH(FY$4,'Curva Forward'!$C$4:$AN$4,0))),DA152)</f>
        <v>0</v>
      </c>
      <c r="FZ152" s="190">
        <f>AN152*AN$2*IF($FC152="V",1,-1)*IF($Q152="Fixo",(DB152-INDEX('Curva Forward'!$C$5:$AN$13,MATCH(CONCATENATE(BD_COMERCIAL!$K152," ",BD_COMERCIAL!$L152),'Curva Forward'!$B$5:$B$13,0),MATCH(FZ$4,'Curva Forward'!$C$4:$AN$4,0))),DB152)</f>
        <v>0</v>
      </c>
      <c r="GA152" s="190">
        <f>AO152*AO$2*IF($FC152="V",1,-1)*IF($Q152="Fixo",(DC152-INDEX('Curva Forward'!$C$5:$AN$13,MATCH(CONCATENATE(BD_COMERCIAL!$K152," ",BD_COMERCIAL!$L152),'Curva Forward'!$B$5:$B$13,0),MATCH(GA$4,'Curva Forward'!$C$4:$AN$4,0))),DC152)</f>
        <v>0</v>
      </c>
      <c r="GB152" s="190">
        <f>AP152*AP$2*IF($FC152="V",1,-1)*IF($Q152="Fixo",(DD152-INDEX('Curva Forward'!$C$5:$AN$13,MATCH(CONCATENATE(BD_COMERCIAL!$K152," ",BD_COMERCIAL!$L152),'Curva Forward'!$B$5:$B$13,0),MATCH(GB$4,'Curva Forward'!$C$4:$AN$4,0))),DD152)</f>
        <v>0</v>
      </c>
      <c r="GC152" s="190">
        <f>AQ152*AQ$2*IF($FC152="V",1,-1)*IF($Q152="Fixo",(DE152-INDEX('Curva Forward'!$C$5:$AN$13,MATCH(CONCATENATE(BD_COMERCIAL!$K152," ",BD_COMERCIAL!$L152),'Curva Forward'!$B$5:$B$13,0),MATCH(GC$4,'Curva Forward'!$C$4:$AN$4,0))),DE152)</f>
        <v>0</v>
      </c>
      <c r="GD152" s="190">
        <f>AR152*AR$2*IF($FC152="V",1,-1)*IF($Q152="Fixo",(DF152-INDEX('Curva Forward'!$C$5:$AN$13,MATCH(CONCATENATE(BD_COMERCIAL!$K152," ",BD_COMERCIAL!$L152),'Curva Forward'!$B$5:$B$13,0),MATCH(GD$4,'Curva Forward'!$C$4:$AN$4,0))),DF152)</f>
        <v>0</v>
      </c>
      <c r="GE152" s="190">
        <f>AS152*AS$2*IF($FC152="V",1,-1)*IF($Q152="Fixo",(DG152-INDEX('Curva Forward'!$C$5:$AN$13,MATCH(CONCATENATE(BD_COMERCIAL!$K152," ",BD_COMERCIAL!$L152),'Curva Forward'!$B$5:$B$13,0),MATCH(GE$4,'Curva Forward'!$C$4:$AN$4,0))),DG152)</f>
        <v>0</v>
      </c>
      <c r="GF152" s="190">
        <f>AT152*AT$2*IF($FC152="V",1,-1)*IF($Q152="Fixo",(DH152-INDEX('Curva Forward'!$C$5:$AN$13,MATCH(CONCATENATE(BD_COMERCIAL!$K152," ",BD_COMERCIAL!$L152),'Curva Forward'!$B$5:$B$13,0),MATCH(GF$4,'Curva Forward'!$C$4:$AN$4,0))),DH152)</f>
        <v>0</v>
      </c>
      <c r="GG152" s="190">
        <f>AU152*AU$2*IF($FC152="V",1,-1)*IF($Q152="Fixo",(DI152-INDEX('Curva Forward'!$C$5:$AN$13,MATCH(CONCATENATE(BD_COMERCIAL!$K152," ",BD_COMERCIAL!$L152),'Curva Forward'!$B$5:$B$13,0),MATCH(GG$4,'Curva Forward'!$C$4:$AN$4,0))),DI152)</f>
        <v>0</v>
      </c>
      <c r="GH152" s="190">
        <f>AV152*AV$2*IF($FC152="V",1,-1)*IF($Q152="Fixo",(DJ152-INDEX('Curva Forward'!$C$5:$AN$13,MATCH(CONCATENATE(BD_COMERCIAL!$K152," ",BD_COMERCIAL!$L152),'Curva Forward'!$B$5:$B$13,0),MATCH(GH$4,'Curva Forward'!$C$4:$AN$4,0))),DJ152)</f>
        <v>0</v>
      </c>
      <c r="GI152" s="190">
        <f>AW152*AW$2*IF($FC152="V",1,-1)*IF($Q152="Fixo",(DK152-INDEX('Curva Forward'!$C$5:$AN$13,MATCH(CONCATENATE(BD_COMERCIAL!$K152," ",BD_COMERCIAL!$L152),'Curva Forward'!$B$5:$B$13,0),MATCH(GI$4,'Curva Forward'!$C$4:$AN$4,0))),DK152)</f>
        <v>0</v>
      </c>
      <c r="GJ152" s="190">
        <f>AX152*AX$2*IF($FC152="V",1,-1)*IF($Q152="Fixo",(DL152-INDEX('Curva Forward'!$C$5:$AN$13,MATCH(CONCATENATE(BD_COMERCIAL!$K152," ",BD_COMERCIAL!$L152),'Curva Forward'!$B$5:$B$13,0),MATCH(GJ$4,'Curva Forward'!$C$4:$AN$4,0))),DL152)</f>
        <v>0</v>
      </c>
      <c r="GK152" s="190">
        <f>AY152*AY$2*IF($FC152="V",1,-1)*IF($Q152="Fixo",(DM152-INDEX('Curva Forward'!$C$5:$AN$13,MATCH(CONCATENATE(BD_COMERCIAL!$K152," ",BD_COMERCIAL!$L152),'Curva Forward'!$B$5:$B$13,0),MATCH(GK$4,'Curva Forward'!$C$4:$AN$4,0))),DM152)</f>
        <v>0</v>
      </c>
      <c r="GL152" s="190">
        <f>IF(EZ152="",0,CL152*CL$2*IF($FC152="V",1,-1)*IF($Q152="Fixo",(EZ152-INDEX('Curva Forward'!$C$5:$AN$13,MATCH(CONCATENATE(BD_COMERCIAL!$K152," ",BD_COMERCIAL!$L152),'Curva Forward'!$B$5:$B$13,0),MATCH(GL$4,'Curva Forward'!$C$4:$AN$4,0))),EZ152))</f>
        <v>0</v>
      </c>
      <c r="GM152" s="190">
        <f>IF(FA152="",0,CM152*CM$2*IF($FC152="V",1,-1)*IF($Q152="Fixo",(FA152-INDEX('Curva Forward'!$C$5:$AN$13,MATCH(CONCATENATE(BD_COMERCIAL!$K152," ",BD_COMERCIAL!$L152),'Curva Forward'!$B$5:$B$13,0),MATCH(GM$4,'Curva Forward'!$C$4:$AN$4,0))),FA152))</f>
        <v>0</v>
      </c>
      <c r="GN152" s="190">
        <f>IF(FB152="",0,CN152*CN$2*IF($FC152="V",1,-1)*IF($Q152="Fixo",(FB152-INDEX('Curva Forward'!$C$5:$AN$13,MATCH(CONCATENATE(BD_COMERCIAL!$K152," ",BD_COMERCIAL!$L152),'Curva Forward'!$B$5:$B$13,0),MATCH(GN$4,'Curva Forward'!$C$4:$AN$4,0))),FB152))</f>
        <v>0</v>
      </c>
      <c r="GO152" s="191">
        <f t="shared" ca="1" si="25"/>
        <v>0</v>
      </c>
      <c r="GP152" s="191">
        <f t="shared" ca="1" si="26"/>
        <v>0</v>
      </c>
      <c r="GQ152" s="115"/>
      <c r="GR152" s="115"/>
      <c r="GS152"/>
      <c r="GT152" s="65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</row>
    <row r="153" spans="1:236" s="265" customFormat="1" ht="15" customHeight="1" x14ac:dyDescent="0.35">
      <c r="A153" s="251"/>
      <c r="B153" s="275" t="s">
        <v>598</v>
      </c>
      <c r="C153" s="253">
        <v>44956</v>
      </c>
      <c r="D153" s="254" t="s">
        <v>123</v>
      </c>
      <c r="E153" s="254" t="s">
        <v>381</v>
      </c>
      <c r="F153" s="255" t="s">
        <v>348</v>
      </c>
      <c r="G153" s="256" t="s">
        <v>342</v>
      </c>
      <c r="H153" s="255" t="s">
        <v>361</v>
      </c>
      <c r="I153" s="254" t="s">
        <v>596</v>
      </c>
      <c r="J153" s="257" t="s">
        <v>595</v>
      </c>
      <c r="K153" s="256" t="s">
        <v>30</v>
      </c>
      <c r="L153" s="252" t="s">
        <v>22</v>
      </c>
      <c r="M153" s="258">
        <v>44927</v>
      </c>
      <c r="N153" s="259">
        <v>44957</v>
      </c>
      <c r="O153" s="256">
        <v>5</v>
      </c>
      <c r="P153" s="252">
        <v>26.5</v>
      </c>
      <c r="Q153" s="252" t="s">
        <v>594</v>
      </c>
      <c r="R153" s="256" t="s">
        <v>128</v>
      </c>
      <c r="S153" s="260" t="s">
        <v>133</v>
      </c>
      <c r="T153" s="258"/>
      <c r="U153" s="259"/>
      <c r="V153" s="261"/>
      <c r="W153" s="252"/>
      <c r="X153" s="262" t="s">
        <v>132</v>
      </c>
      <c r="Y153" s="257"/>
      <c r="Z153" s="263"/>
      <c r="AA153" s="264"/>
      <c r="AB153" s="266">
        <v>5</v>
      </c>
      <c r="AM153" s="251"/>
      <c r="AN153" s="266"/>
      <c r="AY153" s="251"/>
      <c r="AZ153" s="266"/>
      <c r="BK153" s="251"/>
      <c r="BL153" s="266"/>
      <c r="BW153" s="251"/>
      <c r="BX153" s="266"/>
      <c r="CI153" s="251"/>
      <c r="CJ153" s="267"/>
      <c r="CK153" s="267"/>
      <c r="CL153" s="267"/>
      <c r="CM153" s="267"/>
      <c r="CN153" s="267"/>
      <c r="CO153" s="268"/>
      <c r="CP153" s="266">
        <v>26.5</v>
      </c>
      <c r="DA153" s="251"/>
      <c r="DB153" s="266"/>
      <c r="DM153" s="251"/>
      <c r="DN153" s="266"/>
      <c r="DY153" s="251"/>
      <c r="DZ153" s="266"/>
      <c r="EK153" s="251"/>
      <c r="EL153" s="266"/>
      <c r="EW153" s="251"/>
      <c r="EX153" s="267"/>
      <c r="EY153" s="267"/>
      <c r="EZ153" s="267"/>
      <c r="FA153" s="267"/>
      <c r="FB153" s="269"/>
      <c r="FC153" s="265" t="s">
        <v>195</v>
      </c>
      <c r="FD153" s="270" t="s">
        <v>596</v>
      </c>
      <c r="FF153" s="199" t="s">
        <v>197</v>
      </c>
      <c r="FH153" s="206">
        <f t="shared" si="20"/>
        <v>0</v>
      </c>
      <c r="FI153" s="198">
        <f t="shared" si="21"/>
        <v>1</v>
      </c>
      <c r="FJ153"/>
      <c r="FK153" t="str">
        <f t="shared" si="22"/>
        <v>GENCO ENERGIA LTDA</v>
      </c>
      <c r="FL153" s="191">
        <f t="shared" ca="1" si="23"/>
        <v>98580</v>
      </c>
      <c r="FM153" s="191">
        <f t="shared" ca="1" si="24"/>
        <v>0</v>
      </c>
      <c r="FN153" s="190">
        <f>AB153*AB$2*IF($FC153="V",1,-1)*IF($Q153="Fixo",(CP153-INDEX('Curva Forward'!$C$5:$AN$13,MATCH(CONCATENATE(BD_COMERCIAL!$K153," ",BD_COMERCIAL!$L153),'Curva Forward'!$B$5:$B$13,0),MATCH(FN$4,'Curva Forward'!$C$4:$AN$4,0))),CP153)</f>
        <v>98580</v>
      </c>
      <c r="FO153" s="190">
        <f>AC153*AC$2*IF($FC153="V",1,-1)*IF($Q153="Fixo",(CQ153-INDEX('Curva Forward'!$C$5:$AN$13,MATCH(CONCATENATE(BD_COMERCIAL!$K153," ",BD_COMERCIAL!$L153),'Curva Forward'!$B$5:$B$13,0),MATCH(FO$4,'Curva Forward'!$C$4:$AN$4,0))),CQ153)</f>
        <v>0</v>
      </c>
      <c r="FP153" s="190">
        <f>AD153*AD$2*IF($FC153="V",1,-1)*IF($Q153="Fixo",(CR153-INDEX('Curva Forward'!$C$5:$AN$13,MATCH(CONCATENATE(BD_COMERCIAL!$K153," ",BD_COMERCIAL!$L153),'Curva Forward'!$B$5:$B$13,0),MATCH(FP$4,'Curva Forward'!$C$4:$AN$4,0))),CR153)</f>
        <v>0</v>
      </c>
      <c r="FQ153" s="190">
        <f>AE153*AE$2*IF($FC153="V",1,-1)*IF($Q153="Fixo",(CS153-INDEX('Curva Forward'!$C$5:$AN$13,MATCH(CONCATENATE(BD_COMERCIAL!$K153," ",BD_COMERCIAL!$L153),'Curva Forward'!$B$5:$B$13,0),MATCH(FQ$4,'Curva Forward'!$C$4:$AN$4,0))),CS153)</f>
        <v>0</v>
      </c>
      <c r="FR153" s="190">
        <f>AF153*AF$2*IF($FC153="V",1,-1)*IF($Q153="Fixo",(CT153-INDEX('Curva Forward'!$C$5:$AN$13,MATCH(CONCATENATE(BD_COMERCIAL!$K153," ",BD_COMERCIAL!$L153),'Curva Forward'!$B$5:$B$13,0),MATCH(FR$4,'Curva Forward'!$C$4:$AN$4,0))),CT153)</f>
        <v>0</v>
      </c>
      <c r="FS153" s="190">
        <f>AG153*AG$2*IF($FC153="V",1,-1)*IF($Q153="Fixo",(CU153-INDEX('Curva Forward'!$C$5:$AN$13,MATCH(CONCATENATE(BD_COMERCIAL!$K153," ",BD_COMERCIAL!$L153),'Curva Forward'!$B$5:$B$13,0),MATCH(FS$4,'Curva Forward'!$C$4:$AN$4,0))),CU153)</f>
        <v>0</v>
      </c>
      <c r="FT153" s="190">
        <f>AH153*AH$2*IF($FC153="V",1,-1)*IF($Q153="Fixo",(CV153-INDEX('Curva Forward'!$C$5:$AN$13,MATCH(CONCATENATE(BD_COMERCIAL!$K153," ",BD_COMERCIAL!$L153),'Curva Forward'!$B$5:$B$13,0),MATCH(FT$4,'Curva Forward'!$C$4:$AN$4,0))),CV153)</f>
        <v>0</v>
      </c>
      <c r="FU153" s="190">
        <f>AI153*AI$2*IF($FC153="V",1,-1)*IF($Q153="Fixo",(CW153-INDEX('Curva Forward'!$C$5:$AN$13,MATCH(CONCATENATE(BD_COMERCIAL!$K153," ",BD_COMERCIAL!$L153),'Curva Forward'!$B$5:$B$13,0),MATCH(FU$4,'Curva Forward'!$C$4:$AN$4,0))),CW153)</f>
        <v>0</v>
      </c>
      <c r="FV153" s="190">
        <f>AJ153*AJ$2*IF($FC153="V",1,-1)*IF($Q153="Fixo",(CX153-INDEX('Curva Forward'!$C$5:$AN$13,MATCH(CONCATENATE(BD_COMERCIAL!$K153," ",BD_COMERCIAL!$L153),'Curva Forward'!$B$5:$B$13,0),MATCH(FV$4,'Curva Forward'!$C$4:$AN$4,0))),CX153)</f>
        <v>0</v>
      </c>
      <c r="FW153" s="190">
        <f>AK153*AK$2*IF($FC153="V",1,-1)*IF($Q153="Fixo",(CY153-INDEX('Curva Forward'!$C$5:$AN$13,MATCH(CONCATENATE(BD_COMERCIAL!$K153," ",BD_COMERCIAL!$L153),'Curva Forward'!$B$5:$B$13,0),MATCH(FW$4,'Curva Forward'!$C$4:$AN$4,0))),CY153)</f>
        <v>0</v>
      </c>
      <c r="FX153" s="190">
        <f>AL153*AL$2*IF($FC153="V",1,-1)*IF($Q153="Fixo",(CZ153-INDEX('Curva Forward'!$C$5:$AN$13,MATCH(CONCATENATE(BD_COMERCIAL!$K153," ",BD_COMERCIAL!$L153),'Curva Forward'!$B$5:$B$13,0),MATCH(FX$4,'Curva Forward'!$C$4:$AN$4,0))),CZ153)</f>
        <v>0</v>
      </c>
      <c r="FY153" s="190">
        <f>AM153*AM$2*IF($FC153="V",1,-1)*IF($Q153="Fixo",(DA153-INDEX('Curva Forward'!$C$5:$AN$13,MATCH(CONCATENATE(BD_COMERCIAL!$K153," ",BD_COMERCIAL!$L153),'Curva Forward'!$B$5:$B$13,0),MATCH(FY$4,'Curva Forward'!$C$4:$AN$4,0))),DA153)</f>
        <v>0</v>
      </c>
      <c r="FZ153" s="190">
        <f>AN153*AN$2*IF($FC153="V",1,-1)*IF($Q153="Fixo",(DB153-INDEX('Curva Forward'!$C$5:$AN$13,MATCH(CONCATENATE(BD_COMERCIAL!$K153," ",BD_COMERCIAL!$L153),'Curva Forward'!$B$5:$B$13,0),MATCH(FZ$4,'Curva Forward'!$C$4:$AN$4,0))),DB153)</f>
        <v>0</v>
      </c>
      <c r="GA153" s="190">
        <f>AO153*AO$2*IF($FC153="V",1,-1)*IF($Q153="Fixo",(DC153-INDEX('Curva Forward'!$C$5:$AN$13,MATCH(CONCATENATE(BD_COMERCIAL!$K153," ",BD_COMERCIAL!$L153),'Curva Forward'!$B$5:$B$13,0),MATCH(GA$4,'Curva Forward'!$C$4:$AN$4,0))),DC153)</f>
        <v>0</v>
      </c>
      <c r="GB153" s="190">
        <f>AP153*AP$2*IF($FC153="V",1,-1)*IF($Q153="Fixo",(DD153-INDEX('Curva Forward'!$C$5:$AN$13,MATCH(CONCATENATE(BD_COMERCIAL!$K153," ",BD_COMERCIAL!$L153),'Curva Forward'!$B$5:$B$13,0),MATCH(GB$4,'Curva Forward'!$C$4:$AN$4,0))),DD153)</f>
        <v>0</v>
      </c>
      <c r="GC153" s="190">
        <f>AQ153*AQ$2*IF($FC153="V",1,-1)*IF($Q153="Fixo",(DE153-INDEX('Curva Forward'!$C$5:$AN$13,MATCH(CONCATENATE(BD_COMERCIAL!$K153," ",BD_COMERCIAL!$L153),'Curva Forward'!$B$5:$B$13,0),MATCH(GC$4,'Curva Forward'!$C$4:$AN$4,0))),DE153)</f>
        <v>0</v>
      </c>
      <c r="GD153" s="190">
        <f>AR153*AR$2*IF($FC153="V",1,-1)*IF($Q153="Fixo",(DF153-INDEX('Curva Forward'!$C$5:$AN$13,MATCH(CONCATENATE(BD_COMERCIAL!$K153," ",BD_COMERCIAL!$L153),'Curva Forward'!$B$5:$B$13,0),MATCH(GD$4,'Curva Forward'!$C$4:$AN$4,0))),DF153)</f>
        <v>0</v>
      </c>
      <c r="GE153" s="190">
        <f>AS153*AS$2*IF($FC153="V",1,-1)*IF($Q153="Fixo",(DG153-INDEX('Curva Forward'!$C$5:$AN$13,MATCH(CONCATENATE(BD_COMERCIAL!$K153," ",BD_COMERCIAL!$L153),'Curva Forward'!$B$5:$B$13,0),MATCH(GE$4,'Curva Forward'!$C$4:$AN$4,0))),DG153)</f>
        <v>0</v>
      </c>
      <c r="GF153" s="190">
        <f>AT153*AT$2*IF($FC153="V",1,-1)*IF($Q153="Fixo",(DH153-INDEX('Curva Forward'!$C$5:$AN$13,MATCH(CONCATENATE(BD_COMERCIAL!$K153," ",BD_COMERCIAL!$L153),'Curva Forward'!$B$5:$B$13,0),MATCH(GF$4,'Curva Forward'!$C$4:$AN$4,0))),DH153)</f>
        <v>0</v>
      </c>
      <c r="GG153" s="190">
        <f>AU153*AU$2*IF($FC153="V",1,-1)*IF($Q153="Fixo",(DI153-INDEX('Curva Forward'!$C$5:$AN$13,MATCH(CONCATENATE(BD_COMERCIAL!$K153," ",BD_COMERCIAL!$L153),'Curva Forward'!$B$5:$B$13,0),MATCH(GG$4,'Curva Forward'!$C$4:$AN$4,0))),DI153)</f>
        <v>0</v>
      </c>
      <c r="GH153" s="190">
        <f>AV153*AV$2*IF($FC153="V",1,-1)*IF($Q153="Fixo",(DJ153-INDEX('Curva Forward'!$C$5:$AN$13,MATCH(CONCATENATE(BD_COMERCIAL!$K153," ",BD_COMERCIAL!$L153),'Curva Forward'!$B$5:$B$13,0),MATCH(GH$4,'Curva Forward'!$C$4:$AN$4,0))),DJ153)</f>
        <v>0</v>
      </c>
      <c r="GI153" s="190">
        <f>AW153*AW$2*IF($FC153="V",1,-1)*IF($Q153="Fixo",(DK153-INDEX('Curva Forward'!$C$5:$AN$13,MATCH(CONCATENATE(BD_COMERCIAL!$K153," ",BD_COMERCIAL!$L153),'Curva Forward'!$B$5:$B$13,0),MATCH(GI$4,'Curva Forward'!$C$4:$AN$4,0))),DK153)</f>
        <v>0</v>
      </c>
      <c r="GJ153" s="190">
        <f>AX153*AX$2*IF($FC153="V",1,-1)*IF($Q153="Fixo",(DL153-INDEX('Curva Forward'!$C$5:$AN$13,MATCH(CONCATENATE(BD_COMERCIAL!$K153," ",BD_COMERCIAL!$L153),'Curva Forward'!$B$5:$B$13,0),MATCH(GJ$4,'Curva Forward'!$C$4:$AN$4,0))),DL153)</f>
        <v>0</v>
      </c>
      <c r="GK153" s="190">
        <f>AY153*AY$2*IF($FC153="V",1,-1)*IF($Q153="Fixo",(DM153-INDEX('Curva Forward'!$C$5:$AN$13,MATCH(CONCATENATE(BD_COMERCIAL!$K153," ",BD_COMERCIAL!$L153),'Curva Forward'!$B$5:$B$13,0),MATCH(GK$4,'Curva Forward'!$C$4:$AN$4,0))),DM153)</f>
        <v>0</v>
      </c>
      <c r="GL153" s="190">
        <f>IF(EZ153="",0,CL153*CL$2*IF($FC153="V",1,-1)*IF($Q153="Fixo",(EZ153-INDEX('Curva Forward'!$C$5:$AN$13,MATCH(CONCATENATE(BD_COMERCIAL!$K153," ",BD_COMERCIAL!$L153),'Curva Forward'!$B$5:$B$13,0),MATCH(GL$4,'Curva Forward'!$C$4:$AN$4,0))),EZ153))</f>
        <v>0</v>
      </c>
      <c r="GM153" s="190">
        <f>IF(FA153="",0,CM153*CM$2*IF($FC153="V",1,-1)*IF($Q153="Fixo",(FA153-INDEX('Curva Forward'!$C$5:$AN$13,MATCH(CONCATENATE(BD_COMERCIAL!$K153," ",BD_COMERCIAL!$L153),'Curva Forward'!$B$5:$B$13,0),MATCH(GM$4,'Curva Forward'!$C$4:$AN$4,0))),FA153))</f>
        <v>0</v>
      </c>
      <c r="GN153" s="190">
        <f>IF(FB153="",0,CN153*CN$2*IF($FC153="V",1,-1)*IF($Q153="Fixo",(FB153-INDEX('Curva Forward'!$C$5:$AN$13,MATCH(CONCATENATE(BD_COMERCIAL!$K153," ",BD_COMERCIAL!$L153),'Curva Forward'!$B$5:$B$13,0),MATCH(GN$4,'Curva Forward'!$C$4:$AN$4,0))),FB153))</f>
        <v>0</v>
      </c>
      <c r="GO153" s="191">
        <f t="shared" ca="1" si="25"/>
        <v>0</v>
      </c>
      <c r="GP153" s="191">
        <f t="shared" ca="1" si="26"/>
        <v>0</v>
      </c>
      <c r="GQ153" s="115"/>
      <c r="GR153" s="115"/>
      <c r="GS153"/>
      <c r="GT153" s="65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</row>
    <row r="154" spans="1:236" s="265" customFormat="1" ht="15" customHeight="1" x14ac:dyDescent="0.35">
      <c r="A154" s="251"/>
      <c r="B154" s="275" t="s">
        <v>603</v>
      </c>
      <c r="C154" s="253">
        <v>44957</v>
      </c>
      <c r="D154" s="254" t="s">
        <v>123</v>
      </c>
      <c r="E154" s="254" t="s">
        <v>381</v>
      </c>
      <c r="F154" s="255" t="s">
        <v>348</v>
      </c>
      <c r="G154" s="256" t="s">
        <v>359</v>
      </c>
      <c r="H154" s="255" t="s">
        <v>360</v>
      </c>
      <c r="I154" s="254" t="s">
        <v>596</v>
      </c>
      <c r="J154" s="257" t="s">
        <v>595</v>
      </c>
      <c r="K154" s="256" t="s">
        <v>30</v>
      </c>
      <c r="L154" s="252" t="s">
        <v>22</v>
      </c>
      <c r="M154" s="258">
        <v>44927</v>
      </c>
      <c r="N154" s="259">
        <v>44957</v>
      </c>
      <c r="O154" s="256">
        <v>7</v>
      </c>
      <c r="P154" s="252">
        <v>26</v>
      </c>
      <c r="Q154" s="252" t="s">
        <v>594</v>
      </c>
      <c r="R154" s="256" t="s">
        <v>128</v>
      </c>
      <c r="S154" s="260" t="s">
        <v>133</v>
      </c>
      <c r="T154" s="258"/>
      <c r="U154" s="259"/>
      <c r="V154" s="261"/>
      <c r="W154" s="252"/>
      <c r="X154" s="262" t="s">
        <v>132</v>
      </c>
      <c r="Y154" s="257"/>
      <c r="Z154" s="263"/>
      <c r="AA154" s="264"/>
      <c r="AB154" s="266">
        <v>7</v>
      </c>
      <c r="AM154" s="251"/>
      <c r="AN154" s="266"/>
      <c r="AY154" s="251"/>
      <c r="AZ154" s="266"/>
      <c r="BK154" s="251"/>
      <c r="BL154" s="266"/>
      <c r="BW154" s="251"/>
      <c r="BX154" s="266"/>
      <c r="CI154" s="251"/>
      <c r="CJ154" s="267"/>
      <c r="CK154" s="267"/>
      <c r="CL154" s="267"/>
      <c r="CM154" s="267"/>
      <c r="CN154" s="267"/>
      <c r="CO154" s="268"/>
      <c r="CP154" s="266">
        <v>26</v>
      </c>
      <c r="DA154" s="251"/>
      <c r="DB154" s="266"/>
      <c r="DM154" s="251"/>
      <c r="DN154" s="266"/>
      <c r="DY154" s="251"/>
      <c r="DZ154" s="266"/>
      <c r="EK154" s="251"/>
      <c r="EL154" s="266"/>
      <c r="EW154" s="251"/>
      <c r="EX154" s="267"/>
      <c r="EY154" s="267"/>
      <c r="EZ154" s="267"/>
      <c r="FA154" s="267"/>
      <c r="FB154" s="269"/>
      <c r="FC154" s="265" t="s">
        <v>195</v>
      </c>
      <c r="FD154" s="270" t="s">
        <v>596</v>
      </c>
      <c r="FF154" s="199" t="s">
        <v>197</v>
      </c>
      <c r="FH154" s="206">
        <f t="shared" si="20"/>
        <v>0</v>
      </c>
      <c r="FI154" s="198">
        <f t="shared" si="21"/>
        <v>1</v>
      </c>
      <c r="FJ154"/>
      <c r="FK154" t="str">
        <f t="shared" si="22"/>
        <v>Auren Comercializadora de Energia Ltda</v>
      </c>
      <c r="FL154" s="191">
        <f t="shared" ca="1" si="23"/>
        <v>135408</v>
      </c>
      <c r="FM154" s="191">
        <f t="shared" ca="1" si="24"/>
        <v>0</v>
      </c>
      <c r="FN154" s="190">
        <f>AB154*AB$2*IF($FC154="V",1,-1)*IF($Q154="Fixo",(CP154-INDEX('Curva Forward'!$C$5:$AN$13,MATCH(CONCATENATE(BD_COMERCIAL!$K154," ",BD_COMERCIAL!$L154),'Curva Forward'!$B$5:$B$13,0),MATCH(FN$4,'Curva Forward'!$C$4:$AN$4,0))),CP154)</f>
        <v>135408</v>
      </c>
      <c r="FO154" s="190">
        <f>AC154*AC$2*IF($FC154="V",1,-1)*IF($Q154="Fixo",(CQ154-INDEX('Curva Forward'!$C$5:$AN$13,MATCH(CONCATENATE(BD_COMERCIAL!$K154," ",BD_COMERCIAL!$L154),'Curva Forward'!$B$5:$B$13,0),MATCH(FO$4,'Curva Forward'!$C$4:$AN$4,0))),CQ154)</f>
        <v>0</v>
      </c>
      <c r="FP154" s="190">
        <f>AD154*AD$2*IF($FC154="V",1,-1)*IF($Q154="Fixo",(CR154-INDEX('Curva Forward'!$C$5:$AN$13,MATCH(CONCATENATE(BD_COMERCIAL!$K154," ",BD_COMERCIAL!$L154),'Curva Forward'!$B$5:$B$13,0),MATCH(FP$4,'Curva Forward'!$C$4:$AN$4,0))),CR154)</f>
        <v>0</v>
      </c>
      <c r="FQ154" s="190">
        <f>AE154*AE$2*IF($FC154="V",1,-1)*IF($Q154="Fixo",(CS154-INDEX('Curva Forward'!$C$5:$AN$13,MATCH(CONCATENATE(BD_COMERCIAL!$K154," ",BD_COMERCIAL!$L154),'Curva Forward'!$B$5:$B$13,0),MATCH(FQ$4,'Curva Forward'!$C$4:$AN$4,0))),CS154)</f>
        <v>0</v>
      </c>
      <c r="FR154" s="190">
        <f>AF154*AF$2*IF($FC154="V",1,-1)*IF($Q154="Fixo",(CT154-INDEX('Curva Forward'!$C$5:$AN$13,MATCH(CONCATENATE(BD_COMERCIAL!$K154," ",BD_COMERCIAL!$L154),'Curva Forward'!$B$5:$B$13,0),MATCH(FR$4,'Curva Forward'!$C$4:$AN$4,0))),CT154)</f>
        <v>0</v>
      </c>
      <c r="FS154" s="190">
        <f>AG154*AG$2*IF($FC154="V",1,-1)*IF($Q154="Fixo",(CU154-INDEX('Curva Forward'!$C$5:$AN$13,MATCH(CONCATENATE(BD_COMERCIAL!$K154," ",BD_COMERCIAL!$L154),'Curva Forward'!$B$5:$B$13,0),MATCH(FS$4,'Curva Forward'!$C$4:$AN$4,0))),CU154)</f>
        <v>0</v>
      </c>
      <c r="FT154" s="190">
        <f>AH154*AH$2*IF($FC154="V",1,-1)*IF($Q154="Fixo",(CV154-INDEX('Curva Forward'!$C$5:$AN$13,MATCH(CONCATENATE(BD_COMERCIAL!$K154," ",BD_COMERCIAL!$L154),'Curva Forward'!$B$5:$B$13,0),MATCH(FT$4,'Curva Forward'!$C$4:$AN$4,0))),CV154)</f>
        <v>0</v>
      </c>
      <c r="FU154" s="190">
        <f>AI154*AI$2*IF($FC154="V",1,-1)*IF($Q154="Fixo",(CW154-INDEX('Curva Forward'!$C$5:$AN$13,MATCH(CONCATENATE(BD_COMERCIAL!$K154," ",BD_COMERCIAL!$L154),'Curva Forward'!$B$5:$B$13,0),MATCH(FU$4,'Curva Forward'!$C$4:$AN$4,0))),CW154)</f>
        <v>0</v>
      </c>
      <c r="FV154" s="190">
        <f>AJ154*AJ$2*IF($FC154="V",1,-1)*IF($Q154="Fixo",(CX154-INDEX('Curva Forward'!$C$5:$AN$13,MATCH(CONCATENATE(BD_COMERCIAL!$K154," ",BD_COMERCIAL!$L154),'Curva Forward'!$B$5:$B$13,0),MATCH(FV$4,'Curva Forward'!$C$4:$AN$4,0))),CX154)</f>
        <v>0</v>
      </c>
      <c r="FW154" s="190">
        <f>AK154*AK$2*IF($FC154="V",1,-1)*IF($Q154="Fixo",(CY154-INDEX('Curva Forward'!$C$5:$AN$13,MATCH(CONCATENATE(BD_COMERCIAL!$K154," ",BD_COMERCIAL!$L154),'Curva Forward'!$B$5:$B$13,0),MATCH(FW$4,'Curva Forward'!$C$4:$AN$4,0))),CY154)</f>
        <v>0</v>
      </c>
      <c r="FX154" s="190">
        <f>AL154*AL$2*IF($FC154="V",1,-1)*IF($Q154="Fixo",(CZ154-INDEX('Curva Forward'!$C$5:$AN$13,MATCH(CONCATENATE(BD_COMERCIAL!$K154," ",BD_COMERCIAL!$L154),'Curva Forward'!$B$5:$B$13,0),MATCH(FX$4,'Curva Forward'!$C$4:$AN$4,0))),CZ154)</f>
        <v>0</v>
      </c>
      <c r="FY154" s="190">
        <f>AM154*AM$2*IF($FC154="V",1,-1)*IF($Q154="Fixo",(DA154-INDEX('Curva Forward'!$C$5:$AN$13,MATCH(CONCATENATE(BD_COMERCIAL!$K154," ",BD_COMERCIAL!$L154),'Curva Forward'!$B$5:$B$13,0),MATCH(FY$4,'Curva Forward'!$C$4:$AN$4,0))),DA154)</f>
        <v>0</v>
      </c>
      <c r="FZ154" s="190">
        <f>AN154*AN$2*IF($FC154="V",1,-1)*IF($Q154="Fixo",(DB154-INDEX('Curva Forward'!$C$5:$AN$13,MATCH(CONCATENATE(BD_COMERCIAL!$K154," ",BD_COMERCIAL!$L154),'Curva Forward'!$B$5:$B$13,0),MATCH(FZ$4,'Curva Forward'!$C$4:$AN$4,0))),DB154)</f>
        <v>0</v>
      </c>
      <c r="GA154" s="190">
        <f>AO154*AO$2*IF($FC154="V",1,-1)*IF($Q154="Fixo",(DC154-INDEX('Curva Forward'!$C$5:$AN$13,MATCH(CONCATENATE(BD_COMERCIAL!$K154," ",BD_COMERCIAL!$L154),'Curva Forward'!$B$5:$B$13,0),MATCH(GA$4,'Curva Forward'!$C$4:$AN$4,0))),DC154)</f>
        <v>0</v>
      </c>
      <c r="GB154" s="190">
        <f>AP154*AP$2*IF($FC154="V",1,-1)*IF($Q154="Fixo",(DD154-INDEX('Curva Forward'!$C$5:$AN$13,MATCH(CONCATENATE(BD_COMERCIAL!$K154," ",BD_COMERCIAL!$L154),'Curva Forward'!$B$5:$B$13,0),MATCH(GB$4,'Curva Forward'!$C$4:$AN$4,0))),DD154)</f>
        <v>0</v>
      </c>
      <c r="GC154" s="190">
        <f>AQ154*AQ$2*IF($FC154="V",1,-1)*IF($Q154="Fixo",(DE154-INDEX('Curva Forward'!$C$5:$AN$13,MATCH(CONCATENATE(BD_COMERCIAL!$K154," ",BD_COMERCIAL!$L154),'Curva Forward'!$B$5:$B$13,0),MATCH(GC$4,'Curva Forward'!$C$4:$AN$4,0))),DE154)</f>
        <v>0</v>
      </c>
      <c r="GD154" s="190">
        <f>AR154*AR$2*IF($FC154="V",1,-1)*IF($Q154="Fixo",(DF154-INDEX('Curva Forward'!$C$5:$AN$13,MATCH(CONCATENATE(BD_COMERCIAL!$K154," ",BD_COMERCIAL!$L154),'Curva Forward'!$B$5:$B$13,0),MATCH(GD$4,'Curva Forward'!$C$4:$AN$4,0))),DF154)</f>
        <v>0</v>
      </c>
      <c r="GE154" s="190">
        <f>AS154*AS$2*IF($FC154="V",1,-1)*IF($Q154="Fixo",(DG154-INDEX('Curva Forward'!$C$5:$AN$13,MATCH(CONCATENATE(BD_COMERCIAL!$K154," ",BD_COMERCIAL!$L154),'Curva Forward'!$B$5:$B$13,0),MATCH(GE$4,'Curva Forward'!$C$4:$AN$4,0))),DG154)</f>
        <v>0</v>
      </c>
      <c r="GF154" s="190">
        <f>AT154*AT$2*IF($FC154="V",1,-1)*IF($Q154="Fixo",(DH154-INDEX('Curva Forward'!$C$5:$AN$13,MATCH(CONCATENATE(BD_COMERCIAL!$K154," ",BD_COMERCIAL!$L154),'Curva Forward'!$B$5:$B$13,0),MATCH(GF$4,'Curva Forward'!$C$4:$AN$4,0))),DH154)</f>
        <v>0</v>
      </c>
      <c r="GG154" s="190">
        <f>AU154*AU$2*IF($FC154="V",1,-1)*IF($Q154="Fixo",(DI154-INDEX('Curva Forward'!$C$5:$AN$13,MATCH(CONCATENATE(BD_COMERCIAL!$K154," ",BD_COMERCIAL!$L154),'Curva Forward'!$B$5:$B$13,0),MATCH(GG$4,'Curva Forward'!$C$4:$AN$4,0))),DI154)</f>
        <v>0</v>
      </c>
      <c r="GH154" s="190">
        <f>AV154*AV$2*IF($FC154="V",1,-1)*IF($Q154="Fixo",(DJ154-INDEX('Curva Forward'!$C$5:$AN$13,MATCH(CONCATENATE(BD_COMERCIAL!$K154," ",BD_COMERCIAL!$L154),'Curva Forward'!$B$5:$B$13,0),MATCH(GH$4,'Curva Forward'!$C$4:$AN$4,0))),DJ154)</f>
        <v>0</v>
      </c>
      <c r="GI154" s="190">
        <f>AW154*AW$2*IF($FC154="V",1,-1)*IF($Q154="Fixo",(DK154-INDEX('Curva Forward'!$C$5:$AN$13,MATCH(CONCATENATE(BD_COMERCIAL!$K154," ",BD_COMERCIAL!$L154),'Curva Forward'!$B$5:$B$13,0),MATCH(GI$4,'Curva Forward'!$C$4:$AN$4,0))),DK154)</f>
        <v>0</v>
      </c>
      <c r="GJ154" s="190">
        <f>AX154*AX$2*IF($FC154="V",1,-1)*IF($Q154="Fixo",(DL154-INDEX('Curva Forward'!$C$5:$AN$13,MATCH(CONCATENATE(BD_COMERCIAL!$K154," ",BD_COMERCIAL!$L154),'Curva Forward'!$B$5:$B$13,0),MATCH(GJ$4,'Curva Forward'!$C$4:$AN$4,0))),DL154)</f>
        <v>0</v>
      </c>
      <c r="GK154" s="190">
        <f>AY154*AY$2*IF($FC154="V",1,-1)*IF($Q154="Fixo",(DM154-INDEX('Curva Forward'!$C$5:$AN$13,MATCH(CONCATENATE(BD_COMERCIAL!$K154," ",BD_COMERCIAL!$L154),'Curva Forward'!$B$5:$B$13,0),MATCH(GK$4,'Curva Forward'!$C$4:$AN$4,0))),DM154)</f>
        <v>0</v>
      </c>
      <c r="GL154" s="190">
        <f>IF(EZ154="",0,CL154*CL$2*IF($FC154="V",1,-1)*IF($Q154="Fixo",(EZ154-INDEX('Curva Forward'!$C$5:$AN$13,MATCH(CONCATENATE(BD_COMERCIAL!$K154," ",BD_COMERCIAL!$L154),'Curva Forward'!$B$5:$B$13,0),MATCH(GL$4,'Curva Forward'!$C$4:$AN$4,0))),EZ154))</f>
        <v>0</v>
      </c>
      <c r="GM154" s="190">
        <f>IF(FA154="",0,CM154*CM$2*IF($FC154="V",1,-1)*IF($Q154="Fixo",(FA154-INDEX('Curva Forward'!$C$5:$AN$13,MATCH(CONCATENATE(BD_COMERCIAL!$K154," ",BD_COMERCIAL!$L154),'Curva Forward'!$B$5:$B$13,0),MATCH(GM$4,'Curva Forward'!$C$4:$AN$4,0))),FA154))</f>
        <v>0</v>
      </c>
      <c r="GN154" s="190">
        <f>IF(FB154="",0,CN154*CN$2*IF($FC154="V",1,-1)*IF($Q154="Fixo",(FB154-INDEX('Curva Forward'!$C$5:$AN$13,MATCH(CONCATENATE(BD_COMERCIAL!$K154," ",BD_COMERCIAL!$L154),'Curva Forward'!$B$5:$B$13,0),MATCH(GN$4,'Curva Forward'!$C$4:$AN$4,0))),FB154))</f>
        <v>0</v>
      </c>
      <c r="GO154" s="191">
        <f t="shared" ca="1" si="25"/>
        <v>0</v>
      </c>
      <c r="GP154" s="191">
        <f t="shared" ca="1" si="26"/>
        <v>0</v>
      </c>
      <c r="GQ154" s="115"/>
      <c r="GR154" s="115"/>
      <c r="GS154"/>
      <c r="GT154" s="65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</row>
    <row r="155" spans="1:236" s="265" customFormat="1" ht="15" customHeight="1" x14ac:dyDescent="0.35">
      <c r="A155" s="251"/>
      <c r="B155" s="275" t="s">
        <v>604</v>
      </c>
      <c r="C155" s="253">
        <v>44957</v>
      </c>
      <c r="D155" s="254" t="s">
        <v>123</v>
      </c>
      <c r="E155" s="254" t="s">
        <v>381</v>
      </c>
      <c r="F155" s="255" t="s">
        <v>348</v>
      </c>
      <c r="G155" s="256" t="s">
        <v>190</v>
      </c>
      <c r="H155" s="255" t="s">
        <v>444</v>
      </c>
      <c r="I155" s="254" t="s">
        <v>596</v>
      </c>
      <c r="J155" s="257" t="s">
        <v>595</v>
      </c>
      <c r="K155" s="256" t="s">
        <v>29</v>
      </c>
      <c r="L155" s="252" t="s">
        <v>22</v>
      </c>
      <c r="M155" s="258">
        <v>44927</v>
      </c>
      <c r="N155" s="259">
        <v>44957</v>
      </c>
      <c r="O155" s="256">
        <v>5.5</v>
      </c>
      <c r="P155" s="252">
        <v>158</v>
      </c>
      <c r="Q155" s="252" t="s">
        <v>594</v>
      </c>
      <c r="R155" s="256" t="s">
        <v>128</v>
      </c>
      <c r="S155" s="260" t="s">
        <v>133</v>
      </c>
      <c r="T155" s="258"/>
      <c r="U155" s="259"/>
      <c r="V155" s="261"/>
      <c r="W155" s="252"/>
      <c r="X155" s="262" t="s">
        <v>132</v>
      </c>
      <c r="Y155" s="257"/>
      <c r="Z155" s="263"/>
      <c r="AA155" s="264"/>
      <c r="AB155" s="266">
        <v>5.5</v>
      </c>
      <c r="AM155" s="251"/>
      <c r="AN155" s="266"/>
      <c r="AY155" s="251"/>
      <c r="AZ155" s="266"/>
      <c r="BK155" s="251"/>
      <c r="BL155" s="266"/>
      <c r="BW155" s="251"/>
      <c r="BX155" s="266"/>
      <c r="CI155" s="251"/>
      <c r="CJ155" s="267"/>
      <c r="CK155" s="267"/>
      <c r="CL155" s="267"/>
      <c r="CM155" s="267"/>
      <c r="CN155" s="267"/>
      <c r="CO155" s="268"/>
      <c r="CP155" s="266">
        <v>158</v>
      </c>
      <c r="DA155" s="251"/>
      <c r="DB155" s="266"/>
      <c r="DM155" s="251"/>
      <c r="DN155" s="266"/>
      <c r="DY155" s="251"/>
      <c r="DZ155" s="266"/>
      <c r="EK155" s="251"/>
      <c r="EL155" s="266"/>
      <c r="EW155" s="251"/>
      <c r="EX155" s="267"/>
      <c r="EY155" s="267"/>
      <c r="EZ155" s="267"/>
      <c r="FA155" s="267"/>
      <c r="FB155" s="269"/>
      <c r="FC155" s="265" t="s">
        <v>195</v>
      </c>
      <c r="FD155" s="270" t="s">
        <v>596</v>
      </c>
      <c r="FF155" s="199" t="s">
        <v>197</v>
      </c>
      <c r="FH155" s="206">
        <f t="shared" si="20"/>
        <v>0</v>
      </c>
      <c r="FI155" s="198">
        <f t="shared" si="21"/>
        <v>1</v>
      </c>
      <c r="FJ155"/>
      <c r="FK155" t="str">
        <f t="shared" si="22"/>
        <v>America Energia S/A</v>
      </c>
      <c r="FL155" s="191">
        <f t="shared" ca="1" si="23"/>
        <v>646536</v>
      </c>
      <c r="FM155" s="191">
        <f t="shared" ca="1" si="24"/>
        <v>0</v>
      </c>
      <c r="FN155" s="190">
        <f>AB155*AB$2*IF($FC155="V",1,-1)*IF($Q155="Fixo",(CP155-INDEX('Curva Forward'!$C$5:$AN$13,MATCH(CONCATENATE(BD_COMERCIAL!$K155," ",BD_COMERCIAL!$L155),'Curva Forward'!$B$5:$B$13,0),MATCH(FN$4,'Curva Forward'!$C$4:$AN$4,0))),CP155)</f>
        <v>646536</v>
      </c>
      <c r="FO155" s="190">
        <f>AC155*AC$2*IF($FC155="V",1,-1)*IF($Q155="Fixo",(CQ155-INDEX('Curva Forward'!$C$5:$AN$13,MATCH(CONCATENATE(BD_COMERCIAL!$K155," ",BD_COMERCIAL!$L155),'Curva Forward'!$B$5:$B$13,0),MATCH(FO$4,'Curva Forward'!$C$4:$AN$4,0))),CQ155)</f>
        <v>0</v>
      </c>
      <c r="FP155" s="190">
        <f>AD155*AD$2*IF($FC155="V",1,-1)*IF($Q155="Fixo",(CR155-INDEX('Curva Forward'!$C$5:$AN$13,MATCH(CONCATENATE(BD_COMERCIAL!$K155," ",BD_COMERCIAL!$L155),'Curva Forward'!$B$5:$B$13,0),MATCH(FP$4,'Curva Forward'!$C$4:$AN$4,0))),CR155)</f>
        <v>0</v>
      </c>
      <c r="FQ155" s="190">
        <f>AE155*AE$2*IF($FC155="V",1,-1)*IF($Q155="Fixo",(CS155-INDEX('Curva Forward'!$C$5:$AN$13,MATCH(CONCATENATE(BD_COMERCIAL!$K155," ",BD_COMERCIAL!$L155),'Curva Forward'!$B$5:$B$13,0),MATCH(FQ$4,'Curva Forward'!$C$4:$AN$4,0))),CS155)</f>
        <v>0</v>
      </c>
      <c r="FR155" s="190">
        <f>AF155*AF$2*IF($FC155="V",1,-1)*IF($Q155="Fixo",(CT155-INDEX('Curva Forward'!$C$5:$AN$13,MATCH(CONCATENATE(BD_COMERCIAL!$K155," ",BD_COMERCIAL!$L155),'Curva Forward'!$B$5:$B$13,0),MATCH(FR$4,'Curva Forward'!$C$4:$AN$4,0))),CT155)</f>
        <v>0</v>
      </c>
      <c r="FS155" s="190">
        <f>AG155*AG$2*IF($FC155="V",1,-1)*IF($Q155="Fixo",(CU155-INDEX('Curva Forward'!$C$5:$AN$13,MATCH(CONCATENATE(BD_COMERCIAL!$K155," ",BD_COMERCIAL!$L155),'Curva Forward'!$B$5:$B$13,0),MATCH(FS$4,'Curva Forward'!$C$4:$AN$4,0))),CU155)</f>
        <v>0</v>
      </c>
      <c r="FT155" s="190">
        <f>AH155*AH$2*IF($FC155="V",1,-1)*IF($Q155="Fixo",(CV155-INDEX('Curva Forward'!$C$5:$AN$13,MATCH(CONCATENATE(BD_COMERCIAL!$K155," ",BD_COMERCIAL!$L155),'Curva Forward'!$B$5:$B$13,0),MATCH(FT$4,'Curva Forward'!$C$4:$AN$4,0))),CV155)</f>
        <v>0</v>
      </c>
      <c r="FU155" s="190">
        <f>AI155*AI$2*IF($FC155="V",1,-1)*IF($Q155="Fixo",(CW155-INDEX('Curva Forward'!$C$5:$AN$13,MATCH(CONCATENATE(BD_COMERCIAL!$K155," ",BD_COMERCIAL!$L155),'Curva Forward'!$B$5:$B$13,0),MATCH(FU$4,'Curva Forward'!$C$4:$AN$4,0))),CW155)</f>
        <v>0</v>
      </c>
      <c r="FV155" s="190">
        <f>AJ155*AJ$2*IF($FC155="V",1,-1)*IF($Q155="Fixo",(CX155-INDEX('Curva Forward'!$C$5:$AN$13,MATCH(CONCATENATE(BD_COMERCIAL!$K155," ",BD_COMERCIAL!$L155),'Curva Forward'!$B$5:$B$13,0),MATCH(FV$4,'Curva Forward'!$C$4:$AN$4,0))),CX155)</f>
        <v>0</v>
      </c>
      <c r="FW155" s="190">
        <f>AK155*AK$2*IF($FC155="V",1,-1)*IF($Q155="Fixo",(CY155-INDEX('Curva Forward'!$C$5:$AN$13,MATCH(CONCATENATE(BD_COMERCIAL!$K155," ",BD_COMERCIAL!$L155),'Curva Forward'!$B$5:$B$13,0),MATCH(FW$4,'Curva Forward'!$C$4:$AN$4,0))),CY155)</f>
        <v>0</v>
      </c>
      <c r="FX155" s="190">
        <f>AL155*AL$2*IF($FC155="V",1,-1)*IF($Q155="Fixo",(CZ155-INDEX('Curva Forward'!$C$5:$AN$13,MATCH(CONCATENATE(BD_COMERCIAL!$K155," ",BD_COMERCIAL!$L155),'Curva Forward'!$B$5:$B$13,0),MATCH(FX$4,'Curva Forward'!$C$4:$AN$4,0))),CZ155)</f>
        <v>0</v>
      </c>
      <c r="FY155" s="190">
        <f>AM155*AM$2*IF($FC155="V",1,-1)*IF($Q155="Fixo",(DA155-INDEX('Curva Forward'!$C$5:$AN$13,MATCH(CONCATENATE(BD_COMERCIAL!$K155," ",BD_COMERCIAL!$L155),'Curva Forward'!$B$5:$B$13,0),MATCH(FY$4,'Curva Forward'!$C$4:$AN$4,0))),DA155)</f>
        <v>0</v>
      </c>
      <c r="FZ155" s="190">
        <f>AN155*AN$2*IF($FC155="V",1,-1)*IF($Q155="Fixo",(DB155-INDEX('Curva Forward'!$C$5:$AN$13,MATCH(CONCATENATE(BD_COMERCIAL!$K155," ",BD_COMERCIAL!$L155),'Curva Forward'!$B$5:$B$13,0),MATCH(FZ$4,'Curva Forward'!$C$4:$AN$4,0))),DB155)</f>
        <v>0</v>
      </c>
      <c r="GA155" s="190">
        <f>AO155*AO$2*IF($FC155="V",1,-1)*IF($Q155="Fixo",(DC155-INDEX('Curva Forward'!$C$5:$AN$13,MATCH(CONCATENATE(BD_COMERCIAL!$K155," ",BD_COMERCIAL!$L155),'Curva Forward'!$B$5:$B$13,0),MATCH(GA$4,'Curva Forward'!$C$4:$AN$4,0))),DC155)</f>
        <v>0</v>
      </c>
      <c r="GB155" s="190">
        <f>AP155*AP$2*IF($FC155="V",1,-1)*IF($Q155="Fixo",(DD155-INDEX('Curva Forward'!$C$5:$AN$13,MATCH(CONCATENATE(BD_COMERCIAL!$K155," ",BD_COMERCIAL!$L155),'Curva Forward'!$B$5:$B$13,0),MATCH(GB$4,'Curva Forward'!$C$4:$AN$4,0))),DD155)</f>
        <v>0</v>
      </c>
      <c r="GC155" s="190">
        <f>AQ155*AQ$2*IF($FC155="V",1,-1)*IF($Q155="Fixo",(DE155-INDEX('Curva Forward'!$C$5:$AN$13,MATCH(CONCATENATE(BD_COMERCIAL!$K155," ",BD_COMERCIAL!$L155),'Curva Forward'!$B$5:$B$13,0),MATCH(GC$4,'Curva Forward'!$C$4:$AN$4,0))),DE155)</f>
        <v>0</v>
      </c>
      <c r="GD155" s="190">
        <f>AR155*AR$2*IF($FC155="V",1,-1)*IF($Q155="Fixo",(DF155-INDEX('Curva Forward'!$C$5:$AN$13,MATCH(CONCATENATE(BD_COMERCIAL!$K155," ",BD_COMERCIAL!$L155),'Curva Forward'!$B$5:$B$13,0),MATCH(GD$4,'Curva Forward'!$C$4:$AN$4,0))),DF155)</f>
        <v>0</v>
      </c>
      <c r="GE155" s="190">
        <f>AS155*AS$2*IF($FC155="V",1,-1)*IF($Q155="Fixo",(DG155-INDEX('Curva Forward'!$C$5:$AN$13,MATCH(CONCATENATE(BD_COMERCIAL!$K155," ",BD_COMERCIAL!$L155),'Curva Forward'!$B$5:$B$13,0),MATCH(GE$4,'Curva Forward'!$C$4:$AN$4,0))),DG155)</f>
        <v>0</v>
      </c>
      <c r="GF155" s="190">
        <f>AT155*AT$2*IF($FC155="V",1,-1)*IF($Q155="Fixo",(DH155-INDEX('Curva Forward'!$C$5:$AN$13,MATCH(CONCATENATE(BD_COMERCIAL!$K155," ",BD_COMERCIAL!$L155),'Curva Forward'!$B$5:$B$13,0),MATCH(GF$4,'Curva Forward'!$C$4:$AN$4,0))),DH155)</f>
        <v>0</v>
      </c>
      <c r="GG155" s="190">
        <f>AU155*AU$2*IF($FC155="V",1,-1)*IF($Q155="Fixo",(DI155-INDEX('Curva Forward'!$C$5:$AN$13,MATCH(CONCATENATE(BD_COMERCIAL!$K155," ",BD_COMERCIAL!$L155),'Curva Forward'!$B$5:$B$13,0),MATCH(GG$4,'Curva Forward'!$C$4:$AN$4,0))),DI155)</f>
        <v>0</v>
      </c>
      <c r="GH155" s="190">
        <f>AV155*AV$2*IF($FC155="V",1,-1)*IF($Q155="Fixo",(DJ155-INDEX('Curva Forward'!$C$5:$AN$13,MATCH(CONCATENATE(BD_COMERCIAL!$K155," ",BD_COMERCIAL!$L155),'Curva Forward'!$B$5:$B$13,0),MATCH(GH$4,'Curva Forward'!$C$4:$AN$4,0))),DJ155)</f>
        <v>0</v>
      </c>
      <c r="GI155" s="190">
        <f>AW155*AW$2*IF($FC155="V",1,-1)*IF($Q155="Fixo",(DK155-INDEX('Curva Forward'!$C$5:$AN$13,MATCH(CONCATENATE(BD_COMERCIAL!$K155," ",BD_COMERCIAL!$L155),'Curva Forward'!$B$5:$B$13,0),MATCH(GI$4,'Curva Forward'!$C$4:$AN$4,0))),DK155)</f>
        <v>0</v>
      </c>
      <c r="GJ155" s="190">
        <f>AX155*AX$2*IF($FC155="V",1,-1)*IF($Q155="Fixo",(DL155-INDEX('Curva Forward'!$C$5:$AN$13,MATCH(CONCATENATE(BD_COMERCIAL!$K155," ",BD_COMERCIAL!$L155),'Curva Forward'!$B$5:$B$13,0),MATCH(GJ$4,'Curva Forward'!$C$4:$AN$4,0))),DL155)</f>
        <v>0</v>
      </c>
      <c r="GK155" s="190">
        <f>AY155*AY$2*IF($FC155="V",1,-1)*IF($Q155="Fixo",(DM155-INDEX('Curva Forward'!$C$5:$AN$13,MATCH(CONCATENATE(BD_COMERCIAL!$K155," ",BD_COMERCIAL!$L155),'Curva Forward'!$B$5:$B$13,0),MATCH(GK$4,'Curva Forward'!$C$4:$AN$4,0))),DM155)</f>
        <v>0</v>
      </c>
      <c r="GL155" s="190">
        <f>IF(EZ155="",0,CL155*CL$2*IF($FC155="V",1,-1)*IF($Q155="Fixo",(EZ155-INDEX('Curva Forward'!$C$5:$AN$13,MATCH(CONCATENATE(BD_COMERCIAL!$K155," ",BD_COMERCIAL!$L155),'Curva Forward'!$B$5:$B$13,0),MATCH(GL$4,'Curva Forward'!$C$4:$AN$4,0))),EZ155))</f>
        <v>0</v>
      </c>
      <c r="GM155" s="190">
        <f>IF(FA155="",0,CM155*CM$2*IF($FC155="V",1,-1)*IF($Q155="Fixo",(FA155-INDEX('Curva Forward'!$C$5:$AN$13,MATCH(CONCATENATE(BD_COMERCIAL!$K155," ",BD_COMERCIAL!$L155),'Curva Forward'!$B$5:$B$13,0),MATCH(GM$4,'Curva Forward'!$C$4:$AN$4,0))),FA155))</f>
        <v>0</v>
      </c>
      <c r="GN155" s="190">
        <f>IF(FB155="",0,CN155*CN$2*IF($FC155="V",1,-1)*IF($Q155="Fixo",(FB155-INDEX('Curva Forward'!$C$5:$AN$13,MATCH(CONCATENATE(BD_COMERCIAL!$K155," ",BD_COMERCIAL!$L155),'Curva Forward'!$B$5:$B$13,0),MATCH(GN$4,'Curva Forward'!$C$4:$AN$4,0))),FB155))</f>
        <v>0</v>
      </c>
      <c r="GO155" s="191">
        <f t="shared" ca="1" si="25"/>
        <v>0</v>
      </c>
      <c r="GP155" s="191">
        <f t="shared" ca="1" si="26"/>
        <v>0</v>
      </c>
      <c r="GQ155" s="115"/>
      <c r="GR155" s="115"/>
      <c r="GS155"/>
      <c r="GT155" s="6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</row>
    <row r="156" spans="1:236" s="265" customFormat="1" ht="15" customHeight="1" x14ac:dyDescent="0.35">
      <c r="A156" s="251"/>
      <c r="B156" s="275" t="s">
        <v>605</v>
      </c>
      <c r="C156" s="253">
        <v>44957</v>
      </c>
      <c r="D156" s="254" t="s">
        <v>123</v>
      </c>
      <c r="E156" s="254" t="s">
        <v>381</v>
      </c>
      <c r="F156" s="255" t="s">
        <v>348</v>
      </c>
      <c r="G156" s="256" t="s">
        <v>201</v>
      </c>
      <c r="H156" s="255" t="s">
        <v>606</v>
      </c>
      <c r="I156" s="254" t="s">
        <v>596</v>
      </c>
      <c r="J156" s="257" t="s">
        <v>595</v>
      </c>
      <c r="K156" s="256" t="s">
        <v>29</v>
      </c>
      <c r="L156" s="252" t="s">
        <v>22</v>
      </c>
      <c r="M156" s="258">
        <v>44927</v>
      </c>
      <c r="N156" s="259">
        <v>44957</v>
      </c>
      <c r="O156" s="256">
        <v>1</v>
      </c>
      <c r="P156" s="252">
        <v>158</v>
      </c>
      <c r="Q156" s="252" t="s">
        <v>594</v>
      </c>
      <c r="R156" s="256" t="s">
        <v>128</v>
      </c>
      <c r="S156" s="260" t="s">
        <v>133</v>
      </c>
      <c r="T156" s="258"/>
      <c r="U156" s="259"/>
      <c r="V156" s="261"/>
      <c r="W156" s="252"/>
      <c r="X156" s="262" t="s">
        <v>132</v>
      </c>
      <c r="Y156" s="257"/>
      <c r="Z156" s="263"/>
      <c r="AA156" s="264"/>
      <c r="AB156" s="266">
        <v>1</v>
      </c>
      <c r="AM156" s="251"/>
      <c r="AN156" s="266"/>
      <c r="AY156" s="251"/>
      <c r="AZ156" s="266"/>
      <c r="BK156" s="251"/>
      <c r="BL156" s="266"/>
      <c r="BW156" s="251"/>
      <c r="BX156" s="266"/>
      <c r="CI156" s="251"/>
      <c r="CJ156" s="267"/>
      <c r="CK156" s="267"/>
      <c r="CL156" s="267"/>
      <c r="CM156" s="267"/>
      <c r="CN156" s="267"/>
      <c r="CO156" s="268"/>
      <c r="CP156" s="266">
        <v>158</v>
      </c>
      <c r="DA156" s="251"/>
      <c r="DB156" s="266"/>
      <c r="DM156" s="251"/>
      <c r="DN156" s="266"/>
      <c r="DY156" s="251"/>
      <c r="DZ156" s="266"/>
      <c r="EK156" s="251"/>
      <c r="EL156" s="266"/>
      <c r="EW156" s="251"/>
      <c r="EX156" s="267"/>
      <c r="EY156" s="267"/>
      <c r="EZ156" s="267"/>
      <c r="FA156" s="267"/>
      <c r="FB156" s="269"/>
      <c r="FC156" s="265" t="s">
        <v>195</v>
      </c>
      <c r="FD156" s="270" t="s">
        <v>596</v>
      </c>
      <c r="FF156" s="199" t="s">
        <v>197</v>
      </c>
      <c r="FH156" s="206">
        <f t="shared" si="20"/>
        <v>0</v>
      </c>
      <c r="FI156" s="198">
        <f t="shared" si="21"/>
        <v>1</v>
      </c>
      <c r="FJ156"/>
      <c r="FK156" t="str">
        <f t="shared" si="22"/>
        <v>THERA TRADING COMERCIALIZADORA DE ENERGIA LTDA</v>
      </c>
      <c r="FL156" s="191">
        <f t="shared" ca="1" si="23"/>
        <v>117552</v>
      </c>
      <c r="FM156" s="191">
        <f t="shared" ca="1" si="24"/>
        <v>0</v>
      </c>
      <c r="FN156" s="190">
        <f>AB156*AB$2*IF($FC156="V",1,-1)*IF($Q156="Fixo",(CP156-INDEX('Curva Forward'!$C$5:$AN$13,MATCH(CONCATENATE(BD_COMERCIAL!$K156," ",BD_COMERCIAL!$L156),'Curva Forward'!$B$5:$B$13,0),MATCH(FN$4,'Curva Forward'!$C$4:$AN$4,0))),CP156)</f>
        <v>117552</v>
      </c>
      <c r="FO156" s="190">
        <f>AC156*AC$2*IF($FC156="V",1,-1)*IF($Q156="Fixo",(CQ156-INDEX('Curva Forward'!$C$5:$AN$13,MATCH(CONCATENATE(BD_COMERCIAL!$K156," ",BD_COMERCIAL!$L156),'Curva Forward'!$B$5:$B$13,0),MATCH(FO$4,'Curva Forward'!$C$4:$AN$4,0))),CQ156)</f>
        <v>0</v>
      </c>
      <c r="FP156" s="190">
        <f>AD156*AD$2*IF($FC156="V",1,-1)*IF($Q156="Fixo",(CR156-INDEX('Curva Forward'!$C$5:$AN$13,MATCH(CONCATENATE(BD_COMERCIAL!$K156," ",BD_COMERCIAL!$L156),'Curva Forward'!$B$5:$B$13,0),MATCH(FP$4,'Curva Forward'!$C$4:$AN$4,0))),CR156)</f>
        <v>0</v>
      </c>
      <c r="FQ156" s="190">
        <f>AE156*AE$2*IF($FC156="V",1,-1)*IF($Q156="Fixo",(CS156-INDEX('Curva Forward'!$C$5:$AN$13,MATCH(CONCATENATE(BD_COMERCIAL!$K156," ",BD_COMERCIAL!$L156),'Curva Forward'!$B$5:$B$13,0),MATCH(FQ$4,'Curva Forward'!$C$4:$AN$4,0))),CS156)</f>
        <v>0</v>
      </c>
      <c r="FR156" s="190">
        <f>AF156*AF$2*IF($FC156="V",1,-1)*IF($Q156="Fixo",(CT156-INDEX('Curva Forward'!$C$5:$AN$13,MATCH(CONCATENATE(BD_COMERCIAL!$K156," ",BD_COMERCIAL!$L156),'Curva Forward'!$B$5:$B$13,0),MATCH(FR$4,'Curva Forward'!$C$4:$AN$4,0))),CT156)</f>
        <v>0</v>
      </c>
      <c r="FS156" s="190">
        <f>AG156*AG$2*IF($FC156="V",1,-1)*IF($Q156="Fixo",(CU156-INDEX('Curva Forward'!$C$5:$AN$13,MATCH(CONCATENATE(BD_COMERCIAL!$K156," ",BD_COMERCIAL!$L156),'Curva Forward'!$B$5:$B$13,0),MATCH(FS$4,'Curva Forward'!$C$4:$AN$4,0))),CU156)</f>
        <v>0</v>
      </c>
      <c r="FT156" s="190">
        <f>AH156*AH$2*IF($FC156="V",1,-1)*IF($Q156="Fixo",(CV156-INDEX('Curva Forward'!$C$5:$AN$13,MATCH(CONCATENATE(BD_COMERCIAL!$K156," ",BD_COMERCIAL!$L156),'Curva Forward'!$B$5:$B$13,0),MATCH(FT$4,'Curva Forward'!$C$4:$AN$4,0))),CV156)</f>
        <v>0</v>
      </c>
      <c r="FU156" s="190">
        <f>AI156*AI$2*IF($FC156="V",1,-1)*IF($Q156="Fixo",(CW156-INDEX('Curva Forward'!$C$5:$AN$13,MATCH(CONCATENATE(BD_COMERCIAL!$K156," ",BD_COMERCIAL!$L156),'Curva Forward'!$B$5:$B$13,0),MATCH(FU$4,'Curva Forward'!$C$4:$AN$4,0))),CW156)</f>
        <v>0</v>
      </c>
      <c r="FV156" s="190">
        <f>AJ156*AJ$2*IF($FC156="V",1,-1)*IF($Q156="Fixo",(CX156-INDEX('Curva Forward'!$C$5:$AN$13,MATCH(CONCATENATE(BD_COMERCIAL!$K156," ",BD_COMERCIAL!$L156),'Curva Forward'!$B$5:$B$13,0),MATCH(FV$4,'Curva Forward'!$C$4:$AN$4,0))),CX156)</f>
        <v>0</v>
      </c>
      <c r="FW156" s="190">
        <f>AK156*AK$2*IF($FC156="V",1,-1)*IF($Q156="Fixo",(CY156-INDEX('Curva Forward'!$C$5:$AN$13,MATCH(CONCATENATE(BD_COMERCIAL!$K156," ",BD_COMERCIAL!$L156),'Curva Forward'!$B$5:$B$13,0),MATCH(FW$4,'Curva Forward'!$C$4:$AN$4,0))),CY156)</f>
        <v>0</v>
      </c>
      <c r="FX156" s="190">
        <f>AL156*AL$2*IF($FC156="V",1,-1)*IF($Q156="Fixo",(CZ156-INDEX('Curva Forward'!$C$5:$AN$13,MATCH(CONCATENATE(BD_COMERCIAL!$K156," ",BD_COMERCIAL!$L156),'Curva Forward'!$B$5:$B$13,0),MATCH(FX$4,'Curva Forward'!$C$4:$AN$4,0))),CZ156)</f>
        <v>0</v>
      </c>
      <c r="FY156" s="190">
        <f>AM156*AM$2*IF($FC156="V",1,-1)*IF($Q156="Fixo",(DA156-INDEX('Curva Forward'!$C$5:$AN$13,MATCH(CONCATENATE(BD_COMERCIAL!$K156," ",BD_COMERCIAL!$L156),'Curva Forward'!$B$5:$B$13,0),MATCH(FY$4,'Curva Forward'!$C$4:$AN$4,0))),DA156)</f>
        <v>0</v>
      </c>
      <c r="FZ156" s="190">
        <f>AN156*AN$2*IF($FC156="V",1,-1)*IF($Q156="Fixo",(DB156-INDEX('Curva Forward'!$C$5:$AN$13,MATCH(CONCATENATE(BD_COMERCIAL!$K156," ",BD_COMERCIAL!$L156),'Curva Forward'!$B$5:$B$13,0),MATCH(FZ$4,'Curva Forward'!$C$4:$AN$4,0))),DB156)</f>
        <v>0</v>
      </c>
      <c r="GA156" s="190">
        <f>AO156*AO$2*IF($FC156="V",1,-1)*IF($Q156="Fixo",(DC156-INDEX('Curva Forward'!$C$5:$AN$13,MATCH(CONCATENATE(BD_COMERCIAL!$K156," ",BD_COMERCIAL!$L156),'Curva Forward'!$B$5:$B$13,0),MATCH(GA$4,'Curva Forward'!$C$4:$AN$4,0))),DC156)</f>
        <v>0</v>
      </c>
      <c r="GB156" s="190">
        <f>AP156*AP$2*IF($FC156="V",1,-1)*IF($Q156="Fixo",(DD156-INDEX('Curva Forward'!$C$5:$AN$13,MATCH(CONCATENATE(BD_COMERCIAL!$K156," ",BD_COMERCIAL!$L156),'Curva Forward'!$B$5:$B$13,0),MATCH(GB$4,'Curva Forward'!$C$4:$AN$4,0))),DD156)</f>
        <v>0</v>
      </c>
      <c r="GC156" s="190">
        <f>AQ156*AQ$2*IF($FC156="V",1,-1)*IF($Q156="Fixo",(DE156-INDEX('Curva Forward'!$C$5:$AN$13,MATCH(CONCATENATE(BD_COMERCIAL!$K156," ",BD_COMERCIAL!$L156),'Curva Forward'!$B$5:$B$13,0),MATCH(GC$4,'Curva Forward'!$C$4:$AN$4,0))),DE156)</f>
        <v>0</v>
      </c>
      <c r="GD156" s="190">
        <f>AR156*AR$2*IF($FC156="V",1,-1)*IF($Q156="Fixo",(DF156-INDEX('Curva Forward'!$C$5:$AN$13,MATCH(CONCATENATE(BD_COMERCIAL!$K156," ",BD_COMERCIAL!$L156),'Curva Forward'!$B$5:$B$13,0),MATCH(GD$4,'Curva Forward'!$C$4:$AN$4,0))),DF156)</f>
        <v>0</v>
      </c>
      <c r="GE156" s="190">
        <f>AS156*AS$2*IF($FC156="V",1,-1)*IF($Q156="Fixo",(DG156-INDEX('Curva Forward'!$C$5:$AN$13,MATCH(CONCATENATE(BD_COMERCIAL!$K156," ",BD_COMERCIAL!$L156),'Curva Forward'!$B$5:$B$13,0),MATCH(GE$4,'Curva Forward'!$C$4:$AN$4,0))),DG156)</f>
        <v>0</v>
      </c>
      <c r="GF156" s="190">
        <f>AT156*AT$2*IF($FC156="V",1,-1)*IF($Q156="Fixo",(DH156-INDEX('Curva Forward'!$C$5:$AN$13,MATCH(CONCATENATE(BD_COMERCIAL!$K156," ",BD_COMERCIAL!$L156),'Curva Forward'!$B$5:$B$13,0),MATCH(GF$4,'Curva Forward'!$C$4:$AN$4,0))),DH156)</f>
        <v>0</v>
      </c>
      <c r="GG156" s="190">
        <f>AU156*AU$2*IF($FC156="V",1,-1)*IF($Q156="Fixo",(DI156-INDEX('Curva Forward'!$C$5:$AN$13,MATCH(CONCATENATE(BD_COMERCIAL!$K156," ",BD_COMERCIAL!$L156),'Curva Forward'!$B$5:$B$13,0),MATCH(GG$4,'Curva Forward'!$C$4:$AN$4,0))),DI156)</f>
        <v>0</v>
      </c>
      <c r="GH156" s="190">
        <f>AV156*AV$2*IF($FC156="V",1,-1)*IF($Q156="Fixo",(DJ156-INDEX('Curva Forward'!$C$5:$AN$13,MATCH(CONCATENATE(BD_COMERCIAL!$K156," ",BD_COMERCIAL!$L156),'Curva Forward'!$B$5:$B$13,0),MATCH(GH$4,'Curva Forward'!$C$4:$AN$4,0))),DJ156)</f>
        <v>0</v>
      </c>
      <c r="GI156" s="190">
        <f>AW156*AW$2*IF($FC156="V",1,-1)*IF($Q156="Fixo",(DK156-INDEX('Curva Forward'!$C$5:$AN$13,MATCH(CONCATENATE(BD_COMERCIAL!$K156," ",BD_COMERCIAL!$L156),'Curva Forward'!$B$5:$B$13,0),MATCH(GI$4,'Curva Forward'!$C$4:$AN$4,0))),DK156)</f>
        <v>0</v>
      </c>
      <c r="GJ156" s="190">
        <f>AX156*AX$2*IF($FC156="V",1,-1)*IF($Q156="Fixo",(DL156-INDEX('Curva Forward'!$C$5:$AN$13,MATCH(CONCATENATE(BD_COMERCIAL!$K156," ",BD_COMERCIAL!$L156),'Curva Forward'!$B$5:$B$13,0),MATCH(GJ$4,'Curva Forward'!$C$4:$AN$4,0))),DL156)</f>
        <v>0</v>
      </c>
      <c r="GK156" s="190">
        <f>AY156*AY$2*IF($FC156="V",1,-1)*IF($Q156="Fixo",(DM156-INDEX('Curva Forward'!$C$5:$AN$13,MATCH(CONCATENATE(BD_COMERCIAL!$K156," ",BD_COMERCIAL!$L156),'Curva Forward'!$B$5:$B$13,0),MATCH(GK$4,'Curva Forward'!$C$4:$AN$4,0))),DM156)</f>
        <v>0</v>
      </c>
      <c r="GL156" s="190">
        <f>IF(EZ156="",0,CL156*CL$2*IF($FC156="V",1,-1)*IF($Q156="Fixo",(EZ156-INDEX('Curva Forward'!$C$5:$AN$13,MATCH(CONCATENATE(BD_COMERCIAL!$K156," ",BD_COMERCIAL!$L156),'Curva Forward'!$B$5:$B$13,0),MATCH(GL$4,'Curva Forward'!$C$4:$AN$4,0))),EZ156))</f>
        <v>0</v>
      </c>
      <c r="GM156" s="190">
        <f>IF(FA156="",0,CM156*CM$2*IF($FC156="V",1,-1)*IF($Q156="Fixo",(FA156-INDEX('Curva Forward'!$C$5:$AN$13,MATCH(CONCATENATE(BD_COMERCIAL!$K156," ",BD_COMERCIAL!$L156),'Curva Forward'!$B$5:$B$13,0),MATCH(GM$4,'Curva Forward'!$C$4:$AN$4,0))),FA156))</f>
        <v>0</v>
      </c>
      <c r="GN156" s="190">
        <f>IF(FB156="",0,CN156*CN$2*IF($FC156="V",1,-1)*IF($Q156="Fixo",(FB156-INDEX('Curva Forward'!$C$5:$AN$13,MATCH(CONCATENATE(BD_COMERCIAL!$K156," ",BD_COMERCIAL!$L156),'Curva Forward'!$B$5:$B$13,0),MATCH(GN$4,'Curva Forward'!$C$4:$AN$4,0))),FB156))</f>
        <v>0</v>
      </c>
      <c r="GO156" s="191">
        <f t="shared" ca="1" si="25"/>
        <v>0</v>
      </c>
      <c r="GP156" s="191">
        <f t="shared" ca="1" si="26"/>
        <v>0</v>
      </c>
      <c r="GQ156" s="115"/>
      <c r="GR156" s="115"/>
      <c r="GS156"/>
      <c r="GT156" s="65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</row>
    <row r="157" spans="1:236" s="265" customFormat="1" ht="15" customHeight="1" x14ac:dyDescent="0.35">
      <c r="A157" s="251"/>
      <c r="B157" s="275" t="s">
        <v>607</v>
      </c>
      <c r="C157" s="253">
        <v>44957</v>
      </c>
      <c r="D157" s="254" t="s">
        <v>123</v>
      </c>
      <c r="E157" s="254" t="s">
        <v>381</v>
      </c>
      <c r="F157" s="255" t="s">
        <v>348</v>
      </c>
      <c r="G157" s="256" t="s">
        <v>231</v>
      </c>
      <c r="H157" s="255" t="s">
        <v>428</v>
      </c>
      <c r="I157" s="254" t="s">
        <v>596</v>
      </c>
      <c r="J157" s="257" t="s">
        <v>595</v>
      </c>
      <c r="K157" s="256" t="s">
        <v>29</v>
      </c>
      <c r="L157" s="252" t="s">
        <v>22</v>
      </c>
      <c r="M157" s="258">
        <v>44927</v>
      </c>
      <c r="N157" s="259">
        <v>44957</v>
      </c>
      <c r="O157" s="256">
        <v>2.5</v>
      </c>
      <c r="P157" s="252">
        <v>158</v>
      </c>
      <c r="Q157" s="252" t="s">
        <v>594</v>
      </c>
      <c r="R157" s="256" t="s">
        <v>128</v>
      </c>
      <c r="S157" s="260" t="s">
        <v>133</v>
      </c>
      <c r="T157" s="258"/>
      <c r="U157" s="259"/>
      <c r="V157" s="261"/>
      <c r="W157" s="252"/>
      <c r="X157" s="262" t="s">
        <v>132</v>
      </c>
      <c r="Y157" s="257"/>
      <c r="Z157" s="263"/>
      <c r="AA157" s="264"/>
      <c r="AB157" s="266">
        <v>2.5</v>
      </c>
      <c r="AM157" s="251"/>
      <c r="AN157" s="266"/>
      <c r="AY157" s="251"/>
      <c r="AZ157" s="266"/>
      <c r="BK157" s="251"/>
      <c r="BL157" s="266"/>
      <c r="BW157" s="251"/>
      <c r="BX157" s="266"/>
      <c r="CI157" s="251"/>
      <c r="CJ157" s="267"/>
      <c r="CK157" s="267"/>
      <c r="CL157" s="267"/>
      <c r="CM157" s="267"/>
      <c r="CN157" s="267"/>
      <c r="CO157" s="268"/>
      <c r="CP157" s="266">
        <v>158</v>
      </c>
      <c r="DA157" s="251"/>
      <c r="DB157" s="266"/>
      <c r="DM157" s="251"/>
      <c r="DN157" s="266"/>
      <c r="DY157" s="251"/>
      <c r="DZ157" s="266"/>
      <c r="EK157" s="251"/>
      <c r="EL157" s="266"/>
      <c r="EW157" s="251"/>
      <c r="EX157" s="267"/>
      <c r="EY157" s="267"/>
      <c r="EZ157" s="267"/>
      <c r="FA157" s="267"/>
      <c r="FB157" s="269"/>
      <c r="FC157" s="265" t="s">
        <v>195</v>
      </c>
      <c r="FD157" s="270" t="s">
        <v>596</v>
      </c>
      <c r="FF157" s="199" t="s">
        <v>197</v>
      </c>
      <c r="FH157" s="206">
        <f t="shared" si="20"/>
        <v>0</v>
      </c>
      <c r="FI157" s="198">
        <f t="shared" si="21"/>
        <v>1</v>
      </c>
      <c r="FJ157"/>
      <c r="FK157" t="str">
        <f t="shared" si="22"/>
        <v>BEP Comercializadora de Energia Elétrica Ltda</v>
      </c>
      <c r="FL157" s="191">
        <f t="shared" ca="1" si="23"/>
        <v>293880</v>
      </c>
      <c r="FM157" s="191">
        <f t="shared" ca="1" si="24"/>
        <v>0</v>
      </c>
      <c r="FN157" s="190">
        <f>AB157*AB$2*IF($FC157="V",1,-1)*IF($Q157="Fixo",(CP157-INDEX('Curva Forward'!$C$5:$AN$13,MATCH(CONCATENATE(BD_COMERCIAL!$K157," ",BD_COMERCIAL!$L157),'Curva Forward'!$B$5:$B$13,0),MATCH(FN$4,'Curva Forward'!$C$4:$AN$4,0))),CP157)</f>
        <v>293880</v>
      </c>
      <c r="FO157" s="190">
        <f>AC157*AC$2*IF($FC157="V",1,-1)*IF($Q157="Fixo",(CQ157-INDEX('Curva Forward'!$C$5:$AN$13,MATCH(CONCATENATE(BD_COMERCIAL!$K157," ",BD_COMERCIAL!$L157),'Curva Forward'!$B$5:$B$13,0),MATCH(FO$4,'Curva Forward'!$C$4:$AN$4,0))),CQ157)</f>
        <v>0</v>
      </c>
      <c r="FP157" s="190">
        <f>AD157*AD$2*IF($FC157="V",1,-1)*IF($Q157="Fixo",(CR157-INDEX('Curva Forward'!$C$5:$AN$13,MATCH(CONCATENATE(BD_COMERCIAL!$K157," ",BD_COMERCIAL!$L157),'Curva Forward'!$B$5:$B$13,0),MATCH(FP$4,'Curva Forward'!$C$4:$AN$4,0))),CR157)</f>
        <v>0</v>
      </c>
      <c r="FQ157" s="190">
        <f>AE157*AE$2*IF($FC157="V",1,-1)*IF($Q157="Fixo",(CS157-INDEX('Curva Forward'!$C$5:$AN$13,MATCH(CONCATENATE(BD_COMERCIAL!$K157," ",BD_COMERCIAL!$L157),'Curva Forward'!$B$5:$B$13,0),MATCH(FQ$4,'Curva Forward'!$C$4:$AN$4,0))),CS157)</f>
        <v>0</v>
      </c>
      <c r="FR157" s="190">
        <f>AF157*AF$2*IF($FC157="V",1,-1)*IF($Q157="Fixo",(CT157-INDEX('Curva Forward'!$C$5:$AN$13,MATCH(CONCATENATE(BD_COMERCIAL!$K157," ",BD_COMERCIAL!$L157),'Curva Forward'!$B$5:$B$13,0),MATCH(FR$4,'Curva Forward'!$C$4:$AN$4,0))),CT157)</f>
        <v>0</v>
      </c>
      <c r="FS157" s="190">
        <f>AG157*AG$2*IF($FC157="V",1,-1)*IF($Q157="Fixo",(CU157-INDEX('Curva Forward'!$C$5:$AN$13,MATCH(CONCATENATE(BD_COMERCIAL!$K157," ",BD_COMERCIAL!$L157),'Curva Forward'!$B$5:$B$13,0),MATCH(FS$4,'Curva Forward'!$C$4:$AN$4,0))),CU157)</f>
        <v>0</v>
      </c>
      <c r="FT157" s="190">
        <f>AH157*AH$2*IF($FC157="V",1,-1)*IF($Q157="Fixo",(CV157-INDEX('Curva Forward'!$C$5:$AN$13,MATCH(CONCATENATE(BD_COMERCIAL!$K157," ",BD_COMERCIAL!$L157),'Curva Forward'!$B$5:$B$13,0),MATCH(FT$4,'Curva Forward'!$C$4:$AN$4,0))),CV157)</f>
        <v>0</v>
      </c>
      <c r="FU157" s="190">
        <f>AI157*AI$2*IF($FC157="V",1,-1)*IF($Q157="Fixo",(CW157-INDEX('Curva Forward'!$C$5:$AN$13,MATCH(CONCATENATE(BD_COMERCIAL!$K157," ",BD_COMERCIAL!$L157),'Curva Forward'!$B$5:$B$13,0),MATCH(FU$4,'Curva Forward'!$C$4:$AN$4,0))),CW157)</f>
        <v>0</v>
      </c>
      <c r="FV157" s="190">
        <f>AJ157*AJ$2*IF($FC157="V",1,-1)*IF($Q157="Fixo",(CX157-INDEX('Curva Forward'!$C$5:$AN$13,MATCH(CONCATENATE(BD_COMERCIAL!$K157," ",BD_COMERCIAL!$L157),'Curva Forward'!$B$5:$B$13,0),MATCH(FV$4,'Curva Forward'!$C$4:$AN$4,0))),CX157)</f>
        <v>0</v>
      </c>
      <c r="FW157" s="190">
        <f>AK157*AK$2*IF($FC157="V",1,-1)*IF($Q157="Fixo",(CY157-INDEX('Curva Forward'!$C$5:$AN$13,MATCH(CONCATENATE(BD_COMERCIAL!$K157," ",BD_COMERCIAL!$L157),'Curva Forward'!$B$5:$B$13,0),MATCH(FW$4,'Curva Forward'!$C$4:$AN$4,0))),CY157)</f>
        <v>0</v>
      </c>
      <c r="FX157" s="190">
        <f>AL157*AL$2*IF($FC157="V",1,-1)*IF($Q157="Fixo",(CZ157-INDEX('Curva Forward'!$C$5:$AN$13,MATCH(CONCATENATE(BD_COMERCIAL!$K157," ",BD_COMERCIAL!$L157),'Curva Forward'!$B$5:$B$13,0),MATCH(FX$4,'Curva Forward'!$C$4:$AN$4,0))),CZ157)</f>
        <v>0</v>
      </c>
      <c r="FY157" s="190">
        <f>AM157*AM$2*IF($FC157="V",1,-1)*IF($Q157="Fixo",(DA157-INDEX('Curva Forward'!$C$5:$AN$13,MATCH(CONCATENATE(BD_COMERCIAL!$K157," ",BD_COMERCIAL!$L157),'Curva Forward'!$B$5:$B$13,0),MATCH(FY$4,'Curva Forward'!$C$4:$AN$4,0))),DA157)</f>
        <v>0</v>
      </c>
      <c r="FZ157" s="190">
        <f>AN157*AN$2*IF($FC157="V",1,-1)*IF($Q157="Fixo",(DB157-INDEX('Curva Forward'!$C$5:$AN$13,MATCH(CONCATENATE(BD_COMERCIAL!$K157," ",BD_COMERCIAL!$L157),'Curva Forward'!$B$5:$B$13,0),MATCH(FZ$4,'Curva Forward'!$C$4:$AN$4,0))),DB157)</f>
        <v>0</v>
      </c>
      <c r="GA157" s="190">
        <f>AO157*AO$2*IF($FC157="V",1,-1)*IF($Q157="Fixo",(DC157-INDEX('Curva Forward'!$C$5:$AN$13,MATCH(CONCATENATE(BD_COMERCIAL!$K157," ",BD_COMERCIAL!$L157),'Curva Forward'!$B$5:$B$13,0),MATCH(GA$4,'Curva Forward'!$C$4:$AN$4,0))),DC157)</f>
        <v>0</v>
      </c>
      <c r="GB157" s="190">
        <f>AP157*AP$2*IF($FC157="V",1,-1)*IF($Q157="Fixo",(DD157-INDEX('Curva Forward'!$C$5:$AN$13,MATCH(CONCATENATE(BD_COMERCIAL!$K157," ",BD_COMERCIAL!$L157),'Curva Forward'!$B$5:$B$13,0),MATCH(GB$4,'Curva Forward'!$C$4:$AN$4,0))),DD157)</f>
        <v>0</v>
      </c>
      <c r="GC157" s="190">
        <f>AQ157*AQ$2*IF($FC157="V",1,-1)*IF($Q157="Fixo",(DE157-INDEX('Curva Forward'!$C$5:$AN$13,MATCH(CONCATENATE(BD_COMERCIAL!$K157," ",BD_COMERCIAL!$L157),'Curva Forward'!$B$5:$B$13,0),MATCH(GC$4,'Curva Forward'!$C$4:$AN$4,0))),DE157)</f>
        <v>0</v>
      </c>
      <c r="GD157" s="190">
        <f>AR157*AR$2*IF($FC157="V",1,-1)*IF($Q157="Fixo",(DF157-INDEX('Curva Forward'!$C$5:$AN$13,MATCH(CONCATENATE(BD_COMERCIAL!$K157," ",BD_COMERCIAL!$L157),'Curva Forward'!$B$5:$B$13,0),MATCH(GD$4,'Curva Forward'!$C$4:$AN$4,0))),DF157)</f>
        <v>0</v>
      </c>
      <c r="GE157" s="190">
        <f>AS157*AS$2*IF($FC157="V",1,-1)*IF($Q157="Fixo",(DG157-INDEX('Curva Forward'!$C$5:$AN$13,MATCH(CONCATENATE(BD_COMERCIAL!$K157," ",BD_COMERCIAL!$L157),'Curva Forward'!$B$5:$B$13,0),MATCH(GE$4,'Curva Forward'!$C$4:$AN$4,0))),DG157)</f>
        <v>0</v>
      </c>
      <c r="GF157" s="190">
        <f>AT157*AT$2*IF($FC157="V",1,-1)*IF($Q157="Fixo",(DH157-INDEX('Curva Forward'!$C$5:$AN$13,MATCH(CONCATENATE(BD_COMERCIAL!$K157," ",BD_COMERCIAL!$L157),'Curva Forward'!$B$5:$B$13,0),MATCH(GF$4,'Curva Forward'!$C$4:$AN$4,0))),DH157)</f>
        <v>0</v>
      </c>
      <c r="GG157" s="190">
        <f>AU157*AU$2*IF($FC157="V",1,-1)*IF($Q157="Fixo",(DI157-INDEX('Curva Forward'!$C$5:$AN$13,MATCH(CONCATENATE(BD_COMERCIAL!$K157," ",BD_COMERCIAL!$L157),'Curva Forward'!$B$5:$B$13,0),MATCH(GG$4,'Curva Forward'!$C$4:$AN$4,0))),DI157)</f>
        <v>0</v>
      </c>
      <c r="GH157" s="190">
        <f>AV157*AV$2*IF($FC157="V",1,-1)*IF($Q157="Fixo",(DJ157-INDEX('Curva Forward'!$C$5:$AN$13,MATCH(CONCATENATE(BD_COMERCIAL!$K157," ",BD_COMERCIAL!$L157),'Curva Forward'!$B$5:$B$13,0),MATCH(GH$4,'Curva Forward'!$C$4:$AN$4,0))),DJ157)</f>
        <v>0</v>
      </c>
      <c r="GI157" s="190">
        <f>AW157*AW$2*IF($FC157="V",1,-1)*IF($Q157="Fixo",(DK157-INDEX('Curva Forward'!$C$5:$AN$13,MATCH(CONCATENATE(BD_COMERCIAL!$K157," ",BD_COMERCIAL!$L157),'Curva Forward'!$B$5:$B$13,0),MATCH(GI$4,'Curva Forward'!$C$4:$AN$4,0))),DK157)</f>
        <v>0</v>
      </c>
      <c r="GJ157" s="190">
        <f>AX157*AX$2*IF($FC157="V",1,-1)*IF($Q157="Fixo",(DL157-INDEX('Curva Forward'!$C$5:$AN$13,MATCH(CONCATENATE(BD_COMERCIAL!$K157," ",BD_COMERCIAL!$L157),'Curva Forward'!$B$5:$B$13,0),MATCH(GJ$4,'Curva Forward'!$C$4:$AN$4,0))),DL157)</f>
        <v>0</v>
      </c>
      <c r="GK157" s="190">
        <f>AY157*AY$2*IF($FC157="V",1,-1)*IF($Q157="Fixo",(DM157-INDEX('Curva Forward'!$C$5:$AN$13,MATCH(CONCATENATE(BD_COMERCIAL!$K157," ",BD_COMERCIAL!$L157),'Curva Forward'!$B$5:$B$13,0),MATCH(GK$4,'Curva Forward'!$C$4:$AN$4,0))),DM157)</f>
        <v>0</v>
      </c>
      <c r="GL157" s="190">
        <f>IF(EZ157="",0,CL157*CL$2*IF($FC157="V",1,-1)*IF($Q157="Fixo",(EZ157-INDEX('Curva Forward'!$C$5:$AN$13,MATCH(CONCATENATE(BD_COMERCIAL!$K157," ",BD_COMERCIAL!$L157),'Curva Forward'!$B$5:$B$13,0),MATCH(GL$4,'Curva Forward'!$C$4:$AN$4,0))),EZ157))</f>
        <v>0</v>
      </c>
      <c r="GM157" s="190">
        <f>IF(FA157="",0,CM157*CM$2*IF($FC157="V",1,-1)*IF($Q157="Fixo",(FA157-INDEX('Curva Forward'!$C$5:$AN$13,MATCH(CONCATENATE(BD_COMERCIAL!$K157," ",BD_COMERCIAL!$L157),'Curva Forward'!$B$5:$B$13,0),MATCH(GM$4,'Curva Forward'!$C$4:$AN$4,0))),FA157))</f>
        <v>0</v>
      </c>
      <c r="GN157" s="190">
        <f>IF(FB157="",0,CN157*CN$2*IF($FC157="V",1,-1)*IF($Q157="Fixo",(FB157-INDEX('Curva Forward'!$C$5:$AN$13,MATCH(CONCATENATE(BD_COMERCIAL!$K157," ",BD_COMERCIAL!$L157),'Curva Forward'!$B$5:$B$13,0),MATCH(GN$4,'Curva Forward'!$C$4:$AN$4,0))),FB157))</f>
        <v>0</v>
      </c>
      <c r="GO157" s="191">
        <f t="shared" ca="1" si="25"/>
        <v>0</v>
      </c>
      <c r="GP157" s="191">
        <f t="shared" ca="1" si="26"/>
        <v>0</v>
      </c>
      <c r="GQ157" s="115"/>
      <c r="GR157" s="115"/>
      <c r="GS157"/>
      <c r="GT157" s="65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</row>
    <row r="158" spans="1:236" s="265" customFormat="1" ht="15" customHeight="1" x14ac:dyDescent="0.35">
      <c r="A158" s="251"/>
      <c r="B158" s="275" t="s">
        <v>608</v>
      </c>
      <c r="C158" s="253">
        <v>44957</v>
      </c>
      <c r="D158" s="254" t="s">
        <v>123</v>
      </c>
      <c r="E158" s="254" t="s">
        <v>381</v>
      </c>
      <c r="F158" s="255" t="s">
        <v>348</v>
      </c>
      <c r="G158" s="256" t="s">
        <v>609</v>
      </c>
      <c r="H158" s="255" t="s">
        <v>610</v>
      </c>
      <c r="I158" s="254" t="s">
        <v>596</v>
      </c>
      <c r="J158" s="257" t="s">
        <v>595</v>
      </c>
      <c r="K158" s="256" t="s">
        <v>29</v>
      </c>
      <c r="L158" s="252" t="s">
        <v>22</v>
      </c>
      <c r="M158" s="258">
        <v>44927</v>
      </c>
      <c r="N158" s="259">
        <v>44957</v>
      </c>
      <c r="O158" s="256">
        <v>1</v>
      </c>
      <c r="P158" s="252">
        <v>158</v>
      </c>
      <c r="Q158" s="252" t="s">
        <v>594</v>
      </c>
      <c r="R158" s="256" t="s">
        <v>128</v>
      </c>
      <c r="S158" s="260" t="s">
        <v>133</v>
      </c>
      <c r="T158" s="258"/>
      <c r="U158" s="259"/>
      <c r="V158" s="261"/>
      <c r="W158" s="252"/>
      <c r="X158" s="262" t="s">
        <v>132</v>
      </c>
      <c r="Y158" s="257"/>
      <c r="Z158" s="263"/>
      <c r="AA158" s="264"/>
      <c r="AB158" s="266">
        <v>1</v>
      </c>
      <c r="AM158" s="251"/>
      <c r="AN158" s="266"/>
      <c r="AY158" s="251"/>
      <c r="AZ158" s="266"/>
      <c r="BK158" s="251"/>
      <c r="BL158" s="266"/>
      <c r="BW158" s="251"/>
      <c r="BX158" s="266"/>
      <c r="CI158" s="251"/>
      <c r="CJ158" s="267"/>
      <c r="CK158" s="267"/>
      <c r="CL158" s="267"/>
      <c r="CM158" s="267"/>
      <c r="CN158" s="267"/>
      <c r="CO158" s="268"/>
      <c r="CP158" s="266">
        <v>158</v>
      </c>
      <c r="DA158" s="251"/>
      <c r="DB158" s="266"/>
      <c r="DM158" s="251"/>
      <c r="DN158" s="266"/>
      <c r="DY158" s="251"/>
      <c r="DZ158" s="266"/>
      <c r="EK158" s="251"/>
      <c r="EL158" s="266"/>
      <c r="EW158" s="251"/>
      <c r="EX158" s="267"/>
      <c r="EY158" s="267"/>
      <c r="EZ158" s="267"/>
      <c r="FA158" s="267"/>
      <c r="FB158" s="269"/>
      <c r="FC158" s="265" t="s">
        <v>195</v>
      </c>
      <c r="FD158" s="270" t="s">
        <v>596</v>
      </c>
      <c r="FF158" s="199" t="s">
        <v>197</v>
      </c>
      <c r="FH158" s="206">
        <f t="shared" si="20"/>
        <v>0</v>
      </c>
      <c r="FI158" s="198">
        <f t="shared" si="21"/>
        <v>1</v>
      </c>
      <c r="FJ158"/>
      <c r="FK158" t="str">
        <f t="shared" si="22"/>
        <v>Pacifico Energia Comercializadora Ltda</v>
      </c>
      <c r="FL158" s="191">
        <f t="shared" ca="1" si="23"/>
        <v>117552</v>
      </c>
      <c r="FM158" s="191">
        <f t="shared" ca="1" si="24"/>
        <v>0</v>
      </c>
      <c r="FN158" s="190">
        <f>AB158*AB$2*IF($FC158="V",1,-1)*IF($Q158="Fixo",(CP158-INDEX('Curva Forward'!$C$5:$AN$13,MATCH(CONCATENATE(BD_COMERCIAL!$K158," ",BD_COMERCIAL!$L158),'Curva Forward'!$B$5:$B$13,0),MATCH(FN$4,'Curva Forward'!$C$4:$AN$4,0))),CP158)</f>
        <v>117552</v>
      </c>
      <c r="FO158" s="190">
        <f>AC158*AC$2*IF($FC158="V",1,-1)*IF($Q158="Fixo",(CQ158-INDEX('Curva Forward'!$C$5:$AN$13,MATCH(CONCATENATE(BD_COMERCIAL!$K158," ",BD_COMERCIAL!$L158),'Curva Forward'!$B$5:$B$13,0),MATCH(FO$4,'Curva Forward'!$C$4:$AN$4,0))),CQ158)</f>
        <v>0</v>
      </c>
      <c r="FP158" s="190">
        <f>AD158*AD$2*IF($FC158="V",1,-1)*IF($Q158="Fixo",(CR158-INDEX('Curva Forward'!$C$5:$AN$13,MATCH(CONCATENATE(BD_COMERCIAL!$K158," ",BD_COMERCIAL!$L158),'Curva Forward'!$B$5:$B$13,0),MATCH(FP$4,'Curva Forward'!$C$4:$AN$4,0))),CR158)</f>
        <v>0</v>
      </c>
      <c r="FQ158" s="190">
        <f>AE158*AE$2*IF($FC158="V",1,-1)*IF($Q158="Fixo",(CS158-INDEX('Curva Forward'!$C$5:$AN$13,MATCH(CONCATENATE(BD_COMERCIAL!$K158," ",BD_COMERCIAL!$L158),'Curva Forward'!$B$5:$B$13,0),MATCH(FQ$4,'Curva Forward'!$C$4:$AN$4,0))),CS158)</f>
        <v>0</v>
      </c>
      <c r="FR158" s="190">
        <f>AF158*AF$2*IF($FC158="V",1,-1)*IF($Q158="Fixo",(CT158-INDEX('Curva Forward'!$C$5:$AN$13,MATCH(CONCATENATE(BD_COMERCIAL!$K158," ",BD_COMERCIAL!$L158),'Curva Forward'!$B$5:$B$13,0),MATCH(FR$4,'Curva Forward'!$C$4:$AN$4,0))),CT158)</f>
        <v>0</v>
      </c>
      <c r="FS158" s="190">
        <f>AG158*AG$2*IF($FC158="V",1,-1)*IF($Q158="Fixo",(CU158-INDEX('Curva Forward'!$C$5:$AN$13,MATCH(CONCATENATE(BD_COMERCIAL!$K158," ",BD_COMERCIAL!$L158),'Curva Forward'!$B$5:$B$13,0),MATCH(FS$4,'Curva Forward'!$C$4:$AN$4,0))),CU158)</f>
        <v>0</v>
      </c>
      <c r="FT158" s="190">
        <f>AH158*AH$2*IF($FC158="V",1,-1)*IF($Q158="Fixo",(CV158-INDEX('Curva Forward'!$C$5:$AN$13,MATCH(CONCATENATE(BD_COMERCIAL!$K158," ",BD_COMERCIAL!$L158),'Curva Forward'!$B$5:$B$13,0),MATCH(FT$4,'Curva Forward'!$C$4:$AN$4,0))),CV158)</f>
        <v>0</v>
      </c>
      <c r="FU158" s="190">
        <f>AI158*AI$2*IF($FC158="V",1,-1)*IF($Q158="Fixo",(CW158-INDEX('Curva Forward'!$C$5:$AN$13,MATCH(CONCATENATE(BD_COMERCIAL!$K158," ",BD_COMERCIAL!$L158),'Curva Forward'!$B$5:$B$13,0),MATCH(FU$4,'Curva Forward'!$C$4:$AN$4,0))),CW158)</f>
        <v>0</v>
      </c>
      <c r="FV158" s="190">
        <f>AJ158*AJ$2*IF($FC158="V",1,-1)*IF($Q158="Fixo",(CX158-INDEX('Curva Forward'!$C$5:$AN$13,MATCH(CONCATENATE(BD_COMERCIAL!$K158," ",BD_COMERCIAL!$L158),'Curva Forward'!$B$5:$B$13,0),MATCH(FV$4,'Curva Forward'!$C$4:$AN$4,0))),CX158)</f>
        <v>0</v>
      </c>
      <c r="FW158" s="190">
        <f>AK158*AK$2*IF($FC158="V",1,-1)*IF($Q158="Fixo",(CY158-INDEX('Curva Forward'!$C$5:$AN$13,MATCH(CONCATENATE(BD_COMERCIAL!$K158," ",BD_COMERCIAL!$L158),'Curva Forward'!$B$5:$B$13,0),MATCH(FW$4,'Curva Forward'!$C$4:$AN$4,0))),CY158)</f>
        <v>0</v>
      </c>
      <c r="FX158" s="190">
        <f>AL158*AL$2*IF($FC158="V",1,-1)*IF($Q158="Fixo",(CZ158-INDEX('Curva Forward'!$C$5:$AN$13,MATCH(CONCATENATE(BD_COMERCIAL!$K158," ",BD_COMERCIAL!$L158),'Curva Forward'!$B$5:$B$13,0),MATCH(FX$4,'Curva Forward'!$C$4:$AN$4,0))),CZ158)</f>
        <v>0</v>
      </c>
      <c r="FY158" s="190">
        <f>AM158*AM$2*IF($FC158="V",1,-1)*IF($Q158="Fixo",(DA158-INDEX('Curva Forward'!$C$5:$AN$13,MATCH(CONCATENATE(BD_COMERCIAL!$K158," ",BD_COMERCIAL!$L158),'Curva Forward'!$B$5:$B$13,0),MATCH(FY$4,'Curva Forward'!$C$4:$AN$4,0))),DA158)</f>
        <v>0</v>
      </c>
      <c r="FZ158" s="190">
        <f>AN158*AN$2*IF($FC158="V",1,-1)*IF($Q158="Fixo",(DB158-INDEX('Curva Forward'!$C$5:$AN$13,MATCH(CONCATENATE(BD_COMERCIAL!$K158," ",BD_COMERCIAL!$L158),'Curva Forward'!$B$5:$B$13,0),MATCH(FZ$4,'Curva Forward'!$C$4:$AN$4,0))),DB158)</f>
        <v>0</v>
      </c>
      <c r="GA158" s="190">
        <f>AO158*AO$2*IF($FC158="V",1,-1)*IF($Q158="Fixo",(DC158-INDEX('Curva Forward'!$C$5:$AN$13,MATCH(CONCATENATE(BD_COMERCIAL!$K158," ",BD_COMERCIAL!$L158),'Curva Forward'!$B$5:$B$13,0),MATCH(GA$4,'Curva Forward'!$C$4:$AN$4,0))),DC158)</f>
        <v>0</v>
      </c>
      <c r="GB158" s="190">
        <f>AP158*AP$2*IF($FC158="V",1,-1)*IF($Q158="Fixo",(DD158-INDEX('Curva Forward'!$C$5:$AN$13,MATCH(CONCATENATE(BD_COMERCIAL!$K158," ",BD_COMERCIAL!$L158),'Curva Forward'!$B$5:$B$13,0),MATCH(GB$4,'Curva Forward'!$C$4:$AN$4,0))),DD158)</f>
        <v>0</v>
      </c>
      <c r="GC158" s="190">
        <f>AQ158*AQ$2*IF($FC158="V",1,-1)*IF($Q158="Fixo",(DE158-INDEX('Curva Forward'!$C$5:$AN$13,MATCH(CONCATENATE(BD_COMERCIAL!$K158," ",BD_COMERCIAL!$L158),'Curva Forward'!$B$5:$B$13,0),MATCH(GC$4,'Curva Forward'!$C$4:$AN$4,0))),DE158)</f>
        <v>0</v>
      </c>
      <c r="GD158" s="190">
        <f>AR158*AR$2*IF($FC158="V",1,-1)*IF($Q158="Fixo",(DF158-INDEX('Curva Forward'!$C$5:$AN$13,MATCH(CONCATENATE(BD_COMERCIAL!$K158," ",BD_COMERCIAL!$L158),'Curva Forward'!$B$5:$B$13,0),MATCH(GD$4,'Curva Forward'!$C$4:$AN$4,0))),DF158)</f>
        <v>0</v>
      </c>
      <c r="GE158" s="190">
        <f>AS158*AS$2*IF($FC158="V",1,-1)*IF($Q158="Fixo",(DG158-INDEX('Curva Forward'!$C$5:$AN$13,MATCH(CONCATENATE(BD_COMERCIAL!$K158," ",BD_COMERCIAL!$L158),'Curva Forward'!$B$5:$B$13,0),MATCH(GE$4,'Curva Forward'!$C$4:$AN$4,0))),DG158)</f>
        <v>0</v>
      </c>
      <c r="GF158" s="190">
        <f>AT158*AT$2*IF($FC158="V",1,-1)*IF($Q158="Fixo",(DH158-INDEX('Curva Forward'!$C$5:$AN$13,MATCH(CONCATENATE(BD_COMERCIAL!$K158," ",BD_COMERCIAL!$L158),'Curva Forward'!$B$5:$B$13,0),MATCH(GF$4,'Curva Forward'!$C$4:$AN$4,0))),DH158)</f>
        <v>0</v>
      </c>
      <c r="GG158" s="190">
        <f>AU158*AU$2*IF($FC158="V",1,-1)*IF($Q158="Fixo",(DI158-INDEX('Curva Forward'!$C$5:$AN$13,MATCH(CONCATENATE(BD_COMERCIAL!$K158," ",BD_COMERCIAL!$L158),'Curva Forward'!$B$5:$B$13,0),MATCH(GG$4,'Curva Forward'!$C$4:$AN$4,0))),DI158)</f>
        <v>0</v>
      </c>
      <c r="GH158" s="190">
        <f>AV158*AV$2*IF($FC158="V",1,-1)*IF($Q158="Fixo",(DJ158-INDEX('Curva Forward'!$C$5:$AN$13,MATCH(CONCATENATE(BD_COMERCIAL!$K158," ",BD_COMERCIAL!$L158),'Curva Forward'!$B$5:$B$13,0),MATCH(GH$4,'Curva Forward'!$C$4:$AN$4,0))),DJ158)</f>
        <v>0</v>
      </c>
      <c r="GI158" s="190">
        <f>AW158*AW$2*IF($FC158="V",1,-1)*IF($Q158="Fixo",(DK158-INDEX('Curva Forward'!$C$5:$AN$13,MATCH(CONCATENATE(BD_COMERCIAL!$K158," ",BD_COMERCIAL!$L158),'Curva Forward'!$B$5:$B$13,0),MATCH(GI$4,'Curva Forward'!$C$4:$AN$4,0))),DK158)</f>
        <v>0</v>
      </c>
      <c r="GJ158" s="190">
        <f>AX158*AX$2*IF($FC158="V",1,-1)*IF($Q158="Fixo",(DL158-INDEX('Curva Forward'!$C$5:$AN$13,MATCH(CONCATENATE(BD_COMERCIAL!$K158," ",BD_COMERCIAL!$L158),'Curva Forward'!$B$5:$B$13,0),MATCH(GJ$4,'Curva Forward'!$C$4:$AN$4,0))),DL158)</f>
        <v>0</v>
      </c>
      <c r="GK158" s="190">
        <f>AY158*AY$2*IF($FC158="V",1,-1)*IF($Q158="Fixo",(DM158-INDEX('Curva Forward'!$C$5:$AN$13,MATCH(CONCATENATE(BD_COMERCIAL!$K158," ",BD_COMERCIAL!$L158),'Curva Forward'!$B$5:$B$13,0),MATCH(GK$4,'Curva Forward'!$C$4:$AN$4,0))),DM158)</f>
        <v>0</v>
      </c>
      <c r="GL158" s="190">
        <f>IF(EZ158="",0,CL158*CL$2*IF($FC158="V",1,-1)*IF($Q158="Fixo",(EZ158-INDEX('Curva Forward'!$C$5:$AN$13,MATCH(CONCATENATE(BD_COMERCIAL!$K158," ",BD_COMERCIAL!$L158),'Curva Forward'!$B$5:$B$13,0),MATCH(GL$4,'Curva Forward'!$C$4:$AN$4,0))),EZ158))</f>
        <v>0</v>
      </c>
      <c r="GM158" s="190">
        <f>IF(FA158="",0,CM158*CM$2*IF($FC158="V",1,-1)*IF($Q158="Fixo",(FA158-INDEX('Curva Forward'!$C$5:$AN$13,MATCH(CONCATENATE(BD_COMERCIAL!$K158," ",BD_COMERCIAL!$L158),'Curva Forward'!$B$5:$B$13,0),MATCH(GM$4,'Curva Forward'!$C$4:$AN$4,0))),FA158))</f>
        <v>0</v>
      </c>
      <c r="GN158" s="190">
        <f>IF(FB158="",0,CN158*CN$2*IF($FC158="V",1,-1)*IF($Q158="Fixo",(FB158-INDEX('Curva Forward'!$C$5:$AN$13,MATCH(CONCATENATE(BD_COMERCIAL!$K158," ",BD_COMERCIAL!$L158),'Curva Forward'!$B$5:$B$13,0),MATCH(GN$4,'Curva Forward'!$C$4:$AN$4,0))),FB158))</f>
        <v>0</v>
      </c>
      <c r="GO158" s="191">
        <f t="shared" ca="1" si="25"/>
        <v>0</v>
      </c>
      <c r="GP158" s="191">
        <f t="shared" ca="1" si="26"/>
        <v>0</v>
      </c>
      <c r="GQ158" s="115"/>
      <c r="GR158" s="115"/>
      <c r="GS158"/>
      <c r="GT158" s="65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</row>
    <row r="159" spans="1:236" s="265" customFormat="1" ht="15" customHeight="1" x14ac:dyDescent="0.35">
      <c r="A159" s="251"/>
      <c r="B159" s="275" t="s">
        <v>611</v>
      </c>
      <c r="C159" s="253">
        <v>44958</v>
      </c>
      <c r="D159" s="254" t="s">
        <v>123</v>
      </c>
      <c r="E159" s="254" t="s">
        <v>381</v>
      </c>
      <c r="F159" s="255" t="s">
        <v>348</v>
      </c>
      <c r="G159" s="256" t="s">
        <v>308</v>
      </c>
      <c r="H159" s="255" t="s">
        <v>612</v>
      </c>
      <c r="I159" s="254" t="s">
        <v>125</v>
      </c>
      <c r="J159" s="257" t="s">
        <v>496</v>
      </c>
      <c r="K159" s="256" t="s">
        <v>126</v>
      </c>
      <c r="L159" s="252" t="s">
        <v>22</v>
      </c>
      <c r="M159" s="258">
        <v>44927</v>
      </c>
      <c r="N159" s="259">
        <v>44957</v>
      </c>
      <c r="O159" s="256">
        <v>2</v>
      </c>
      <c r="P159" s="252">
        <v>0.2</v>
      </c>
      <c r="Q159" s="252" t="s">
        <v>594</v>
      </c>
      <c r="R159" s="256" t="s">
        <v>128</v>
      </c>
      <c r="S159" s="260" t="s">
        <v>133</v>
      </c>
      <c r="T159" s="258"/>
      <c r="U159" s="259"/>
      <c r="V159" s="261"/>
      <c r="W159" s="252"/>
      <c r="X159" s="262" t="s">
        <v>6</v>
      </c>
      <c r="Y159" s="257"/>
      <c r="Z159" s="263"/>
      <c r="AA159" s="264"/>
      <c r="AB159" s="266">
        <v>2</v>
      </c>
      <c r="AM159" s="251"/>
      <c r="AN159" s="266"/>
      <c r="AY159" s="251"/>
      <c r="AZ159" s="266"/>
      <c r="BK159" s="251"/>
      <c r="BL159" s="266"/>
      <c r="BW159" s="251"/>
      <c r="BX159" s="266"/>
      <c r="CI159" s="251"/>
      <c r="CJ159" s="267"/>
      <c r="CK159" s="267"/>
      <c r="CL159" s="267"/>
      <c r="CM159" s="267"/>
      <c r="CN159" s="267"/>
      <c r="CO159" s="268"/>
      <c r="CP159" s="266">
        <v>0.2</v>
      </c>
      <c r="DA159" s="251"/>
      <c r="DB159" s="266"/>
      <c r="DM159" s="251"/>
      <c r="DN159" s="266"/>
      <c r="DY159" s="251"/>
      <c r="DZ159" s="266"/>
      <c r="EK159" s="251"/>
      <c r="EL159" s="266"/>
      <c r="EW159" s="251"/>
      <c r="EX159" s="267"/>
      <c r="EY159" s="267"/>
      <c r="EZ159" s="267"/>
      <c r="FA159" s="267"/>
      <c r="FB159" s="269"/>
      <c r="FC159" s="265" t="s">
        <v>195</v>
      </c>
      <c r="FD159" s="270" t="s">
        <v>125</v>
      </c>
      <c r="FF159" s="199" t="s">
        <v>197</v>
      </c>
      <c r="FH159" s="206">
        <f t="shared" si="20"/>
        <v>0</v>
      </c>
      <c r="FI159" s="198">
        <f t="shared" si="21"/>
        <v>1</v>
      </c>
      <c r="FJ159"/>
      <c r="FK159" t="str">
        <f t="shared" si="22"/>
        <v>ABC BRASIL COMERCIALIZADORA DE ENERGIA LTDA.</v>
      </c>
      <c r="FL159" s="191">
        <f t="shared" ca="1" si="23"/>
        <v>297.60000000000002</v>
      </c>
      <c r="FM159" s="191">
        <f t="shared" ca="1" si="24"/>
        <v>0</v>
      </c>
      <c r="FN159" s="190">
        <f>AB159*AB$2*IF($FC159="V",1,-1)*IF($Q159="Fixo",(CP159-INDEX('Curva Forward'!$C$5:$AN$13,MATCH(CONCATENATE(BD_COMERCIAL!$K159," ",BD_COMERCIAL!$L159),'Curva Forward'!$B$5:$B$13,0),MATCH(FN$4,'Curva Forward'!$C$4:$AN$4,0))),CP159)</f>
        <v>297.60000000000002</v>
      </c>
      <c r="FO159" s="190">
        <f>AC159*AC$2*IF($FC159="V",1,-1)*IF($Q159="Fixo",(CQ159-INDEX('Curva Forward'!$C$5:$AN$13,MATCH(CONCATENATE(BD_COMERCIAL!$K159," ",BD_COMERCIAL!$L159),'Curva Forward'!$B$5:$B$13,0),MATCH(FO$4,'Curva Forward'!$C$4:$AN$4,0))),CQ159)</f>
        <v>0</v>
      </c>
      <c r="FP159" s="190">
        <f>AD159*AD$2*IF($FC159="V",1,-1)*IF($Q159="Fixo",(CR159-INDEX('Curva Forward'!$C$5:$AN$13,MATCH(CONCATENATE(BD_COMERCIAL!$K159," ",BD_COMERCIAL!$L159),'Curva Forward'!$B$5:$B$13,0),MATCH(FP$4,'Curva Forward'!$C$4:$AN$4,0))),CR159)</f>
        <v>0</v>
      </c>
      <c r="FQ159" s="190">
        <f>AE159*AE$2*IF($FC159="V",1,-1)*IF($Q159="Fixo",(CS159-INDEX('Curva Forward'!$C$5:$AN$13,MATCH(CONCATENATE(BD_COMERCIAL!$K159," ",BD_COMERCIAL!$L159),'Curva Forward'!$B$5:$B$13,0),MATCH(FQ$4,'Curva Forward'!$C$4:$AN$4,0))),CS159)</f>
        <v>0</v>
      </c>
      <c r="FR159" s="190">
        <f>AF159*AF$2*IF($FC159="V",1,-1)*IF($Q159="Fixo",(CT159-INDEX('Curva Forward'!$C$5:$AN$13,MATCH(CONCATENATE(BD_COMERCIAL!$K159," ",BD_COMERCIAL!$L159),'Curva Forward'!$B$5:$B$13,0),MATCH(FR$4,'Curva Forward'!$C$4:$AN$4,0))),CT159)</f>
        <v>0</v>
      </c>
      <c r="FS159" s="190">
        <f>AG159*AG$2*IF($FC159="V",1,-1)*IF($Q159="Fixo",(CU159-INDEX('Curva Forward'!$C$5:$AN$13,MATCH(CONCATENATE(BD_COMERCIAL!$K159," ",BD_COMERCIAL!$L159),'Curva Forward'!$B$5:$B$13,0),MATCH(FS$4,'Curva Forward'!$C$4:$AN$4,0))),CU159)</f>
        <v>0</v>
      </c>
      <c r="FT159" s="190">
        <f>AH159*AH$2*IF($FC159="V",1,-1)*IF($Q159="Fixo",(CV159-INDEX('Curva Forward'!$C$5:$AN$13,MATCH(CONCATENATE(BD_COMERCIAL!$K159," ",BD_COMERCIAL!$L159),'Curva Forward'!$B$5:$B$13,0),MATCH(FT$4,'Curva Forward'!$C$4:$AN$4,0))),CV159)</f>
        <v>0</v>
      </c>
      <c r="FU159" s="190">
        <f>AI159*AI$2*IF($FC159="V",1,-1)*IF($Q159="Fixo",(CW159-INDEX('Curva Forward'!$C$5:$AN$13,MATCH(CONCATENATE(BD_COMERCIAL!$K159," ",BD_COMERCIAL!$L159),'Curva Forward'!$B$5:$B$13,0),MATCH(FU$4,'Curva Forward'!$C$4:$AN$4,0))),CW159)</f>
        <v>0</v>
      </c>
      <c r="FV159" s="190">
        <f>AJ159*AJ$2*IF($FC159="V",1,-1)*IF($Q159="Fixo",(CX159-INDEX('Curva Forward'!$C$5:$AN$13,MATCH(CONCATENATE(BD_COMERCIAL!$K159," ",BD_COMERCIAL!$L159),'Curva Forward'!$B$5:$B$13,0),MATCH(FV$4,'Curva Forward'!$C$4:$AN$4,0))),CX159)</f>
        <v>0</v>
      </c>
      <c r="FW159" s="190">
        <f>AK159*AK$2*IF($FC159="V",1,-1)*IF($Q159="Fixo",(CY159-INDEX('Curva Forward'!$C$5:$AN$13,MATCH(CONCATENATE(BD_COMERCIAL!$K159," ",BD_COMERCIAL!$L159),'Curva Forward'!$B$5:$B$13,0),MATCH(FW$4,'Curva Forward'!$C$4:$AN$4,0))),CY159)</f>
        <v>0</v>
      </c>
      <c r="FX159" s="190">
        <f>AL159*AL$2*IF($FC159="V",1,-1)*IF($Q159="Fixo",(CZ159-INDEX('Curva Forward'!$C$5:$AN$13,MATCH(CONCATENATE(BD_COMERCIAL!$K159," ",BD_COMERCIAL!$L159),'Curva Forward'!$B$5:$B$13,0),MATCH(FX$4,'Curva Forward'!$C$4:$AN$4,0))),CZ159)</f>
        <v>0</v>
      </c>
      <c r="FY159" s="190">
        <f>AM159*AM$2*IF($FC159="V",1,-1)*IF($Q159="Fixo",(DA159-INDEX('Curva Forward'!$C$5:$AN$13,MATCH(CONCATENATE(BD_COMERCIAL!$K159," ",BD_COMERCIAL!$L159),'Curva Forward'!$B$5:$B$13,0),MATCH(FY$4,'Curva Forward'!$C$4:$AN$4,0))),DA159)</f>
        <v>0</v>
      </c>
      <c r="FZ159" s="190">
        <f>AN159*AN$2*IF($FC159="V",1,-1)*IF($Q159="Fixo",(DB159-INDEX('Curva Forward'!$C$5:$AN$13,MATCH(CONCATENATE(BD_COMERCIAL!$K159," ",BD_COMERCIAL!$L159),'Curva Forward'!$B$5:$B$13,0),MATCH(FZ$4,'Curva Forward'!$C$4:$AN$4,0))),DB159)</f>
        <v>0</v>
      </c>
      <c r="GA159" s="190">
        <f>AO159*AO$2*IF($FC159="V",1,-1)*IF($Q159="Fixo",(DC159-INDEX('Curva Forward'!$C$5:$AN$13,MATCH(CONCATENATE(BD_COMERCIAL!$K159," ",BD_COMERCIAL!$L159),'Curva Forward'!$B$5:$B$13,0),MATCH(GA$4,'Curva Forward'!$C$4:$AN$4,0))),DC159)</f>
        <v>0</v>
      </c>
      <c r="GB159" s="190">
        <f>AP159*AP$2*IF($FC159="V",1,-1)*IF($Q159="Fixo",(DD159-INDEX('Curva Forward'!$C$5:$AN$13,MATCH(CONCATENATE(BD_COMERCIAL!$K159," ",BD_COMERCIAL!$L159),'Curva Forward'!$B$5:$B$13,0),MATCH(GB$4,'Curva Forward'!$C$4:$AN$4,0))),DD159)</f>
        <v>0</v>
      </c>
      <c r="GC159" s="190">
        <f>AQ159*AQ$2*IF($FC159="V",1,-1)*IF($Q159="Fixo",(DE159-INDEX('Curva Forward'!$C$5:$AN$13,MATCH(CONCATENATE(BD_COMERCIAL!$K159," ",BD_COMERCIAL!$L159),'Curva Forward'!$B$5:$B$13,0),MATCH(GC$4,'Curva Forward'!$C$4:$AN$4,0))),DE159)</f>
        <v>0</v>
      </c>
      <c r="GD159" s="190">
        <f>AR159*AR$2*IF($FC159="V",1,-1)*IF($Q159="Fixo",(DF159-INDEX('Curva Forward'!$C$5:$AN$13,MATCH(CONCATENATE(BD_COMERCIAL!$K159," ",BD_COMERCIAL!$L159),'Curva Forward'!$B$5:$B$13,0),MATCH(GD$4,'Curva Forward'!$C$4:$AN$4,0))),DF159)</f>
        <v>0</v>
      </c>
      <c r="GE159" s="190">
        <f>AS159*AS$2*IF($FC159="V",1,-1)*IF($Q159="Fixo",(DG159-INDEX('Curva Forward'!$C$5:$AN$13,MATCH(CONCATENATE(BD_COMERCIAL!$K159," ",BD_COMERCIAL!$L159),'Curva Forward'!$B$5:$B$13,0),MATCH(GE$4,'Curva Forward'!$C$4:$AN$4,0))),DG159)</f>
        <v>0</v>
      </c>
      <c r="GF159" s="190">
        <f>AT159*AT$2*IF($FC159="V",1,-1)*IF($Q159="Fixo",(DH159-INDEX('Curva Forward'!$C$5:$AN$13,MATCH(CONCATENATE(BD_COMERCIAL!$K159," ",BD_COMERCIAL!$L159),'Curva Forward'!$B$5:$B$13,0),MATCH(GF$4,'Curva Forward'!$C$4:$AN$4,0))),DH159)</f>
        <v>0</v>
      </c>
      <c r="GG159" s="190">
        <f>AU159*AU$2*IF($FC159="V",1,-1)*IF($Q159="Fixo",(DI159-INDEX('Curva Forward'!$C$5:$AN$13,MATCH(CONCATENATE(BD_COMERCIAL!$K159," ",BD_COMERCIAL!$L159),'Curva Forward'!$B$5:$B$13,0),MATCH(GG$4,'Curva Forward'!$C$4:$AN$4,0))),DI159)</f>
        <v>0</v>
      </c>
      <c r="GH159" s="190">
        <f>AV159*AV$2*IF($FC159="V",1,-1)*IF($Q159="Fixo",(DJ159-INDEX('Curva Forward'!$C$5:$AN$13,MATCH(CONCATENATE(BD_COMERCIAL!$K159," ",BD_COMERCIAL!$L159),'Curva Forward'!$B$5:$B$13,0),MATCH(GH$4,'Curva Forward'!$C$4:$AN$4,0))),DJ159)</f>
        <v>0</v>
      </c>
      <c r="GI159" s="190">
        <f>AW159*AW$2*IF($FC159="V",1,-1)*IF($Q159="Fixo",(DK159-INDEX('Curva Forward'!$C$5:$AN$13,MATCH(CONCATENATE(BD_COMERCIAL!$K159," ",BD_COMERCIAL!$L159),'Curva Forward'!$B$5:$B$13,0),MATCH(GI$4,'Curva Forward'!$C$4:$AN$4,0))),DK159)</f>
        <v>0</v>
      </c>
      <c r="GJ159" s="190">
        <f>AX159*AX$2*IF($FC159="V",1,-1)*IF($Q159="Fixo",(DL159-INDEX('Curva Forward'!$C$5:$AN$13,MATCH(CONCATENATE(BD_COMERCIAL!$K159," ",BD_COMERCIAL!$L159),'Curva Forward'!$B$5:$B$13,0),MATCH(GJ$4,'Curva Forward'!$C$4:$AN$4,0))),DL159)</f>
        <v>0</v>
      </c>
      <c r="GK159" s="190">
        <f>AY159*AY$2*IF($FC159="V",1,-1)*IF($Q159="Fixo",(DM159-INDEX('Curva Forward'!$C$5:$AN$13,MATCH(CONCATENATE(BD_COMERCIAL!$K159," ",BD_COMERCIAL!$L159),'Curva Forward'!$B$5:$B$13,0),MATCH(GK$4,'Curva Forward'!$C$4:$AN$4,0))),DM159)</f>
        <v>0</v>
      </c>
      <c r="GL159" s="190">
        <f>IF(EZ159="",0,CL159*CL$2*IF($FC159="V",1,-1)*IF($Q159="Fixo",(EZ159-INDEX('Curva Forward'!$C$5:$AN$13,MATCH(CONCATENATE(BD_COMERCIAL!$K159," ",BD_COMERCIAL!$L159),'Curva Forward'!$B$5:$B$13,0),MATCH(GL$4,'Curva Forward'!$C$4:$AN$4,0))),EZ159))</f>
        <v>0</v>
      </c>
      <c r="GM159" s="190">
        <f>IF(FA159="",0,CM159*CM$2*IF($FC159="V",1,-1)*IF($Q159="Fixo",(FA159-INDEX('Curva Forward'!$C$5:$AN$13,MATCH(CONCATENATE(BD_COMERCIAL!$K159," ",BD_COMERCIAL!$L159),'Curva Forward'!$B$5:$B$13,0),MATCH(GM$4,'Curva Forward'!$C$4:$AN$4,0))),FA159))</f>
        <v>0</v>
      </c>
      <c r="GN159" s="190">
        <f>IF(FB159="",0,CN159*CN$2*IF($FC159="V",1,-1)*IF($Q159="Fixo",(FB159-INDEX('Curva Forward'!$C$5:$AN$13,MATCH(CONCATENATE(BD_COMERCIAL!$K159," ",BD_COMERCIAL!$L159),'Curva Forward'!$B$5:$B$13,0),MATCH(GN$4,'Curva Forward'!$C$4:$AN$4,0))),FB159))</f>
        <v>0</v>
      </c>
      <c r="GO159" s="191">
        <f t="shared" ca="1" si="25"/>
        <v>0</v>
      </c>
      <c r="GP159" s="191">
        <f t="shared" ca="1" si="26"/>
        <v>0</v>
      </c>
      <c r="GQ159" s="115"/>
      <c r="GR159" s="115"/>
      <c r="GS159"/>
      <c r="GT159" s="65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</row>
    <row r="160" spans="1:236" s="265" customFormat="1" ht="15" customHeight="1" x14ac:dyDescent="0.35">
      <c r="A160" s="251"/>
      <c r="B160" s="275" t="s">
        <v>613</v>
      </c>
      <c r="C160" s="253">
        <v>44958</v>
      </c>
      <c r="D160" s="254" t="s">
        <v>123</v>
      </c>
      <c r="E160" s="254" t="s">
        <v>381</v>
      </c>
      <c r="F160" s="255" t="s">
        <v>348</v>
      </c>
      <c r="G160" s="256" t="s">
        <v>204</v>
      </c>
      <c r="H160" s="255" t="s">
        <v>472</v>
      </c>
      <c r="I160" s="254" t="s">
        <v>125</v>
      </c>
      <c r="J160" s="257" t="s">
        <v>496</v>
      </c>
      <c r="K160" s="256" t="s">
        <v>126</v>
      </c>
      <c r="L160" s="252" t="s">
        <v>22</v>
      </c>
      <c r="M160" s="258">
        <v>44927</v>
      </c>
      <c r="N160" s="259">
        <v>44957</v>
      </c>
      <c r="O160" s="256">
        <v>20</v>
      </c>
      <c r="P160" s="252">
        <v>0.15</v>
      </c>
      <c r="Q160" s="252" t="s">
        <v>594</v>
      </c>
      <c r="R160" s="256" t="s">
        <v>128</v>
      </c>
      <c r="S160" s="260" t="s">
        <v>133</v>
      </c>
      <c r="T160" s="258"/>
      <c r="U160" s="259"/>
      <c r="V160" s="261"/>
      <c r="W160" s="252"/>
      <c r="X160" s="262" t="s">
        <v>132</v>
      </c>
      <c r="Y160" s="257"/>
      <c r="Z160" s="263"/>
      <c r="AA160" s="264"/>
      <c r="AB160" s="266">
        <v>20</v>
      </c>
      <c r="AM160" s="251"/>
      <c r="AN160" s="266"/>
      <c r="AY160" s="251"/>
      <c r="AZ160" s="266"/>
      <c r="BK160" s="251"/>
      <c r="BL160" s="266"/>
      <c r="BW160" s="251"/>
      <c r="BX160" s="266"/>
      <c r="CI160" s="251"/>
      <c r="CJ160" s="267"/>
      <c r="CK160" s="267"/>
      <c r="CL160" s="267"/>
      <c r="CM160" s="267"/>
      <c r="CN160" s="267"/>
      <c r="CO160" s="268"/>
      <c r="CP160" s="266">
        <v>0.15</v>
      </c>
      <c r="DA160" s="251"/>
      <c r="DB160" s="266"/>
      <c r="DM160" s="251"/>
      <c r="DN160" s="266"/>
      <c r="DY160" s="251"/>
      <c r="DZ160" s="266"/>
      <c r="EK160" s="251"/>
      <c r="EL160" s="266"/>
      <c r="EW160" s="251"/>
      <c r="EX160" s="267"/>
      <c r="EY160" s="267"/>
      <c r="EZ160" s="267"/>
      <c r="FA160" s="267"/>
      <c r="FB160" s="269"/>
      <c r="FC160" s="265" t="s">
        <v>195</v>
      </c>
      <c r="FD160" s="270" t="s">
        <v>125</v>
      </c>
      <c r="FF160" s="199" t="s">
        <v>197</v>
      </c>
      <c r="FH160" s="206">
        <f t="shared" si="20"/>
        <v>0</v>
      </c>
      <c r="FI160" s="198">
        <f t="shared" si="21"/>
        <v>1</v>
      </c>
      <c r="FJ160"/>
      <c r="FK160" t="str">
        <f t="shared" si="22"/>
        <v>Santander Corretora de Seguros, Investimentos e Serviços S.A.</v>
      </c>
      <c r="FL160" s="191">
        <f t="shared" ca="1" si="23"/>
        <v>2232</v>
      </c>
      <c r="FM160" s="191">
        <f t="shared" ca="1" si="24"/>
        <v>0</v>
      </c>
      <c r="FN160" s="190">
        <f>AB160*AB$2*IF($FC160="V",1,-1)*IF($Q160="Fixo",(CP160-INDEX('Curva Forward'!$C$5:$AN$13,MATCH(CONCATENATE(BD_COMERCIAL!$K160," ",BD_COMERCIAL!$L160),'Curva Forward'!$B$5:$B$13,0),MATCH(FN$4,'Curva Forward'!$C$4:$AN$4,0))),CP160)</f>
        <v>2232</v>
      </c>
      <c r="FO160" s="190">
        <f>AC160*AC$2*IF($FC160="V",1,-1)*IF($Q160="Fixo",(CQ160-INDEX('Curva Forward'!$C$5:$AN$13,MATCH(CONCATENATE(BD_COMERCIAL!$K160," ",BD_COMERCIAL!$L160),'Curva Forward'!$B$5:$B$13,0),MATCH(FO$4,'Curva Forward'!$C$4:$AN$4,0))),CQ160)</f>
        <v>0</v>
      </c>
      <c r="FP160" s="190">
        <f>AD160*AD$2*IF($FC160="V",1,-1)*IF($Q160="Fixo",(CR160-INDEX('Curva Forward'!$C$5:$AN$13,MATCH(CONCATENATE(BD_COMERCIAL!$K160," ",BD_COMERCIAL!$L160),'Curva Forward'!$B$5:$B$13,0),MATCH(FP$4,'Curva Forward'!$C$4:$AN$4,0))),CR160)</f>
        <v>0</v>
      </c>
      <c r="FQ160" s="190">
        <f>AE160*AE$2*IF($FC160="V",1,-1)*IF($Q160="Fixo",(CS160-INDEX('Curva Forward'!$C$5:$AN$13,MATCH(CONCATENATE(BD_COMERCIAL!$K160," ",BD_COMERCIAL!$L160),'Curva Forward'!$B$5:$B$13,0),MATCH(FQ$4,'Curva Forward'!$C$4:$AN$4,0))),CS160)</f>
        <v>0</v>
      </c>
      <c r="FR160" s="190">
        <f>AF160*AF$2*IF($FC160="V",1,-1)*IF($Q160="Fixo",(CT160-INDEX('Curva Forward'!$C$5:$AN$13,MATCH(CONCATENATE(BD_COMERCIAL!$K160," ",BD_COMERCIAL!$L160),'Curva Forward'!$B$5:$B$13,0),MATCH(FR$4,'Curva Forward'!$C$4:$AN$4,0))),CT160)</f>
        <v>0</v>
      </c>
      <c r="FS160" s="190">
        <f>AG160*AG$2*IF($FC160="V",1,-1)*IF($Q160="Fixo",(CU160-INDEX('Curva Forward'!$C$5:$AN$13,MATCH(CONCATENATE(BD_COMERCIAL!$K160," ",BD_COMERCIAL!$L160),'Curva Forward'!$B$5:$B$13,0),MATCH(FS$4,'Curva Forward'!$C$4:$AN$4,0))),CU160)</f>
        <v>0</v>
      </c>
      <c r="FT160" s="190">
        <f>AH160*AH$2*IF($FC160="V",1,-1)*IF($Q160="Fixo",(CV160-INDEX('Curva Forward'!$C$5:$AN$13,MATCH(CONCATENATE(BD_COMERCIAL!$K160," ",BD_COMERCIAL!$L160),'Curva Forward'!$B$5:$B$13,0),MATCH(FT$4,'Curva Forward'!$C$4:$AN$4,0))),CV160)</f>
        <v>0</v>
      </c>
      <c r="FU160" s="190">
        <f>AI160*AI$2*IF($FC160="V",1,-1)*IF($Q160="Fixo",(CW160-INDEX('Curva Forward'!$C$5:$AN$13,MATCH(CONCATENATE(BD_COMERCIAL!$K160," ",BD_COMERCIAL!$L160),'Curva Forward'!$B$5:$B$13,0),MATCH(FU$4,'Curva Forward'!$C$4:$AN$4,0))),CW160)</f>
        <v>0</v>
      </c>
      <c r="FV160" s="190">
        <f>AJ160*AJ$2*IF($FC160="V",1,-1)*IF($Q160="Fixo",(CX160-INDEX('Curva Forward'!$C$5:$AN$13,MATCH(CONCATENATE(BD_COMERCIAL!$K160," ",BD_COMERCIAL!$L160),'Curva Forward'!$B$5:$B$13,0),MATCH(FV$4,'Curva Forward'!$C$4:$AN$4,0))),CX160)</f>
        <v>0</v>
      </c>
      <c r="FW160" s="190">
        <f>AK160*AK$2*IF($FC160="V",1,-1)*IF($Q160="Fixo",(CY160-INDEX('Curva Forward'!$C$5:$AN$13,MATCH(CONCATENATE(BD_COMERCIAL!$K160," ",BD_COMERCIAL!$L160),'Curva Forward'!$B$5:$B$13,0),MATCH(FW$4,'Curva Forward'!$C$4:$AN$4,0))),CY160)</f>
        <v>0</v>
      </c>
      <c r="FX160" s="190">
        <f>AL160*AL$2*IF($FC160="V",1,-1)*IF($Q160="Fixo",(CZ160-INDEX('Curva Forward'!$C$5:$AN$13,MATCH(CONCATENATE(BD_COMERCIAL!$K160," ",BD_COMERCIAL!$L160),'Curva Forward'!$B$5:$B$13,0),MATCH(FX$4,'Curva Forward'!$C$4:$AN$4,0))),CZ160)</f>
        <v>0</v>
      </c>
      <c r="FY160" s="190">
        <f>AM160*AM$2*IF($FC160="V",1,-1)*IF($Q160="Fixo",(DA160-INDEX('Curva Forward'!$C$5:$AN$13,MATCH(CONCATENATE(BD_COMERCIAL!$K160," ",BD_COMERCIAL!$L160),'Curva Forward'!$B$5:$B$13,0),MATCH(FY$4,'Curva Forward'!$C$4:$AN$4,0))),DA160)</f>
        <v>0</v>
      </c>
      <c r="FZ160" s="190">
        <f>AN160*AN$2*IF($FC160="V",1,-1)*IF($Q160="Fixo",(DB160-INDEX('Curva Forward'!$C$5:$AN$13,MATCH(CONCATENATE(BD_COMERCIAL!$K160," ",BD_COMERCIAL!$L160),'Curva Forward'!$B$5:$B$13,0),MATCH(FZ$4,'Curva Forward'!$C$4:$AN$4,0))),DB160)</f>
        <v>0</v>
      </c>
      <c r="GA160" s="190">
        <f>AO160*AO$2*IF($FC160="V",1,-1)*IF($Q160="Fixo",(DC160-INDEX('Curva Forward'!$C$5:$AN$13,MATCH(CONCATENATE(BD_COMERCIAL!$K160," ",BD_COMERCIAL!$L160),'Curva Forward'!$B$5:$B$13,0),MATCH(GA$4,'Curva Forward'!$C$4:$AN$4,0))),DC160)</f>
        <v>0</v>
      </c>
      <c r="GB160" s="190">
        <f>AP160*AP$2*IF($FC160="V",1,-1)*IF($Q160="Fixo",(DD160-INDEX('Curva Forward'!$C$5:$AN$13,MATCH(CONCATENATE(BD_COMERCIAL!$K160," ",BD_COMERCIAL!$L160),'Curva Forward'!$B$5:$B$13,0),MATCH(GB$4,'Curva Forward'!$C$4:$AN$4,0))),DD160)</f>
        <v>0</v>
      </c>
      <c r="GC160" s="190">
        <f>AQ160*AQ$2*IF($FC160="V",1,-1)*IF($Q160="Fixo",(DE160-INDEX('Curva Forward'!$C$5:$AN$13,MATCH(CONCATENATE(BD_COMERCIAL!$K160," ",BD_COMERCIAL!$L160),'Curva Forward'!$B$5:$B$13,0),MATCH(GC$4,'Curva Forward'!$C$4:$AN$4,0))),DE160)</f>
        <v>0</v>
      </c>
      <c r="GD160" s="190">
        <f>AR160*AR$2*IF($FC160="V",1,-1)*IF($Q160="Fixo",(DF160-INDEX('Curva Forward'!$C$5:$AN$13,MATCH(CONCATENATE(BD_COMERCIAL!$K160," ",BD_COMERCIAL!$L160),'Curva Forward'!$B$5:$B$13,0),MATCH(GD$4,'Curva Forward'!$C$4:$AN$4,0))),DF160)</f>
        <v>0</v>
      </c>
      <c r="GE160" s="190">
        <f>AS160*AS$2*IF($FC160="V",1,-1)*IF($Q160="Fixo",(DG160-INDEX('Curva Forward'!$C$5:$AN$13,MATCH(CONCATENATE(BD_COMERCIAL!$K160," ",BD_COMERCIAL!$L160),'Curva Forward'!$B$5:$B$13,0),MATCH(GE$4,'Curva Forward'!$C$4:$AN$4,0))),DG160)</f>
        <v>0</v>
      </c>
      <c r="GF160" s="190">
        <f>AT160*AT$2*IF($FC160="V",1,-1)*IF($Q160="Fixo",(DH160-INDEX('Curva Forward'!$C$5:$AN$13,MATCH(CONCATENATE(BD_COMERCIAL!$K160," ",BD_COMERCIAL!$L160),'Curva Forward'!$B$5:$B$13,0),MATCH(GF$4,'Curva Forward'!$C$4:$AN$4,0))),DH160)</f>
        <v>0</v>
      </c>
      <c r="GG160" s="190">
        <f>AU160*AU$2*IF($FC160="V",1,-1)*IF($Q160="Fixo",(DI160-INDEX('Curva Forward'!$C$5:$AN$13,MATCH(CONCATENATE(BD_COMERCIAL!$K160," ",BD_COMERCIAL!$L160),'Curva Forward'!$B$5:$B$13,0),MATCH(GG$4,'Curva Forward'!$C$4:$AN$4,0))),DI160)</f>
        <v>0</v>
      </c>
      <c r="GH160" s="190">
        <f>AV160*AV$2*IF($FC160="V",1,-1)*IF($Q160="Fixo",(DJ160-INDEX('Curva Forward'!$C$5:$AN$13,MATCH(CONCATENATE(BD_COMERCIAL!$K160," ",BD_COMERCIAL!$L160),'Curva Forward'!$B$5:$B$13,0),MATCH(GH$4,'Curva Forward'!$C$4:$AN$4,0))),DJ160)</f>
        <v>0</v>
      </c>
      <c r="GI160" s="190">
        <f>AW160*AW$2*IF($FC160="V",1,-1)*IF($Q160="Fixo",(DK160-INDEX('Curva Forward'!$C$5:$AN$13,MATCH(CONCATENATE(BD_COMERCIAL!$K160," ",BD_COMERCIAL!$L160),'Curva Forward'!$B$5:$B$13,0),MATCH(GI$4,'Curva Forward'!$C$4:$AN$4,0))),DK160)</f>
        <v>0</v>
      </c>
      <c r="GJ160" s="190">
        <f>AX160*AX$2*IF($FC160="V",1,-1)*IF($Q160="Fixo",(DL160-INDEX('Curva Forward'!$C$5:$AN$13,MATCH(CONCATENATE(BD_COMERCIAL!$K160," ",BD_COMERCIAL!$L160),'Curva Forward'!$B$5:$B$13,0),MATCH(GJ$4,'Curva Forward'!$C$4:$AN$4,0))),DL160)</f>
        <v>0</v>
      </c>
      <c r="GK160" s="190">
        <f>AY160*AY$2*IF($FC160="V",1,-1)*IF($Q160="Fixo",(DM160-INDEX('Curva Forward'!$C$5:$AN$13,MATCH(CONCATENATE(BD_COMERCIAL!$K160," ",BD_COMERCIAL!$L160),'Curva Forward'!$B$5:$B$13,0),MATCH(GK$4,'Curva Forward'!$C$4:$AN$4,0))),DM160)</f>
        <v>0</v>
      </c>
      <c r="GL160" s="190">
        <f>IF(EZ160="",0,CL160*CL$2*IF($FC160="V",1,-1)*IF($Q160="Fixo",(EZ160-INDEX('Curva Forward'!$C$5:$AN$13,MATCH(CONCATENATE(BD_COMERCIAL!$K160," ",BD_COMERCIAL!$L160),'Curva Forward'!$B$5:$B$13,0),MATCH(GL$4,'Curva Forward'!$C$4:$AN$4,0))),EZ160))</f>
        <v>0</v>
      </c>
      <c r="GM160" s="190">
        <f>IF(FA160="",0,CM160*CM$2*IF($FC160="V",1,-1)*IF($Q160="Fixo",(FA160-INDEX('Curva Forward'!$C$5:$AN$13,MATCH(CONCATENATE(BD_COMERCIAL!$K160," ",BD_COMERCIAL!$L160),'Curva Forward'!$B$5:$B$13,0),MATCH(GM$4,'Curva Forward'!$C$4:$AN$4,0))),FA160))</f>
        <v>0</v>
      </c>
      <c r="GN160" s="190">
        <f>IF(FB160="",0,CN160*CN$2*IF($FC160="V",1,-1)*IF($Q160="Fixo",(FB160-INDEX('Curva Forward'!$C$5:$AN$13,MATCH(CONCATENATE(BD_COMERCIAL!$K160," ",BD_COMERCIAL!$L160),'Curva Forward'!$B$5:$B$13,0),MATCH(GN$4,'Curva Forward'!$C$4:$AN$4,0))),FB160))</f>
        <v>0</v>
      </c>
      <c r="GO160" s="191">
        <f t="shared" ca="1" si="25"/>
        <v>0</v>
      </c>
      <c r="GP160" s="191">
        <f t="shared" ca="1" si="26"/>
        <v>0</v>
      </c>
      <c r="GQ160" s="115"/>
      <c r="GR160" s="115"/>
      <c r="GS160"/>
      <c r="GT160" s="65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</row>
    <row r="161" spans="1:236" s="265" customFormat="1" ht="15" customHeight="1" x14ac:dyDescent="0.35">
      <c r="A161" s="251"/>
      <c r="B161" s="275" t="s">
        <v>614</v>
      </c>
      <c r="C161" s="253">
        <v>44958</v>
      </c>
      <c r="D161" s="254" t="s">
        <v>123</v>
      </c>
      <c r="E161" s="254" t="s">
        <v>381</v>
      </c>
      <c r="F161" s="255" t="s">
        <v>348</v>
      </c>
      <c r="G161" s="256" t="s">
        <v>615</v>
      </c>
      <c r="H161" s="255" t="s">
        <v>616</v>
      </c>
      <c r="I161" s="254" t="s">
        <v>125</v>
      </c>
      <c r="J161" s="257" t="s">
        <v>496</v>
      </c>
      <c r="K161" s="256" t="s">
        <v>126</v>
      </c>
      <c r="L161" s="252" t="s">
        <v>22</v>
      </c>
      <c r="M161" s="258">
        <v>44927</v>
      </c>
      <c r="N161" s="259">
        <v>44957</v>
      </c>
      <c r="O161" s="256">
        <v>15</v>
      </c>
      <c r="P161" s="252">
        <v>0.15</v>
      </c>
      <c r="Q161" s="252" t="s">
        <v>594</v>
      </c>
      <c r="R161" s="256" t="s">
        <v>128</v>
      </c>
      <c r="S161" s="260" t="s">
        <v>133</v>
      </c>
      <c r="T161" s="258"/>
      <c r="U161" s="259"/>
      <c r="V161" s="261"/>
      <c r="W161" s="252"/>
      <c r="X161" s="262" t="s">
        <v>132</v>
      </c>
      <c r="Y161" s="257"/>
      <c r="Z161" s="263"/>
      <c r="AA161" s="264"/>
      <c r="AB161" s="266">
        <v>15</v>
      </c>
      <c r="AM161" s="251"/>
      <c r="AN161" s="266"/>
      <c r="AY161" s="251"/>
      <c r="AZ161" s="266"/>
      <c r="BK161" s="251"/>
      <c r="BL161" s="266"/>
      <c r="BW161" s="251"/>
      <c r="BX161" s="266"/>
      <c r="CI161" s="251"/>
      <c r="CJ161" s="267"/>
      <c r="CK161" s="267"/>
      <c r="CL161" s="267"/>
      <c r="CM161" s="267"/>
      <c r="CN161" s="267"/>
      <c r="CO161" s="268"/>
      <c r="CP161" s="266">
        <v>0.15</v>
      </c>
      <c r="DA161" s="251"/>
      <c r="DB161" s="266"/>
      <c r="DM161" s="251"/>
      <c r="DN161" s="266"/>
      <c r="DY161" s="251"/>
      <c r="DZ161" s="266"/>
      <c r="EK161" s="251"/>
      <c r="EL161" s="266"/>
      <c r="EW161" s="251"/>
      <c r="EX161" s="267"/>
      <c r="EY161" s="267"/>
      <c r="EZ161" s="267"/>
      <c r="FA161" s="267"/>
      <c r="FB161" s="269"/>
      <c r="FC161" s="265" t="s">
        <v>195</v>
      </c>
      <c r="FD161" s="270" t="s">
        <v>125</v>
      </c>
      <c r="FF161" s="199" t="s">
        <v>197</v>
      </c>
      <c r="FH161" s="206">
        <f t="shared" si="20"/>
        <v>0</v>
      </c>
      <c r="FI161" s="198">
        <f t="shared" si="21"/>
        <v>1</v>
      </c>
      <c r="FJ161"/>
      <c r="FK161" t="str">
        <f t="shared" si="22"/>
        <v>TRINITY ENERGIAS RENOVÁVEIS S.A</v>
      </c>
      <c r="FL161" s="191">
        <f t="shared" ca="1" si="23"/>
        <v>1674</v>
      </c>
      <c r="FM161" s="191">
        <f t="shared" ca="1" si="24"/>
        <v>0</v>
      </c>
      <c r="FN161" s="190">
        <f>AB161*AB$2*IF($FC161="V",1,-1)*IF($Q161="Fixo",(CP161-INDEX('Curva Forward'!$C$5:$AN$13,MATCH(CONCATENATE(BD_COMERCIAL!$K161," ",BD_COMERCIAL!$L161),'Curva Forward'!$B$5:$B$13,0),MATCH(FN$4,'Curva Forward'!$C$4:$AN$4,0))),CP161)</f>
        <v>1674</v>
      </c>
      <c r="FO161" s="190">
        <f>AC161*AC$2*IF($FC161="V",1,-1)*IF($Q161="Fixo",(CQ161-INDEX('Curva Forward'!$C$5:$AN$13,MATCH(CONCATENATE(BD_COMERCIAL!$K161," ",BD_COMERCIAL!$L161),'Curva Forward'!$B$5:$B$13,0),MATCH(FO$4,'Curva Forward'!$C$4:$AN$4,0))),CQ161)</f>
        <v>0</v>
      </c>
      <c r="FP161" s="190">
        <f>AD161*AD$2*IF($FC161="V",1,-1)*IF($Q161="Fixo",(CR161-INDEX('Curva Forward'!$C$5:$AN$13,MATCH(CONCATENATE(BD_COMERCIAL!$K161," ",BD_COMERCIAL!$L161),'Curva Forward'!$B$5:$B$13,0),MATCH(FP$4,'Curva Forward'!$C$4:$AN$4,0))),CR161)</f>
        <v>0</v>
      </c>
      <c r="FQ161" s="190">
        <f>AE161*AE$2*IF($FC161="V",1,-1)*IF($Q161="Fixo",(CS161-INDEX('Curva Forward'!$C$5:$AN$13,MATCH(CONCATENATE(BD_COMERCIAL!$K161," ",BD_COMERCIAL!$L161),'Curva Forward'!$B$5:$B$13,0),MATCH(FQ$4,'Curva Forward'!$C$4:$AN$4,0))),CS161)</f>
        <v>0</v>
      </c>
      <c r="FR161" s="190">
        <f>AF161*AF$2*IF($FC161="V",1,-1)*IF($Q161="Fixo",(CT161-INDEX('Curva Forward'!$C$5:$AN$13,MATCH(CONCATENATE(BD_COMERCIAL!$K161," ",BD_COMERCIAL!$L161),'Curva Forward'!$B$5:$B$13,0),MATCH(FR$4,'Curva Forward'!$C$4:$AN$4,0))),CT161)</f>
        <v>0</v>
      </c>
      <c r="FS161" s="190">
        <f>AG161*AG$2*IF($FC161="V",1,-1)*IF($Q161="Fixo",(CU161-INDEX('Curva Forward'!$C$5:$AN$13,MATCH(CONCATENATE(BD_COMERCIAL!$K161," ",BD_COMERCIAL!$L161),'Curva Forward'!$B$5:$B$13,0),MATCH(FS$4,'Curva Forward'!$C$4:$AN$4,0))),CU161)</f>
        <v>0</v>
      </c>
      <c r="FT161" s="190">
        <f>AH161*AH$2*IF($FC161="V",1,-1)*IF($Q161="Fixo",(CV161-INDEX('Curva Forward'!$C$5:$AN$13,MATCH(CONCATENATE(BD_COMERCIAL!$K161," ",BD_COMERCIAL!$L161),'Curva Forward'!$B$5:$B$13,0),MATCH(FT$4,'Curva Forward'!$C$4:$AN$4,0))),CV161)</f>
        <v>0</v>
      </c>
      <c r="FU161" s="190">
        <f>AI161*AI$2*IF($FC161="V",1,-1)*IF($Q161="Fixo",(CW161-INDEX('Curva Forward'!$C$5:$AN$13,MATCH(CONCATENATE(BD_COMERCIAL!$K161," ",BD_COMERCIAL!$L161),'Curva Forward'!$B$5:$B$13,0),MATCH(FU$4,'Curva Forward'!$C$4:$AN$4,0))),CW161)</f>
        <v>0</v>
      </c>
      <c r="FV161" s="190">
        <f>AJ161*AJ$2*IF($FC161="V",1,-1)*IF($Q161="Fixo",(CX161-INDEX('Curva Forward'!$C$5:$AN$13,MATCH(CONCATENATE(BD_COMERCIAL!$K161," ",BD_COMERCIAL!$L161),'Curva Forward'!$B$5:$B$13,0),MATCH(FV$4,'Curva Forward'!$C$4:$AN$4,0))),CX161)</f>
        <v>0</v>
      </c>
      <c r="FW161" s="190">
        <f>AK161*AK$2*IF($FC161="V",1,-1)*IF($Q161="Fixo",(CY161-INDEX('Curva Forward'!$C$5:$AN$13,MATCH(CONCATENATE(BD_COMERCIAL!$K161," ",BD_COMERCIAL!$L161),'Curva Forward'!$B$5:$B$13,0),MATCH(FW$4,'Curva Forward'!$C$4:$AN$4,0))),CY161)</f>
        <v>0</v>
      </c>
      <c r="FX161" s="190">
        <f>AL161*AL$2*IF($FC161="V",1,-1)*IF($Q161="Fixo",(CZ161-INDEX('Curva Forward'!$C$5:$AN$13,MATCH(CONCATENATE(BD_COMERCIAL!$K161," ",BD_COMERCIAL!$L161),'Curva Forward'!$B$5:$B$13,0),MATCH(FX$4,'Curva Forward'!$C$4:$AN$4,0))),CZ161)</f>
        <v>0</v>
      </c>
      <c r="FY161" s="190">
        <f>AM161*AM$2*IF($FC161="V",1,-1)*IF($Q161="Fixo",(DA161-INDEX('Curva Forward'!$C$5:$AN$13,MATCH(CONCATENATE(BD_COMERCIAL!$K161," ",BD_COMERCIAL!$L161),'Curva Forward'!$B$5:$B$13,0),MATCH(FY$4,'Curva Forward'!$C$4:$AN$4,0))),DA161)</f>
        <v>0</v>
      </c>
      <c r="FZ161" s="190">
        <f>AN161*AN$2*IF($FC161="V",1,-1)*IF($Q161="Fixo",(DB161-INDEX('Curva Forward'!$C$5:$AN$13,MATCH(CONCATENATE(BD_COMERCIAL!$K161," ",BD_COMERCIAL!$L161),'Curva Forward'!$B$5:$B$13,0),MATCH(FZ$4,'Curva Forward'!$C$4:$AN$4,0))),DB161)</f>
        <v>0</v>
      </c>
      <c r="GA161" s="190">
        <f>AO161*AO$2*IF($FC161="V",1,-1)*IF($Q161="Fixo",(DC161-INDEX('Curva Forward'!$C$5:$AN$13,MATCH(CONCATENATE(BD_COMERCIAL!$K161," ",BD_COMERCIAL!$L161),'Curva Forward'!$B$5:$B$13,0),MATCH(GA$4,'Curva Forward'!$C$4:$AN$4,0))),DC161)</f>
        <v>0</v>
      </c>
      <c r="GB161" s="190">
        <f>AP161*AP$2*IF($FC161="V",1,-1)*IF($Q161="Fixo",(DD161-INDEX('Curva Forward'!$C$5:$AN$13,MATCH(CONCATENATE(BD_COMERCIAL!$K161," ",BD_COMERCIAL!$L161),'Curva Forward'!$B$5:$B$13,0),MATCH(GB$4,'Curva Forward'!$C$4:$AN$4,0))),DD161)</f>
        <v>0</v>
      </c>
      <c r="GC161" s="190">
        <f>AQ161*AQ$2*IF($FC161="V",1,-1)*IF($Q161="Fixo",(DE161-INDEX('Curva Forward'!$C$5:$AN$13,MATCH(CONCATENATE(BD_COMERCIAL!$K161," ",BD_COMERCIAL!$L161),'Curva Forward'!$B$5:$B$13,0),MATCH(GC$4,'Curva Forward'!$C$4:$AN$4,0))),DE161)</f>
        <v>0</v>
      </c>
      <c r="GD161" s="190">
        <f>AR161*AR$2*IF($FC161="V",1,-1)*IF($Q161="Fixo",(DF161-INDEX('Curva Forward'!$C$5:$AN$13,MATCH(CONCATENATE(BD_COMERCIAL!$K161," ",BD_COMERCIAL!$L161),'Curva Forward'!$B$5:$B$13,0),MATCH(GD$4,'Curva Forward'!$C$4:$AN$4,0))),DF161)</f>
        <v>0</v>
      </c>
      <c r="GE161" s="190">
        <f>AS161*AS$2*IF($FC161="V",1,-1)*IF($Q161="Fixo",(DG161-INDEX('Curva Forward'!$C$5:$AN$13,MATCH(CONCATENATE(BD_COMERCIAL!$K161," ",BD_COMERCIAL!$L161),'Curva Forward'!$B$5:$B$13,0),MATCH(GE$4,'Curva Forward'!$C$4:$AN$4,0))),DG161)</f>
        <v>0</v>
      </c>
      <c r="GF161" s="190">
        <f>AT161*AT$2*IF($FC161="V",1,-1)*IF($Q161="Fixo",(DH161-INDEX('Curva Forward'!$C$5:$AN$13,MATCH(CONCATENATE(BD_COMERCIAL!$K161," ",BD_COMERCIAL!$L161),'Curva Forward'!$B$5:$B$13,0),MATCH(GF$4,'Curva Forward'!$C$4:$AN$4,0))),DH161)</f>
        <v>0</v>
      </c>
      <c r="GG161" s="190">
        <f>AU161*AU$2*IF($FC161="V",1,-1)*IF($Q161="Fixo",(DI161-INDEX('Curva Forward'!$C$5:$AN$13,MATCH(CONCATENATE(BD_COMERCIAL!$K161," ",BD_COMERCIAL!$L161),'Curva Forward'!$B$5:$B$13,0),MATCH(GG$4,'Curva Forward'!$C$4:$AN$4,0))),DI161)</f>
        <v>0</v>
      </c>
      <c r="GH161" s="190">
        <f>AV161*AV$2*IF($FC161="V",1,-1)*IF($Q161="Fixo",(DJ161-INDEX('Curva Forward'!$C$5:$AN$13,MATCH(CONCATENATE(BD_COMERCIAL!$K161," ",BD_COMERCIAL!$L161),'Curva Forward'!$B$5:$B$13,0),MATCH(GH$4,'Curva Forward'!$C$4:$AN$4,0))),DJ161)</f>
        <v>0</v>
      </c>
      <c r="GI161" s="190">
        <f>AW161*AW$2*IF($FC161="V",1,-1)*IF($Q161="Fixo",(DK161-INDEX('Curva Forward'!$C$5:$AN$13,MATCH(CONCATENATE(BD_COMERCIAL!$K161," ",BD_COMERCIAL!$L161),'Curva Forward'!$B$5:$B$13,0),MATCH(GI$4,'Curva Forward'!$C$4:$AN$4,0))),DK161)</f>
        <v>0</v>
      </c>
      <c r="GJ161" s="190">
        <f>AX161*AX$2*IF($FC161="V",1,-1)*IF($Q161="Fixo",(DL161-INDEX('Curva Forward'!$C$5:$AN$13,MATCH(CONCATENATE(BD_COMERCIAL!$K161," ",BD_COMERCIAL!$L161),'Curva Forward'!$B$5:$B$13,0),MATCH(GJ$4,'Curva Forward'!$C$4:$AN$4,0))),DL161)</f>
        <v>0</v>
      </c>
      <c r="GK161" s="190">
        <f>AY161*AY$2*IF($FC161="V",1,-1)*IF($Q161="Fixo",(DM161-INDEX('Curva Forward'!$C$5:$AN$13,MATCH(CONCATENATE(BD_COMERCIAL!$K161," ",BD_COMERCIAL!$L161),'Curva Forward'!$B$5:$B$13,0),MATCH(GK$4,'Curva Forward'!$C$4:$AN$4,0))),DM161)</f>
        <v>0</v>
      </c>
      <c r="GL161" s="190">
        <f>IF(EZ161="",0,CL161*CL$2*IF($FC161="V",1,-1)*IF($Q161="Fixo",(EZ161-INDEX('Curva Forward'!$C$5:$AN$13,MATCH(CONCATENATE(BD_COMERCIAL!$K161," ",BD_COMERCIAL!$L161),'Curva Forward'!$B$5:$B$13,0),MATCH(GL$4,'Curva Forward'!$C$4:$AN$4,0))),EZ161))</f>
        <v>0</v>
      </c>
      <c r="GM161" s="190">
        <f>IF(FA161="",0,CM161*CM$2*IF($FC161="V",1,-1)*IF($Q161="Fixo",(FA161-INDEX('Curva Forward'!$C$5:$AN$13,MATCH(CONCATENATE(BD_COMERCIAL!$K161," ",BD_COMERCIAL!$L161),'Curva Forward'!$B$5:$B$13,0),MATCH(GM$4,'Curva Forward'!$C$4:$AN$4,0))),FA161))</f>
        <v>0</v>
      </c>
      <c r="GN161" s="190">
        <f>IF(FB161="",0,CN161*CN$2*IF($FC161="V",1,-1)*IF($Q161="Fixo",(FB161-INDEX('Curva Forward'!$C$5:$AN$13,MATCH(CONCATENATE(BD_COMERCIAL!$K161," ",BD_COMERCIAL!$L161),'Curva Forward'!$B$5:$B$13,0),MATCH(GN$4,'Curva Forward'!$C$4:$AN$4,0))),FB161))</f>
        <v>0</v>
      </c>
      <c r="GO161" s="191">
        <f t="shared" ca="1" si="25"/>
        <v>0</v>
      </c>
      <c r="GP161" s="191">
        <f t="shared" ca="1" si="26"/>
        <v>0</v>
      </c>
      <c r="GQ161" s="115"/>
      <c r="GR161" s="115"/>
      <c r="GS161"/>
      <c r="GT161" s="65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</row>
    <row r="162" spans="1:236" s="265" customFormat="1" ht="15" customHeight="1" x14ac:dyDescent="0.35">
      <c r="A162" s="251"/>
      <c r="B162" s="275" t="s">
        <v>617</v>
      </c>
      <c r="C162" s="253">
        <v>44959</v>
      </c>
      <c r="D162" s="254" t="s">
        <v>123</v>
      </c>
      <c r="E162" s="254" t="s">
        <v>381</v>
      </c>
      <c r="F162" s="255" t="s">
        <v>348</v>
      </c>
      <c r="G162" s="256" t="s">
        <v>228</v>
      </c>
      <c r="H162" s="255" t="s">
        <v>618</v>
      </c>
      <c r="I162" s="254" t="s">
        <v>596</v>
      </c>
      <c r="J162" s="257" t="s">
        <v>619</v>
      </c>
      <c r="K162" s="256" t="s">
        <v>32</v>
      </c>
      <c r="L162" s="252" t="s">
        <v>22</v>
      </c>
      <c r="M162" s="258">
        <v>44927</v>
      </c>
      <c r="N162" s="259">
        <v>44957</v>
      </c>
      <c r="O162" s="256">
        <v>1</v>
      </c>
      <c r="P162" s="252">
        <v>1</v>
      </c>
      <c r="Q162" s="252" t="s">
        <v>594</v>
      </c>
      <c r="R162" s="256" t="s">
        <v>128</v>
      </c>
      <c r="S162" s="260" t="s">
        <v>133</v>
      </c>
      <c r="T162" s="258"/>
      <c r="U162" s="259"/>
      <c r="V162" s="261"/>
      <c r="W162" s="252"/>
      <c r="X162" s="262" t="s">
        <v>6</v>
      </c>
      <c r="Y162" s="257"/>
      <c r="Z162" s="263"/>
      <c r="AA162" s="264"/>
      <c r="AB162" s="266">
        <v>1</v>
      </c>
      <c r="AM162" s="251"/>
      <c r="AN162" s="266"/>
      <c r="AY162" s="251"/>
      <c r="AZ162" s="266"/>
      <c r="BK162" s="251"/>
      <c r="BL162" s="266"/>
      <c r="BW162" s="251"/>
      <c r="BX162" s="266"/>
      <c r="CI162" s="251"/>
      <c r="CJ162" s="267"/>
      <c r="CK162" s="267"/>
      <c r="CL162" s="267"/>
      <c r="CM162" s="267"/>
      <c r="CN162" s="267"/>
      <c r="CO162" s="268"/>
      <c r="CP162" s="266">
        <v>1</v>
      </c>
      <c r="DA162" s="251"/>
      <c r="DB162" s="266"/>
      <c r="DM162" s="251"/>
      <c r="DN162" s="266"/>
      <c r="DY162" s="251"/>
      <c r="DZ162" s="266"/>
      <c r="EK162" s="251"/>
      <c r="EL162" s="266"/>
      <c r="EW162" s="251"/>
      <c r="EX162" s="267"/>
      <c r="EY162" s="267"/>
      <c r="EZ162" s="267"/>
      <c r="FA162" s="267"/>
      <c r="FB162" s="269"/>
      <c r="FC162" s="265" t="s">
        <v>195</v>
      </c>
      <c r="FD162" s="270" t="s">
        <v>596</v>
      </c>
      <c r="FF162" s="199" t="s">
        <v>197</v>
      </c>
      <c r="FH162" s="206">
        <f t="shared" si="20"/>
        <v>0</v>
      </c>
      <c r="FI162" s="198">
        <f t="shared" si="21"/>
        <v>1</v>
      </c>
      <c r="FJ162"/>
      <c r="FK162" t="str">
        <f t="shared" si="22"/>
        <v>Diferencial Comercializadora de Energia Ltda.</v>
      </c>
      <c r="FL162" s="191">
        <f t="shared" ca="1" si="23"/>
        <v>744</v>
      </c>
      <c r="FM162" s="191">
        <f t="shared" ca="1" si="24"/>
        <v>0</v>
      </c>
      <c r="FN162" s="190">
        <f>AB162*AB$2*IF($FC162="V",1,-1)*IF($Q162="Fixo",(CP162-INDEX('Curva Forward'!$C$5:$AN$13,MATCH(CONCATENATE(BD_COMERCIAL!$K162," ",BD_COMERCIAL!$L162),'Curva Forward'!$B$5:$B$13,0),MATCH(FN$4,'Curva Forward'!$C$4:$AN$4,0))),CP162)</f>
        <v>744</v>
      </c>
      <c r="FO162" s="190">
        <f>AC162*AC$2*IF($FC162="V",1,-1)*IF($Q162="Fixo",(CQ162-INDEX('Curva Forward'!$C$5:$AN$13,MATCH(CONCATENATE(BD_COMERCIAL!$K162," ",BD_COMERCIAL!$L162),'Curva Forward'!$B$5:$B$13,0),MATCH(FO$4,'Curva Forward'!$C$4:$AN$4,0))),CQ162)</f>
        <v>0</v>
      </c>
      <c r="FP162" s="190">
        <f>AD162*AD$2*IF($FC162="V",1,-1)*IF($Q162="Fixo",(CR162-INDEX('Curva Forward'!$C$5:$AN$13,MATCH(CONCATENATE(BD_COMERCIAL!$K162," ",BD_COMERCIAL!$L162),'Curva Forward'!$B$5:$B$13,0),MATCH(FP$4,'Curva Forward'!$C$4:$AN$4,0))),CR162)</f>
        <v>0</v>
      </c>
      <c r="FQ162" s="190">
        <f>AE162*AE$2*IF($FC162="V",1,-1)*IF($Q162="Fixo",(CS162-INDEX('Curva Forward'!$C$5:$AN$13,MATCH(CONCATENATE(BD_COMERCIAL!$K162," ",BD_COMERCIAL!$L162),'Curva Forward'!$B$5:$B$13,0),MATCH(FQ$4,'Curva Forward'!$C$4:$AN$4,0))),CS162)</f>
        <v>0</v>
      </c>
      <c r="FR162" s="190">
        <f>AF162*AF$2*IF($FC162="V",1,-1)*IF($Q162="Fixo",(CT162-INDEX('Curva Forward'!$C$5:$AN$13,MATCH(CONCATENATE(BD_COMERCIAL!$K162," ",BD_COMERCIAL!$L162),'Curva Forward'!$B$5:$B$13,0),MATCH(FR$4,'Curva Forward'!$C$4:$AN$4,0))),CT162)</f>
        <v>0</v>
      </c>
      <c r="FS162" s="190">
        <f>AG162*AG$2*IF($FC162="V",1,-1)*IF($Q162="Fixo",(CU162-INDEX('Curva Forward'!$C$5:$AN$13,MATCH(CONCATENATE(BD_COMERCIAL!$K162," ",BD_COMERCIAL!$L162),'Curva Forward'!$B$5:$B$13,0),MATCH(FS$4,'Curva Forward'!$C$4:$AN$4,0))),CU162)</f>
        <v>0</v>
      </c>
      <c r="FT162" s="190">
        <f>AH162*AH$2*IF($FC162="V",1,-1)*IF($Q162="Fixo",(CV162-INDEX('Curva Forward'!$C$5:$AN$13,MATCH(CONCATENATE(BD_COMERCIAL!$K162," ",BD_COMERCIAL!$L162),'Curva Forward'!$B$5:$B$13,0),MATCH(FT$4,'Curva Forward'!$C$4:$AN$4,0))),CV162)</f>
        <v>0</v>
      </c>
      <c r="FU162" s="190">
        <f>AI162*AI$2*IF($FC162="V",1,-1)*IF($Q162="Fixo",(CW162-INDEX('Curva Forward'!$C$5:$AN$13,MATCH(CONCATENATE(BD_COMERCIAL!$K162," ",BD_COMERCIAL!$L162),'Curva Forward'!$B$5:$B$13,0),MATCH(FU$4,'Curva Forward'!$C$4:$AN$4,0))),CW162)</f>
        <v>0</v>
      </c>
      <c r="FV162" s="190">
        <f>AJ162*AJ$2*IF($FC162="V",1,-1)*IF($Q162="Fixo",(CX162-INDEX('Curva Forward'!$C$5:$AN$13,MATCH(CONCATENATE(BD_COMERCIAL!$K162," ",BD_COMERCIAL!$L162),'Curva Forward'!$B$5:$B$13,0),MATCH(FV$4,'Curva Forward'!$C$4:$AN$4,0))),CX162)</f>
        <v>0</v>
      </c>
      <c r="FW162" s="190">
        <f>AK162*AK$2*IF($FC162="V",1,-1)*IF($Q162="Fixo",(CY162-INDEX('Curva Forward'!$C$5:$AN$13,MATCH(CONCATENATE(BD_COMERCIAL!$K162," ",BD_COMERCIAL!$L162),'Curva Forward'!$B$5:$B$13,0),MATCH(FW$4,'Curva Forward'!$C$4:$AN$4,0))),CY162)</f>
        <v>0</v>
      </c>
      <c r="FX162" s="190">
        <f>AL162*AL$2*IF($FC162="V",1,-1)*IF($Q162="Fixo",(CZ162-INDEX('Curva Forward'!$C$5:$AN$13,MATCH(CONCATENATE(BD_COMERCIAL!$K162," ",BD_COMERCIAL!$L162),'Curva Forward'!$B$5:$B$13,0),MATCH(FX$4,'Curva Forward'!$C$4:$AN$4,0))),CZ162)</f>
        <v>0</v>
      </c>
      <c r="FY162" s="190">
        <f>AM162*AM$2*IF($FC162="V",1,-1)*IF($Q162="Fixo",(DA162-INDEX('Curva Forward'!$C$5:$AN$13,MATCH(CONCATENATE(BD_COMERCIAL!$K162," ",BD_COMERCIAL!$L162),'Curva Forward'!$B$5:$B$13,0),MATCH(FY$4,'Curva Forward'!$C$4:$AN$4,0))),DA162)</f>
        <v>0</v>
      </c>
      <c r="FZ162" s="190">
        <f>AN162*AN$2*IF($FC162="V",1,-1)*IF($Q162="Fixo",(DB162-INDEX('Curva Forward'!$C$5:$AN$13,MATCH(CONCATENATE(BD_COMERCIAL!$K162," ",BD_COMERCIAL!$L162),'Curva Forward'!$B$5:$B$13,0),MATCH(FZ$4,'Curva Forward'!$C$4:$AN$4,0))),DB162)</f>
        <v>0</v>
      </c>
      <c r="GA162" s="190">
        <f>AO162*AO$2*IF($FC162="V",1,-1)*IF($Q162="Fixo",(DC162-INDEX('Curva Forward'!$C$5:$AN$13,MATCH(CONCATENATE(BD_COMERCIAL!$K162," ",BD_COMERCIAL!$L162),'Curva Forward'!$B$5:$B$13,0),MATCH(GA$4,'Curva Forward'!$C$4:$AN$4,0))),DC162)</f>
        <v>0</v>
      </c>
      <c r="GB162" s="190">
        <f>AP162*AP$2*IF($FC162="V",1,-1)*IF($Q162="Fixo",(DD162-INDEX('Curva Forward'!$C$5:$AN$13,MATCH(CONCATENATE(BD_COMERCIAL!$K162," ",BD_COMERCIAL!$L162),'Curva Forward'!$B$5:$B$13,0),MATCH(GB$4,'Curva Forward'!$C$4:$AN$4,0))),DD162)</f>
        <v>0</v>
      </c>
      <c r="GC162" s="190">
        <f>AQ162*AQ$2*IF($FC162="V",1,-1)*IF($Q162="Fixo",(DE162-INDEX('Curva Forward'!$C$5:$AN$13,MATCH(CONCATENATE(BD_COMERCIAL!$K162," ",BD_COMERCIAL!$L162),'Curva Forward'!$B$5:$B$13,0),MATCH(GC$4,'Curva Forward'!$C$4:$AN$4,0))),DE162)</f>
        <v>0</v>
      </c>
      <c r="GD162" s="190">
        <f>AR162*AR$2*IF($FC162="V",1,-1)*IF($Q162="Fixo",(DF162-INDEX('Curva Forward'!$C$5:$AN$13,MATCH(CONCATENATE(BD_COMERCIAL!$K162," ",BD_COMERCIAL!$L162),'Curva Forward'!$B$5:$B$13,0),MATCH(GD$4,'Curva Forward'!$C$4:$AN$4,0))),DF162)</f>
        <v>0</v>
      </c>
      <c r="GE162" s="190">
        <f>AS162*AS$2*IF($FC162="V",1,-1)*IF($Q162="Fixo",(DG162-INDEX('Curva Forward'!$C$5:$AN$13,MATCH(CONCATENATE(BD_COMERCIAL!$K162," ",BD_COMERCIAL!$L162),'Curva Forward'!$B$5:$B$13,0),MATCH(GE$4,'Curva Forward'!$C$4:$AN$4,0))),DG162)</f>
        <v>0</v>
      </c>
      <c r="GF162" s="190">
        <f>AT162*AT$2*IF($FC162="V",1,-1)*IF($Q162="Fixo",(DH162-INDEX('Curva Forward'!$C$5:$AN$13,MATCH(CONCATENATE(BD_COMERCIAL!$K162," ",BD_COMERCIAL!$L162),'Curva Forward'!$B$5:$B$13,0),MATCH(GF$4,'Curva Forward'!$C$4:$AN$4,0))),DH162)</f>
        <v>0</v>
      </c>
      <c r="GG162" s="190">
        <f>AU162*AU$2*IF($FC162="V",1,-1)*IF($Q162="Fixo",(DI162-INDEX('Curva Forward'!$C$5:$AN$13,MATCH(CONCATENATE(BD_COMERCIAL!$K162," ",BD_COMERCIAL!$L162),'Curva Forward'!$B$5:$B$13,0),MATCH(GG$4,'Curva Forward'!$C$4:$AN$4,0))),DI162)</f>
        <v>0</v>
      </c>
      <c r="GH162" s="190">
        <f>AV162*AV$2*IF($FC162="V",1,-1)*IF($Q162="Fixo",(DJ162-INDEX('Curva Forward'!$C$5:$AN$13,MATCH(CONCATENATE(BD_COMERCIAL!$K162," ",BD_COMERCIAL!$L162),'Curva Forward'!$B$5:$B$13,0),MATCH(GH$4,'Curva Forward'!$C$4:$AN$4,0))),DJ162)</f>
        <v>0</v>
      </c>
      <c r="GI162" s="190">
        <f>AW162*AW$2*IF($FC162="V",1,-1)*IF($Q162="Fixo",(DK162-INDEX('Curva Forward'!$C$5:$AN$13,MATCH(CONCATENATE(BD_COMERCIAL!$K162," ",BD_COMERCIAL!$L162),'Curva Forward'!$B$5:$B$13,0),MATCH(GI$4,'Curva Forward'!$C$4:$AN$4,0))),DK162)</f>
        <v>0</v>
      </c>
      <c r="GJ162" s="190">
        <f>AX162*AX$2*IF($FC162="V",1,-1)*IF($Q162="Fixo",(DL162-INDEX('Curva Forward'!$C$5:$AN$13,MATCH(CONCATENATE(BD_COMERCIAL!$K162," ",BD_COMERCIAL!$L162),'Curva Forward'!$B$5:$B$13,0),MATCH(GJ$4,'Curva Forward'!$C$4:$AN$4,0))),DL162)</f>
        <v>0</v>
      </c>
      <c r="GK162" s="190">
        <f>AY162*AY$2*IF($FC162="V",1,-1)*IF($Q162="Fixo",(DM162-INDEX('Curva Forward'!$C$5:$AN$13,MATCH(CONCATENATE(BD_COMERCIAL!$K162," ",BD_COMERCIAL!$L162),'Curva Forward'!$B$5:$B$13,0),MATCH(GK$4,'Curva Forward'!$C$4:$AN$4,0))),DM162)</f>
        <v>0</v>
      </c>
      <c r="GL162" s="190">
        <f>IF(EZ162="",0,CL162*CL$2*IF($FC162="V",1,-1)*IF($Q162="Fixo",(EZ162-INDEX('Curva Forward'!$C$5:$AN$13,MATCH(CONCATENATE(BD_COMERCIAL!$K162," ",BD_COMERCIAL!$L162),'Curva Forward'!$B$5:$B$13,0),MATCH(GL$4,'Curva Forward'!$C$4:$AN$4,0))),EZ162))</f>
        <v>0</v>
      </c>
      <c r="GM162" s="190">
        <f>IF(FA162="",0,CM162*CM$2*IF($FC162="V",1,-1)*IF($Q162="Fixo",(FA162-INDEX('Curva Forward'!$C$5:$AN$13,MATCH(CONCATENATE(BD_COMERCIAL!$K162," ",BD_COMERCIAL!$L162),'Curva Forward'!$B$5:$B$13,0),MATCH(GM$4,'Curva Forward'!$C$4:$AN$4,0))),FA162))</f>
        <v>0</v>
      </c>
      <c r="GN162" s="190">
        <f>IF(FB162="",0,CN162*CN$2*IF($FC162="V",1,-1)*IF($Q162="Fixo",(FB162-INDEX('Curva Forward'!$C$5:$AN$13,MATCH(CONCATENATE(BD_COMERCIAL!$K162," ",BD_COMERCIAL!$L162),'Curva Forward'!$B$5:$B$13,0),MATCH(GN$4,'Curva Forward'!$C$4:$AN$4,0))),FB162))</f>
        <v>0</v>
      </c>
      <c r="GO162" s="191">
        <f t="shared" ca="1" si="25"/>
        <v>0</v>
      </c>
      <c r="GP162" s="191">
        <f t="shared" ca="1" si="26"/>
        <v>0</v>
      </c>
      <c r="GQ162" s="115"/>
      <c r="GR162" s="115"/>
      <c r="GS162"/>
      <c r="GT162" s="65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</row>
    <row r="163" spans="1:236" s="265" customFormat="1" ht="15" customHeight="1" x14ac:dyDescent="0.35">
      <c r="A163" s="251"/>
      <c r="B163" s="275" t="s">
        <v>620</v>
      </c>
      <c r="C163" s="253">
        <v>44959</v>
      </c>
      <c r="D163" s="254" t="s">
        <v>123</v>
      </c>
      <c r="E163" s="254" t="s">
        <v>381</v>
      </c>
      <c r="F163" s="255" t="s">
        <v>348</v>
      </c>
      <c r="G163" s="256" t="s">
        <v>171</v>
      </c>
      <c r="H163" s="255" t="s">
        <v>463</v>
      </c>
      <c r="I163" s="254" t="s">
        <v>596</v>
      </c>
      <c r="J163" s="257" t="s">
        <v>619</v>
      </c>
      <c r="K163" s="256" t="s">
        <v>32</v>
      </c>
      <c r="L163" s="252" t="s">
        <v>22</v>
      </c>
      <c r="M163" s="258">
        <v>44927</v>
      </c>
      <c r="N163" s="259">
        <v>44957</v>
      </c>
      <c r="O163" s="256">
        <v>5</v>
      </c>
      <c r="P163" s="252">
        <v>1</v>
      </c>
      <c r="Q163" s="252" t="s">
        <v>594</v>
      </c>
      <c r="R163" s="256" t="s">
        <v>128</v>
      </c>
      <c r="S163" s="260" t="s">
        <v>133</v>
      </c>
      <c r="T163" s="258"/>
      <c r="U163" s="259"/>
      <c r="V163" s="261"/>
      <c r="W163" s="252"/>
      <c r="X163" s="262" t="s">
        <v>132</v>
      </c>
      <c r="Y163" s="257"/>
      <c r="Z163" s="263"/>
      <c r="AA163" s="264"/>
      <c r="AB163" s="266">
        <v>5</v>
      </c>
      <c r="AM163" s="251"/>
      <c r="AN163" s="266"/>
      <c r="AY163" s="251"/>
      <c r="AZ163" s="266"/>
      <c r="BK163" s="251"/>
      <c r="BL163" s="266"/>
      <c r="BW163" s="251"/>
      <c r="BX163" s="266"/>
      <c r="CI163" s="251"/>
      <c r="CJ163" s="267"/>
      <c r="CK163" s="267"/>
      <c r="CL163" s="267"/>
      <c r="CM163" s="267"/>
      <c r="CN163" s="267"/>
      <c r="CO163" s="268"/>
      <c r="CP163" s="266">
        <v>1</v>
      </c>
      <c r="DA163" s="251"/>
      <c r="DB163" s="266"/>
      <c r="DM163" s="251"/>
      <c r="DN163" s="266"/>
      <c r="DY163" s="251"/>
      <c r="DZ163" s="266"/>
      <c r="EK163" s="251"/>
      <c r="EL163" s="266"/>
      <c r="EW163" s="251"/>
      <c r="EX163" s="267"/>
      <c r="EY163" s="267"/>
      <c r="EZ163" s="267"/>
      <c r="FA163" s="267"/>
      <c r="FB163" s="269"/>
      <c r="FC163" s="265" t="s">
        <v>195</v>
      </c>
      <c r="FD163" s="270" t="s">
        <v>596</v>
      </c>
      <c r="FF163" s="199" t="s">
        <v>197</v>
      </c>
      <c r="FH163" s="206">
        <f t="shared" si="20"/>
        <v>0</v>
      </c>
      <c r="FI163" s="198">
        <f t="shared" si="21"/>
        <v>1</v>
      </c>
      <c r="FJ163"/>
      <c r="FK163" t="str">
        <f t="shared" si="22"/>
        <v>Delta Comercializadora de Energia Ltda</v>
      </c>
      <c r="FL163" s="191">
        <f t="shared" ca="1" si="23"/>
        <v>3720</v>
      </c>
      <c r="FM163" s="191">
        <f t="shared" ca="1" si="24"/>
        <v>0</v>
      </c>
      <c r="FN163" s="190">
        <f>AB163*AB$2*IF($FC163="V",1,-1)*IF($Q163="Fixo",(CP163-INDEX('Curva Forward'!$C$5:$AN$13,MATCH(CONCATENATE(BD_COMERCIAL!$K163," ",BD_COMERCIAL!$L163),'Curva Forward'!$B$5:$B$13,0),MATCH(FN$4,'Curva Forward'!$C$4:$AN$4,0))),CP163)</f>
        <v>3720</v>
      </c>
      <c r="FO163" s="190">
        <f>AC163*AC$2*IF($FC163="V",1,-1)*IF($Q163="Fixo",(CQ163-INDEX('Curva Forward'!$C$5:$AN$13,MATCH(CONCATENATE(BD_COMERCIAL!$K163," ",BD_COMERCIAL!$L163),'Curva Forward'!$B$5:$B$13,0),MATCH(FO$4,'Curva Forward'!$C$4:$AN$4,0))),CQ163)</f>
        <v>0</v>
      </c>
      <c r="FP163" s="190">
        <f>AD163*AD$2*IF($FC163="V",1,-1)*IF($Q163="Fixo",(CR163-INDEX('Curva Forward'!$C$5:$AN$13,MATCH(CONCATENATE(BD_COMERCIAL!$K163," ",BD_COMERCIAL!$L163),'Curva Forward'!$B$5:$B$13,0),MATCH(FP$4,'Curva Forward'!$C$4:$AN$4,0))),CR163)</f>
        <v>0</v>
      </c>
      <c r="FQ163" s="190">
        <f>AE163*AE$2*IF($FC163="V",1,-1)*IF($Q163="Fixo",(CS163-INDEX('Curva Forward'!$C$5:$AN$13,MATCH(CONCATENATE(BD_COMERCIAL!$K163," ",BD_COMERCIAL!$L163),'Curva Forward'!$B$5:$B$13,0),MATCH(FQ$4,'Curva Forward'!$C$4:$AN$4,0))),CS163)</f>
        <v>0</v>
      </c>
      <c r="FR163" s="190">
        <f>AF163*AF$2*IF($FC163="V",1,-1)*IF($Q163="Fixo",(CT163-INDEX('Curva Forward'!$C$5:$AN$13,MATCH(CONCATENATE(BD_COMERCIAL!$K163," ",BD_COMERCIAL!$L163),'Curva Forward'!$B$5:$B$13,0),MATCH(FR$4,'Curva Forward'!$C$4:$AN$4,0))),CT163)</f>
        <v>0</v>
      </c>
      <c r="FS163" s="190">
        <f>AG163*AG$2*IF($FC163="V",1,-1)*IF($Q163="Fixo",(CU163-INDEX('Curva Forward'!$C$5:$AN$13,MATCH(CONCATENATE(BD_COMERCIAL!$K163," ",BD_COMERCIAL!$L163),'Curva Forward'!$B$5:$B$13,0),MATCH(FS$4,'Curva Forward'!$C$4:$AN$4,0))),CU163)</f>
        <v>0</v>
      </c>
      <c r="FT163" s="190">
        <f>AH163*AH$2*IF($FC163="V",1,-1)*IF($Q163="Fixo",(CV163-INDEX('Curva Forward'!$C$5:$AN$13,MATCH(CONCATENATE(BD_COMERCIAL!$K163," ",BD_COMERCIAL!$L163),'Curva Forward'!$B$5:$B$13,0),MATCH(FT$4,'Curva Forward'!$C$4:$AN$4,0))),CV163)</f>
        <v>0</v>
      </c>
      <c r="FU163" s="190">
        <f>AI163*AI$2*IF($FC163="V",1,-1)*IF($Q163="Fixo",(CW163-INDEX('Curva Forward'!$C$5:$AN$13,MATCH(CONCATENATE(BD_COMERCIAL!$K163," ",BD_COMERCIAL!$L163),'Curva Forward'!$B$5:$B$13,0),MATCH(FU$4,'Curva Forward'!$C$4:$AN$4,0))),CW163)</f>
        <v>0</v>
      </c>
      <c r="FV163" s="190">
        <f>AJ163*AJ$2*IF($FC163="V",1,-1)*IF($Q163="Fixo",(CX163-INDEX('Curva Forward'!$C$5:$AN$13,MATCH(CONCATENATE(BD_COMERCIAL!$K163," ",BD_COMERCIAL!$L163),'Curva Forward'!$B$5:$B$13,0),MATCH(FV$4,'Curva Forward'!$C$4:$AN$4,0))),CX163)</f>
        <v>0</v>
      </c>
      <c r="FW163" s="190">
        <f>AK163*AK$2*IF($FC163="V",1,-1)*IF($Q163="Fixo",(CY163-INDEX('Curva Forward'!$C$5:$AN$13,MATCH(CONCATENATE(BD_COMERCIAL!$K163," ",BD_COMERCIAL!$L163),'Curva Forward'!$B$5:$B$13,0),MATCH(FW$4,'Curva Forward'!$C$4:$AN$4,0))),CY163)</f>
        <v>0</v>
      </c>
      <c r="FX163" s="190">
        <f>AL163*AL$2*IF($FC163="V",1,-1)*IF($Q163="Fixo",(CZ163-INDEX('Curva Forward'!$C$5:$AN$13,MATCH(CONCATENATE(BD_COMERCIAL!$K163," ",BD_COMERCIAL!$L163),'Curva Forward'!$B$5:$B$13,0),MATCH(FX$4,'Curva Forward'!$C$4:$AN$4,0))),CZ163)</f>
        <v>0</v>
      </c>
      <c r="FY163" s="190">
        <f>AM163*AM$2*IF($FC163="V",1,-1)*IF($Q163="Fixo",(DA163-INDEX('Curva Forward'!$C$5:$AN$13,MATCH(CONCATENATE(BD_COMERCIAL!$K163," ",BD_COMERCIAL!$L163),'Curva Forward'!$B$5:$B$13,0),MATCH(FY$4,'Curva Forward'!$C$4:$AN$4,0))),DA163)</f>
        <v>0</v>
      </c>
      <c r="FZ163" s="190">
        <f>AN163*AN$2*IF($FC163="V",1,-1)*IF($Q163="Fixo",(DB163-INDEX('Curva Forward'!$C$5:$AN$13,MATCH(CONCATENATE(BD_COMERCIAL!$K163," ",BD_COMERCIAL!$L163),'Curva Forward'!$B$5:$B$13,0),MATCH(FZ$4,'Curva Forward'!$C$4:$AN$4,0))),DB163)</f>
        <v>0</v>
      </c>
      <c r="GA163" s="190">
        <f>AO163*AO$2*IF($FC163="V",1,-1)*IF($Q163="Fixo",(DC163-INDEX('Curva Forward'!$C$5:$AN$13,MATCH(CONCATENATE(BD_COMERCIAL!$K163," ",BD_COMERCIAL!$L163),'Curva Forward'!$B$5:$B$13,0),MATCH(GA$4,'Curva Forward'!$C$4:$AN$4,0))),DC163)</f>
        <v>0</v>
      </c>
      <c r="GB163" s="190">
        <f>AP163*AP$2*IF($FC163="V",1,-1)*IF($Q163="Fixo",(DD163-INDEX('Curva Forward'!$C$5:$AN$13,MATCH(CONCATENATE(BD_COMERCIAL!$K163," ",BD_COMERCIAL!$L163),'Curva Forward'!$B$5:$B$13,0),MATCH(GB$4,'Curva Forward'!$C$4:$AN$4,0))),DD163)</f>
        <v>0</v>
      </c>
      <c r="GC163" s="190">
        <f>AQ163*AQ$2*IF($FC163="V",1,-1)*IF($Q163="Fixo",(DE163-INDEX('Curva Forward'!$C$5:$AN$13,MATCH(CONCATENATE(BD_COMERCIAL!$K163," ",BD_COMERCIAL!$L163),'Curva Forward'!$B$5:$B$13,0),MATCH(GC$4,'Curva Forward'!$C$4:$AN$4,0))),DE163)</f>
        <v>0</v>
      </c>
      <c r="GD163" s="190">
        <f>AR163*AR$2*IF($FC163="V",1,-1)*IF($Q163="Fixo",(DF163-INDEX('Curva Forward'!$C$5:$AN$13,MATCH(CONCATENATE(BD_COMERCIAL!$K163," ",BD_COMERCIAL!$L163),'Curva Forward'!$B$5:$B$13,0),MATCH(GD$4,'Curva Forward'!$C$4:$AN$4,0))),DF163)</f>
        <v>0</v>
      </c>
      <c r="GE163" s="190">
        <f>AS163*AS$2*IF($FC163="V",1,-1)*IF($Q163="Fixo",(DG163-INDEX('Curva Forward'!$C$5:$AN$13,MATCH(CONCATENATE(BD_COMERCIAL!$K163," ",BD_COMERCIAL!$L163),'Curva Forward'!$B$5:$B$13,0),MATCH(GE$4,'Curva Forward'!$C$4:$AN$4,0))),DG163)</f>
        <v>0</v>
      </c>
      <c r="GF163" s="190">
        <f>AT163*AT$2*IF($FC163="V",1,-1)*IF($Q163="Fixo",(DH163-INDEX('Curva Forward'!$C$5:$AN$13,MATCH(CONCATENATE(BD_COMERCIAL!$K163," ",BD_COMERCIAL!$L163),'Curva Forward'!$B$5:$B$13,0),MATCH(GF$4,'Curva Forward'!$C$4:$AN$4,0))),DH163)</f>
        <v>0</v>
      </c>
      <c r="GG163" s="190">
        <f>AU163*AU$2*IF($FC163="V",1,-1)*IF($Q163="Fixo",(DI163-INDEX('Curva Forward'!$C$5:$AN$13,MATCH(CONCATENATE(BD_COMERCIAL!$K163," ",BD_COMERCIAL!$L163),'Curva Forward'!$B$5:$B$13,0),MATCH(GG$4,'Curva Forward'!$C$4:$AN$4,0))),DI163)</f>
        <v>0</v>
      </c>
      <c r="GH163" s="190">
        <f>AV163*AV$2*IF($FC163="V",1,-1)*IF($Q163="Fixo",(DJ163-INDEX('Curva Forward'!$C$5:$AN$13,MATCH(CONCATENATE(BD_COMERCIAL!$K163," ",BD_COMERCIAL!$L163),'Curva Forward'!$B$5:$B$13,0),MATCH(GH$4,'Curva Forward'!$C$4:$AN$4,0))),DJ163)</f>
        <v>0</v>
      </c>
      <c r="GI163" s="190">
        <f>AW163*AW$2*IF($FC163="V",1,-1)*IF($Q163="Fixo",(DK163-INDEX('Curva Forward'!$C$5:$AN$13,MATCH(CONCATENATE(BD_COMERCIAL!$K163," ",BD_COMERCIAL!$L163),'Curva Forward'!$B$5:$B$13,0),MATCH(GI$4,'Curva Forward'!$C$4:$AN$4,0))),DK163)</f>
        <v>0</v>
      </c>
      <c r="GJ163" s="190">
        <f>AX163*AX$2*IF($FC163="V",1,-1)*IF($Q163="Fixo",(DL163-INDEX('Curva Forward'!$C$5:$AN$13,MATCH(CONCATENATE(BD_COMERCIAL!$K163," ",BD_COMERCIAL!$L163),'Curva Forward'!$B$5:$B$13,0),MATCH(GJ$4,'Curva Forward'!$C$4:$AN$4,0))),DL163)</f>
        <v>0</v>
      </c>
      <c r="GK163" s="190">
        <f>AY163*AY$2*IF($FC163="V",1,-1)*IF($Q163="Fixo",(DM163-INDEX('Curva Forward'!$C$5:$AN$13,MATCH(CONCATENATE(BD_COMERCIAL!$K163," ",BD_COMERCIAL!$L163),'Curva Forward'!$B$5:$B$13,0),MATCH(GK$4,'Curva Forward'!$C$4:$AN$4,0))),DM163)</f>
        <v>0</v>
      </c>
      <c r="GL163" s="190">
        <f>IF(EZ163="",0,CL163*CL$2*IF($FC163="V",1,-1)*IF($Q163="Fixo",(EZ163-INDEX('Curva Forward'!$C$5:$AN$13,MATCH(CONCATENATE(BD_COMERCIAL!$K163," ",BD_COMERCIAL!$L163),'Curva Forward'!$B$5:$B$13,0),MATCH(GL$4,'Curva Forward'!$C$4:$AN$4,0))),EZ163))</f>
        <v>0</v>
      </c>
      <c r="GM163" s="190">
        <f>IF(FA163="",0,CM163*CM$2*IF($FC163="V",1,-1)*IF($Q163="Fixo",(FA163-INDEX('Curva Forward'!$C$5:$AN$13,MATCH(CONCATENATE(BD_COMERCIAL!$K163," ",BD_COMERCIAL!$L163),'Curva Forward'!$B$5:$B$13,0),MATCH(GM$4,'Curva Forward'!$C$4:$AN$4,0))),FA163))</f>
        <v>0</v>
      </c>
      <c r="GN163" s="190">
        <f>IF(FB163="",0,CN163*CN$2*IF($FC163="V",1,-1)*IF($Q163="Fixo",(FB163-INDEX('Curva Forward'!$C$5:$AN$13,MATCH(CONCATENATE(BD_COMERCIAL!$K163," ",BD_COMERCIAL!$L163),'Curva Forward'!$B$5:$B$13,0),MATCH(GN$4,'Curva Forward'!$C$4:$AN$4,0))),FB163))</f>
        <v>0</v>
      </c>
      <c r="GO163" s="191">
        <f t="shared" ca="1" si="25"/>
        <v>0</v>
      </c>
      <c r="GP163" s="191">
        <f t="shared" ca="1" si="26"/>
        <v>0</v>
      </c>
      <c r="GQ163" s="115"/>
      <c r="GR163" s="115"/>
      <c r="GS163"/>
      <c r="GT163" s="65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</row>
    <row r="164" spans="1:236" s="265" customFormat="1" ht="15" customHeight="1" x14ac:dyDescent="0.35">
      <c r="A164" s="251"/>
      <c r="B164" s="275" t="s">
        <v>621</v>
      </c>
      <c r="C164" s="253">
        <v>44959</v>
      </c>
      <c r="D164" s="254" t="s">
        <v>123</v>
      </c>
      <c r="E164" s="254" t="s">
        <v>381</v>
      </c>
      <c r="F164" s="255" t="s">
        <v>348</v>
      </c>
      <c r="G164" s="256" t="s">
        <v>188</v>
      </c>
      <c r="H164" s="255" t="s">
        <v>433</v>
      </c>
      <c r="I164" s="254" t="s">
        <v>137</v>
      </c>
      <c r="J164" s="257"/>
      <c r="K164" s="256" t="s">
        <v>126</v>
      </c>
      <c r="L164" s="252" t="s">
        <v>22</v>
      </c>
      <c r="M164" s="258">
        <v>45108</v>
      </c>
      <c r="N164" s="259">
        <v>45291</v>
      </c>
      <c r="O164" s="256">
        <v>5</v>
      </c>
      <c r="P164" s="252">
        <v>74.5</v>
      </c>
      <c r="Q164" s="252" t="s">
        <v>127</v>
      </c>
      <c r="R164" s="256" t="s">
        <v>128</v>
      </c>
      <c r="S164" s="260" t="s">
        <v>133</v>
      </c>
      <c r="T164" s="258"/>
      <c r="U164" s="259"/>
      <c r="V164" s="261"/>
      <c r="W164" s="252"/>
      <c r="X164" s="262" t="s">
        <v>132</v>
      </c>
      <c r="Y164" s="257"/>
      <c r="Z164" s="263"/>
      <c r="AA164" s="264"/>
      <c r="AB164" s="266"/>
      <c r="AH164" s="265">
        <v>5</v>
      </c>
      <c r="AI164" s="265">
        <v>5</v>
      </c>
      <c r="AJ164" s="265">
        <v>5</v>
      </c>
      <c r="AK164" s="265">
        <v>5</v>
      </c>
      <c r="AL164" s="265">
        <v>5</v>
      </c>
      <c r="AM164" s="251">
        <v>5</v>
      </c>
      <c r="AN164" s="266"/>
      <c r="AY164" s="251"/>
      <c r="AZ164" s="266"/>
      <c r="BK164" s="251"/>
      <c r="BL164" s="266"/>
      <c r="BW164" s="251"/>
      <c r="BX164" s="266"/>
      <c r="CI164" s="251"/>
      <c r="CJ164" s="267"/>
      <c r="CK164" s="267"/>
      <c r="CL164" s="267"/>
      <c r="CM164" s="267"/>
      <c r="CN164" s="267"/>
      <c r="CO164" s="268"/>
      <c r="CP164" s="266"/>
      <c r="CV164" s="265">
        <v>74.5</v>
      </c>
      <c r="CW164" s="265">
        <v>74.5</v>
      </c>
      <c r="CX164" s="265">
        <v>74.5</v>
      </c>
      <c r="CY164" s="265">
        <v>74.5</v>
      </c>
      <c r="CZ164" s="265">
        <v>74.5</v>
      </c>
      <c r="DA164" s="251">
        <v>74.5</v>
      </c>
      <c r="DB164" s="266"/>
      <c r="DM164" s="251"/>
      <c r="DN164" s="266"/>
      <c r="DY164" s="251"/>
      <c r="DZ164" s="266"/>
      <c r="EK164" s="251"/>
      <c r="EL164" s="266"/>
      <c r="EW164" s="251"/>
      <c r="EX164" s="267"/>
      <c r="EY164" s="267"/>
      <c r="EZ164" s="267"/>
      <c r="FA164" s="267"/>
      <c r="FB164" s="269"/>
      <c r="FC164" s="265" t="s">
        <v>195</v>
      </c>
      <c r="FD164" s="270" t="s">
        <v>137</v>
      </c>
      <c r="FF164" s="199" t="s">
        <v>197</v>
      </c>
      <c r="FH164" s="206">
        <f t="shared" si="20"/>
        <v>0</v>
      </c>
      <c r="FI164" s="198">
        <f t="shared" si="21"/>
        <v>6.1</v>
      </c>
      <c r="FJ164"/>
      <c r="FK164" t="str">
        <f t="shared" si="22"/>
        <v>Atmo Comercializadora de Energia Ltda</v>
      </c>
      <c r="FL164" s="191">
        <f t="shared" ca="1" si="23"/>
        <v>0</v>
      </c>
      <c r="FM164" s="191">
        <f t="shared" ca="1" si="24"/>
        <v>11040</v>
      </c>
      <c r="FN164" s="190">
        <f>AB164*AB$2*IF($FC164="V",1,-1)*IF($Q164="Fixo",(CP164-INDEX('Curva Forward'!$C$5:$AN$13,MATCH(CONCATENATE(BD_COMERCIAL!$K164," ",BD_COMERCIAL!$L164),'Curva Forward'!$B$5:$B$13,0),MATCH(FN$4,'Curva Forward'!$C$4:$AN$4,0))),CP164)</f>
        <v>0</v>
      </c>
      <c r="FO164" s="190">
        <f>AC164*AC$2*IF($FC164="V",1,-1)*IF($Q164="Fixo",(CQ164-INDEX('Curva Forward'!$C$5:$AN$13,MATCH(CONCATENATE(BD_COMERCIAL!$K164," ",BD_COMERCIAL!$L164),'Curva Forward'!$B$5:$B$13,0),MATCH(FO$4,'Curva Forward'!$C$4:$AN$4,0))),CQ164)</f>
        <v>0</v>
      </c>
      <c r="FP164" s="190">
        <f>AD164*AD$2*IF($FC164="V",1,-1)*IF($Q164="Fixo",(CR164-INDEX('Curva Forward'!$C$5:$AN$13,MATCH(CONCATENATE(BD_COMERCIAL!$K164," ",BD_COMERCIAL!$L164),'Curva Forward'!$B$5:$B$13,0),MATCH(FP$4,'Curva Forward'!$C$4:$AN$4,0))),CR164)</f>
        <v>0</v>
      </c>
      <c r="FQ164" s="190">
        <f>AE164*AE$2*IF($FC164="V",1,-1)*IF($Q164="Fixo",(CS164-INDEX('Curva Forward'!$C$5:$AN$13,MATCH(CONCATENATE(BD_COMERCIAL!$K164," ",BD_COMERCIAL!$L164),'Curva Forward'!$B$5:$B$13,0),MATCH(FQ$4,'Curva Forward'!$C$4:$AN$4,0))),CS164)</f>
        <v>0</v>
      </c>
      <c r="FR164" s="190">
        <f>AF164*AF$2*IF($FC164="V",1,-1)*IF($Q164="Fixo",(CT164-INDEX('Curva Forward'!$C$5:$AN$13,MATCH(CONCATENATE(BD_COMERCIAL!$K164," ",BD_COMERCIAL!$L164),'Curva Forward'!$B$5:$B$13,0),MATCH(FR$4,'Curva Forward'!$C$4:$AN$4,0))),CT164)</f>
        <v>0</v>
      </c>
      <c r="FS164" s="190">
        <f>AG164*AG$2*IF($FC164="V",1,-1)*IF($Q164="Fixo",(CU164-INDEX('Curva Forward'!$C$5:$AN$13,MATCH(CONCATENATE(BD_COMERCIAL!$K164," ",BD_COMERCIAL!$L164),'Curva Forward'!$B$5:$B$13,0),MATCH(FS$4,'Curva Forward'!$C$4:$AN$4,0))),CU164)</f>
        <v>0</v>
      </c>
      <c r="FT164" s="190">
        <f>AH164*AH$2*IF($FC164="V",1,-1)*IF($Q164="Fixo",(CV164-INDEX('Curva Forward'!$C$5:$AN$13,MATCH(CONCATENATE(BD_COMERCIAL!$K164," ",BD_COMERCIAL!$L164),'Curva Forward'!$B$5:$B$13,0),MATCH(FT$4,'Curva Forward'!$C$4:$AN$4,0))),CV164)</f>
        <v>5580</v>
      </c>
      <c r="FU164" s="190">
        <f>AI164*AI$2*IF($FC164="V",1,-1)*IF($Q164="Fixo",(CW164-INDEX('Curva Forward'!$C$5:$AN$13,MATCH(CONCATENATE(BD_COMERCIAL!$K164," ",BD_COMERCIAL!$L164),'Curva Forward'!$B$5:$B$13,0),MATCH(FU$4,'Curva Forward'!$C$4:$AN$4,0))),CW164)</f>
        <v>5580</v>
      </c>
      <c r="FV164" s="190">
        <f>AJ164*AJ$2*IF($FC164="V",1,-1)*IF($Q164="Fixo",(CX164-INDEX('Curva Forward'!$C$5:$AN$13,MATCH(CONCATENATE(BD_COMERCIAL!$K164," ",BD_COMERCIAL!$L164),'Curva Forward'!$B$5:$B$13,0),MATCH(FV$4,'Curva Forward'!$C$4:$AN$4,0))),CX164)</f>
        <v>5400</v>
      </c>
      <c r="FW164" s="190">
        <f>AK164*AK$2*IF($FC164="V",1,-1)*IF($Q164="Fixo",(CY164-INDEX('Curva Forward'!$C$5:$AN$13,MATCH(CONCATENATE(BD_COMERCIAL!$K164," ",BD_COMERCIAL!$L164),'Curva Forward'!$B$5:$B$13,0),MATCH(FW$4,'Curva Forward'!$C$4:$AN$4,0))),CY164)</f>
        <v>-1860</v>
      </c>
      <c r="FX164" s="190">
        <f>AL164*AL$2*IF($FC164="V",1,-1)*IF($Q164="Fixo",(CZ164-INDEX('Curva Forward'!$C$5:$AN$13,MATCH(CONCATENATE(BD_COMERCIAL!$K164," ",BD_COMERCIAL!$L164),'Curva Forward'!$B$5:$B$13,0),MATCH(FX$4,'Curva Forward'!$C$4:$AN$4,0))),CZ164)</f>
        <v>-1800</v>
      </c>
      <c r="FY164" s="190">
        <f>AM164*AM$2*IF($FC164="V",1,-1)*IF($Q164="Fixo",(DA164-INDEX('Curva Forward'!$C$5:$AN$13,MATCH(CONCATENATE(BD_COMERCIAL!$K164," ",BD_COMERCIAL!$L164),'Curva Forward'!$B$5:$B$13,0),MATCH(FY$4,'Curva Forward'!$C$4:$AN$4,0))),DA164)</f>
        <v>-1860</v>
      </c>
      <c r="FZ164" s="190">
        <f>AN164*AN$2*IF($FC164="V",1,-1)*IF($Q164="Fixo",(DB164-INDEX('Curva Forward'!$C$5:$AN$13,MATCH(CONCATENATE(BD_COMERCIAL!$K164," ",BD_COMERCIAL!$L164),'Curva Forward'!$B$5:$B$13,0),MATCH(FZ$4,'Curva Forward'!$C$4:$AN$4,0))),DB164)</f>
        <v>0</v>
      </c>
      <c r="GA164" s="190">
        <f>AO164*AO$2*IF($FC164="V",1,-1)*IF($Q164="Fixo",(DC164-INDEX('Curva Forward'!$C$5:$AN$13,MATCH(CONCATENATE(BD_COMERCIAL!$K164," ",BD_COMERCIAL!$L164),'Curva Forward'!$B$5:$B$13,0),MATCH(GA$4,'Curva Forward'!$C$4:$AN$4,0))),DC164)</f>
        <v>0</v>
      </c>
      <c r="GB164" s="190">
        <f>AP164*AP$2*IF($FC164="V",1,-1)*IF($Q164="Fixo",(DD164-INDEX('Curva Forward'!$C$5:$AN$13,MATCH(CONCATENATE(BD_COMERCIAL!$K164," ",BD_COMERCIAL!$L164),'Curva Forward'!$B$5:$B$13,0),MATCH(GB$4,'Curva Forward'!$C$4:$AN$4,0))),DD164)</f>
        <v>0</v>
      </c>
      <c r="GC164" s="190">
        <f>AQ164*AQ$2*IF($FC164="V",1,-1)*IF($Q164="Fixo",(DE164-INDEX('Curva Forward'!$C$5:$AN$13,MATCH(CONCATENATE(BD_COMERCIAL!$K164," ",BD_COMERCIAL!$L164),'Curva Forward'!$B$5:$B$13,0),MATCH(GC$4,'Curva Forward'!$C$4:$AN$4,0))),DE164)</f>
        <v>0</v>
      </c>
      <c r="GD164" s="190">
        <f>AR164*AR$2*IF($FC164="V",1,-1)*IF($Q164="Fixo",(DF164-INDEX('Curva Forward'!$C$5:$AN$13,MATCH(CONCATENATE(BD_COMERCIAL!$K164," ",BD_COMERCIAL!$L164),'Curva Forward'!$B$5:$B$13,0),MATCH(GD$4,'Curva Forward'!$C$4:$AN$4,0))),DF164)</f>
        <v>0</v>
      </c>
      <c r="GE164" s="190">
        <f>AS164*AS$2*IF($FC164="V",1,-1)*IF($Q164="Fixo",(DG164-INDEX('Curva Forward'!$C$5:$AN$13,MATCH(CONCATENATE(BD_COMERCIAL!$K164," ",BD_COMERCIAL!$L164),'Curva Forward'!$B$5:$B$13,0),MATCH(GE$4,'Curva Forward'!$C$4:$AN$4,0))),DG164)</f>
        <v>0</v>
      </c>
      <c r="GF164" s="190">
        <f>AT164*AT$2*IF($FC164="V",1,-1)*IF($Q164="Fixo",(DH164-INDEX('Curva Forward'!$C$5:$AN$13,MATCH(CONCATENATE(BD_COMERCIAL!$K164," ",BD_COMERCIAL!$L164),'Curva Forward'!$B$5:$B$13,0),MATCH(GF$4,'Curva Forward'!$C$4:$AN$4,0))),DH164)</f>
        <v>0</v>
      </c>
      <c r="GG164" s="190">
        <f>AU164*AU$2*IF($FC164="V",1,-1)*IF($Q164="Fixo",(DI164-INDEX('Curva Forward'!$C$5:$AN$13,MATCH(CONCATENATE(BD_COMERCIAL!$K164," ",BD_COMERCIAL!$L164),'Curva Forward'!$B$5:$B$13,0),MATCH(GG$4,'Curva Forward'!$C$4:$AN$4,0))),DI164)</f>
        <v>0</v>
      </c>
      <c r="GH164" s="190">
        <f>AV164*AV$2*IF($FC164="V",1,-1)*IF($Q164="Fixo",(DJ164-INDEX('Curva Forward'!$C$5:$AN$13,MATCH(CONCATENATE(BD_COMERCIAL!$K164," ",BD_COMERCIAL!$L164),'Curva Forward'!$B$5:$B$13,0),MATCH(GH$4,'Curva Forward'!$C$4:$AN$4,0))),DJ164)</f>
        <v>0</v>
      </c>
      <c r="GI164" s="190">
        <f>AW164*AW$2*IF($FC164="V",1,-1)*IF($Q164="Fixo",(DK164-INDEX('Curva Forward'!$C$5:$AN$13,MATCH(CONCATENATE(BD_COMERCIAL!$K164," ",BD_COMERCIAL!$L164),'Curva Forward'!$B$5:$B$13,0),MATCH(GI$4,'Curva Forward'!$C$4:$AN$4,0))),DK164)</f>
        <v>0</v>
      </c>
      <c r="GJ164" s="190">
        <f>AX164*AX$2*IF($FC164="V",1,-1)*IF($Q164="Fixo",(DL164-INDEX('Curva Forward'!$C$5:$AN$13,MATCH(CONCATENATE(BD_COMERCIAL!$K164," ",BD_COMERCIAL!$L164),'Curva Forward'!$B$5:$B$13,0),MATCH(GJ$4,'Curva Forward'!$C$4:$AN$4,0))),DL164)</f>
        <v>0</v>
      </c>
      <c r="GK164" s="190">
        <f>AY164*AY$2*IF($FC164="V",1,-1)*IF($Q164="Fixo",(DM164-INDEX('Curva Forward'!$C$5:$AN$13,MATCH(CONCATENATE(BD_COMERCIAL!$K164," ",BD_COMERCIAL!$L164),'Curva Forward'!$B$5:$B$13,0),MATCH(GK$4,'Curva Forward'!$C$4:$AN$4,0))),DM164)</f>
        <v>0</v>
      </c>
      <c r="GL164" s="190">
        <f>IF(EZ164="",0,CL164*CL$2*IF($FC164="V",1,-1)*IF($Q164="Fixo",(EZ164-INDEX('Curva Forward'!$C$5:$AN$13,MATCH(CONCATENATE(BD_COMERCIAL!$K164," ",BD_COMERCIAL!$L164),'Curva Forward'!$B$5:$B$13,0),MATCH(GL$4,'Curva Forward'!$C$4:$AN$4,0))),EZ164))</f>
        <v>0</v>
      </c>
      <c r="GM164" s="190">
        <f>IF(FA164="",0,CM164*CM$2*IF($FC164="V",1,-1)*IF($Q164="Fixo",(FA164-INDEX('Curva Forward'!$C$5:$AN$13,MATCH(CONCATENATE(BD_COMERCIAL!$K164," ",BD_COMERCIAL!$L164),'Curva Forward'!$B$5:$B$13,0),MATCH(GM$4,'Curva Forward'!$C$4:$AN$4,0))),FA164))</f>
        <v>0</v>
      </c>
      <c r="GN164" s="190">
        <f>IF(FB164="",0,CN164*CN$2*IF($FC164="V",1,-1)*IF($Q164="Fixo",(FB164-INDEX('Curva Forward'!$C$5:$AN$13,MATCH(CONCATENATE(BD_COMERCIAL!$K164," ",BD_COMERCIAL!$L164),'Curva Forward'!$B$5:$B$13,0),MATCH(GN$4,'Curva Forward'!$C$4:$AN$4,0))),FB164))</f>
        <v>0</v>
      </c>
      <c r="GO164" s="191">
        <f t="shared" ca="1" si="25"/>
        <v>11040</v>
      </c>
      <c r="GP164" s="191">
        <f t="shared" ca="1" si="26"/>
        <v>0</v>
      </c>
      <c r="GQ164" s="115"/>
      <c r="GR164" s="115"/>
      <c r="GS164"/>
      <c r="GT164" s="65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</row>
    <row r="165" spans="1:236" s="265" customFormat="1" ht="15" customHeight="1" x14ac:dyDescent="0.35">
      <c r="A165" s="251"/>
      <c r="B165" s="275" t="s">
        <v>622</v>
      </c>
      <c r="C165" s="253">
        <v>44959</v>
      </c>
      <c r="D165" s="254" t="s">
        <v>123</v>
      </c>
      <c r="E165" s="254" t="s">
        <v>381</v>
      </c>
      <c r="F165" s="255" t="s">
        <v>348</v>
      </c>
      <c r="G165" s="256" t="s">
        <v>171</v>
      </c>
      <c r="H165" s="255" t="s">
        <v>463</v>
      </c>
      <c r="I165" s="254" t="s">
        <v>596</v>
      </c>
      <c r="J165" s="257" t="s">
        <v>619</v>
      </c>
      <c r="K165" s="256" t="s">
        <v>32</v>
      </c>
      <c r="L165" s="252" t="s">
        <v>22</v>
      </c>
      <c r="M165" s="258">
        <v>44927</v>
      </c>
      <c r="N165" s="259">
        <v>44957</v>
      </c>
      <c r="O165" s="256">
        <v>5</v>
      </c>
      <c r="P165" s="252">
        <v>1</v>
      </c>
      <c r="Q165" s="252" t="s">
        <v>594</v>
      </c>
      <c r="R165" s="256" t="s">
        <v>128</v>
      </c>
      <c r="S165" s="260" t="s">
        <v>133</v>
      </c>
      <c r="T165" s="258"/>
      <c r="U165" s="259"/>
      <c r="V165" s="261"/>
      <c r="W165" s="252"/>
      <c r="X165" s="262" t="s">
        <v>132</v>
      </c>
      <c r="Y165" s="257"/>
      <c r="Z165" s="263"/>
      <c r="AA165" s="264"/>
      <c r="AB165" s="266">
        <v>5</v>
      </c>
      <c r="AM165" s="251"/>
      <c r="AN165" s="266"/>
      <c r="AY165" s="251"/>
      <c r="AZ165" s="266"/>
      <c r="BK165" s="251"/>
      <c r="BL165" s="266"/>
      <c r="BW165" s="251"/>
      <c r="BX165" s="266"/>
      <c r="CI165" s="251"/>
      <c r="CJ165" s="267"/>
      <c r="CK165" s="267"/>
      <c r="CL165" s="267"/>
      <c r="CM165" s="267"/>
      <c r="CN165" s="267"/>
      <c r="CO165" s="268"/>
      <c r="CP165" s="266">
        <v>1</v>
      </c>
      <c r="DA165" s="251"/>
      <c r="DB165" s="266"/>
      <c r="DM165" s="251"/>
      <c r="DN165" s="266"/>
      <c r="DY165" s="251"/>
      <c r="DZ165" s="266"/>
      <c r="EK165" s="251"/>
      <c r="EL165" s="266"/>
      <c r="EW165" s="251"/>
      <c r="EX165" s="267"/>
      <c r="EY165" s="267"/>
      <c r="EZ165" s="267"/>
      <c r="FA165" s="267"/>
      <c r="FB165" s="269"/>
      <c r="FC165" s="265" t="s">
        <v>195</v>
      </c>
      <c r="FD165" s="270" t="s">
        <v>596</v>
      </c>
      <c r="FF165" s="199" t="s">
        <v>197</v>
      </c>
      <c r="FH165" s="206">
        <f t="shared" si="20"/>
        <v>0</v>
      </c>
      <c r="FI165" s="198">
        <f t="shared" si="21"/>
        <v>1</v>
      </c>
      <c r="FJ165"/>
      <c r="FK165" t="str">
        <f t="shared" si="22"/>
        <v>Delta Comercializadora de Energia Ltda</v>
      </c>
      <c r="FL165" s="191">
        <f t="shared" ca="1" si="23"/>
        <v>3720</v>
      </c>
      <c r="FM165" s="191">
        <f t="shared" ca="1" si="24"/>
        <v>0</v>
      </c>
      <c r="FN165" s="190">
        <f>AB165*AB$2*IF($FC165="V",1,-1)*IF($Q165="Fixo",(CP165-INDEX('Curva Forward'!$C$5:$AN$13,MATCH(CONCATENATE(BD_COMERCIAL!$K165," ",BD_COMERCIAL!$L165),'Curva Forward'!$B$5:$B$13,0),MATCH(FN$4,'Curva Forward'!$C$4:$AN$4,0))),CP165)</f>
        <v>3720</v>
      </c>
      <c r="FO165" s="190">
        <f>AC165*AC$2*IF($FC165="V",1,-1)*IF($Q165="Fixo",(CQ165-INDEX('Curva Forward'!$C$5:$AN$13,MATCH(CONCATENATE(BD_COMERCIAL!$K165," ",BD_COMERCIAL!$L165),'Curva Forward'!$B$5:$B$13,0),MATCH(FO$4,'Curva Forward'!$C$4:$AN$4,0))),CQ165)</f>
        <v>0</v>
      </c>
      <c r="FP165" s="190">
        <f>AD165*AD$2*IF($FC165="V",1,-1)*IF($Q165="Fixo",(CR165-INDEX('Curva Forward'!$C$5:$AN$13,MATCH(CONCATENATE(BD_COMERCIAL!$K165," ",BD_COMERCIAL!$L165),'Curva Forward'!$B$5:$B$13,0),MATCH(FP$4,'Curva Forward'!$C$4:$AN$4,0))),CR165)</f>
        <v>0</v>
      </c>
      <c r="FQ165" s="190">
        <f>AE165*AE$2*IF($FC165="V",1,-1)*IF($Q165="Fixo",(CS165-INDEX('Curva Forward'!$C$5:$AN$13,MATCH(CONCATENATE(BD_COMERCIAL!$K165," ",BD_COMERCIAL!$L165),'Curva Forward'!$B$5:$B$13,0),MATCH(FQ$4,'Curva Forward'!$C$4:$AN$4,0))),CS165)</f>
        <v>0</v>
      </c>
      <c r="FR165" s="190">
        <f>AF165*AF$2*IF($FC165="V",1,-1)*IF($Q165="Fixo",(CT165-INDEX('Curva Forward'!$C$5:$AN$13,MATCH(CONCATENATE(BD_COMERCIAL!$K165," ",BD_COMERCIAL!$L165),'Curva Forward'!$B$5:$B$13,0),MATCH(FR$4,'Curva Forward'!$C$4:$AN$4,0))),CT165)</f>
        <v>0</v>
      </c>
      <c r="FS165" s="190">
        <f>AG165*AG$2*IF($FC165="V",1,-1)*IF($Q165="Fixo",(CU165-INDEX('Curva Forward'!$C$5:$AN$13,MATCH(CONCATENATE(BD_COMERCIAL!$K165," ",BD_COMERCIAL!$L165),'Curva Forward'!$B$5:$B$13,0),MATCH(FS$4,'Curva Forward'!$C$4:$AN$4,0))),CU165)</f>
        <v>0</v>
      </c>
      <c r="FT165" s="190">
        <f>AH165*AH$2*IF($FC165="V",1,-1)*IF($Q165="Fixo",(CV165-INDEX('Curva Forward'!$C$5:$AN$13,MATCH(CONCATENATE(BD_COMERCIAL!$K165," ",BD_COMERCIAL!$L165),'Curva Forward'!$B$5:$B$13,0),MATCH(FT$4,'Curva Forward'!$C$4:$AN$4,0))),CV165)</f>
        <v>0</v>
      </c>
      <c r="FU165" s="190">
        <f>AI165*AI$2*IF($FC165="V",1,-1)*IF($Q165="Fixo",(CW165-INDEX('Curva Forward'!$C$5:$AN$13,MATCH(CONCATENATE(BD_COMERCIAL!$K165," ",BD_COMERCIAL!$L165),'Curva Forward'!$B$5:$B$13,0),MATCH(FU$4,'Curva Forward'!$C$4:$AN$4,0))),CW165)</f>
        <v>0</v>
      </c>
      <c r="FV165" s="190">
        <f>AJ165*AJ$2*IF($FC165="V",1,-1)*IF($Q165="Fixo",(CX165-INDEX('Curva Forward'!$C$5:$AN$13,MATCH(CONCATENATE(BD_COMERCIAL!$K165," ",BD_COMERCIAL!$L165),'Curva Forward'!$B$5:$B$13,0),MATCH(FV$4,'Curva Forward'!$C$4:$AN$4,0))),CX165)</f>
        <v>0</v>
      </c>
      <c r="FW165" s="190">
        <f>AK165*AK$2*IF($FC165="V",1,-1)*IF($Q165="Fixo",(CY165-INDEX('Curva Forward'!$C$5:$AN$13,MATCH(CONCATENATE(BD_COMERCIAL!$K165," ",BD_COMERCIAL!$L165),'Curva Forward'!$B$5:$B$13,0),MATCH(FW$4,'Curva Forward'!$C$4:$AN$4,0))),CY165)</f>
        <v>0</v>
      </c>
      <c r="FX165" s="190">
        <f>AL165*AL$2*IF($FC165="V",1,-1)*IF($Q165="Fixo",(CZ165-INDEX('Curva Forward'!$C$5:$AN$13,MATCH(CONCATENATE(BD_COMERCIAL!$K165," ",BD_COMERCIAL!$L165),'Curva Forward'!$B$5:$B$13,0),MATCH(FX$4,'Curva Forward'!$C$4:$AN$4,0))),CZ165)</f>
        <v>0</v>
      </c>
      <c r="FY165" s="190">
        <f>AM165*AM$2*IF($FC165="V",1,-1)*IF($Q165="Fixo",(DA165-INDEX('Curva Forward'!$C$5:$AN$13,MATCH(CONCATENATE(BD_COMERCIAL!$K165," ",BD_COMERCIAL!$L165),'Curva Forward'!$B$5:$B$13,0),MATCH(FY$4,'Curva Forward'!$C$4:$AN$4,0))),DA165)</f>
        <v>0</v>
      </c>
      <c r="FZ165" s="190">
        <f>AN165*AN$2*IF($FC165="V",1,-1)*IF($Q165="Fixo",(DB165-INDEX('Curva Forward'!$C$5:$AN$13,MATCH(CONCATENATE(BD_COMERCIAL!$K165," ",BD_COMERCIAL!$L165),'Curva Forward'!$B$5:$B$13,0),MATCH(FZ$4,'Curva Forward'!$C$4:$AN$4,0))),DB165)</f>
        <v>0</v>
      </c>
      <c r="GA165" s="190">
        <f>AO165*AO$2*IF($FC165="V",1,-1)*IF($Q165="Fixo",(DC165-INDEX('Curva Forward'!$C$5:$AN$13,MATCH(CONCATENATE(BD_COMERCIAL!$K165," ",BD_COMERCIAL!$L165),'Curva Forward'!$B$5:$B$13,0),MATCH(GA$4,'Curva Forward'!$C$4:$AN$4,0))),DC165)</f>
        <v>0</v>
      </c>
      <c r="GB165" s="190">
        <f>AP165*AP$2*IF($FC165="V",1,-1)*IF($Q165="Fixo",(DD165-INDEX('Curva Forward'!$C$5:$AN$13,MATCH(CONCATENATE(BD_COMERCIAL!$K165," ",BD_COMERCIAL!$L165),'Curva Forward'!$B$5:$B$13,0),MATCH(GB$4,'Curva Forward'!$C$4:$AN$4,0))),DD165)</f>
        <v>0</v>
      </c>
      <c r="GC165" s="190">
        <f>AQ165*AQ$2*IF($FC165="V",1,-1)*IF($Q165="Fixo",(DE165-INDEX('Curva Forward'!$C$5:$AN$13,MATCH(CONCATENATE(BD_COMERCIAL!$K165," ",BD_COMERCIAL!$L165),'Curva Forward'!$B$5:$B$13,0),MATCH(GC$4,'Curva Forward'!$C$4:$AN$4,0))),DE165)</f>
        <v>0</v>
      </c>
      <c r="GD165" s="190">
        <f>AR165*AR$2*IF($FC165="V",1,-1)*IF($Q165="Fixo",(DF165-INDEX('Curva Forward'!$C$5:$AN$13,MATCH(CONCATENATE(BD_COMERCIAL!$K165," ",BD_COMERCIAL!$L165),'Curva Forward'!$B$5:$B$13,0),MATCH(GD$4,'Curva Forward'!$C$4:$AN$4,0))),DF165)</f>
        <v>0</v>
      </c>
      <c r="GE165" s="190">
        <f>AS165*AS$2*IF($FC165="V",1,-1)*IF($Q165="Fixo",(DG165-INDEX('Curva Forward'!$C$5:$AN$13,MATCH(CONCATENATE(BD_COMERCIAL!$K165," ",BD_COMERCIAL!$L165),'Curva Forward'!$B$5:$B$13,0),MATCH(GE$4,'Curva Forward'!$C$4:$AN$4,0))),DG165)</f>
        <v>0</v>
      </c>
      <c r="GF165" s="190">
        <f>AT165*AT$2*IF($FC165="V",1,-1)*IF($Q165="Fixo",(DH165-INDEX('Curva Forward'!$C$5:$AN$13,MATCH(CONCATENATE(BD_COMERCIAL!$K165," ",BD_COMERCIAL!$L165),'Curva Forward'!$B$5:$B$13,0),MATCH(GF$4,'Curva Forward'!$C$4:$AN$4,0))),DH165)</f>
        <v>0</v>
      </c>
      <c r="GG165" s="190">
        <f>AU165*AU$2*IF($FC165="V",1,-1)*IF($Q165="Fixo",(DI165-INDEX('Curva Forward'!$C$5:$AN$13,MATCH(CONCATENATE(BD_COMERCIAL!$K165," ",BD_COMERCIAL!$L165),'Curva Forward'!$B$5:$B$13,0),MATCH(GG$4,'Curva Forward'!$C$4:$AN$4,0))),DI165)</f>
        <v>0</v>
      </c>
      <c r="GH165" s="190">
        <f>AV165*AV$2*IF($FC165="V",1,-1)*IF($Q165="Fixo",(DJ165-INDEX('Curva Forward'!$C$5:$AN$13,MATCH(CONCATENATE(BD_COMERCIAL!$K165," ",BD_COMERCIAL!$L165),'Curva Forward'!$B$5:$B$13,0),MATCH(GH$4,'Curva Forward'!$C$4:$AN$4,0))),DJ165)</f>
        <v>0</v>
      </c>
      <c r="GI165" s="190">
        <f>AW165*AW$2*IF($FC165="V",1,-1)*IF($Q165="Fixo",(DK165-INDEX('Curva Forward'!$C$5:$AN$13,MATCH(CONCATENATE(BD_COMERCIAL!$K165," ",BD_COMERCIAL!$L165),'Curva Forward'!$B$5:$B$13,0),MATCH(GI$4,'Curva Forward'!$C$4:$AN$4,0))),DK165)</f>
        <v>0</v>
      </c>
      <c r="GJ165" s="190">
        <f>AX165*AX$2*IF($FC165="V",1,-1)*IF($Q165="Fixo",(DL165-INDEX('Curva Forward'!$C$5:$AN$13,MATCH(CONCATENATE(BD_COMERCIAL!$K165," ",BD_COMERCIAL!$L165),'Curva Forward'!$B$5:$B$13,0),MATCH(GJ$4,'Curva Forward'!$C$4:$AN$4,0))),DL165)</f>
        <v>0</v>
      </c>
      <c r="GK165" s="190">
        <f>AY165*AY$2*IF($FC165="V",1,-1)*IF($Q165="Fixo",(DM165-INDEX('Curva Forward'!$C$5:$AN$13,MATCH(CONCATENATE(BD_COMERCIAL!$K165," ",BD_COMERCIAL!$L165),'Curva Forward'!$B$5:$B$13,0),MATCH(GK$4,'Curva Forward'!$C$4:$AN$4,0))),DM165)</f>
        <v>0</v>
      </c>
      <c r="GL165" s="190">
        <f>IF(EZ165="",0,CL165*CL$2*IF($FC165="V",1,-1)*IF($Q165="Fixo",(EZ165-INDEX('Curva Forward'!$C$5:$AN$13,MATCH(CONCATENATE(BD_COMERCIAL!$K165," ",BD_COMERCIAL!$L165),'Curva Forward'!$B$5:$B$13,0),MATCH(GL$4,'Curva Forward'!$C$4:$AN$4,0))),EZ165))</f>
        <v>0</v>
      </c>
      <c r="GM165" s="190">
        <f>IF(FA165="",0,CM165*CM$2*IF($FC165="V",1,-1)*IF($Q165="Fixo",(FA165-INDEX('Curva Forward'!$C$5:$AN$13,MATCH(CONCATENATE(BD_COMERCIAL!$K165," ",BD_COMERCIAL!$L165),'Curva Forward'!$B$5:$B$13,0),MATCH(GM$4,'Curva Forward'!$C$4:$AN$4,0))),FA165))</f>
        <v>0</v>
      </c>
      <c r="GN165" s="190">
        <f>IF(FB165="",0,CN165*CN$2*IF($FC165="V",1,-1)*IF($Q165="Fixo",(FB165-INDEX('Curva Forward'!$C$5:$AN$13,MATCH(CONCATENATE(BD_COMERCIAL!$K165," ",BD_COMERCIAL!$L165),'Curva Forward'!$B$5:$B$13,0),MATCH(GN$4,'Curva Forward'!$C$4:$AN$4,0))),FB165))</f>
        <v>0</v>
      </c>
      <c r="GO165" s="191">
        <f t="shared" ca="1" si="25"/>
        <v>0</v>
      </c>
      <c r="GP165" s="191">
        <f t="shared" ca="1" si="26"/>
        <v>0</v>
      </c>
      <c r="GQ165" s="115"/>
      <c r="GR165" s="115"/>
      <c r="GS165"/>
      <c r="GT165" s="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</row>
    <row r="166" spans="1:236" s="265" customFormat="1" ht="15" customHeight="1" x14ac:dyDescent="0.35">
      <c r="A166" s="251"/>
      <c r="B166" s="275" t="s">
        <v>623</v>
      </c>
      <c r="C166" s="253">
        <v>44960</v>
      </c>
      <c r="D166" s="254" t="s">
        <v>123</v>
      </c>
      <c r="E166" s="254" t="s">
        <v>381</v>
      </c>
      <c r="F166" s="255" t="s">
        <v>348</v>
      </c>
      <c r="G166" s="256" t="s">
        <v>192</v>
      </c>
      <c r="H166" s="255" t="s">
        <v>378</v>
      </c>
      <c r="I166" s="254" t="s">
        <v>596</v>
      </c>
      <c r="J166" s="257" t="s">
        <v>619</v>
      </c>
      <c r="K166" s="256" t="s">
        <v>32</v>
      </c>
      <c r="L166" s="252" t="s">
        <v>22</v>
      </c>
      <c r="M166" s="258">
        <v>44927</v>
      </c>
      <c r="N166" s="259">
        <v>44957</v>
      </c>
      <c r="O166" s="256">
        <v>0.36660900000000002</v>
      </c>
      <c r="P166" s="252">
        <v>1</v>
      </c>
      <c r="Q166" s="252" t="s">
        <v>594</v>
      </c>
      <c r="R166" s="256" t="s">
        <v>128</v>
      </c>
      <c r="S166" s="260" t="s">
        <v>133</v>
      </c>
      <c r="T166" s="258"/>
      <c r="U166" s="259"/>
      <c r="V166" s="261"/>
      <c r="W166" s="252"/>
      <c r="X166" s="262" t="s">
        <v>132</v>
      </c>
      <c r="Y166" s="257"/>
      <c r="Z166" s="263"/>
      <c r="AA166" s="264"/>
      <c r="AB166" s="266">
        <v>0.36660900000000002</v>
      </c>
      <c r="AM166" s="251"/>
      <c r="AN166" s="266"/>
      <c r="AY166" s="251"/>
      <c r="AZ166" s="266"/>
      <c r="BK166" s="251"/>
      <c r="BL166" s="266"/>
      <c r="BW166" s="251"/>
      <c r="BX166" s="266"/>
      <c r="CI166" s="251"/>
      <c r="CJ166" s="267"/>
      <c r="CK166" s="267"/>
      <c r="CL166" s="267"/>
      <c r="CM166" s="267"/>
      <c r="CN166" s="267"/>
      <c r="CO166" s="268"/>
      <c r="CP166" s="266">
        <v>1</v>
      </c>
      <c r="DA166" s="251"/>
      <c r="DB166" s="266"/>
      <c r="DM166" s="251"/>
      <c r="DN166" s="266"/>
      <c r="DY166" s="251"/>
      <c r="DZ166" s="266"/>
      <c r="EK166" s="251"/>
      <c r="EL166" s="266"/>
      <c r="EW166" s="251"/>
      <c r="EX166" s="267"/>
      <c r="EY166" s="267"/>
      <c r="EZ166" s="267"/>
      <c r="FA166" s="267"/>
      <c r="FB166" s="269"/>
      <c r="FC166" s="265" t="s">
        <v>195</v>
      </c>
      <c r="FD166" s="270" t="s">
        <v>596</v>
      </c>
      <c r="FF166" s="199" t="s">
        <v>197</v>
      </c>
      <c r="FH166" s="206">
        <f t="shared" si="20"/>
        <v>0</v>
      </c>
      <c r="FI166" s="198">
        <f t="shared" si="21"/>
        <v>1</v>
      </c>
      <c r="FJ166"/>
      <c r="FK166" t="str">
        <f t="shared" si="22"/>
        <v>Nova Energia Comercializadora S.A.</v>
      </c>
      <c r="FL166" s="191">
        <f t="shared" ca="1" si="23"/>
        <v>272.75709599999999</v>
      </c>
      <c r="FM166" s="191">
        <f t="shared" ca="1" si="24"/>
        <v>0</v>
      </c>
      <c r="FN166" s="190">
        <f>AB166*AB$2*IF($FC166="V",1,-1)*IF($Q166="Fixo",(CP166-INDEX('Curva Forward'!$C$5:$AN$13,MATCH(CONCATENATE(BD_COMERCIAL!$K166," ",BD_COMERCIAL!$L166),'Curva Forward'!$B$5:$B$13,0),MATCH(FN$4,'Curva Forward'!$C$4:$AN$4,0))),CP166)</f>
        <v>272.75709599999999</v>
      </c>
      <c r="FO166" s="190">
        <f>AC166*AC$2*IF($FC166="V",1,-1)*IF($Q166="Fixo",(CQ166-INDEX('Curva Forward'!$C$5:$AN$13,MATCH(CONCATENATE(BD_COMERCIAL!$K166," ",BD_COMERCIAL!$L166),'Curva Forward'!$B$5:$B$13,0),MATCH(FO$4,'Curva Forward'!$C$4:$AN$4,0))),CQ166)</f>
        <v>0</v>
      </c>
      <c r="FP166" s="190">
        <f>AD166*AD$2*IF($FC166="V",1,-1)*IF($Q166="Fixo",(CR166-INDEX('Curva Forward'!$C$5:$AN$13,MATCH(CONCATENATE(BD_COMERCIAL!$K166," ",BD_COMERCIAL!$L166),'Curva Forward'!$B$5:$B$13,0),MATCH(FP$4,'Curva Forward'!$C$4:$AN$4,0))),CR166)</f>
        <v>0</v>
      </c>
      <c r="FQ166" s="190">
        <f>AE166*AE$2*IF($FC166="V",1,-1)*IF($Q166="Fixo",(CS166-INDEX('Curva Forward'!$C$5:$AN$13,MATCH(CONCATENATE(BD_COMERCIAL!$K166," ",BD_COMERCIAL!$L166),'Curva Forward'!$B$5:$B$13,0),MATCH(FQ$4,'Curva Forward'!$C$4:$AN$4,0))),CS166)</f>
        <v>0</v>
      </c>
      <c r="FR166" s="190">
        <f>AF166*AF$2*IF($FC166="V",1,-1)*IF($Q166="Fixo",(CT166-INDEX('Curva Forward'!$C$5:$AN$13,MATCH(CONCATENATE(BD_COMERCIAL!$K166," ",BD_COMERCIAL!$L166),'Curva Forward'!$B$5:$B$13,0),MATCH(FR$4,'Curva Forward'!$C$4:$AN$4,0))),CT166)</f>
        <v>0</v>
      </c>
      <c r="FS166" s="190">
        <f>AG166*AG$2*IF($FC166="V",1,-1)*IF($Q166="Fixo",(CU166-INDEX('Curva Forward'!$C$5:$AN$13,MATCH(CONCATENATE(BD_COMERCIAL!$K166," ",BD_COMERCIAL!$L166),'Curva Forward'!$B$5:$B$13,0),MATCH(FS$4,'Curva Forward'!$C$4:$AN$4,0))),CU166)</f>
        <v>0</v>
      </c>
      <c r="FT166" s="190">
        <f>AH166*AH$2*IF($FC166="V",1,-1)*IF($Q166="Fixo",(CV166-INDEX('Curva Forward'!$C$5:$AN$13,MATCH(CONCATENATE(BD_COMERCIAL!$K166," ",BD_COMERCIAL!$L166),'Curva Forward'!$B$5:$B$13,0),MATCH(FT$4,'Curva Forward'!$C$4:$AN$4,0))),CV166)</f>
        <v>0</v>
      </c>
      <c r="FU166" s="190">
        <f>AI166*AI$2*IF($FC166="V",1,-1)*IF($Q166="Fixo",(CW166-INDEX('Curva Forward'!$C$5:$AN$13,MATCH(CONCATENATE(BD_COMERCIAL!$K166," ",BD_COMERCIAL!$L166),'Curva Forward'!$B$5:$B$13,0),MATCH(FU$4,'Curva Forward'!$C$4:$AN$4,0))),CW166)</f>
        <v>0</v>
      </c>
      <c r="FV166" s="190">
        <f>AJ166*AJ$2*IF($FC166="V",1,-1)*IF($Q166="Fixo",(CX166-INDEX('Curva Forward'!$C$5:$AN$13,MATCH(CONCATENATE(BD_COMERCIAL!$K166," ",BD_COMERCIAL!$L166),'Curva Forward'!$B$5:$B$13,0),MATCH(FV$4,'Curva Forward'!$C$4:$AN$4,0))),CX166)</f>
        <v>0</v>
      </c>
      <c r="FW166" s="190">
        <f>AK166*AK$2*IF($FC166="V",1,-1)*IF($Q166="Fixo",(CY166-INDEX('Curva Forward'!$C$5:$AN$13,MATCH(CONCATENATE(BD_COMERCIAL!$K166," ",BD_COMERCIAL!$L166),'Curva Forward'!$B$5:$B$13,0),MATCH(FW$4,'Curva Forward'!$C$4:$AN$4,0))),CY166)</f>
        <v>0</v>
      </c>
      <c r="FX166" s="190">
        <f>AL166*AL$2*IF($FC166="V",1,-1)*IF($Q166="Fixo",(CZ166-INDEX('Curva Forward'!$C$5:$AN$13,MATCH(CONCATENATE(BD_COMERCIAL!$K166," ",BD_COMERCIAL!$L166),'Curva Forward'!$B$5:$B$13,0),MATCH(FX$4,'Curva Forward'!$C$4:$AN$4,0))),CZ166)</f>
        <v>0</v>
      </c>
      <c r="FY166" s="190">
        <f>AM166*AM$2*IF($FC166="V",1,-1)*IF($Q166="Fixo",(DA166-INDEX('Curva Forward'!$C$5:$AN$13,MATCH(CONCATENATE(BD_COMERCIAL!$K166," ",BD_COMERCIAL!$L166),'Curva Forward'!$B$5:$B$13,0),MATCH(FY$4,'Curva Forward'!$C$4:$AN$4,0))),DA166)</f>
        <v>0</v>
      </c>
      <c r="FZ166" s="190">
        <f>AN166*AN$2*IF($FC166="V",1,-1)*IF($Q166="Fixo",(DB166-INDEX('Curva Forward'!$C$5:$AN$13,MATCH(CONCATENATE(BD_COMERCIAL!$K166," ",BD_COMERCIAL!$L166),'Curva Forward'!$B$5:$B$13,0),MATCH(FZ$4,'Curva Forward'!$C$4:$AN$4,0))),DB166)</f>
        <v>0</v>
      </c>
      <c r="GA166" s="190">
        <f>AO166*AO$2*IF($FC166="V",1,-1)*IF($Q166="Fixo",(DC166-INDEX('Curva Forward'!$C$5:$AN$13,MATCH(CONCATENATE(BD_COMERCIAL!$K166," ",BD_COMERCIAL!$L166),'Curva Forward'!$B$5:$B$13,0),MATCH(GA$4,'Curva Forward'!$C$4:$AN$4,0))),DC166)</f>
        <v>0</v>
      </c>
      <c r="GB166" s="190">
        <f>AP166*AP$2*IF($FC166="V",1,-1)*IF($Q166="Fixo",(DD166-INDEX('Curva Forward'!$C$5:$AN$13,MATCH(CONCATENATE(BD_COMERCIAL!$K166," ",BD_COMERCIAL!$L166),'Curva Forward'!$B$5:$B$13,0),MATCH(GB$4,'Curva Forward'!$C$4:$AN$4,0))),DD166)</f>
        <v>0</v>
      </c>
      <c r="GC166" s="190">
        <f>AQ166*AQ$2*IF($FC166="V",1,-1)*IF($Q166="Fixo",(DE166-INDEX('Curva Forward'!$C$5:$AN$13,MATCH(CONCATENATE(BD_COMERCIAL!$K166," ",BD_COMERCIAL!$L166),'Curva Forward'!$B$5:$B$13,0),MATCH(GC$4,'Curva Forward'!$C$4:$AN$4,0))),DE166)</f>
        <v>0</v>
      </c>
      <c r="GD166" s="190">
        <f>AR166*AR$2*IF($FC166="V",1,-1)*IF($Q166="Fixo",(DF166-INDEX('Curva Forward'!$C$5:$AN$13,MATCH(CONCATENATE(BD_COMERCIAL!$K166," ",BD_COMERCIAL!$L166),'Curva Forward'!$B$5:$B$13,0),MATCH(GD$4,'Curva Forward'!$C$4:$AN$4,0))),DF166)</f>
        <v>0</v>
      </c>
      <c r="GE166" s="190">
        <f>AS166*AS$2*IF($FC166="V",1,-1)*IF($Q166="Fixo",(DG166-INDEX('Curva Forward'!$C$5:$AN$13,MATCH(CONCATENATE(BD_COMERCIAL!$K166," ",BD_COMERCIAL!$L166),'Curva Forward'!$B$5:$B$13,0),MATCH(GE$4,'Curva Forward'!$C$4:$AN$4,0))),DG166)</f>
        <v>0</v>
      </c>
      <c r="GF166" s="190">
        <f>AT166*AT$2*IF($FC166="V",1,-1)*IF($Q166="Fixo",(DH166-INDEX('Curva Forward'!$C$5:$AN$13,MATCH(CONCATENATE(BD_COMERCIAL!$K166," ",BD_COMERCIAL!$L166),'Curva Forward'!$B$5:$B$13,0),MATCH(GF$4,'Curva Forward'!$C$4:$AN$4,0))),DH166)</f>
        <v>0</v>
      </c>
      <c r="GG166" s="190">
        <f>AU166*AU$2*IF($FC166="V",1,-1)*IF($Q166="Fixo",(DI166-INDEX('Curva Forward'!$C$5:$AN$13,MATCH(CONCATENATE(BD_COMERCIAL!$K166," ",BD_COMERCIAL!$L166),'Curva Forward'!$B$5:$B$13,0),MATCH(GG$4,'Curva Forward'!$C$4:$AN$4,0))),DI166)</f>
        <v>0</v>
      </c>
      <c r="GH166" s="190">
        <f>AV166*AV$2*IF($FC166="V",1,-1)*IF($Q166="Fixo",(DJ166-INDEX('Curva Forward'!$C$5:$AN$13,MATCH(CONCATENATE(BD_COMERCIAL!$K166," ",BD_COMERCIAL!$L166),'Curva Forward'!$B$5:$B$13,0),MATCH(GH$4,'Curva Forward'!$C$4:$AN$4,0))),DJ166)</f>
        <v>0</v>
      </c>
      <c r="GI166" s="190">
        <f>AW166*AW$2*IF($FC166="V",1,-1)*IF($Q166="Fixo",(DK166-INDEX('Curva Forward'!$C$5:$AN$13,MATCH(CONCATENATE(BD_COMERCIAL!$K166," ",BD_COMERCIAL!$L166),'Curva Forward'!$B$5:$B$13,0),MATCH(GI$4,'Curva Forward'!$C$4:$AN$4,0))),DK166)</f>
        <v>0</v>
      </c>
      <c r="GJ166" s="190">
        <f>AX166*AX$2*IF($FC166="V",1,-1)*IF($Q166="Fixo",(DL166-INDEX('Curva Forward'!$C$5:$AN$13,MATCH(CONCATENATE(BD_COMERCIAL!$K166," ",BD_COMERCIAL!$L166),'Curva Forward'!$B$5:$B$13,0),MATCH(GJ$4,'Curva Forward'!$C$4:$AN$4,0))),DL166)</f>
        <v>0</v>
      </c>
      <c r="GK166" s="190">
        <f>AY166*AY$2*IF($FC166="V",1,-1)*IF($Q166="Fixo",(DM166-INDEX('Curva Forward'!$C$5:$AN$13,MATCH(CONCATENATE(BD_COMERCIAL!$K166," ",BD_COMERCIAL!$L166),'Curva Forward'!$B$5:$B$13,0),MATCH(GK$4,'Curva Forward'!$C$4:$AN$4,0))),DM166)</f>
        <v>0</v>
      </c>
      <c r="GL166" s="190">
        <f>IF(EZ166="",0,CL166*CL$2*IF($FC166="V",1,-1)*IF($Q166="Fixo",(EZ166-INDEX('Curva Forward'!$C$5:$AN$13,MATCH(CONCATENATE(BD_COMERCIAL!$K166," ",BD_COMERCIAL!$L166),'Curva Forward'!$B$5:$B$13,0),MATCH(GL$4,'Curva Forward'!$C$4:$AN$4,0))),EZ166))</f>
        <v>0</v>
      </c>
      <c r="GM166" s="190">
        <f>IF(FA166="",0,CM166*CM$2*IF($FC166="V",1,-1)*IF($Q166="Fixo",(FA166-INDEX('Curva Forward'!$C$5:$AN$13,MATCH(CONCATENATE(BD_COMERCIAL!$K166," ",BD_COMERCIAL!$L166),'Curva Forward'!$B$5:$B$13,0),MATCH(GM$4,'Curva Forward'!$C$4:$AN$4,0))),FA166))</f>
        <v>0</v>
      </c>
      <c r="GN166" s="190">
        <f>IF(FB166="",0,CN166*CN$2*IF($FC166="V",1,-1)*IF($Q166="Fixo",(FB166-INDEX('Curva Forward'!$C$5:$AN$13,MATCH(CONCATENATE(BD_COMERCIAL!$K166," ",BD_COMERCIAL!$L166),'Curva Forward'!$B$5:$B$13,0),MATCH(GN$4,'Curva Forward'!$C$4:$AN$4,0))),FB166))</f>
        <v>0</v>
      </c>
      <c r="GO166" s="191">
        <f t="shared" ca="1" si="25"/>
        <v>0</v>
      </c>
      <c r="GP166" s="191">
        <f t="shared" ca="1" si="26"/>
        <v>0</v>
      </c>
      <c r="GQ166" s="115"/>
      <c r="GR166" s="115"/>
      <c r="GS166"/>
      <c r="GT166" s="65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</row>
    <row r="167" spans="1:236" s="265" customFormat="1" ht="15" customHeight="1" x14ac:dyDescent="0.35">
      <c r="A167" s="251"/>
      <c r="B167" s="275" t="s">
        <v>624</v>
      </c>
      <c r="C167" s="253">
        <v>44960</v>
      </c>
      <c r="D167" s="254" t="s">
        <v>123</v>
      </c>
      <c r="E167" s="254" t="s">
        <v>381</v>
      </c>
      <c r="F167" s="255" t="s">
        <v>348</v>
      </c>
      <c r="G167" s="256" t="s">
        <v>609</v>
      </c>
      <c r="H167" s="255" t="s">
        <v>610</v>
      </c>
      <c r="I167" s="254" t="s">
        <v>596</v>
      </c>
      <c r="J167" s="257" t="s">
        <v>619</v>
      </c>
      <c r="K167" s="256" t="s">
        <v>32</v>
      </c>
      <c r="L167" s="252" t="s">
        <v>22</v>
      </c>
      <c r="M167" s="258">
        <v>44927</v>
      </c>
      <c r="N167" s="259">
        <v>44957</v>
      </c>
      <c r="O167" s="256">
        <v>2.4</v>
      </c>
      <c r="P167" s="252">
        <v>1</v>
      </c>
      <c r="Q167" s="252" t="s">
        <v>594</v>
      </c>
      <c r="R167" s="256" t="s">
        <v>128</v>
      </c>
      <c r="S167" s="260" t="s">
        <v>133</v>
      </c>
      <c r="T167" s="258"/>
      <c r="U167" s="259"/>
      <c r="V167" s="261"/>
      <c r="W167" s="252"/>
      <c r="X167" s="262" t="s">
        <v>132</v>
      </c>
      <c r="Y167" s="257"/>
      <c r="Z167" s="263"/>
      <c r="AA167" s="264"/>
      <c r="AB167" s="266">
        <v>2.4</v>
      </c>
      <c r="AM167" s="251"/>
      <c r="AN167" s="266"/>
      <c r="AY167" s="251"/>
      <c r="AZ167" s="266"/>
      <c r="BK167" s="251"/>
      <c r="BL167" s="266"/>
      <c r="BW167" s="251"/>
      <c r="BX167" s="266"/>
      <c r="CI167" s="251"/>
      <c r="CJ167" s="267"/>
      <c r="CK167" s="267"/>
      <c r="CL167" s="267"/>
      <c r="CM167" s="267"/>
      <c r="CN167" s="267"/>
      <c r="CO167" s="268"/>
      <c r="CP167" s="266">
        <v>1</v>
      </c>
      <c r="DA167" s="251"/>
      <c r="DB167" s="266"/>
      <c r="DM167" s="251"/>
      <c r="DN167" s="266"/>
      <c r="DY167" s="251"/>
      <c r="DZ167" s="266"/>
      <c r="EK167" s="251"/>
      <c r="EL167" s="266"/>
      <c r="EW167" s="251"/>
      <c r="EX167" s="267"/>
      <c r="EY167" s="267"/>
      <c r="EZ167" s="267"/>
      <c r="FA167" s="267"/>
      <c r="FB167" s="269"/>
      <c r="FC167" s="265" t="s">
        <v>195</v>
      </c>
      <c r="FD167" s="270" t="s">
        <v>596</v>
      </c>
      <c r="FF167" s="199" t="s">
        <v>197</v>
      </c>
      <c r="FH167" s="206">
        <f t="shared" si="20"/>
        <v>0</v>
      </c>
      <c r="FI167" s="198">
        <f t="shared" si="21"/>
        <v>1</v>
      </c>
      <c r="FJ167"/>
      <c r="FK167" t="str">
        <f t="shared" si="22"/>
        <v>Pacifico Energia Comercializadora Ltda</v>
      </c>
      <c r="FL167" s="191">
        <f t="shared" ca="1" si="23"/>
        <v>1785.6</v>
      </c>
      <c r="FM167" s="191">
        <f t="shared" ca="1" si="24"/>
        <v>0</v>
      </c>
      <c r="FN167" s="190">
        <f>AB167*AB$2*IF($FC167="V",1,-1)*IF($Q167="Fixo",(CP167-INDEX('Curva Forward'!$C$5:$AN$13,MATCH(CONCATENATE(BD_COMERCIAL!$K167," ",BD_COMERCIAL!$L167),'Curva Forward'!$B$5:$B$13,0),MATCH(FN$4,'Curva Forward'!$C$4:$AN$4,0))),CP167)</f>
        <v>1785.6</v>
      </c>
      <c r="FO167" s="190">
        <f>AC167*AC$2*IF($FC167="V",1,-1)*IF($Q167="Fixo",(CQ167-INDEX('Curva Forward'!$C$5:$AN$13,MATCH(CONCATENATE(BD_COMERCIAL!$K167," ",BD_COMERCIAL!$L167),'Curva Forward'!$B$5:$B$13,0),MATCH(FO$4,'Curva Forward'!$C$4:$AN$4,0))),CQ167)</f>
        <v>0</v>
      </c>
      <c r="FP167" s="190">
        <f>AD167*AD$2*IF($FC167="V",1,-1)*IF($Q167="Fixo",(CR167-INDEX('Curva Forward'!$C$5:$AN$13,MATCH(CONCATENATE(BD_COMERCIAL!$K167," ",BD_COMERCIAL!$L167),'Curva Forward'!$B$5:$B$13,0),MATCH(FP$4,'Curva Forward'!$C$4:$AN$4,0))),CR167)</f>
        <v>0</v>
      </c>
      <c r="FQ167" s="190">
        <f>AE167*AE$2*IF($FC167="V",1,-1)*IF($Q167="Fixo",(CS167-INDEX('Curva Forward'!$C$5:$AN$13,MATCH(CONCATENATE(BD_COMERCIAL!$K167," ",BD_COMERCIAL!$L167),'Curva Forward'!$B$5:$B$13,0),MATCH(FQ$4,'Curva Forward'!$C$4:$AN$4,0))),CS167)</f>
        <v>0</v>
      </c>
      <c r="FR167" s="190">
        <f>AF167*AF$2*IF($FC167="V",1,-1)*IF($Q167="Fixo",(CT167-INDEX('Curva Forward'!$C$5:$AN$13,MATCH(CONCATENATE(BD_COMERCIAL!$K167," ",BD_COMERCIAL!$L167),'Curva Forward'!$B$5:$B$13,0),MATCH(FR$4,'Curva Forward'!$C$4:$AN$4,0))),CT167)</f>
        <v>0</v>
      </c>
      <c r="FS167" s="190">
        <f>AG167*AG$2*IF($FC167="V",1,-1)*IF($Q167="Fixo",(CU167-INDEX('Curva Forward'!$C$5:$AN$13,MATCH(CONCATENATE(BD_COMERCIAL!$K167," ",BD_COMERCIAL!$L167),'Curva Forward'!$B$5:$B$13,0),MATCH(FS$4,'Curva Forward'!$C$4:$AN$4,0))),CU167)</f>
        <v>0</v>
      </c>
      <c r="FT167" s="190">
        <f>AH167*AH$2*IF($FC167="V",1,-1)*IF($Q167="Fixo",(CV167-INDEX('Curva Forward'!$C$5:$AN$13,MATCH(CONCATENATE(BD_COMERCIAL!$K167," ",BD_COMERCIAL!$L167),'Curva Forward'!$B$5:$B$13,0),MATCH(FT$4,'Curva Forward'!$C$4:$AN$4,0))),CV167)</f>
        <v>0</v>
      </c>
      <c r="FU167" s="190">
        <f>AI167*AI$2*IF($FC167="V",1,-1)*IF($Q167="Fixo",(CW167-INDEX('Curva Forward'!$C$5:$AN$13,MATCH(CONCATENATE(BD_COMERCIAL!$K167," ",BD_COMERCIAL!$L167),'Curva Forward'!$B$5:$B$13,0),MATCH(FU$4,'Curva Forward'!$C$4:$AN$4,0))),CW167)</f>
        <v>0</v>
      </c>
      <c r="FV167" s="190">
        <f>AJ167*AJ$2*IF($FC167="V",1,-1)*IF($Q167="Fixo",(CX167-INDEX('Curva Forward'!$C$5:$AN$13,MATCH(CONCATENATE(BD_COMERCIAL!$K167," ",BD_COMERCIAL!$L167),'Curva Forward'!$B$5:$B$13,0),MATCH(FV$4,'Curva Forward'!$C$4:$AN$4,0))),CX167)</f>
        <v>0</v>
      </c>
      <c r="FW167" s="190">
        <f>AK167*AK$2*IF($FC167="V",1,-1)*IF($Q167="Fixo",(CY167-INDEX('Curva Forward'!$C$5:$AN$13,MATCH(CONCATENATE(BD_COMERCIAL!$K167," ",BD_COMERCIAL!$L167),'Curva Forward'!$B$5:$B$13,0),MATCH(FW$4,'Curva Forward'!$C$4:$AN$4,0))),CY167)</f>
        <v>0</v>
      </c>
      <c r="FX167" s="190">
        <f>AL167*AL$2*IF($FC167="V",1,-1)*IF($Q167="Fixo",(CZ167-INDEX('Curva Forward'!$C$5:$AN$13,MATCH(CONCATENATE(BD_COMERCIAL!$K167," ",BD_COMERCIAL!$L167),'Curva Forward'!$B$5:$B$13,0),MATCH(FX$4,'Curva Forward'!$C$4:$AN$4,0))),CZ167)</f>
        <v>0</v>
      </c>
      <c r="FY167" s="190">
        <f>AM167*AM$2*IF($FC167="V",1,-1)*IF($Q167="Fixo",(DA167-INDEX('Curva Forward'!$C$5:$AN$13,MATCH(CONCATENATE(BD_COMERCIAL!$K167," ",BD_COMERCIAL!$L167),'Curva Forward'!$B$5:$B$13,0),MATCH(FY$4,'Curva Forward'!$C$4:$AN$4,0))),DA167)</f>
        <v>0</v>
      </c>
      <c r="FZ167" s="190">
        <f>AN167*AN$2*IF($FC167="V",1,-1)*IF($Q167="Fixo",(DB167-INDEX('Curva Forward'!$C$5:$AN$13,MATCH(CONCATENATE(BD_COMERCIAL!$K167," ",BD_COMERCIAL!$L167),'Curva Forward'!$B$5:$B$13,0),MATCH(FZ$4,'Curva Forward'!$C$4:$AN$4,0))),DB167)</f>
        <v>0</v>
      </c>
      <c r="GA167" s="190">
        <f>AO167*AO$2*IF($FC167="V",1,-1)*IF($Q167="Fixo",(DC167-INDEX('Curva Forward'!$C$5:$AN$13,MATCH(CONCATENATE(BD_COMERCIAL!$K167," ",BD_COMERCIAL!$L167),'Curva Forward'!$B$5:$B$13,0),MATCH(GA$4,'Curva Forward'!$C$4:$AN$4,0))),DC167)</f>
        <v>0</v>
      </c>
      <c r="GB167" s="190">
        <f>AP167*AP$2*IF($FC167="V",1,-1)*IF($Q167="Fixo",(DD167-INDEX('Curva Forward'!$C$5:$AN$13,MATCH(CONCATENATE(BD_COMERCIAL!$K167," ",BD_COMERCIAL!$L167),'Curva Forward'!$B$5:$B$13,0),MATCH(GB$4,'Curva Forward'!$C$4:$AN$4,0))),DD167)</f>
        <v>0</v>
      </c>
      <c r="GC167" s="190">
        <f>AQ167*AQ$2*IF($FC167="V",1,-1)*IF($Q167="Fixo",(DE167-INDEX('Curva Forward'!$C$5:$AN$13,MATCH(CONCATENATE(BD_COMERCIAL!$K167," ",BD_COMERCIAL!$L167),'Curva Forward'!$B$5:$B$13,0),MATCH(GC$4,'Curva Forward'!$C$4:$AN$4,0))),DE167)</f>
        <v>0</v>
      </c>
      <c r="GD167" s="190">
        <f>AR167*AR$2*IF($FC167="V",1,-1)*IF($Q167="Fixo",(DF167-INDEX('Curva Forward'!$C$5:$AN$13,MATCH(CONCATENATE(BD_COMERCIAL!$K167," ",BD_COMERCIAL!$L167),'Curva Forward'!$B$5:$B$13,0),MATCH(GD$4,'Curva Forward'!$C$4:$AN$4,0))),DF167)</f>
        <v>0</v>
      </c>
      <c r="GE167" s="190">
        <f>AS167*AS$2*IF($FC167="V",1,-1)*IF($Q167="Fixo",(DG167-INDEX('Curva Forward'!$C$5:$AN$13,MATCH(CONCATENATE(BD_COMERCIAL!$K167," ",BD_COMERCIAL!$L167),'Curva Forward'!$B$5:$B$13,0),MATCH(GE$4,'Curva Forward'!$C$4:$AN$4,0))),DG167)</f>
        <v>0</v>
      </c>
      <c r="GF167" s="190">
        <f>AT167*AT$2*IF($FC167="V",1,-1)*IF($Q167="Fixo",(DH167-INDEX('Curva Forward'!$C$5:$AN$13,MATCH(CONCATENATE(BD_COMERCIAL!$K167," ",BD_COMERCIAL!$L167),'Curva Forward'!$B$5:$B$13,0),MATCH(GF$4,'Curva Forward'!$C$4:$AN$4,0))),DH167)</f>
        <v>0</v>
      </c>
      <c r="GG167" s="190">
        <f>AU167*AU$2*IF($FC167="V",1,-1)*IF($Q167="Fixo",(DI167-INDEX('Curva Forward'!$C$5:$AN$13,MATCH(CONCATENATE(BD_COMERCIAL!$K167," ",BD_COMERCIAL!$L167),'Curva Forward'!$B$5:$B$13,0),MATCH(GG$4,'Curva Forward'!$C$4:$AN$4,0))),DI167)</f>
        <v>0</v>
      </c>
      <c r="GH167" s="190">
        <f>AV167*AV$2*IF($FC167="V",1,-1)*IF($Q167="Fixo",(DJ167-INDEX('Curva Forward'!$C$5:$AN$13,MATCH(CONCATENATE(BD_COMERCIAL!$K167," ",BD_COMERCIAL!$L167),'Curva Forward'!$B$5:$B$13,0),MATCH(GH$4,'Curva Forward'!$C$4:$AN$4,0))),DJ167)</f>
        <v>0</v>
      </c>
      <c r="GI167" s="190">
        <f>AW167*AW$2*IF($FC167="V",1,-1)*IF($Q167="Fixo",(DK167-INDEX('Curva Forward'!$C$5:$AN$13,MATCH(CONCATENATE(BD_COMERCIAL!$K167," ",BD_COMERCIAL!$L167),'Curva Forward'!$B$5:$B$13,0),MATCH(GI$4,'Curva Forward'!$C$4:$AN$4,0))),DK167)</f>
        <v>0</v>
      </c>
      <c r="GJ167" s="190">
        <f>AX167*AX$2*IF($FC167="V",1,-1)*IF($Q167="Fixo",(DL167-INDEX('Curva Forward'!$C$5:$AN$13,MATCH(CONCATENATE(BD_COMERCIAL!$K167," ",BD_COMERCIAL!$L167),'Curva Forward'!$B$5:$B$13,0),MATCH(GJ$4,'Curva Forward'!$C$4:$AN$4,0))),DL167)</f>
        <v>0</v>
      </c>
      <c r="GK167" s="190">
        <f>AY167*AY$2*IF($FC167="V",1,-1)*IF($Q167="Fixo",(DM167-INDEX('Curva Forward'!$C$5:$AN$13,MATCH(CONCATENATE(BD_COMERCIAL!$K167," ",BD_COMERCIAL!$L167),'Curva Forward'!$B$5:$B$13,0),MATCH(GK$4,'Curva Forward'!$C$4:$AN$4,0))),DM167)</f>
        <v>0</v>
      </c>
      <c r="GL167" s="190">
        <f>IF(EZ167="",0,CL167*CL$2*IF($FC167="V",1,-1)*IF($Q167="Fixo",(EZ167-INDEX('Curva Forward'!$C$5:$AN$13,MATCH(CONCATENATE(BD_COMERCIAL!$K167," ",BD_COMERCIAL!$L167),'Curva Forward'!$B$5:$B$13,0),MATCH(GL$4,'Curva Forward'!$C$4:$AN$4,0))),EZ167))</f>
        <v>0</v>
      </c>
      <c r="GM167" s="190">
        <f>IF(FA167="",0,CM167*CM$2*IF($FC167="V",1,-1)*IF($Q167="Fixo",(FA167-INDEX('Curva Forward'!$C$5:$AN$13,MATCH(CONCATENATE(BD_COMERCIAL!$K167," ",BD_COMERCIAL!$L167),'Curva Forward'!$B$5:$B$13,0),MATCH(GM$4,'Curva Forward'!$C$4:$AN$4,0))),FA167))</f>
        <v>0</v>
      </c>
      <c r="GN167" s="190">
        <f>IF(FB167="",0,CN167*CN$2*IF($FC167="V",1,-1)*IF($Q167="Fixo",(FB167-INDEX('Curva Forward'!$C$5:$AN$13,MATCH(CONCATENATE(BD_COMERCIAL!$K167," ",BD_COMERCIAL!$L167),'Curva Forward'!$B$5:$B$13,0),MATCH(GN$4,'Curva Forward'!$C$4:$AN$4,0))),FB167))</f>
        <v>0</v>
      </c>
      <c r="GO167" s="191">
        <f t="shared" ca="1" si="25"/>
        <v>0</v>
      </c>
      <c r="GP167" s="191">
        <f t="shared" ca="1" si="26"/>
        <v>0</v>
      </c>
      <c r="GQ167" s="115"/>
      <c r="GR167" s="115"/>
      <c r="GS167"/>
      <c r="GT167" s="65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</row>
    <row r="168" spans="1:236" s="265" customFormat="1" ht="15" customHeight="1" x14ac:dyDescent="0.35">
      <c r="A168" s="251"/>
      <c r="B168" s="275" t="s">
        <v>625</v>
      </c>
      <c r="C168" s="253">
        <v>44963</v>
      </c>
      <c r="D168" s="254" t="s">
        <v>123</v>
      </c>
      <c r="E168" s="254" t="s">
        <v>381</v>
      </c>
      <c r="F168" s="255" t="s">
        <v>348</v>
      </c>
      <c r="G168" s="256" t="s">
        <v>222</v>
      </c>
      <c r="H168" s="255" t="s">
        <v>311</v>
      </c>
      <c r="I168" s="254" t="s">
        <v>596</v>
      </c>
      <c r="J168" s="257" t="s">
        <v>619</v>
      </c>
      <c r="K168" s="256" t="s">
        <v>32</v>
      </c>
      <c r="L168" s="252" t="s">
        <v>22</v>
      </c>
      <c r="M168" s="258">
        <v>44927</v>
      </c>
      <c r="N168" s="259">
        <v>44957</v>
      </c>
      <c r="O168" s="256">
        <v>4.2</v>
      </c>
      <c r="P168" s="252">
        <v>1</v>
      </c>
      <c r="Q168" s="252" t="s">
        <v>594</v>
      </c>
      <c r="R168" s="256" t="s">
        <v>128</v>
      </c>
      <c r="S168" s="260" t="s">
        <v>133</v>
      </c>
      <c r="T168" s="258"/>
      <c r="U168" s="259"/>
      <c r="V168" s="261"/>
      <c r="W168" s="252"/>
      <c r="X168" s="262" t="s">
        <v>132</v>
      </c>
      <c r="Y168" s="257"/>
      <c r="Z168" s="263"/>
      <c r="AA168" s="264"/>
      <c r="AB168" s="266">
        <v>4.2</v>
      </c>
      <c r="AM168" s="251"/>
      <c r="AN168" s="266"/>
      <c r="AY168" s="251"/>
      <c r="AZ168" s="266"/>
      <c r="BK168" s="251"/>
      <c r="BL168" s="266"/>
      <c r="BW168" s="251"/>
      <c r="BX168" s="266"/>
      <c r="CI168" s="251"/>
      <c r="CJ168" s="267"/>
      <c r="CK168" s="267"/>
      <c r="CL168" s="267"/>
      <c r="CM168" s="267"/>
      <c r="CN168" s="267"/>
      <c r="CO168" s="268"/>
      <c r="CP168" s="266">
        <v>1</v>
      </c>
      <c r="DA168" s="251"/>
      <c r="DB168" s="266"/>
      <c r="DM168" s="251"/>
      <c r="DN168" s="266"/>
      <c r="DY168" s="251"/>
      <c r="DZ168" s="266"/>
      <c r="EK168" s="251"/>
      <c r="EL168" s="266"/>
      <c r="EW168" s="251"/>
      <c r="EX168" s="267"/>
      <c r="EY168" s="267"/>
      <c r="EZ168" s="267"/>
      <c r="FA168" s="267"/>
      <c r="FB168" s="269"/>
      <c r="FC168" s="265" t="s">
        <v>195</v>
      </c>
      <c r="FD168" s="270" t="s">
        <v>596</v>
      </c>
      <c r="FF168" s="199" t="s">
        <v>197</v>
      </c>
      <c r="FH168" s="206">
        <f t="shared" si="20"/>
        <v>0</v>
      </c>
      <c r="FI168" s="198">
        <f t="shared" si="21"/>
        <v>1</v>
      </c>
      <c r="FJ168"/>
      <c r="FK168" t="str">
        <f t="shared" si="22"/>
        <v>OMEGA GERACAO S.A.</v>
      </c>
      <c r="FL168" s="191">
        <f t="shared" ca="1" si="23"/>
        <v>3124.8</v>
      </c>
      <c r="FM168" s="191">
        <f t="shared" ca="1" si="24"/>
        <v>0</v>
      </c>
      <c r="FN168" s="190">
        <f>AB168*AB$2*IF($FC168="V",1,-1)*IF($Q168="Fixo",(CP168-INDEX('Curva Forward'!$C$5:$AN$13,MATCH(CONCATENATE(BD_COMERCIAL!$K168," ",BD_COMERCIAL!$L168),'Curva Forward'!$B$5:$B$13,0),MATCH(FN$4,'Curva Forward'!$C$4:$AN$4,0))),CP168)</f>
        <v>3124.8</v>
      </c>
      <c r="FO168" s="190">
        <f>AC168*AC$2*IF($FC168="V",1,-1)*IF($Q168="Fixo",(CQ168-INDEX('Curva Forward'!$C$5:$AN$13,MATCH(CONCATENATE(BD_COMERCIAL!$K168," ",BD_COMERCIAL!$L168),'Curva Forward'!$B$5:$B$13,0),MATCH(FO$4,'Curva Forward'!$C$4:$AN$4,0))),CQ168)</f>
        <v>0</v>
      </c>
      <c r="FP168" s="190">
        <f>AD168*AD$2*IF($FC168="V",1,-1)*IF($Q168="Fixo",(CR168-INDEX('Curva Forward'!$C$5:$AN$13,MATCH(CONCATENATE(BD_COMERCIAL!$K168," ",BD_COMERCIAL!$L168),'Curva Forward'!$B$5:$B$13,0),MATCH(FP$4,'Curva Forward'!$C$4:$AN$4,0))),CR168)</f>
        <v>0</v>
      </c>
      <c r="FQ168" s="190">
        <f>AE168*AE$2*IF($FC168="V",1,-1)*IF($Q168="Fixo",(CS168-INDEX('Curva Forward'!$C$5:$AN$13,MATCH(CONCATENATE(BD_COMERCIAL!$K168," ",BD_COMERCIAL!$L168),'Curva Forward'!$B$5:$B$13,0),MATCH(FQ$4,'Curva Forward'!$C$4:$AN$4,0))),CS168)</f>
        <v>0</v>
      </c>
      <c r="FR168" s="190">
        <f>AF168*AF$2*IF($FC168="V",1,-1)*IF($Q168="Fixo",(CT168-INDEX('Curva Forward'!$C$5:$AN$13,MATCH(CONCATENATE(BD_COMERCIAL!$K168," ",BD_COMERCIAL!$L168),'Curva Forward'!$B$5:$B$13,0),MATCH(FR$4,'Curva Forward'!$C$4:$AN$4,0))),CT168)</f>
        <v>0</v>
      </c>
      <c r="FS168" s="190">
        <f>AG168*AG$2*IF($FC168="V",1,-1)*IF($Q168="Fixo",(CU168-INDEX('Curva Forward'!$C$5:$AN$13,MATCH(CONCATENATE(BD_COMERCIAL!$K168," ",BD_COMERCIAL!$L168),'Curva Forward'!$B$5:$B$13,0),MATCH(FS$4,'Curva Forward'!$C$4:$AN$4,0))),CU168)</f>
        <v>0</v>
      </c>
      <c r="FT168" s="190">
        <f>AH168*AH$2*IF($FC168="V",1,-1)*IF($Q168="Fixo",(CV168-INDEX('Curva Forward'!$C$5:$AN$13,MATCH(CONCATENATE(BD_COMERCIAL!$K168," ",BD_COMERCIAL!$L168),'Curva Forward'!$B$5:$B$13,0),MATCH(FT$4,'Curva Forward'!$C$4:$AN$4,0))),CV168)</f>
        <v>0</v>
      </c>
      <c r="FU168" s="190">
        <f>AI168*AI$2*IF($FC168="V",1,-1)*IF($Q168="Fixo",(CW168-INDEX('Curva Forward'!$C$5:$AN$13,MATCH(CONCATENATE(BD_COMERCIAL!$K168," ",BD_COMERCIAL!$L168),'Curva Forward'!$B$5:$B$13,0),MATCH(FU$4,'Curva Forward'!$C$4:$AN$4,0))),CW168)</f>
        <v>0</v>
      </c>
      <c r="FV168" s="190">
        <f>AJ168*AJ$2*IF($FC168="V",1,-1)*IF($Q168="Fixo",(CX168-INDEX('Curva Forward'!$C$5:$AN$13,MATCH(CONCATENATE(BD_COMERCIAL!$K168," ",BD_COMERCIAL!$L168),'Curva Forward'!$B$5:$B$13,0),MATCH(FV$4,'Curva Forward'!$C$4:$AN$4,0))),CX168)</f>
        <v>0</v>
      </c>
      <c r="FW168" s="190">
        <f>AK168*AK$2*IF($FC168="V",1,-1)*IF($Q168="Fixo",(CY168-INDEX('Curva Forward'!$C$5:$AN$13,MATCH(CONCATENATE(BD_COMERCIAL!$K168," ",BD_COMERCIAL!$L168),'Curva Forward'!$B$5:$B$13,0),MATCH(FW$4,'Curva Forward'!$C$4:$AN$4,0))),CY168)</f>
        <v>0</v>
      </c>
      <c r="FX168" s="190">
        <f>AL168*AL$2*IF($FC168="V",1,-1)*IF($Q168="Fixo",(CZ168-INDEX('Curva Forward'!$C$5:$AN$13,MATCH(CONCATENATE(BD_COMERCIAL!$K168," ",BD_COMERCIAL!$L168),'Curva Forward'!$B$5:$B$13,0),MATCH(FX$4,'Curva Forward'!$C$4:$AN$4,0))),CZ168)</f>
        <v>0</v>
      </c>
      <c r="FY168" s="190">
        <f>AM168*AM$2*IF($FC168="V",1,-1)*IF($Q168="Fixo",(DA168-INDEX('Curva Forward'!$C$5:$AN$13,MATCH(CONCATENATE(BD_COMERCIAL!$K168," ",BD_COMERCIAL!$L168),'Curva Forward'!$B$5:$B$13,0),MATCH(FY$4,'Curva Forward'!$C$4:$AN$4,0))),DA168)</f>
        <v>0</v>
      </c>
      <c r="FZ168" s="190">
        <f>AN168*AN$2*IF($FC168="V",1,-1)*IF($Q168="Fixo",(DB168-INDEX('Curva Forward'!$C$5:$AN$13,MATCH(CONCATENATE(BD_COMERCIAL!$K168," ",BD_COMERCIAL!$L168),'Curva Forward'!$B$5:$B$13,0),MATCH(FZ$4,'Curva Forward'!$C$4:$AN$4,0))),DB168)</f>
        <v>0</v>
      </c>
      <c r="GA168" s="190">
        <f>AO168*AO$2*IF($FC168="V",1,-1)*IF($Q168="Fixo",(DC168-INDEX('Curva Forward'!$C$5:$AN$13,MATCH(CONCATENATE(BD_COMERCIAL!$K168," ",BD_COMERCIAL!$L168),'Curva Forward'!$B$5:$B$13,0),MATCH(GA$4,'Curva Forward'!$C$4:$AN$4,0))),DC168)</f>
        <v>0</v>
      </c>
      <c r="GB168" s="190">
        <f>AP168*AP$2*IF($FC168="V",1,-1)*IF($Q168="Fixo",(DD168-INDEX('Curva Forward'!$C$5:$AN$13,MATCH(CONCATENATE(BD_COMERCIAL!$K168," ",BD_COMERCIAL!$L168),'Curva Forward'!$B$5:$B$13,0),MATCH(GB$4,'Curva Forward'!$C$4:$AN$4,0))),DD168)</f>
        <v>0</v>
      </c>
      <c r="GC168" s="190">
        <f>AQ168*AQ$2*IF($FC168="V",1,-1)*IF($Q168="Fixo",(DE168-INDEX('Curva Forward'!$C$5:$AN$13,MATCH(CONCATENATE(BD_COMERCIAL!$K168," ",BD_COMERCIAL!$L168),'Curva Forward'!$B$5:$B$13,0),MATCH(GC$4,'Curva Forward'!$C$4:$AN$4,0))),DE168)</f>
        <v>0</v>
      </c>
      <c r="GD168" s="190">
        <f>AR168*AR$2*IF($FC168="V",1,-1)*IF($Q168="Fixo",(DF168-INDEX('Curva Forward'!$C$5:$AN$13,MATCH(CONCATENATE(BD_COMERCIAL!$K168," ",BD_COMERCIAL!$L168),'Curva Forward'!$B$5:$B$13,0),MATCH(GD$4,'Curva Forward'!$C$4:$AN$4,0))),DF168)</f>
        <v>0</v>
      </c>
      <c r="GE168" s="190">
        <f>AS168*AS$2*IF($FC168="V",1,-1)*IF($Q168="Fixo",(DG168-INDEX('Curva Forward'!$C$5:$AN$13,MATCH(CONCATENATE(BD_COMERCIAL!$K168," ",BD_COMERCIAL!$L168),'Curva Forward'!$B$5:$B$13,0),MATCH(GE$4,'Curva Forward'!$C$4:$AN$4,0))),DG168)</f>
        <v>0</v>
      </c>
      <c r="GF168" s="190">
        <f>AT168*AT$2*IF($FC168="V",1,-1)*IF($Q168="Fixo",(DH168-INDEX('Curva Forward'!$C$5:$AN$13,MATCH(CONCATENATE(BD_COMERCIAL!$K168," ",BD_COMERCIAL!$L168),'Curva Forward'!$B$5:$B$13,0),MATCH(GF$4,'Curva Forward'!$C$4:$AN$4,0))),DH168)</f>
        <v>0</v>
      </c>
      <c r="GG168" s="190">
        <f>AU168*AU$2*IF($FC168="V",1,-1)*IF($Q168="Fixo",(DI168-INDEX('Curva Forward'!$C$5:$AN$13,MATCH(CONCATENATE(BD_COMERCIAL!$K168," ",BD_COMERCIAL!$L168),'Curva Forward'!$B$5:$B$13,0),MATCH(GG$4,'Curva Forward'!$C$4:$AN$4,0))),DI168)</f>
        <v>0</v>
      </c>
      <c r="GH168" s="190">
        <f>AV168*AV$2*IF($FC168="V",1,-1)*IF($Q168="Fixo",(DJ168-INDEX('Curva Forward'!$C$5:$AN$13,MATCH(CONCATENATE(BD_COMERCIAL!$K168," ",BD_COMERCIAL!$L168),'Curva Forward'!$B$5:$B$13,0),MATCH(GH$4,'Curva Forward'!$C$4:$AN$4,0))),DJ168)</f>
        <v>0</v>
      </c>
      <c r="GI168" s="190">
        <f>AW168*AW$2*IF($FC168="V",1,-1)*IF($Q168="Fixo",(DK168-INDEX('Curva Forward'!$C$5:$AN$13,MATCH(CONCATENATE(BD_COMERCIAL!$K168," ",BD_COMERCIAL!$L168),'Curva Forward'!$B$5:$B$13,0),MATCH(GI$4,'Curva Forward'!$C$4:$AN$4,0))),DK168)</f>
        <v>0</v>
      </c>
      <c r="GJ168" s="190">
        <f>AX168*AX$2*IF($FC168="V",1,-1)*IF($Q168="Fixo",(DL168-INDEX('Curva Forward'!$C$5:$AN$13,MATCH(CONCATENATE(BD_COMERCIAL!$K168," ",BD_COMERCIAL!$L168),'Curva Forward'!$B$5:$B$13,0),MATCH(GJ$4,'Curva Forward'!$C$4:$AN$4,0))),DL168)</f>
        <v>0</v>
      </c>
      <c r="GK168" s="190">
        <f>AY168*AY$2*IF($FC168="V",1,-1)*IF($Q168="Fixo",(DM168-INDEX('Curva Forward'!$C$5:$AN$13,MATCH(CONCATENATE(BD_COMERCIAL!$K168," ",BD_COMERCIAL!$L168),'Curva Forward'!$B$5:$B$13,0),MATCH(GK$4,'Curva Forward'!$C$4:$AN$4,0))),DM168)</f>
        <v>0</v>
      </c>
      <c r="GL168" s="190">
        <f>IF(EZ168="",0,CL168*CL$2*IF($FC168="V",1,-1)*IF($Q168="Fixo",(EZ168-INDEX('Curva Forward'!$C$5:$AN$13,MATCH(CONCATENATE(BD_COMERCIAL!$K168," ",BD_COMERCIAL!$L168),'Curva Forward'!$B$5:$B$13,0),MATCH(GL$4,'Curva Forward'!$C$4:$AN$4,0))),EZ168))</f>
        <v>0</v>
      </c>
      <c r="GM168" s="190">
        <f>IF(FA168="",0,CM168*CM$2*IF($FC168="V",1,-1)*IF($Q168="Fixo",(FA168-INDEX('Curva Forward'!$C$5:$AN$13,MATCH(CONCATENATE(BD_COMERCIAL!$K168," ",BD_COMERCIAL!$L168),'Curva Forward'!$B$5:$B$13,0),MATCH(GM$4,'Curva Forward'!$C$4:$AN$4,0))),FA168))</f>
        <v>0</v>
      </c>
      <c r="GN168" s="190">
        <f>IF(FB168="",0,CN168*CN$2*IF($FC168="V",1,-1)*IF($Q168="Fixo",(FB168-INDEX('Curva Forward'!$C$5:$AN$13,MATCH(CONCATENATE(BD_COMERCIAL!$K168," ",BD_COMERCIAL!$L168),'Curva Forward'!$B$5:$B$13,0),MATCH(GN$4,'Curva Forward'!$C$4:$AN$4,0))),FB168))</f>
        <v>0</v>
      </c>
      <c r="GO168" s="191">
        <f t="shared" ca="1" si="25"/>
        <v>0</v>
      </c>
      <c r="GP168" s="191">
        <f t="shared" ca="1" si="26"/>
        <v>0</v>
      </c>
      <c r="GQ168" s="115"/>
      <c r="GR168" s="115"/>
      <c r="GS168"/>
      <c r="GT168" s="65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</row>
    <row r="169" spans="1:236" s="265" customFormat="1" ht="15" customHeight="1" x14ac:dyDescent="0.35">
      <c r="A169" s="251"/>
      <c r="B169" s="275" t="s">
        <v>626</v>
      </c>
      <c r="C169" s="253">
        <v>44964</v>
      </c>
      <c r="D169" s="254" t="s">
        <v>123</v>
      </c>
      <c r="E169" s="254" t="s">
        <v>381</v>
      </c>
      <c r="F169" s="255" t="s">
        <v>348</v>
      </c>
      <c r="G169" s="256" t="s">
        <v>627</v>
      </c>
      <c r="H169" s="255" t="s">
        <v>628</v>
      </c>
      <c r="I169" s="254" t="s">
        <v>137</v>
      </c>
      <c r="J169" s="257"/>
      <c r="K169" s="256" t="s">
        <v>126</v>
      </c>
      <c r="L169" s="252" t="s">
        <v>22</v>
      </c>
      <c r="M169" s="258">
        <v>45292</v>
      </c>
      <c r="N169" s="259">
        <v>45657</v>
      </c>
      <c r="O169" s="256">
        <v>4</v>
      </c>
      <c r="P169" s="252">
        <v>85</v>
      </c>
      <c r="Q169" s="252" t="s">
        <v>127</v>
      </c>
      <c r="R169" s="256" t="s">
        <v>128</v>
      </c>
      <c r="S169" s="260" t="s">
        <v>133</v>
      </c>
      <c r="T169" s="258" t="s">
        <v>129</v>
      </c>
      <c r="U169" s="259">
        <v>44964</v>
      </c>
      <c r="V169" s="261"/>
      <c r="W169" s="252"/>
      <c r="X169" s="262" t="s">
        <v>132</v>
      </c>
      <c r="Y169" s="257"/>
      <c r="Z169" s="263"/>
      <c r="AA169" s="264"/>
      <c r="AB169" s="266"/>
      <c r="AM169" s="251"/>
      <c r="AN169" s="266">
        <v>4</v>
      </c>
      <c r="AO169" s="265">
        <v>4</v>
      </c>
      <c r="AP169" s="265">
        <v>4</v>
      </c>
      <c r="AQ169" s="265">
        <v>4</v>
      </c>
      <c r="AR169" s="265">
        <v>4</v>
      </c>
      <c r="AS169" s="265">
        <v>4</v>
      </c>
      <c r="AT169" s="265">
        <v>4</v>
      </c>
      <c r="AU169" s="265">
        <v>4</v>
      </c>
      <c r="AV169" s="265">
        <v>4</v>
      </c>
      <c r="AW169" s="265">
        <v>4</v>
      </c>
      <c r="AX169" s="265">
        <v>4</v>
      </c>
      <c r="AY169" s="251">
        <v>4</v>
      </c>
      <c r="AZ169" s="266"/>
      <c r="BK169" s="251"/>
      <c r="BL169" s="266"/>
      <c r="BW169" s="251"/>
      <c r="BX169" s="266"/>
      <c r="CI169" s="251"/>
      <c r="CJ169" s="267"/>
      <c r="CK169" s="267"/>
      <c r="CL169" s="267"/>
      <c r="CM169" s="267"/>
      <c r="CN169" s="267"/>
      <c r="CO169" s="268"/>
      <c r="CP169" s="266"/>
      <c r="DA169" s="251"/>
      <c r="DB169" s="266">
        <v>85</v>
      </c>
      <c r="DC169" s="265">
        <v>85</v>
      </c>
      <c r="DD169" s="265">
        <v>85</v>
      </c>
      <c r="DE169" s="265">
        <v>85</v>
      </c>
      <c r="DF169" s="265">
        <v>85</v>
      </c>
      <c r="DG169" s="265">
        <v>85</v>
      </c>
      <c r="DH169" s="265">
        <v>85</v>
      </c>
      <c r="DI169" s="265">
        <v>85</v>
      </c>
      <c r="DJ169" s="265">
        <v>85</v>
      </c>
      <c r="DK169" s="265">
        <v>85</v>
      </c>
      <c r="DL169" s="265">
        <v>85</v>
      </c>
      <c r="DM169" s="251">
        <v>85</v>
      </c>
      <c r="DN169" s="266"/>
      <c r="DY169" s="251"/>
      <c r="DZ169" s="266"/>
      <c r="EK169" s="251"/>
      <c r="EL169" s="266"/>
      <c r="EW169" s="251"/>
      <c r="EX169" s="267"/>
      <c r="EY169" s="267"/>
      <c r="EZ169" s="267"/>
      <c r="FA169" s="267"/>
      <c r="FB169" s="269"/>
      <c r="FC169" s="265" t="s">
        <v>195</v>
      </c>
      <c r="FD169" s="270" t="s">
        <v>137</v>
      </c>
      <c r="FF169" s="199" t="s">
        <v>197</v>
      </c>
      <c r="FH169" s="206">
        <f t="shared" si="20"/>
        <v>0</v>
      </c>
      <c r="FI169" s="198">
        <f t="shared" si="21"/>
        <v>12.166666666666666</v>
      </c>
      <c r="FJ169"/>
      <c r="FK169" t="str">
        <f t="shared" si="22"/>
        <v>ESFERA COMERCIALIZADORA DE ENERGIA LTDA</v>
      </c>
      <c r="FL169" s="191">
        <f t="shared" ca="1" si="23"/>
        <v>0</v>
      </c>
      <c r="FM169" s="191">
        <f t="shared" ca="1" si="24"/>
        <v>16704</v>
      </c>
      <c r="FN169" s="190">
        <f>AB169*AB$2*IF($FC169="V",1,-1)*IF($Q169="Fixo",(CP169-INDEX('Curva Forward'!$C$5:$AN$13,MATCH(CONCATENATE(BD_COMERCIAL!$K169," ",BD_COMERCIAL!$L169),'Curva Forward'!$B$5:$B$13,0),MATCH(FN$4,'Curva Forward'!$C$4:$AN$4,0))),CP169)</f>
        <v>0</v>
      </c>
      <c r="FO169" s="190">
        <f>AC169*AC$2*IF($FC169="V",1,-1)*IF($Q169="Fixo",(CQ169-INDEX('Curva Forward'!$C$5:$AN$13,MATCH(CONCATENATE(BD_COMERCIAL!$K169," ",BD_COMERCIAL!$L169),'Curva Forward'!$B$5:$B$13,0),MATCH(FO$4,'Curva Forward'!$C$4:$AN$4,0))),CQ169)</f>
        <v>0</v>
      </c>
      <c r="FP169" s="190">
        <f>AD169*AD$2*IF($FC169="V",1,-1)*IF($Q169="Fixo",(CR169-INDEX('Curva Forward'!$C$5:$AN$13,MATCH(CONCATENATE(BD_COMERCIAL!$K169," ",BD_COMERCIAL!$L169),'Curva Forward'!$B$5:$B$13,0),MATCH(FP$4,'Curva Forward'!$C$4:$AN$4,0))),CR169)</f>
        <v>0</v>
      </c>
      <c r="FQ169" s="190">
        <f>AE169*AE$2*IF($FC169="V",1,-1)*IF($Q169="Fixo",(CS169-INDEX('Curva Forward'!$C$5:$AN$13,MATCH(CONCATENATE(BD_COMERCIAL!$K169," ",BD_COMERCIAL!$L169),'Curva Forward'!$B$5:$B$13,0),MATCH(FQ$4,'Curva Forward'!$C$4:$AN$4,0))),CS169)</f>
        <v>0</v>
      </c>
      <c r="FR169" s="190">
        <f>AF169*AF$2*IF($FC169="V",1,-1)*IF($Q169="Fixo",(CT169-INDEX('Curva Forward'!$C$5:$AN$13,MATCH(CONCATENATE(BD_COMERCIAL!$K169," ",BD_COMERCIAL!$L169),'Curva Forward'!$B$5:$B$13,0),MATCH(FR$4,'Curva Forward'!$C$4:$AN$4,0))),CT169)</f>
        <v>0</v>
      </c>
      <c r="FS169" s="190">
        <f>AG169*AG$2*IF($FC169="V",1,-1)*IF($Q169="Fixo",(CU169-INDEX('Curva Forward'!$C$5:$AN$13,MATCH(CONCATENATE(BD_COMERCIAL!$K169," ",BD_COMERCIAL!$L169),'Curva Forward'!$B$5:$B$13,0),MATCH(FS$4,'Curva Forward'!$C$4:$AN$4,0))),CU169)</f>
        <v>0</v>
      </c>
      <c r="FT169" s="190">
        <f>AH169*AH$2*IF($FC169="V",1,-1)*IF($Q169="Fixo",(CV169-INDEX('Curva Forward'!$C$5:$AN$13,MATCH(CONCATENATE(BD_COMERCIAL!$K169," ",BD_COMERCIAL!$L169),'Curva Forward'!$B$5:$B$13,0),MATCH(FT$4,'Curva Forward'!$C$4:$AN$4,0))),CV169)</f>
        <v>0</v>
      </c>
      <c r="FU169" s="190">
        <f>AI169*AI$2*IF($FC169="V",1,-1)*IF($Q169="Fixo",(CW169-INDEX('Curva Forward'!$C$5:$AN$13,MATCH(CONCATENATE(BD_COMERCIAL!$K169," ",BD_COMERCIAL!$L169),'Curva Forward'!$B$5:$B$13,0),MATCH(FU$4,'Curva Forward'!$C$4:$AN$4,0))),CW169)</f>
        <v>0</v>
      </c>
      <c r="FV169" s="190">
        <f>AJ169*AJ$2*IF($FC169="V",1,-1)*IF($Q169="Fixo",(CX169-INDEX('Curva Forward'!$C$5:$AN$13,MATCH(CONCATENATE(BD_COMERCIAL!$K169," ",BD_COMERCIAL!$L169),'Curva Forward'!$B$5:$B$13,0),MATCH(FV$4,'Curva Forward'!$C$4:$AN$4,0))),CX169)</f>
        <v>0</v>
      </c>
      <c r="FW169" s="190">
        <f>AK169*AK$2*IF($FC169="V",1,-1)*IF($Q169="Fixo",(CY169-INDEX('Curva Forward'!$C$5:$AN$13,MATCH(CONCATENATE(BD_COMERCIAL!$K169," ",BD_COMERCIAL!$L169),'Curva Forward'!$B$5:$B$13,0),MATCH(FW$4,'Curva Forward'!$C$4:$AN$4,0))),CY169)</f>
        <v>0</v>
      </c>
      <c r="FX169" s="190">
        <f>AL169*AL$2*IF($FC169="V",1,-1)*IF($Q169="Fixo",(CZ169-INDEX('Curva Forward'!$C$5:$AN$13,MATCH(CONCATENATE(BD_COMERCIAL!$K169," ",BD_COMERCIAL!$L169),'Curva Forward'!$B$5:$B$13,0),MATCH(FX$4,'Curva Forward'!$C$4:$AN$4,0))),CZ169)</f>
        <v>0</v>
      </c>
      <c r="FY169" s="190">
        <f>AM169*AM$2*IF($FC169="V",1,-1)*IF($Q169="Fixo",(DA169-INDEX('Curva Forward'!$C$5:$AN$13,MATCH(CONCATENATE(BD_COMERCIAL!$K169," ",BD_COMERCIAL!$L169),'Curva Forward'!$B$5:$B$13,0),MATCH(FY$4,'Curva Forward'!$C$4:$AN$4,0))),DA169)</f>
        <v>0</v>
      </c>
      <c r="FZ169" s="190">
        <f>AN169*AN$2*IF($FC169="V",1,-1)*IF($Q169="Fixo",(DB169-INDEX('Curva Forward'!$C$5:$AN$13,MATCH(CONCATENATE(BD_COMERCIAL!$K169," ",BD_COMERCIAL!$L169),'Curva Forward'!$B$5:$B$13,0),MATCH(FZ$4,'Curva Forward'!$C$4:$AN$4,0))),DB169)</f>
        <v>14880</v>
      </c>
      <c r="GA169" s="190">
        <f>AO169*AO$2*IF($FC169="V",1,-1)*IF($Q169="Fixo",(DC169-INDEX('Curva Forward'!$C$5:$AN$13,MATCH(CONCATENATE(BD_COMERCIAL!$K169," ",BD_COMERCIAL!$L169),'Curva Forward'!$B$5:$B$13,0),MATCH(GA$4,'Curva Forward'!$C$4:$AN$4,0))),DC169)</f>
        <v>13920</v>
      </c>
      <c r="GB169" s="190">
        <f>AP169*AP$2*IF($FC169="V",1,-1)*IF($Q169="Fixo",(DD169-INDEX('Curva Forward'!$C$5:$AN$13,MATCH(CONCATENATE(BD_COMERCIAL!$K169," ",BD_COMERCIAL!$L169),'Curva Forward'!$B$5:$B$13,0),MATCH(GB$4,'Curva Forward'!$C$4:$AN$4,0))),DD169)</f>
        <v>14880</v>
      </c>
      <c r="GC169" s="190">
        <f>AQ169*AQ$2*IF($FC169="V",1,-1)*IF($Q169="Fixo",(DE169-INDEX('Curva Forward'!$C$5:$AN$13,MATCH(CONCATENATE(BD_COMERCIAL!$K169," ",BD_COMERCIAL!$L169),'Curva Forward'!$B$5:$B$13,0),MATCH(GC$4,'Curva Forward'!$C$4:$AN$4,0))),DE169)</f>
        <v>14400</v>
      </c>
      <c r="GD169" s="190">
        <f>AR169*AR$2*IF($FC169="V",1,-1)*IF($Q169="Fixo",(DF169-INDEX('Curva Forward'!$C$5:$AN$13,MATCH(CONCATENATE(BD_COMERCIAL!$K169," ",BD_COMERCIAL!$L169),'Curva Forward'!$B$5:$B$13,0),MATCH(GD$4,'Curva Forward'!$C$4:$AN$4,0))),DF169)</f>
        <v>14880</v>
      </c>
      <c r="GE169" s="190">
        <f>AS169*AS$2*IF($FC169="V",1,-1)*IF($Q169="Fixo",(DG169-INDEX('Curva Forward'!$C$5:$AN$13,MATCH(CONCATENATE(BD_COMERCIAL!$K169," ",BD_COMERCIAL!$L169),'Curva Forward'!$B$5:$B$13,0),MATCH(GE$4,'Curva Forward'!$C$4:$AN$4,0))),DG169)</f>
        <v>14400</v>
      </c>
      <c r="GF169" s="190">
        <f>AT169*AT$2*IF($FC169="V",1,-1)*IF($Q169="Fixo",(DH169-INDEX('Curva Forward'!$C$5:$AN$13,MATCH(CONCATENATE(BD_COMERCIAL!$K169," ",BD_COMERCIAL!$L169),'Curva Forward'!$B$5:$B$13,0),MATCH(GF$4,'Curva Forward'!$C$4:$AN$4,0))),DH169)</f>
        <v>-11904</v>
      </c>
      <c r="GG169" s="190">
        <f>AU169*AU$2*IF($FC169="V",1,-1)*IF($Q169="Fixo",(DI169-INDEX('Curva Forward'!$C$5:$AN$13,MATCH(CONCATENATE(BD_COMERCIAL!$K169," ",BD_COMERCIAL!$L169),'Curva Forward'!$B$5:$B$13,0),MATCH(GG$4,'Curva Forward'!$C$4:$AN$4,0))),DI169)</f>
        <v>-11904</v>
      </c>
      <c r="GH169" s="190">
        <f>AV169*AV$2*IF($FC169="V",1,-1)*IF($Q169="Fixo",(DJ169-INDEX('Curva Forward'!$C$5:$AN$13,MATCH(CONCATENATE(BD_COMERCIAL!$K169," ",BD_COMERCIAL!$L169),'Curva Forward'!$B$5:$B$13,0),MATCH(GH$4,'Curva Forward'!$C$4:$AN$4,0))),DJ169)</f>
        <v>-11520</v>
      </c>
      <c r="GI169" s="190">
        <f>AW169*AW$2*IF($FC169="V",1,-1)*IF($Q169="Fixo",(DK169-INDEX('Curva Forward'!$C$5:$AN$13,MATCH(CONCATENATE(BD_COMERCIAL!$K169," ",BD_COMERCIAL!$L169),'Curva Forward'!$B$5:$B$13,0),MATCH(GI$4,'Curva Forward'!$C$4:$AN$4,0))),DK169)</f>
        <v>-11904</v>
      </c>
      <c r="GJ169" s="190">
        <f>AX169*AX$2*IF($FC169="V",1,-1)*IF($Q169="Fixo",(DL169-INDEX('Curva Forward'!$C$5:$AN$13,MATCH(CONCATENATE(BD_COMERCIAL!$K169," ",BD_COMERCIAL!$L169),'Curva Forward'!$B$5:$B$13,0),MATCH(GJ$4,'Curva Forward'!$C$4:$AN$4,0))),DL169)</f>
        <v>-11520</v>
      </c>
      <c r="GK169" s="190">
        <f>AY169*AY$2*IF($FC169="V",1,-1)*IF($Q169="Fixo",(DM169-INDEX('Curva Forward'!$C$5:$AN$13,MATCH(CONCATENATE(BD_COMERCIAL!$K169," ",BD_COMERCIAL!$L169),'Curva Forward'!$B$5:$B$13,0),MATCH(GK$4,'Curva Forward'!$C$4:$AN$4,0))),DM169)</f>
        <v>-11904</v>
      </c>
      <c r="GL169" s="190">
        <f>IF(EZ169="",0,CL169*CL$2*IF($FC169="V",1,-1)*IF($Q169="Fixo",(EZ169-INDEX('Curva Forward'!$C$5:$AN$13,MATCH(CONCATENATE(BD_COMERCIAL!$K169," ",BD_COMERCIAL!$L169),'Curva Forward'!$B$5:$B$13,0),MATCH(GL$4,'Curva Forward'!$C$4:$AN$4,0))),EZ169))</f>
        <v>0</v>
      </c>
      <c r="GM169" s="190">
        <f>IF(FA169="",0,CM169*CM$2*IF($FC169="V",1,-1)*IF($Q169="Fixo",(FA169-INDEX('Curva Forward'!$C$5:$AN$13,MATCH(CONCATENATE(BD_COMERCIAL!$K169," ",BD_COMERCIAL!$L169),'Curva Forward'!$B$5:$B$13,0),MATCH(GM$4,'Curva Forward'!$C$4:$AN$4,0))),FA169))</f>
        <v>0</v>
      </c>
      <c r="GN169" s="190">
        <f>IF(FB169="",0,CN169*CN$2*IF($FC169="V",1,-1)*IF($Q169="Fixo",(FB169-INDEX('Curva Forward'!$C$5:$AN$13,MATCH(CONCATENATE(BD_COMERCIAL!$K169," ",BD_COMERCIAL!$L169),'Curva Forward'!$B$5:$B$13,0),MATCH(GN$4,'Curva Forward'!$C$4:$AN$4,0))),FB169))</f>
        <v>0</v>
      </c>
      <c r="GO169" s="191">
        <f t="shared" ca="1" si="25"/>
        <v>16704</v>
      </c>
      <c r="GP169" s="191">
        <f t="shared" ca="1" si="26"/>
        <v>0</v>
      </c>
      <c r="GQ169" s="115"/>
      <c r="GR169" s="115"/>
      <c r="GS169"/>
      <c r="GT169" s="65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</row>
    <row r="170" spans="1:236" s="265" customFormat="1" ht="15" customHeight="1" x14ac:dyDescent="0.35">
      <c r="A170" s="251"/>
      <c r="B170" s="275" t="s">
        <v>586</v>
      </c>
      <c r="C170" s="253">
        <v>44964</v>
      </c>
      <c r="D170" s="254" t="s">
        <v>130</v>
      </c>
      <c r="E170" s="256" t="s">
        <v>359</v>
      </c>
      <c r="F170" s="255" t="s">
        <v>360</v>
      </c>
      <c r="G170" s="256" t="s">
        <v>381</v>
      </c>
      <c r="H170" s="255" t="s">
        <v>348</v>
      </c>
      <c r="I170" s="254" t="s">
        <v>137</v>
      </c>
      <c r="J170" s="257"/>
      <c r="K170" s="256" t="s">
        <v>126</v>
      </c>
      <c r="L170" s="252" t="s">
        <v>22</v>
      </c>
      <c r="M170" s="258">
        <v>45292</v>
      </c>
      <c r="N170" s="259">
        <v>45473</v>
      </c>
      <c r="O170" s="256">
        <v>4.2</v>
      </c>
      <c r="P170" s="252">
        <v>80</v>
      </c>
      <c r="Q170" s="252" t="s">
        <v>127</v>
      </c>
      <c r="R170" s="256" t="s">
        <v>128</v>
      </c>
      <c r="S170" s="260" t="s">
        <v>133</v>
      </c>
      <c r="T170" s="258" t="s">
        <v>129</v>
      </c>
      <c r="U170" s="259">
        <v>44964</v>
      </c>
      <c r="V170" s="261"/>
      <c r="W170" s="252"/>
      <c r="X170" s="262"/>
      <c r="Y170" s="257" t="s">
        <v>7</v>
      </c>
      <c r="Z170" s="263"/>
      <c r="AA170" s="264"/>
      <c r="AB170" s="266"/>
      <c r="AM170" s="251"/>
      <c r="AN170" s="266">
        <v>4.2</v>
      </c>
      <c r="AO170" s="265">
        <v>4.2</v>
      </c>
      <c r="AP170" s="265">
        <v>4.2</v>
      </c>
      <c r="AQ170" s="265">
        <v>4.2</v>
      </c>
      <c r="AR170" s="265">
        <v>4.2</v>
      </c>
      <c r="AS170" s="265">
        <v>4.2</v>
      </c>
      <c r="AY170" s="251"/>
      <c r="AZ170" s="266"/>
      <c r="BK170" s="251"/>
      <c r="BL170" s="266"/>
      <c r="BW170" s="251"/>
      <c r="BX170" s="266"/>
      <c r="CI170" s="251"/>
      <c r="CJ170" s="267"/>
      <c r="CK170" s="267"/>
      <c r="CL170" s="267"/>
      <c r="CM170" s="267"/>
      <c r="CN170" s="267"/>
      <c r="CO170" s="268"/>
      <c r="CP170" s="266"/>
      <c r="DA170" s="251"/>
      <c r="DB170" s="266">
        <v>80</v>
      </c>
      <c r="DC170" s="265">
        <v>80</v>
      </c>
      <c r="DD170" s="265">
        <v>80</v>
      </c>
      <c r="DE170" s="265">
        <v>80</v>
      </c>
      <c r="DF170" s="265">
        <v>80</v>
      </c>
      <c r="DG170" s="265">
        <v>80</v>
      </c>
      <c r="DM170" s="251"/>
      <c r="DN170" s="266"/>
      <c r="DY170" s="251"/>
      <c r="DZ170" s="266"/>
      <c r="EK170" s="251"/>
      <c r="EL170" s="266"/>
      <c r="EW170" s="251"/>
      <c r="EX170" s="267"/>
      <c r="EY170" s="267"/>
      <c r="EZ170" s="267"/>
      <c r="FA170" s="267"/>
      <c r="FB170" s="269"/>
      <c r="FC170" s="265" t="s">
        <v>196</v>
      </c>
      <c r="FD170" s="270" t="s">
        <v>137</v>
      </c>
      <c r="FF170" s="199" t="s">
        <v>197</v>
      </c>
      <c r="FH170" s="206">
        <f t="shared" si="20"/>
        <v>0</v>
      </c>
      <c r="FI170" s="198">
        <f t="shared" si="21"/>
        <v>6.0333333333333332</v>
      </c>
      <c r="FJ170"/>
      <c r="FK170" t="str">
        <f t="shared" si="22"/>
        <v>Auren Comercializadora de Energia Ltda</v>
      </c>
      <c r="FL170" s="191">
        <f t="shared" ca="1" si="23"/>
        <v>0</v>
      </c>
      <c r="FM170" s="191">
        <f t="shared" ca="1" si="24"/>
        <v>0</v>
      </c>
      <c r="FN170" s="190">
        <f>AB170*AB$2*IF($FC170="V",1,-1)*IF($Q170="Fixo",(CP170-INDEX('Curva Forward'!$C$5:$AN$13,MATCH(CONCATENATE(BD_COMERCIAL!$K170," ",BD_COMERCIAL!$L170),'Curva Forward'!$B$5:$B$13,0),MATCH(FN$4,'Curva Forward'!$C$4:$AN$4,0))),CP170)</f>
        <v>0</v>
      </c>
      <c r="FO170" s="190">
        <f>AC170*AC$2*IF($FC170="V",1,-1)*IF($Q170="Fixo",(CQ170-INDEX('Curva Forward'!$C$5:$AN$13,MATCH(CONCATENATE(BD_COMERCIAL!$K170," ",BD_COMERCIAL!$L170),'Curva Forward'!$B$5:$B$13,0),MATCH(FO$4,'Curva Forward'!$C$4:$AN$4,0))),CQ170)</f>
        <v>0</v>
      </c>
      <c r="FP170" s="190">
        <f>AD170*AD$2*IF($FC170="V",1,-1)*IF($Q170="Fixo",(CR170-INDEX('Curva Forward'!$C$5:$AN$13,MATCH(CONCATENATE(BD_COMERCIAL!$K170," ",BD_COMERCIAL!$L170),'Curva Forward'!$B$5:$B$13,0),MATCH(FP$4,'Curva Forward'!$C$4:$AN$4,0))),CR170)</f>
        <v>0</v>
      </c>
      <c r="FQ170" s="190">
        <f>AE170*AE$2*IF($FC170="V",1,-1)*IF($Q170="Fixo",(CS170-INDEX('Curva Forward'!$C$5:$AN$13,MATCH(CONCATENATE(BD_COMERCIAL!$K170," ",BD_COMERCIAL!$L170),'Curva Forward'!$B$5:$B$13,0),MATCH(FQ$4,'Curva Forward'!$C$4:$AN$4,0))),CS170)</f>
        <v>0</v>
      </c>
      <c r="FR170" s="190">
        <f>AF170*AF$2*IF($FC170="V",1,-1)*IF($Q170="Fixo",(CT170-INDEX('Curva Forward'!$C$5:$AN$13,MATCH(CONCATENATE(BD_COMERCIAL!$K170," ",BD_COMERCIAL!$L170),'Curva Forward'!$B$5:$B$13,0),MATCH(FR$4,'Curva Forward'!$C$4:$AN$4,0))),CT170)</f>
        <v>0</v>
      </c>
      <c r="FS170" s="190">
        <f>AG170*AG$2*IF($FC170="V",1,-1)*IF($Q170="Fixo",(CU170-INDEX('Curva Forward'!$C$5:$AN$13,MATCH(CONCATENATE(BD_COMERCIAL!$K170," ",BD_COMERCIAL!$L170),'Curva Forward'!$B$5:$B$13,0),MATCH(FS$4,'Curva Forward'!$C$4:$AN$4,0))),CU170)</f>
        <v>0</v>
      </c>
      <c r="FT170" s="190">
        <f>AH170*AH$2*IF($FC170="V",1,-1)*IF($Q170="Fixo",(CV170-INDEX('Curva Forward'!$C$5:$AN$13,MATCH(CONCATENATE(BD_COMERCIAL!$K170," ",BD_COMERCIAL!$L170),'Curva Forward'!$B$5:$B$13,0),MATCH(FT$4,'Curva Forward'!$C$4:$AN$4,0))),CV170)</f>
        <v>0</v>
      </c>
      <c r="FU170" s="190">
        <f>AI170*AI$2*IF($FC170="V",1,-1)*IF($Q170="Fixo",(CW170-INDEX('Curva Forward'!$C$5:$AN$13,MATCH(CONCATENATE(BD_COMERCIAL!$K170," ",BD_COMERCIAL!$L170),'Curva Forward'!$B$5:$B$13,0),MATCH(FU$4,'Curva Forward'!$C$4:$AN$4,0))),CW170)</f>
        <v>0</v>
      </c>
      <c r="FV170" s="190">
        <f>AJ170*AJ$2*IF($FC170="V",1,-1)*IF($Q170="Fixo",(CX170-INDEX('Curva Forward'!$C$5:$AN$13,MATCH(CONCATENATE(BD_COMERCIAL!$K170," ",BD_COMERCIAL!$L170),'Curva Forward'!$B$5:$B$13,0),MATCH(FV$4,'Curva Forward'!$C$4:$AN$4,0))),CX170)</f>
        <v>0</v>
      </c>
      <c r="FW170" s="190">
        <f>AK170*AK$2*IF($FC170="V",1,-1)*IF($Q170="Fixo",(CY170-INDEX('Curva Forward'!$C$5:$AN$13,MATCH(CONCATENATE(BD_COMERCIAL!$K170," ",BD_COMERCIAL!$L170),'Curva Forward'!$B$5:$B$13,0),MATCH(FW$4,'Curva Forward'!$C$4:$AN$4,0))),CY170)</f>
        <v>0</v>
      </c>
      <c r="FX170" s="190">
        <f>AL170*AL$2*IF($FC170="V",1,-1)*IF($Q170="Fixo",(CZ170-INDEX('Curva Forward'!$C$5:$AN$13,MATCH(CONCATENATE(BD_COMERCIAL!$K170," ",BD_COMERCIAL!$L170),'Curva Forward'!$B$5:$B$13,0),MATCH(FX$4,'Curva Forward'!$C$4:$AN$4,0))),CZ170)</f>
        <v>0</v>
      </c>
      <c r="FY170" s="190">
        <f>AM170*AM$2*IF($FC170="V",1,-1)*IF($Q170="Fixo",(DA170-INDEX('Curva Forward'!$C$5:$AN$13,MATCH(CONCATENATE(BD_COMERCIAL!$K170," ",BD_COMERCIAL!$L170),'Curva Forward'!$B$5:$B$13,0),MATCH(FY$4,'Curva Forward'!$C$4:$AN$4,0))),DA170)</f>
        <v>0</v>
      </c>
      <c r="FZ170" s="190">
        <f>AN170*AN$2*IF($FC170="V",1,-1)*IF($Q170="Fixo",(DB170-INDEX('Curva Forward'!$C$5:$AN$13,MATCH(CONCATENATE(BD_COMERCIAL!$K170," ",BD_COMERCIAL!$L170),'Curva Forward'!$B$5:$B$13,0),MATCH(FZ$4,'Curva Forward'!$C$4:$AN$4,0))),DB170)</f>
        <v>0</v>
      </c>
      <c r="GA170" s="190">
        <f>AO170*AO$2*IF($FC170="V",1,-1)*IF($Q170="Fixo",(DC170-INDEX('Curva Forward'!$C$5:$AN$13,MATCH(CONCATENATE(BD_COMERCIAL!$K170," ",BD_COMERCIAL!$L170),'Curva Forward'!$B$5:$B$13,0),MATCH(GA$4,'Curva Forward'!$C$4:$AN$4,0))),DC170)</f>
        <v>0</v>
      </c>
      <c r="GB170" s="190">
        <f>AP170*AP$2*IF($FC170="V",1,-1)*IF($Q170="Fixo",(DD170-INDEX('Curva Forward'!$C$5:$AN$13,MATCH(CONCATENATE(BD_COMERCIAL!$K170," ",BD_COMERCIAL!$L170),'Curva Forward'!$B$5:$B$13,0),MATCH(GB$4,'Curva Forward'!$C$4:$AN$4,0))),DD170)</f>
        <v>0</v>
      </c>
      <c r="GC170" s="190">
        <f>AQ170*AQ$2*IF($FC170="V",1,-1)*IF($Q170="Fixo",(DE170-INDEX('Curva Forward'!$C$5:$AN$13,MATCH(CONCATENATE(BD_COMERCIAL!$K170," ",BD_COMERCIAL!$L170),'Curva Forward'!$B$5:$B$13,0),MATCH(GC$4,'Curva Forward'!$C$4:$AN$4,0))),DE170)</f>
        <v>0</v>
      </c>
      <c r="GD170" s="190">
        <f>AR170*AR$2*IF($FC170="V",1,-1)*IF($Q170="Fixo",(DF170-INDEX('Curva Forward'!$C$5:$AN$13,MATCH(CONCATENATE(BD_COMERCIAL!$K170," ",BD_COMERCIAL!$L170),'Curva Forward'!$B$5:$B$13,0),MATCH(GD$4,'Curva Forward'!$C$4:$AN$4,0))),DF170)</f>
        <v>0</v>
      </c>
      <c r="GE170" s="190">
        <f>AS170*AS$2*IF($FC170="V",1,-1)*IF($Q170="Fixo",(DG170-INDEX('Curva Forward'!$C$5:$AN$13,MATCH(CONCATENATE(BD_COMERCIAL!$K170," ",BD_COMERCIAL!$L170),'Curva Forward'!$B$5:$B$13,0),MATCH(GE$4,'Curva Forward'!$C$4:$AN$4,0))),DG170)</f>
        <v>0</v>
      </c>
      <c r="GF170" s="190">
        <f>AT170*AT$2*IF($FC170="V",1,-1)*IF($Q170="Fixo",(DH170-INDEX('Curva Forward'!$C$5:$AN$13,MATCH(CONCATENATE(BD_COMERCIAL!$K170," ",BD_COMERCIAL!$L170),'Curva Forward'!$B$5:$B$13,0),MATCH(GF$4,'Curva Forward'!$C$4:$AN$4,0))),DH170)</f>
        <v>0</v>
      </c>
      <c r="GG170" s="190">
        <f>AU170*AU$2*IF($FC170="V",1,-1)*IF($Q170="Fixo",(DI170-INDEX('Curva Forward'!$C$5:$AN$13,MATCH(CONCATENATE(BD_COMERCIAL!$K170," ",BD_COMERCIAL!$L170),'Curva Forward'!$B$5:$B$13,0),MATCH(GG$4,'Curva Forward'!$C$4:$AN$4,0))),DI170)</f>
        <v>0</v>
      </c>
      <c r="GH170" s="190">
        <f>AV170*AV$2*IF($FC170="V",1,-1)*IF($Q170="Fixo",(DJ170-INDEX('Curva Forward'!$C$5:$AN$13,MATCH(CONCATENATE(BD_COMERCIAL!$K170," ",BD_COMERCIAL!$L170),'Curva Forward'!$B$5:$B$13,0),MATCH(GH$4,'Curva Forward'!$C$4:$AN$4,0))),DJ170)</f>
        <v>0</v>
      </c>
      <c r="GI170" s="190">
        <f>AW170*AW$2*IF($FC170="V",1,-1)*IF($Q170="Fixo",(DK170-INDEX('Curva Forward'!$C$5:$AN$13,MATCH(CONCATENATE(BD_COMERCIAL!$K170," ",BD_COMERCIAL!$L170),'Curva Forward'!$B$5:$B$13,0),MATCH(GI$4,'Curva Forward'!$C$4:$AN$4,0))),DK170)</f>
        <v>0</v>
      </c>
      <c r="GJ170" s="190">
        <f>AX170*AX$2*IF($FC170="V",1,-1)*IF($Q170="Fixo",(DL170-INDEX('Curva Forward'!$C$5:$AN$13,MATCH(CONCATENATE(BD_COMERCIAL!$K170," ",BD_COMERCIAL!$L170),'Curva Forward'!$B$5:$B$13,0),MATCH(GJ$4,'Curva Forward'!$C$4:$AN$4,0))),DL170)</f>
        <v>0</v>
      </c>
      <c r="GK170" s="190">
        <f>AY170*AY$2*IF($FC170="V",1,-1)*IF($Q170="Fixo",(DM170-INDEX('Curva Forward'!$C$5:$AN$13,MATCH(CONCATENATE(BD_COMERCIAL!$K170," ",BD_COMERCIAL!$L170),'Curva Forward'!$B$5:$B$13,0),MATCH(GK$4,'Curva Forward'!$C$4:$AN$4,0))),DM170)</f>
        <v>0</v>
      </c>
      <c r="GL170" s="190">
        <f>IF(EZ170="",0,CL170*CL$2*IF($FC170="V",1,-1)*IF($Q170="Fixo",(EZ170-INDEX('Curva Forward'!$C$5:$AN$13,MATCH(CONCATENATE(BD_COMERCIAL!$K170," ",BD_COMERCIAL!$L170),'Curva Forward'!$B$5:$B$13,0),MATCH(GL$4,'Curva Forward'!$C$4:$AN$4,0))),EZ170))</f>
        <v>0</v>
      </c>
      <c r="GM170" s="190">
        <f>IF(FA170="",0,CM170*CM$2*IF($FC170="V",1,-1)*IF($Q170="Fixo",(FA170-INDEX('Curva Forward'!$C$5:$AN$13,MATCH(CONCATENATE(BD_COMERCIAL!$K170," ",BD_COMERCIAL!$L170),'Curva Forward'!$B$5:$B$13,0),MATCH(GM$4,'Curva Forward'!$C$4:$AN$4,0))),FA170))</f>
        <v>0</v>
      </c>
      <c r="GN170" s="190">
        <f>IF(FB170="",0,CN170*CN$2*IF($FC170="V",1,-1)*IF($Q170="Fixo",(FB170-INDEX('Curva Forward'!$C$5:$AN$13,MATCH(CONCATENATE(BD_COMERCIAL!$K170," ",BD_COMERCIAL!$L170),'Curva Forward'!$B$5:$B$13,0),MATCH(GN$4,'Curva Forward'!$C$4:$AN$4,0))),FB170))</f>
        <v>0</v>
      </c>
      <c r="GO170" s="191">
        <f t="shared" ca="1" si="25"/>
        <v>0</v>
      </c>
      <c r="GP170" s="191">
        <f t="shared" ca="1" si="26"/>
        <v>0</v>
      </c>
      <c r="GQ170" s="115"/>
      <c r="GR170" s="115"/>
      <c r="GS170"/>
      <c r="GT170" s="65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</row>
    <row r="171" spans="1:236" s="265" customFormat="1" ht="15" customHeight="1" x14ac:dyDescent="0.35">
      <c r="A171" s="251"/>
      <c r="B171" s="275"/>
      <c r="C171" s="253"/>
      <c r="D171" s="254"/>
      <c r="E171" s="254"/>
      <c r="F171" s="255"/>
      <c r="G171" s="256"/>
      <c r="H171" s="255"/>
      <c r="I171" s="254"/>
      <c r="J171" s="257"/>
      <c r="K171" s="256"/>
      <c r="L171" s="252"/>
      <c r="M171" s="258"/>
      <c r="N171" s="259"/>
      <c r="O171" s="256"/>
      <c r="P171" s="252"/>
      <c r="Q171" s="252"/>
      <c r="R171" s="256"/>
      <c r="S171" s="260"/>
      <c r="T171" s="258"/>
      <c r="U171" s="259"/>
      <c r="V171" s="261"/>
      <c r="W171" s="252"/>
      <c r="X171" s="262"/>
      <c r="Y171" s="257"/>
      <c r="Z171" s="263"/>
      <c r="AA171" s="264"/>
      <c r="AB171" s="266"/>
      <c r="AM171" s="251"/>
      <c r="AN171" s="266"/>
      <c r="AY171" s="251"/>
      <c r="AZ171" s="266"/>
      <c r="BK171" s="251"/>
      <c r="BL171" s="266"/>
      <c r="BW171" s="251"/>
      <c r="BX171" s="266"/>
      <c r="CI171" s="251"/>
      <c r="CJ171" s="267"/>
      <c r="CK171" s="267"/>
      <c r="CL171" s="267"/>
      <c r="CM171" s="267"/>
      <c r="CN171" s="267"/>
      <c r="CO171" s="268"/>
      <c r="CP171" s="266"/>
      <c r="DA171" s="251"/>
      <c r="DB171" s="266"/>
      <c r="DM171" s="251"/>
      <c r="DN171" s="266"/>
      <c r="DY171" s="251"/>
      <c r="DZ171" s="266"/>
      <c r="EK171" s="251"/>
      <c r="EL171" s="266"/>
      <c r="EW171" s="251"/>
      <c r="EX171" s="267"/>
      <c r="EY171" s="267"/>
      <c r="EZ171" s="267"/>
      <c r="FA171" s="267"/>
      <c r="FB171" s="269"/>
      <c r="FD171" s="270"/>
      <c r="FF171" s="276"/>
      <c r="FH171" s="206">
        <f t="shared" si="20"/>
        <v>0</v>
      </c>
      <c r="FI171" s="198">
        <f t="shared" si="21"/>
        <v>0</v>
      </c>
      <c r="FJ171"/>
      <c r="FK171">
        <f t="shared" si="22"/>
        <v>0</v>
      </c>
      <c r="FL171" s="191">
        <f t="shared" ca="1" si="23"/>
        <v>0</v>
      </c>
      <c r="FM171" s="191">
        <f t="shared" ca="1" si="24"/>
        <v>0</v>
      </c>
      <c r="FN171" s="190">
        <f>AB171*AB$2*IF($FC171="V",1,-1)*IF($Q171="Fixo",(CP171-INDEX('Curva Forward'!$C$5:$AN$13,MATCH(CONCATENATE(BD_COMERCIAL!$K171," ",BD_COMERCIAL!$L171),'Curva Forward'!$B$5:$B$13,0),MATCH(FN$4,'Curva Forward'!$C$4:$AN$4,0))),CP171)</f>
        <v>0</v>
      </c>
      <c r="FO171" s="190">
        <f>AC171*AC$2*IF($FC171="V",1,-1)*IF($Q171="Fixo",(CQ171-INDEX('Curva Forward'!$C$5:$AN$13,MATCH(CONCATENATE(BD_COMERCIAL!$K171," ",BD_COMERCIAL!$L171),'Curva Forward'!$B$5:$B$13,0),MATCH(FO$4,'Curva Forward'!$C$4:$AN$4,0))),CQ171)</f>
        <v>0</v>
      </c>
      <c r="FP171" s="190">
        <f>AD171*AD$2*IF($FC171="V",1,-1)*IF($Q171="Fixo",(CR171-INDEX('Curva Forward'!$C$5:$AN$13,MATCH(CONCATENATE(BD_COMERCIAL!$K171," ",BD_COMERCIAL!$L171),'Curva Forward'!$B$5:$B$13,0),MATCH(FP$4,'Curva Forward'!$C$4:$AN$4,0))),CR171)</f>
        <v>0</v>
      </c>
      <c r="FQ171" s="190">
        <f>AE171*AE$2*IF($FC171="V",1,-1)*IF($Q171="Fixo",(CS171-INDEX('Curva Forward'!$C$5:$AN$13,MATCH(CONCATENATE(BD_COMERCIAL!$K171," ",BD_COMERCIAL!$L171),'Curva Forward'!$B$5:$B$13,0),MATCH(FQ$4,'Curva Forward'!$C$4:$AN$4,0))),CS171)</f>
        <v>0</v>
      </c>
      <c r="FR171" s="190">
        <f>AF171*AF$2*IF($FC171="V",1,-1)*IF($Q171="Fixo",(CT171-INDEX('Curva Forward'!$C$5:$AN$13,MATCH(CONCATENATE(BD_COMERCIAL!$K171," ",BD_COMERCIAL!$L171),'Curva Forward'!$B$5:$B$13,0),MATCH(FR$4,'Curva Forward'!$C$4:$AN$4,0))),CT171)</f>
        <v>0</v>
      </c>
      <c r="FS171" s="190">
        <f>AG171*AG$2*IF($FC171="V",1,-1)*IF($Q171="Fixo",(CU171-INDEX('Curva Forward'!$C$5:$AN$13,MATCH(CONCATENATE(BD_COMERCIAL!$K171," ",BD_COMERCIAL!$L171),'Curva Forward'!$B$5:$B$13,0),MATCH(FS$4,'Curva Forward'!$C$4:$AN$4,0))),CU171)</f>
        <v>0</v>
      </c>
      <c r="FT171" s="190">
        <f>AH171*AH$2*IF($FC171="V",1,-1)*IF($Q171="Fixo",(CV171-INDEX('Curva Forward'!$C$5:$AN$13,MATCH(CONCATENATE(BD_COMERCIAL!$K171," ",BD_COMERCIAL!$L171),'Curva Forward'!$B$5:$B$13,0),MATCH(FT$4,'Curva Forward'!$C$4:$AN$4,0))),CV171)</f>
        <v>0</v>
      </c>
      <c r="FU171" s="190">
        <f>AI171*AI$2*IF($FC171="V",1,-1)*IF($Q171="Fixo",(CW171-INDEX('Curva Forward'!$C$5:$AN$13,MATCH(CONCATENATE(BD_COMERCIAL!$K171," ",BD_COMERCIAL!$L171),'Curva Forward'!$B$5:$B$13,0),MATCH(FU$4,'Curva Forward'!$C$4:$AN$4,0))),CW171)</f>
        <v>0</v>
      </c>
      <c r="FV171" s="190">
        <f>AJ171*AJ$2*IF($FC171="V",1,-1)*IF($Q171="Fixo",(CX171-INDEX('Curva Forward'!$C$5:$AN$13,MATCH(CONCATENATE(BD_COMERCIAL!$K171," ",BD_COMERCIAL!$L171),'Curva Forward'!$B$5:$B$13,0),MATCH(FV$4,'Curva Forward'!$C$4:$AN$4,0))),CX171)</f>
        <v>0</v>
      </c>
      <c r="FW171" s="190">
        <f>AK171*AK$2*IF($FC171="V",1,-1)*IF($Q171="Fixo",(CY171-INDEX('Curva Forward'!$C$5:$AN$13,MATCH(CONCATENATE(BD_COMERCIAL!$K171," ",BD_COMERCIAL!$L171),'Curva Forward'!$B$5:$B$13,0),MATCH(FW$4,'Curva Forward'!$C$4:$AN$4,0))),CY171)</f>
        <v>0</v>
      </c>
      <c r="FX171" s="190">
        <f>AL171*AL$2*IF($FC171="V",1,-1)*IF($Q171="Fixo",(CZ171-INDEX('Curva Forward'!$C$5:$AN$13,MATCH(CONCATENATE(BD_COMERCIAL!$K171," ",BD_COMERCIAL!$L171),'Curva Forward'!$B$5:$B$13,0),MATCH(FX$4,'Curva Forward'!$C$4:$AN$4,0))),CZ171)</f>
        <v>0</v>
      </c>
      <c r="FY171" s="190">
        <f>AM171*AM$2*IF($FC171="V",1,-1)*IF($Q171="Fixo",(DA171-INDEX('Curva Forward'!$C$5:$AN$13,MATCH(CONCATENATE(BD_COMERCIAL!$K171," ",BD_COMERCIAL!$L171),'Curva Forward'!$B$5:$B$13,0),MATCH(FY$4,'Curva Forward'!$C$4:$AN$4,0))),DA171)</f>
        <v>0</v>
      </c>
      <c r="FZ171" s="190">
        <f>AN171*AN$2*IF($FC171="V",1,-1)*IF($Q171="Fixo",(DB171-INDEX('Curva Forward'!$C$5:$AN$13,MATCH(CONCATENATE(BD_COMERCIAL!$K171," ",BD_COMERCIAL!$L171),'Curva Forward'!$B$5:$B$13,0),MATCH(FZ$4,'Curva Forward'!$C$4:$AN$4,0))),DB171)</f>
        <v>0</v>
      </c>
      <c r="GA171" s="190">
        <f>AO171*AO$2*IF($FC171="V",1,-1)*IF($Q171="Fixo",(DC171-INDEX('Curva Forward'!$C$5:$AN$13,MATCH(CONCATENATE(BD_COMERCIAL!$K171," ",BD_COMERCIAL!$L171),'Curva Forward'!$B$5:$B$13,0),MATCH(GA$4,'Curva Forward'!$C$4:$AN$4,0))),DC171)</f>
        <v>0</v>
      </c>
      <c r="GB171" s="190">
        <f>AP171*AP$2*IF($FC171="V",1,-1)*IF($Q171="Fixo",(DD171-INDEX('Curva Forward'!$C$5:$AN$13,MATCH(CONCATENATE(BD_COMERCIAL!$K171," ",BD_COMERCIAL!$L171),'Curva Forward'!$B$5:$B$13,0),MATCH(GB$4,'Curva Forward'!$C$4:$AN$4,0))),DD171)</f>
        <v>0</v>
      </c>
      <c r="GC171" s="190">
        <f>AQ171*AQ$2*IF($FC171="V",1,-1)*IF($Q171="Fixo",(DE171-INDEX('Curva Forward'!$C$5:$AN$13,MATCH(CONCATENATE(BD_COMERCIAL!$K171," ",BD_COMERCIAL!$L171),'Curva Forward'!$B$5:$B$13,0),MATCH(GC$4,'Curva Forward'!$C$4:$AN$4,0))),DE171)</f>
        <v>0</v>
      </c>
      <c r="GD171" s="190">
        <f>AR171*AR$2*IF($FC171="V",1,-1)*IF($Q171="Fixo",(DF171-INDEX('Curva Forward'!$C$5:$AN$13,MATCH(CONCATENATE(BD_COMERCIAL!$K171," ",BD_COMERCIAL!$L171),'Curva Forward'!$B$5:$B$13,0),MATCH(GD$4,'Curva Forward'!$C$4:$AN$4,0))),DF171)</f>
        <v>0</v>
      </c>
      <c r="GE171" s="190">
        <f>AS171*AS$2*IF($FC171="V",1,-1)*IF($Q171="Fixo",(DG171-INDEX('Curva Forward'!$C$5:$AN$13,MATCH(CONCATENATE(BD_COMERCIAL!$K171," ",BD_COMERCIAL!$L171),'Curva Forward'!$B$5:$B$13,0),MATCH(GE$4,'Curva Forward'!$C$4:$AN$4,0))),DG171)</f>
        <v>0</v>
      </c>
      <c r="GF171" s="190">
        <f>AT171*AT$2*IF($FC171="V",1,-1)*IF($Q171="Fixo",(DH171-INDEX('Curva Forward'!$C$5:$AN$13,MATCH(CONCATENATE(BD_COMERCIAL!$K171," ",BD_COMERCIAL!$L171),'Curva Forward'!$B$5:$B$13,0),MATCH(GF$4,'Curva Forward'!$C$4:$AN$4,0))),DH171)</f>
        <v>0</v>
      </c>
      <c r="GG171" s="190">
        <f>AU171*AU$2*IF($FC171="V",1,-1)*IF($Q171="Fixo",(DI171-INDEX('Curva Forward'!$C$5:$AN$13,MATCH(CONCATENATE(BD_COMERCIAL!$K171," ",BD_COMERCIAL!$L171),'Curva Forward'!$B$5:$B$13,0),MATCH(GG$4,'Curva Forward'!$C$4:$AN$4,0))),DI171)</f>
        <v>0</v>
      </c>
      <c r="GH171" s="190">
        <f>AV171*AV$2*IF($FC171="V",1,-1)*IF($Q171="Fixo",(DJ171-INDEX('Curva Forward'!$C$5:$AN$13,MATCH(CONCATENATE(BD_COMERCIAL!$K171," ",BD_COMERCIAL!$L171),'Curva Forward'!$B$5:$B$13,0),MATCH(GH$4,'Curva Forward'!$C$4:$AN$4,0))),DJ171)</f>
        <v>0</v>
      </c>
      <c r="GI171" s="190">
        <f>AW171*AW$2*IF($FC171="V",1,-1)*IF($Q171="Fixo",(DK171-INDEX('Curva Forward'!$C$5:$AN$13,MATCH(CONCATENATE(BD_COMERCIAL!$K171," ",BD_COMERCIAL!$L171),'Curva Forward'!$B$5:$B$13,0),MATCH(GI$4,'Curva Forward'!$C$4:$AN$4,0))),DK171)</f>
        <v>0</v>
      </c>
      <c r="GJ171" s="190">
        <f>AX171*AX$2*IF($FC171="V",1,-1)*IF($Q171="Fixo",(DL171-INDEX('Curva Forward'!$C$5:$AN$13,MATCH(CONCATENATE(BD_COMERCIAL!$K171," ",BD_COMERCIAL!$L171),'Curva Forward'!$B$5:$B$13,0),MATCH(GJ$4,'Curva Forward'!$C$4:$AN$4,0))),DL171)</f>
        <v>0</v>
      </c>
      <c r="GK171" s="190">
        <f>AY171*AY$2*IF($FC171="V",1,-1)*IF($Q171="Fixo",(DM171-INDEX('Curva Forward'!$C$5:$AN$13,MATCH(CONCATENATE(BD_COMERCIAL!$K171," ",BD_COMERCIAL!$L171),'Curva Forward'!$B$5:$B$13,0),MATCH(GK$4,'Curva Forward'!$C$4:$AN$4,0))),DM171)</f>
        <v>0</v>
      </c>
      <c r="GL171" s="190">
        <f>IF(EZ171="",0,CL171*CL$2*IF($FC171="V",1,-1)*IF($Q171="Fixo",(EZ171-INDEX('Curva Forward'!$C$5:$AN$13,MATCH(CONCATENATE(BD_COMERCIAL!$K171," ",BD_COMERCIAL!$L171),'Curva Forward'!$B$5:$B$13,0),MATCH(GL$4,'Curva Forward'!$C$4:$AN$4,0))),EZ171))</f>
        <v>0</v>
      </c>
      <c r="GM171" s="190">
        <f>IF(FA171="",0,CM171*CM$2*IF($FC171="V",1,-1)*IF($Q171="Fixo",(FA171-INDEX('Curva Forward'!$C$5:$AN$13,MATCH(CONCATENATE(BD_COMERCIAL!$K171," ",BD_COMERCIAL!$L171),'Curva Forward'!$B$5:$B$13,0),MATCH(GM$4,'Curva Forward'!$C$4:$AN$4,0))),FA171))</f>
        <v>0</v>
      </c>
      <c r="GN171" s="190">
        <f>IF(FB171="",0,CN171*CN$2*IF($FC171="V",1,-1)*IF($Q171="Fixo",(FB171-INDEX('Curva Forward'!$C$5:$AN$13,MATCH(CONCATENATE(BD_COMERCIAL!$K171," ",BD_COMERCIAL!$L171),'Curva Forward'!$B$5:$B$13,0),MATCH(GN$4,'Curva Forward'!$C$4:$AN$4,0))),FB171))</f>
        <v>0</v>
      </c>
      <c r="GO171" s="191">
        <f t="shared" ca="1" si="25"/>
        <v>0</v>
      </c>
      <c r="GP171" s="191">
        <f t="shared" ca="1" si="26"/>
        <v>0</v>
      </c>
      <c r="GQ171" s="115"/>
      <c r="GR171" s="115"/>
      <c r="GS171"/>
      <c r="GT171" s="65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</row>
    <row r="172" spans="1:236" s="265" customFormat="1" ht="15" customHeight="1" x14ac:dyDescent="0.35">
      <c r="A172" s="251"/>
      <c r="B172" s="275"/>
      <c r="C172" s="253"/>
      <c r="D172" s="254"/>
      <c r="E172" s="254"/>
      <c r="F172" s="255"/>
      <c r="G172" s="256"/>
      <c r="H172" s="255"/>
      <c r="I172" s="254"/>
      <c r="J172" s="257"/>
      <c r="K172" s="256"/>
      <c r="L172" s="252"/>
      <c r="M172" s="258"/>
      <c r="N172" s="259"/>
      <c r="O172" s="256"/>
      <c r="P172" s="252"/>
      <c r="Q172" s="252"/>
      <c r="R172" s="256"/>
      <c r="S172" s="260"/>
      <c r="T172" s="258"/>
      <c r="U172" s="259"/>
      <c r="V172" s="261"/>
      <c r="W172" s="252"/>
      <c r="X172" s="262"/>
      <c r="Y172" s="257"/>
      <c r="Z172" s="263"/>
      <c r="AA172" s="264"/>
      <c r="AB172" s="266"/>
      <c r="AM172" s="251"/>
      <c r="AN172" s="266"/>
      <c r="AY172" s="251"/>
      <c r="AZ172" s="266"/>
      <c r="BK172" s="251"/>
      <c r="BL172" s="266"/>
      <c r="BW172" s="251"/>
      <c r="BX172" s="266"/>
      <c r="CI172" s="251"/>
      <c r="CJ172" s="267"/>
      <c r="CK172" s="267"/>
      <c r="CL172" s="267"/>
      <c r="CM172" s="267"/>
      <c r="CN172" s="267"/>
      <c r="CO172" s="268"/>
      <c r="CP172" s="266"/>
      <c r="DA172" s="251"/>
      <c r="DB172" s="266"/>
      <c r="DM172" s="251"/>
      <c r="DN172" s="266"/>
      <c r="DY172" s="251"/>
      <c r="DZ172" s="266"/>
      <c r="EK172" s="251"/>
      <c r="EL172" s="266"/>
      <c r="EW172" s="251"/>
      <c r="EX172" s="267"/>
      <c r="EY172" s="267"/>
      <c r="EZ172" s="267"/>
      <c r="FA172" s="267"/>
      <c r="FB172" s="269"/>
      <c r="FD172" s="270"/>
      <c r="FF172" s="276"/>
      <c r="FH172" s="206">
        <f t="shared" si="20"/>
        <v>0</v>
      </c>
      <c r="FI172" s="198">
        <f t="shared" si="21"/>
        <v>0</v>
      </c>
      <c r="FJ172"/>
      <c r="FK172">
        <f t="shared" si="22"/>
        <v>0</v>
      </c>
      <c r="FL172" s="191">
        <f t="shared" ca="1" si="23"/>
        <v>0</v>
      </c>
      <c r="FM172" s="191">
        <f t="shared" ca="1" si="24"/>
        <v>0</v>
      </c>
      <c r="FN172" s="190">
        <f>AB172*AB$2*IF($FC172="V",1,-1)*IF($Q172="Fixo",(CP172-INDEX('Curva Forward'!$C$5:$AN$13,MATCH(CONCATENATE(BD_COMERCIAL!$K172," ",BD_COMERCIAL!$L172),'Curva Forward'!$B$5:$B$13,0),MATCH(FN$4,'Curva Forward'!$C$4:$AN$4,0))),CP172)</f>
        <v>0</v>
      </c>
      <c r="FO172" s="190">
        <f>AC172*AC$2*IF($FC172="V",1,-1)*IF($Q172="Fixo",(CQ172-INDEX('Curva Forward'!$C$5:$AN$13,MATCH(CONCATENATE(BD_COMERCIAL!$K172," ",BD_COMERCIAL!$L172),'Curva Forward'!$B$5:$B$13,0),MATCH(FO$4,'Curva Forward'!$C$4:$AN$4,0))),CQ172)</f>
        <v>0</v>
      </c>
      <c r="FP172" s="190">
        <f>AD172*AD$2*IF($FC172="V",1,-1)*IF($Q172="Fixo",(CR172-INDEX('Curva Forward'!$C$5:$AN$13,MATCH(CONCATENATE(BD_COMERCIAL!$K172," ",BD_COMERCIAL!$L172),'Curva Forward'!$B$5:$B$13,0),MATCH(FP$4,'Curva Forward'!$C$4:$AN$4,0))),CR172)</f>
        <v>0</v>
      </c>
      <c r="FQ172" s="190">
        <f>AE172*AE$2*IF($FC172="V",1,-1)*IF($Q172="Fixo",(CS172-INDEX('Curva Forward'!$C$5:$AN$13,MATCH(CONCATENATE(BD_COMERCIAL!$K172," ",BD_COMERCIAL!$L172),'Curva Forward'!$B$5:$B$13,0),MATCH(FQ$4,'Curva Forward'!$C$4:$AN$4,0))),CS172)</f>
        <v>0</v>
      </c>
      <c r="FR172" s="190">
        <f>AF172*AF$2*IF($FC172="V",1,-1)*IF($Q172="Fixo",(CT172-INDEX('Curva Forward'!$C$5:$AN$13,MATCH(CONCATENATE(BD_COMERCIAL!$K172," ",BD_COMERCIAL!$L172),'Curva Forward'!$B$5:$B$13,0),MATCH(FR$4,'Curva Forward'!$C$4:$AN$4,0))),CT172)</f>
        <v>0</v>
      </c>
      <c r="FS172" s="190">
        <f>AG172*AG$2*IF($FC172="V",1,-1)*IF($Q172="Fixo",(CU172-INDEX('Curva Forward'!$C$5:$AN$13,MATCH(CONCATENATE(BD_COMERCIAL!$K172," ",BD_COMERCIAL!$L172),'Curva Forward'!$B$5:$B$13,0),MATCH(FS$4,'Curva Forward'!$C$4:$AN$4,0))),CU172)</f>
        <v>0</v>
      </c>
      <c r="FT172" s="190">
        <f>AH172*AH$2*IF($FC172="V",1,-1)*IF($Q172="Fixo",(CV172-INDEX('Curva Forward'!$C$5:$AN$13,MATCH(CONCATENATE(BD_COMERCIAL!$K172," ",BD_COMERCIAL!$L172),'Curva Forward'!$B$5:$B$13,0),MATCH(FT$4,'Curva Forward'!$C$4:$AN$4,0))),CV172)</f>
        <v>0</v>
      </c>
      <c r="FU172" s="190">
        <f>AI172*AI$2*IF($FC172="V",1,-1)*IF($Q172="Fixo",(CW172-INDEX('Curva Forward'!$C$5:$AN$13,MATCH(CONCATENATE(BD_COMERCIAL!$K172," ",BD_COMERCIAL!$L172),'Curva Forward'!$B$5:$B$13,0),MATCH(FU$4,'Curva Forward'!$C$4:$AN$4,0))),CW172)</f>
        <v>0</v>
      </c>
      <c r="FV172" s="190">
        <f>AJ172*AJ$2*IF($FC172="V",1,-1)*IF($Q172="Fixo",(CX172-INDEX('Curva Forward'!$C$5:$AN$13,MATCH(CONCATENATE(BD_COMERCIAL!$K172," ",BD_COMERCIAL!$L172),'Curva Forward'!$B$5:$B$13,0),MATCH(FV$4,'Curva Forward'!$C$4:$AN$4,0))),CX172)</f>
        <v>0</v>
      </c>
      <c r="FW172" s="190">
        <f>AK172*AK$2*IF($FC172="V",1,-1)*IF($Q172="Fixo",(CY172-INDEX('Curva Forward'!$C$5:$AN$13,MATCH(CONCATENATE(BD_COMERCIAL!$K172," ",BD_COMERCIAL!$L172),'Curva Forward'!$B$5:$B$13,0),MATCH(FW$4,'Curva Forward'!$C$4:$AN$4,0))),CY172)</f>
        <v>0</v>
      </c>
      <c r="FX172" s="190">
        <f>AL172*AL$2*IF($FC172="V",1,-1)*IF($Q172="Fixo",(CZ172-INDEX('Curva Forward'!$C$5:$AN$13,MATCH(CONCATENATE(BD_COMERCIAL!$K172," ",BD_COMERCIAL!$L172),'Curva Forward'!$B$5:$B$13,0),MATCH(FX$4,'Curva Forward'!$C$4:$AN$4,0))),CZ172)</f>
        <v>0</v>
      </c>
      <c r="FY172" s="190">
        <f>AM172*AM$2*IF($FC172="V",1,-1)*IF($Q172="Fixo",(DA172-INDEX('Curva Forward'!$C$5:$AN$13,MATCH(CONCATENATE(BD_COMERCIAL!$K172," ",BD_COMERCIAL!$L172),'Curva Forward'!$B$5:$B$13,0),MATCH(FY$4,'Curva Forward'!$C$4:$AN$4,0))),DA172)</f>
        <v>0</v>
      </c>
      <c r="FZ172" s="190">
        <f>AN172*AN$2*IF($FC172="V",1,-1)*IF($Q172="Fixo",(DB172-INDEX('Curva Forward'!$C$5:$AN$13,MATCH(CONCATENATE(BD_COMERCIAL!$K172," ",BD_COMERCIAL!$L172),'Curva Forward'!$B$5:$B$13,0),MATCH(FZ$4,'Curva Forward'!$C$4:$AN$4,0))),DB172)</f>
        <v>0</v>
      </c>
      <c r="GA172" s="190">
        <f>AO172*AO$2*IF($FC172="V",1,-1)*IF($Q172="Fixo",(DC172-INDEX('Curva Forward'!$C$5:$AN$13,MATCH(CONCATENATE(BD_COMERCIAL!$K172," ",BD_COMERCIAL!$L172),'Curva Forward'!$B$5:$B$13,0),MATCH(GA$4,'Curva Forward'!$C$4:$AN$4,0))),DC172)</f>
        <v>0</v>
      </c>
      <c r="GB172" s="190">
        <f>AP172*AP$2*IF($FC172="V",1,-1)*IF($Q172="Fixo",(DD172-INDEX('Curva Forward'!$C$5:$AN$13,MATCH(CONCATENATE(BD_COMERCIAL!$K172," ",BD_COMERCIAL!$L172),'Curva Forward'!$B$5:$B$13,0),MATCH(GB$4,'Curva Forward'!$C$4:$AN$4,0))),DD172)</f>
        <v>0</v>
      </c>
      <c r="GC172" s="190">
        <f>AQ172*AQ$2*IF($FC172="V",1,-1)*IF($Q172="Fixo",(DE172-INDEX('Curva Forward'!$C$5:$AN$13,MATCH(CONCATENATE(BD_COMERCIAL!$K172," ",BD_COMERCIAL!$L172),'Curva Forward'!$B$5:$B$13,0),MATCH(GC$4,'Curva Forward'!$C$4:$AN$4,0))),DE172)</f>
        <v>0</v>
      </c>
      <c r="GD172" s="190">
        <f>AR172*AR$2*IF($FC172="V",1,-1)*IF($Q172="Fixo",(DF172-INDEX('Curva Forward'!$C$5:$AN$13,MATCH(CONCATENATE(BD_COMERCIAL!$K172," ",BD_COMERCIAL!$L172),'Curva Forward'!$B$5:$B$13,0),MATCH(GD$4,'Curva Forward'!$C$4:$AN$4,0))),DF172)</f>
        <v>0</v>
      </c>
      <c r="GE172" s="190">
        <f>AS172*AS$2*IF($FC172="V",1,-1)*IF($Q172="Fixo",(DG172-INDEX('Curva Forward'!$C$5:$AN$13,MATCH(CONCATENATE(BD_COMERCIAL!$K172," ",BD_COMERCIAL!$L172),'Curva Forward'!$B$5:$B$13,0),MATCH(GE$4,'Curva Forward'!$C$4:$AN$4,0))),DG172)</f>
        <v>0</v>
      </c>
      <c r="GF172" s="190">
        <f>AT172*AT$2*IF($FC172="V",1,-1)*IF($Q172="Fixo",(DH172-INDEX('Curva Forward'!$C$5:$AN$13,MATCH(CONCATENATE(BD_COMERCIAL!$K172," ",BD_COMERCIAL!$L172),'Curva Forward'!$B$5:$B$13,0),MATCH(GF$4,'Curva Forward'!$C$4:$AN$4,0))),DH172)</f>
        <v>0</v>
      </c>
      <c r="GG172" s="190">
        <f>AU172*AU$2*IF($FC172="V",1,-1)*IF($Q172="Fixo",(DI172-INDEX('Curva Forward'!$C$5:$AN$13,MATCH(CONCATENATE(BD_COMERCIAL!$K172," ",BD_COMERCIAL!$L172),'Curva Forward'!$B$5:$B$13,0),MATCH(GG$4,'Curva Forward'!$C$4:$AN$4,0))),DI172)</f>
        <v>0</v>
      </c>
      <c r="GH172" s="190">
        <f>AV172*AV$2*IF($FC172="V",1,-1)*IF($Q172="Fixo",(DJ172-INDEX('Curva Forward'!$C$5:$AN$13,MATCH(CONCATENATE(BD_COMERCIAL!$K172," ",BD_COMERCIAL!$L172),'Curva Forward'!$B$5:$B$13,0),MATCH(GH$4,'Curva Forward'!$C$4:$AN$4,0))),DJ172)</f>
        <v>0</v>
      </c>
      <c r="GI172" s="190">
        <f>AW172*AW$2*IF($FC172="V",1,-1)*IF($Q172="Fixo",(DK172-INDEX('Curva Forward'!$C$5:$AN$13,MATCH(CONCATENATE(BD_COMERCIAL!$K172," ",BD_COMERCIAL!$L172),'Curva Forward'!$B$5:$B$13,0),MATCH(GI$4,'Curva Forward'!$C$4:$AN$4,0))),DK172)</f>
        <v>0</v>
      </c>
      <c r="GJ172" s="190">
        <f>AX172*AX$2*IF($FC172="V",1,-1)*IF($Q172="Fixo",(DL172-INDEX('Curva Forward'!$C$5:$AN$13,MATCH(CONCATENATE(BD_COMERCIAL!$K172," ",BD_COMERCIAL!$L172),'Curva Forward'!$B$5:$B$13,0),MATCH(GJ$4,'Curva Forward'!$C$4:$AN$4,0))),DL172)</f>
        <v>0</v>
      </c>
      <c r="GK172" s="190">
        <f>AY172*AY$2*IF($FC172="V",1,-1)*IF($Q172="Fixo",(DM172-INDEX('Curva Forward'!$C$5:$AN$13,MATCH(CONCATENATE(BD_COMERCIAL!$K172," ",BD_COMERCIAL!$L172),'Curva Forward'!$B$5:$B$13,0),MATCH(GK$4,'Curva Forward'!$C$4:$AN$4,0))),DM172)</f>
        <v>0</v>
      </c>
      <c r="GL172" s="190">
        <f>IF(EZ172="",0,CL172*CL$2*IF($FC172="V",1,-1)*IF($Q172="Fixo",(EZ172-INDEX('Curva Forward'!$C$5:$AN$13,MATCH(CONCATENATE(BD_COMERCIAL!$K172," ",BD_COMERCIAL!$L172),'Curva Forward'!$B$5:$B$13,0),MATCH(GL$4,'Curva Forward'!$C$4:$AN$4,0))),EZ172))</f>
        <v>0</v>
      </c>
      <c r="GM172" s="190">
        <f>IF(FA172="",0,CM172*CM$2*IF($FC172="V",1,-1)*IF($Q172="Fixo",(FA172-INDEX('Curva Forward'!$C$5:$AN$13,MATCH(CONCATENATE(BD_COMERCIAL!$K172," ",BD_COMERCIAL!$L172),'Curva Forward'!$B$5:$B$13,0),MATCH(GM$4,'Curva Forward'!$C$4:$AN$4,0))),FA172))</f>
        <v>0</v>
      </c>
      <c r="GN172" s="190">
        <f>IF(FB172="",0,CN172*CN$2*IF($FC172="V",1,-1)*IF($Q172="Fixo",(FB172-INDEX('Curva Forward'!$C$5:$AN$13,MATCH(CONCATENATE(BD_COMERCIAL!$K172," ",BD_COMERCIAL!$L172),'Curva Forward'!$B$5:$B$13,0),MATCH(GN$4,'Curva Forward'!$C$4:$AN$4,0))),FB172))</f>
        <v>0</v>
      </c>
      <c r="GO172" s="191">
        <f t="shared" ca="1" si="25"/>
        <v>0</v>
      </c>
      <c r="GP172" s="191">
        <f t="shared" ca="1" si="26"/>
        <v>0</v>
      </c>
      <c r="GQ172" s="115"/>
      <c r="GR172" s="115"/>
      <c r="GS172"/>
      <c r="GT172" s="65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</row>
    <row r="173" spans="1:236" s="265" customFormat="1" ht="15" customHeight="1" x14ac:dyDescent="0.35">
      <c r="A173" s="251"/>
      <c r="B173" s="275"/>
      <c r="C173" s="253"/>
      <c r="D173" s="254"/>
      <c r="E173" s="254"/>
      <c r="F173" s="255"/>
      <c r="G173" s="256"/>
      <c r="H173" s="255"/>
      <c r="I173" s="254"/>
      <c r="J173" s="257"/>
      <c r="K173" s="256"/>
      <c r="L173" s="252"/>
      <c r="M173" s="258"/>
      <c r="N173" s="259"/>
      <c r="O173" s="256"/>
      <c r="P173" s="252"/>
      <c r="Q173" s="252"/>
      <c r="R173" s="256"/>
      <c r="S173" s="260"/>
      <c r="T173" s="258"/>
      <c r="U173" s="259"/>
      <c r="V173" s="261"/>
      <c r="W173" s="252"/>
      <c r="X173" s="262"/>
      <c r="Y173" s="257"/>
      <c r="Z173" s="263"/>
      <c r="AA173" s="264"/>
      <c r="AB173" s="266"/>
      <c r="AM173" s="251"/>
      <c r="AN173" s="266"/>
      <c r="AY173" s="251"/>
      <c r="AZ173" s="266"/>
      <c r="BK173" s="251"/>
      <c r="BL173" s="266"/>
      <c r="BW173" s="251"/>
      <c r="BX173" s="266"/>
      <c r="CI173" s="251"/>
      <c r="CJ173" s="267"/>
      <c r="CK173" s="267"/>
      <c r="CL173" s="267"/>
      <c r="CM173" s="267"/>
      <c r="CN173" s="267"/>
      <c r="CO173" s="268"/>
      <c r="CP173" s="266"/>
      <c r="DA173" s="251"/>
      <c r="DB173" s="266"/>
      <c r="DM173" s="251"/>
      <c r="DN173" s="266"/>
      <c r="DY173" s="251"/>
      <c r="DZ173" s="266"/>
      <c r="EK173" s="251"/>
      <c r="EL173" s="266"/>
      <c r="EW173" s="251"/>
      <c r="EX173" s="267"/>
      <c r="EY173" s="267"/>
      <c r="EZ173" s="267"/>
      <c r="FA173" s="267"/>
      <c r="FB173" s="269"/>
      <c r="FD173" s="270"/>
      <c r="FF173" s="276"/>
      <c r="FH173" s="206">
        <f t="shared" si="20"/>
        <v>0</v>
      </c>
      <c r="FI173" s="198">
        <f t="shared" si="21"/>
        <v>0</v>
      </c>
      <c r="FJ173"/>
      <c r="FK173">
        <f t="shared" si="22"/>
        <v>0</v>
      </c>
      <c r="FL173" s="191">
        <f t="shared" ca="1" si="23"/>
        <v>0</v>
      </c>
      <c r="FM173" s="191">
        <f t="shared" ca="1" si="24"/>
        <v>0</v>
      </c>
      <c r="FN173" s="190">
        <f>AB173*AB$2*IF($FC173="V",1,-1)*IF($Q173="Fixo",(CP173-INDEX('Curva Forward'!$C$5:$AN$13,MATCH(CONCATENATE(BD_COMERCIAL!$K173," ",BD_COMERCIAL!$L173),'Curva Forward'!$B$5:$B$13,0),MATCH(FN$4,'Curva Forward'!$C$4:$AN$4,0))),CP173)</f>
        <v>0</v>
      </c>
      <c r="FO173" s="190">
        <f>AC173*AC$2*IF($FC173="V",1,-1)*IF($Q173="Fixo",(CQ173-INDEX('Curva Forward'!$C$5:$AN$13,MATCH(CONCATENATE(BD_COMERCIAL!$K173," ",BD_COMERCIAL!$L173),'Curva Forward'!$B$5:$B$13,0),MATCH(FO$4,'Curva Forward'!$C$4:$AN$4,0))),CQ173)</f>
        <v>0</v>
      </c>
      <c r="FP173" s="190">
        <f>AD173*AD$2*IF($FC173="V",1,-1)*IF($Q173="Fixo",(CR173-INDEX('Curva Forward'!$C$5:$AN$13,MATCH(CONCATENATE(BD_COMERCIAL!$K173," ",BD_COMERCIAL!$L173),'Curva Forward'!$B$5:$B$13,0),MATCH(FP$4,'Curva Forward'!$C$4:$AN$4,0))),CR173)</f>
        <v>0</v>
      </c>
      <c r="FQ173" s="190">
        <f>AE173*AE$2*IF($FC173="V",1,-1)*IF($Q173="Fixo",(CS173-INDEX('Curva Forward'!$C$5:$AN$13,MATCH(CONCATENATE(BD_COMERCIAL!$K173," ",BD_COMERCIAL!$L173),'Curva Forward'!$B$5:$B$13,0),MATCH(FQ$4,'Curva Forward'!$C$4:$AN$4,0))),CS173)</f>
        <v>0</v>
      </c>
      <c r="FR173" s="190">
        <f>AF173*AF$2*IF($FC173="V",1,-1)*IF($Q173="Fixo",(CT173-INDEX('Curva Forward'!$C$5:$AN$13,MATCH(CONCATENATE(BD_COMERCIAL!$K173," ",BD_COMERCIAL!$L173),'Curva Forward'!$B$5:$B$13,0),MATCH(FR$4,'Curva Forward'!$C$4:$AN$4,0))),CT173)</f>
        <v>0</v>
      </c>
      <c r="FS173" s="190">
        <f>AG173*AG$2*IF($FC173="V",1,-1)*IF($Q173="Fixo",(CU173-INDEX('Curva Forward'!$C$5:$AN$13,MATCH(CONCATENATE(BD_COMERCIAL!$K173," ",BD_COMERCIAL!$L173),'Curva Forward'!$B$5:$B$13,0),MATCH(FS$4,'Curva Forward'!$C$4:$AN$4,0))),CU173)</f>
        <v>0</v>
      </c>
      <c r="FT173" s="190">
        <f>AH173*AH$2*IF($FC173="V",1,-1)*IF($Q173="Fixo",(CV173-INDEX('Curva Forward'!$C$5:$AN$13,MATCH(CONCATENATE(BD_COMERCIAL!$K173," ",BD_COMERCIAL!$L173),'Curva Forward'!$B$5:$B$13,0),MATCH(FT$4,'Curva Forward'!$C$4:$AN$4,0))),CV173)</f>
        <v>0</v>
      </c>
      <c r="FU173" s="190">
        <f>AI173*AI$2*IF($FC173="V",1,-1)*IF($Q173="Fixo",(CW173-INDEX('Curva Forward'!$C$5:$AN$13,MATCH(CONCATENATE(BD_COMERCIAL!$K173," ",BD_COMERCIAL!$L173),'Curva Forward'!$B$5:$B$13,0),MATCH(FU$4,'Curva Forward'!$C$4:$AN$4,0))),CW173)</f>
        <v>0</v>
      </c>
      <c r="FV173" s="190">
        <f>AJ173*AJ$2*IF($FC173="V",1,-1)*IF($Q173="Fixo",(CX173-INDEX('Curva Forward'!$C$5:$AN$13,MATCH(CONCATENATE(BD_COMERCIAL!$K173," ",BD_COMERCIAL!$L173),'Curva Forward'!$B$5:$B$13,0),MATCH(FV$4,'Curva Forward'!$C$4:$AN$4,0))),CX173)</f>
        <v>0</v>
      </c>
      <c r="FW173" s="190">
        <f>AK173*AK$2*IF($FC173="V",1,-1)*IF($Q173="Fixo",(CY173-INDEX('Curva Forward'!$C$5:$AN$13,MATCH(CONCATENATE(BD_COMERCIAL!$K173," ",BD_COMERCIAL!$L173),'Curva Forward'!$B$5:$B$13,0),MATCH(FW$4,'Curva Forward'!$C$4:$AN$4,0))),CY173)</f>
        <v>0</v>
      </c>
      <c r="FX173" s="190">
        <f>AL173*AL$2*IF($FC173="V",1,-1)*IF($Q173="Fixo",(CZ173-INDEX('Curva Forward'!$C$5:$AN$13,MATCH(CONCATENATE(BD_COMERCIAL!$K173," ",BD_COMERCIAL!$L173),'Curva Forward'!$B$5:$B$13,0),MATCH(FX$4,'Curva Forward'!$C$4:$AN$4,0))),CZ173)</f>
        <v>0</v>
      </c>
      <c r="FY173" s="190">
        <f>AM173*AM$2*IF($FC173="V",1,-1)*IF($Q173="Fixo",(DA173-INDEX('Curva Forward'!$C$5:$AN$13,MATCH(CONCATENATE(BD_COMERCIAL!$K173," ",BD_COMERCIAL!$L173),'Curva Forward'!$B$5:$B$13,0),MATCH(FY$4,'Curva Forward'!$C$4:$AN$4,0))),DA173)</f>
        <v>0</v>
      </c>
      <c r="FZ173" s="190">
        <f>AN173*AN$2*IF($FC173="V",1,-1)*IF($Q173="Fixo",(DB173-INDEX('Curva Forward'!$C$5:$AN$13,MATCH(CONCATENATE(BD_COMERCIAL!$K173," ",BD_COMERCIAL!$L173),'Curva Forward'!$B$5:$B$13,0),MATCH(FZ$4,'Curva Forward'!$C$4:$AN$4,0))),DB173)</f>
        <v>0</v>
      </c>
      <c r="GA173" s="190">
        <f>AO173*AO$2*IF($FC173="V",1,-1)*IF($Q173="Fixo",(DC173-INDEX('Curva Forward'!$C$5:$AN$13,MATCH(CONCATENATE(BD_COMERCIAL!$K173," ",BD_COMERCIAL!$L173),'Curva Forward'!$B$5:$B$13,0),MATCH(GA$4,'Curva Forward'!$C$4:$AN$4,0))),DC173)</f>
        <v>0</v>
      </c>
      <c r="GB173" s="190">
        <f>AP173*AP$2*IF($FC173="V",1,-1)*IF($Q173="Fixo",(DD173-INDEX('Curva Forward'!$C$5:$AN$13,MATCH(CONCATENATE(BD_COMERCIAL!$K173," ",BD_COMERCIAL!$L173),'Curva Forward'!$B$5:$B$13,0),MATCH(GB$4,'Curva Forward'!$C$4:$AN$4,0))),DD173)</f>
        <v>0</v>
      </c>
      <c r="GC173" s="190">
        <f>AQ173*AQ$2*IF($FC173="V",1,-1)*IF($Q173="Fixo",(DE173-INDEX('Curva Forward'!$C$5:$AN$13,MATCH(CONCATENATE(BD_COMERCIAL!$K173," ",BD_COMERCIAL!$L173),'Curva Forward'!$B$5:$B$13,0),MATCH(GC$4,'Curva Forward'!$C$4:$AN$4,0))),DE173)</f>
        <v>0</v>
      </c>
      <c r="GD173" s="190">
        <f>AR173*AR$2*IF($FC173="V",1,-1)*IF($Q173="Fixo",(DF173-INDEX('Curva Forward'!$C$5:$AN$13,MATCH(CONCATENATE(BD_COMERCIAL!$K173," ",BD_COMERCIAL!$L173),'Curva Forward'!$B$5:$B$13,0),MATCH(GD$4,'Curva Forward'!$C$4:$AN$4,0))),DF173)</f>
        <v>0</v>
      </c>
      <c r="GE173" s="190">
        <f>AS173*AS$2*IF($FC173="V",1,-1)*IF($Q173="Fixo",(DG173-INDEX('Curva Forward'!$C$5:$AN$13,MATCH(CONCATENATE(BD_COMERCIAL!$K173," ",BD_COMERCIAL!$L173),'Curva Forward'!$B$5:$B$13,0),MATCH(GE$4,'Curva Forward'!$C$4:$AN$4,0))),DG173)</f>
        <v>0</v>
      </c>
      <c r="GF173" s="190">
        <f>AT173*AT$2*IF($FC173="V",1,-1)*IF($Q173="Fixo",(DH173-INDEX('Curva Forward'!$C$5:$AN$13,MATCH(CONCATENATE(BD_COMERCIAL!$K173," ",BD_COMERCIAL!$L173),'Curva Forward'!$B$5:$B$13,0),MATCH(GF$4,'Curva Forward'!$C$4:$AN$4,0))),DH173)</f>
        <v>0</v>
      </c>
      <c r="GG173" s="190">
        <f>AU173*AU$2*IF($FC173="V",1,-1)*IF($Q173="Fixo",(DI173-INDEX('Curva Forward'!$C$5:$AN$13,MATCH(CONCATENATE(BD_COMERCIAL!$K173," ",BD_COMERCIAL!$L173),'Curva Forward'!$B$5:$B$13,0),MATCH(GG$4,'Curva Forward'!$C$4:$AN$4,0))),DI173)</f>
        <v>0</v>
      </c>
      <c r="GH173" s="190">
        <f>AV173*AV$2*IF($FC173="V",1,-1)*IF($Q173="Fixo",(DJ173-INDEX('Curva Forward'!$C$5:$AN$13,MATCH(CONCATENATE(BD_COMERCIAL!$K173," ",BD_COMERCIAL!$L173),'Curva Forward'!$B$5:$B$13,0),MATCH(GH$4,'Curva Forward'!$C$4:$AN$4,0))),DJ173)</f>
        <v>0</v>
      </c>
      <c r="GI173" s="190">
        <f>AW173*AW$2*IF($FC173="V",1,-1)*IF($Q173="Fixo",(DK173-INDEX('Curva Forward'!$C$5:$AN$13,MATCH(CONCATENATE(BD_COMERCIAL!$K173," ",BD_COMERCIAL!$L173),'Curva Forward'!$B$5:$B$13,0),MATCH(GI$4,'Curva Forward'!$C$4:$AN$4,0))),DK173)</f>
        <v>0</v>
      </c>
      <c r="GJ173" s="190">
        <f>AX173*AX$2*IF($FC173="V",1,-1)*IF($Q173="Fixo",(DL173-INDEX('Curva Forward'!$C$5:$AN$13,MATCH(CONCATENATE(BD_COMERCIAL!$K173," ",BD_COMERCIAL!$L173),'Curva Forward'!$B$5:$B$13,0),MATCH(GJ$4,'Curva Forward'!$C$4:$AN$4,0))),DL173)</f>
        <v>0</v>
      </c>
      <c r="GK173" s="190">
        <f>AY173*AY$2*IF($FC173="V",1,-1)*IF($Q173="Fixo",(DM173-INDEX('Curva Forward'!$C$5:$AN$13,MATCH(CONCATENATE(BD_COMERCIAL!$K173," ",BD_COMERCIAL!$L173),'Curva Forward'!$B$5:$B$13,0),MATCH(GK$4,'Curva Forward'!$C$4:$AN$4,0))),DM173)</f>
        <v>0</v>
      </c>
      <c r="GL173" s="190">
        <f>IF(EZ173="",0,CL173*CL$2*IF($FC173="V",1,-1)*IF($Q173="Fixo",(EZ173-INDEX('Curva Forward'!$C$5:$AN$13,MATCH(CONCATENATE(BD_COMERCIAL!$K173," ",BD_COMERCIAL!$L173),'Curva Forward'!$B$5:$B$13,0),MATCH(GL$4,'Curva Forward'!$C$4:$AN$4,0))),EZ173))</f>
        <v>0</v>
      </c>
      <c r="GM173" s="190">
        <f>IF(FA173="",0,CM173*CM$2*IF($FC173="V",1,-1)*IF($Q173="Fixo",(FA173-INDEX('Curva Forward'!$C$5:$AN$13,MATCH(CONCATENATE(BD_COMERCIAL!$K173," ",BD_COMERCIAL!$L173),'Curva Forward'!$B$5:$B$13,0),MATCH(GM$4,'Curva Forward'!$C$4:$AN$4,0))),FA173))</f>
        <v>0</v>
      </c>
      <c r="GN173" s="190">
        <f>IF(FB173="",0,CN173*CN$2*IF($FC173="V",1,-1)*IF($Q173="Fixo",(FB173-INDEX('Curva Forward'!$C$5:$AN$13,MATCH(CONCATENATE(BD_COMERCIAL!$K173," ",BD_COMERCIAL!$L173),'Curva Forward'!$B$5:$B$13,0),MATCH(GN$4,'Curva Forward'!$C$4:$AN$4,0))),FB173))</f>
        <v>0</v>
      </c>
      <c r="GO173" s="191">
        <f t="shared" ca="1" si="25"/>
        <v>0</v>
      </c>
      <c r="GP173" s="191">
        <f t="shared" ca="1" si="26"/>
        <v>0</v>
      </c>
      <c r="GQ173" s="115"/>
      <c r="GR173" s="115"/>
      <c r="GS173"/>
      <c r="GT173" s="65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</row>
    <row r="174" spans="1:236" s="265" customFormat="1" ht="15" customHeight="1" x14ac:dyDescent="0.35">
      <c r="A174" s="251"/>
      <c r="B174" s="275"/>
      <c r="C174" s="253"/>
      <c r="D174" s="254"/>
      <c r="E174" s="254"/>
      <c r="F174" s="255"/>
      <c r="G174" s="256"/>
      <c r="H174" s="255"/>
      <c r="I174" s="254"/>
      <c r="J174" s="257"/>
      <c r="K174" s="256"/>
      <c r="L174" s="252"/>
      <c r="M174" s="258"/>
      <c r="N174" s="259"/>
      <c r="O174" s="256"/>
      <c r="P174" s="252"/>
      <c r="Q174" s="252"/>
      <c r="R174" s="256"/>
      <c r="S174" s="260"/>
      <c r="T174" s="258"/>
      <c r="U174" s="259"/>
      <c r="V174" s="261"/>
      <c r="W174" s="252"/>
      <c r="X174" s="262"/>
      <c r="Y174" s="257"/>
      <c r="Z174" s="263"/>
      <c r="AA174" s="264"/>
      <c r="AB174" s="266"/>
      <c r="AM174" s="251"/>
      <c r="AN174" s="266"/>
      <c r="AY174" s="251"/>
      <c r="AZ174" s="266"/>
      <c r="BK174" s="251"/>
      <c r="BL174" s="266"/>
      <c r="BW174" s="251"/>
      <c r="BX174" s="266"/>
      <c r="CI174" s="251"/>
      <c r="CJ174" s="267"/>
      <c r="CK174" s="267"/>
      <c r="CL174" s="267"/>
      <c r="CM174" s="267"/>
      <c r="CN174" s="267"/>
      <c r="CO174" s="268"/>
      <c r="CP174" s="266"/>
      <c r="DA174" s="251"/>
      <c r="DB174" s="266"/>
      <c r="DM174" s="251"/>
      <c r="DN174" s="266"/>
      <c r="DY174" s="251"/>
      <c r="DZ174" s="266"/>
      <c r="EK174" s="251"/>
      <c r="EL174" s="266"/>
      <c r="EW174" s="251"/>
      <c r="EX174" s="267"/>
      <c r="EY174" s="267"/>
      <c r="EZ174" s="267"/>
      <c r="FA174" s="267"/>
      <c r="FB174" s="269"/>
      <c r="FD174" s="270"/>
      <c r="FF174" s="276"/>
      <c r="FH174" s="206">
        <f t="shared" si="20"/>
        <v>0</v>
      </c>
      <c r="FI174" s="198">
        <f t="shared" si="21"/>
        <v>0</v>
      </c>
      <c r="FJ174"/>
      <c r="FK174">
        <f t="shared" si="22"/>
        <v>0</v>
      </c>
      <c r="FL174" s="191">
        <f t="shared" ca="1" si="23"/>
        <v>0</v>
      </c>
      <c r="FM174" s="191">
        <f t="shared" ca="1" si="24"/>
        <v>0</v>
      </c>
      <c r="FN174" s="190">
        <f>AB174*AB$2*IF($FC174="V",1,-1)*IF($Q174="Fixo",(CP174-INDEX('Curva Forward'!$C$5:$AN$13,MATCH(CONCATENATE(BD_COMERCIAL!$K174," ",BD_COMERCIAL!$L174),'Curva Forward'!$B$5:$B$13,0),MATCH(FN$4,'Curva Forward'!$C$4:$AN$4,0))),CP174)</f>
        <v>0</v>
      </c>
      <c r="FO174" s="190">
        <f>AC174*AC$2*IF($FC174="V",1,-1)*IF($Q174="Fixo",(CQ174-INDEX('Curva Forward'!$C$5:$AN$13,MATCH(CONCATENATE(BD_COMERCIAL!$K174," ",BD_COMERCIAL!$L174),'Curva Forward'!$B$5:$B$13,0),MATCH(FO$4,'Curva Forward'!$C$4:$AN$4,0))),CQ174)</f>
        <v>0</v>
      </c>
      <c r="FP174" s="190">
        <f>AD174*AD$2*IF($FC174="V",1,-1)*IF($Q174="Fixo",(CR174-INDEX('Curva Forward'!$C$5:$AN$13,MATCH(CONCATENATE(BD_COMERCIAL!$K174," ",BD_COMERCIAL!$L174),'Curva Forward'!$B$5:$B$13,0),MATCH(FP$4,'Curva Forward'!$C$4:$AN$4,0))),CR174)</f>
        <v>0</v>
      </c>
      <c r="FQ174" s="190">
        <f>AE174*AE$2*IF($FC174="V",1,-1)*IF($Q174="Fixo",(CS174-INDEX('Curva Forward'!$C$5:$AN$13,MATCH(CONCATENATE(BD_COMERCIAL!$K174," ",BD_COMERCIAL!$L174),'Curva Forward'!$B$5:$B$13,0),MATCH(FQ$4,'Curva Forward'!$C$4:$AN$4,0))),CS174)</f>
        <v>0</v>
      </c>
      <c r="FR174" s="190">
        <f>AF174*AF$2*IF($FC174="V",1,-1)*IF($Q174="Fixo",(CT174-INDEX('Curva Forward'!$C$5:$AN$13,MATCH(CONCATENATE(BD_COMERCIAL!$K174," ",BD_COMERCIAL!$L174),'Curva Forward'!$B$5:$B$13,0),MATCH(FR$4,'Curva Forward'!$C$4:$AN$4,0))),CT174)</f>
        <v>0</v>
      </c>
      <c r="FS174" s="190">
        <f>AG174*AG$2*IF($FC174="V",1,-1)*IF($Q174="Fixo",(CU174-INDEX('Curva Forward'!$C$5:$AN$13,MATCH(CONCATENATE(BD_COMERCIAL!$K174," ",BD_COMERCIAL!$L174),'Curva Forward'!$B$5:$B$13,0),MATCH(FS$4,'Curva Forward'!$C$4:$AN$4,0))),CU174)</f>
        <v>0</v>
      </c>
      <c r="FT174" s="190">
        <f>AH174*AH$2*IF($FC174="V",1,-1)*IF($Q174="Fixo",(CV174-INDEX('Curva Forward'!$C$5:$AN$13,MATCH(CONCATENATE(BD_COMERCIAL!$K174," ",BD_COMERCIAL!$L174),'Curva Forward'!$B$5:$B$13,0),MATCH(FT$4,'Curva Forward'!$C$4:$AN$4,0))),CV174)</f>
        <v>0</v>
      </c>
      <c r="FU174" s="190">
        <f>AI174*AI$2*IF($FC174="V",1,-1)*IF($Q174="Fixo",(CW174-INDEX('Curva Forward'!$C$5:$AN$13,MATCH(CONCATENATE(BD_COMERCIAL!$K174," ",BD_COMERCIAL!$L174),'Curva Forward'!$B$5:$B$13,0),MATCH(FU$4,'Curva Forward'!$C$4:$AN$4,0))),CW174)</f>
        <v>0</v>
      </c>
      <c r="FV174" s="190">
        <f>AJ174*AJ$2*IF($FC174="V",1,-1)*IF($Q174="Fixo",(CX174-INDEX('Curva Forward'!$C$5:$AN$13,MATCH(CONCATENATE(BD_COMERCIAL!$K174," ",BD_COMERCIAL!$L174),'Curva Forward'!$B$5:$B$13,0),MATCH(FV$4,'Curva Forward'!$C$4:$AN$4,0))),CX174)</f>
        <v>0</v>
      </c>
      <c r="FW174" s="190">
        <f>AK174*AK$2*IF($FC174="V",1,-1)*IF($Q174="Fixo",(CY174-INDEX('Curva Forward'!$C$5:$AN$13,MATCH(CONCATENATE(BD_COMERCIAL!$K174," ",BD_COMERCIAL!$L174),'Curva Forward'!$B$5:$B$13,0),MATCH(FW$4,'Curva Forward'!$C$4:$AN$4,0))),CY174)</f>
        <v>0</v>
      </c>
      <c r="FX174" s="190">
        <f>AL174*AL$2*IF($FC174="V",1,-1)*IF($Q174="Fixo",(CZ174-INDEX('Curva Forward'!$C$5:$AN$13,MATCH(CONCATENATE(BD_COMERCIAL!$K174," ",BD_COMERCIAL!$L174),'Curva Forward'!$B$5:$B$13,0),MATCH(FX$4,'Curva Forward'!$C$4:$AN$4,0))),CZ174)</f>
        <v>0</v>
      </c>
      <c r="FY174" s="190">
        <f>AM174*AM$2*IF($FC174="V",1,-1)*IF($Q174="Fixo",(DA174-INDEX('Curva Forward'!$C$5:$AN$13,MATCH(CONCATENATE(BD_COMERCIAL!$K174," ",BD_COMERCIAL!$L174),'Curva Forward'!$B$5:$B$13,0),MATCH(FY$4,'Curva Forward'!$C$4:$AN$4,0))),DA174)</f>
        <v>0</v>
      </c>
      <c r="FZ174" s="190">
        <f>AN174*AN$2*IF($FC174="V",1,-1)*IF($Q174="Fixo",(DB174-INDEX('Curva Forward'!$C$5:$AN$13,MATCH(CONCATENATE(BD_COMERCIAL!$K174," ",BD_COMERCIAL!$L174),'Curva Forward'!$B$5:$B$13,0),MATCH(FZ$4,'Curva Forward'!$C$4:$AN$4,0))),DB174)</f>
        <v>0</v>
      </c>
      <c r="GA174" s="190">
        <f>AO174*AO$2*IF($FC174="V",1,-1)*IF($Q174="Fixo",(DC174-INDEX('Curva Forward'!$C$5:$AN$13,MATCH(CONCATENATE(BD_COMERCIAL!$K174," ",BD_COMERCIAL!$L174),'Curva Forward'!$B$5:$B$13,0),MATCH(GA$4,'Curva Forward'!$C$4:$AN$4,0))),DC174)</f>
        <v>0</v>
      </c>
      <c r="GB174" s="190">
        <f>AP174*AP$2*IF($FC174="V",1,-1)*IF($Q174="Fixo",(DD174-INDEX('Curva Forward'!$C$5:$AN$13,MATCH(CONCATENATE(BD_COMERCIAL!$K174," ",BD_COMERCIAL!$L174),'Curva Forward'!$B$5:$B$13,0),MATCH(GB$4,'Curva Forward'!$C$4:$AN$4,0))),DD174)</f>
        <v>0</v>
      </c>
      <c r="GC174" s="190">
        <f>AQ174*AQ$2*IF($FC174="V",1,-1)*IF($Q174="Fixo",(DE174-INDEX('Curva Forward'!$C$5:$AN$13,MATCH(CONCATENATE(BD_COMERCIAL!$K174," ",BD_COMERCIAL!$L174),'Curva Forward'!$B$5:$B$13,0),MATCH(GC$4,'Curva Forward'!$C$4:$AN$4,0))),DE174)</f>
        <v>0</v>
      </c>
      <c r="GD174" s="190">
        <f>AR174*AR$2*IF($FC174="V",1,-1)*IF($Q174="Fixo",(DF174-INDEX('Curva Forward'!$C$5:$AN$13,MATCH(CONCATENATE(BD_COMERCIAL!$K174," ",BD_COMERCIAL!$L174),'Curva Forward'!$B$5:$B$13,0),MATCH(GD$4,'Curva Forward'!$C$4:$AN$4,0))),DF174)</f>
        <v>0</v>
      </c>
      <c r="GE174" s="190">
        <f>AS174*AS$2*IF($FC174="V",1,-1)*IF($Q174="Fixo",(DG174-INDEX('Curva Forward'!$C$5:$AN$13,MATCH(CONCATENATE(BD_COMERCIAL!$K174," ",BD_COMERCIAL!$L174),'Curva Forward'!$B$5:$B$13,0),MATCH(GE$4,'Curva Forward'!$C$4:$AN$4,0))),DG174)</f>
        <v>0</v>
      </c>
      <c r="GF174" s="190">
        <f>AT174*AT$2*IF($FC174="V",1,-1)*IF($Q174="Fixo",(DH174-INDEX('Curva Forward'!$C$5:$AN$13,MATCH(CONCATENATE(BD_COMERCIAL!$K174," ",BD_COMERCIAL!$L174),'Curva Forward'!$B$5:$B$13,0),MATCH(GF$4,'Curva Forward'!$C$4:$AN$4,0))),DH174)</f>
        <v>0</v>
      </c>
      <c r="GG174" s="190">
        <f>AU174*AU$2*IF($FC174="V",1,-1)*IF($Q174="Fixo",(DI174-INDEX('Curva Forward'!$C$5:$AN$13,MATCH(CONCATENATE(BD_COMERCIAL!$K174," ",BD_COMERCIAL!$L174),'Curva Forward'!$B$5:$B$13,0),MATCH(GG$4,'Curva Forward'!$C$4:$AN$4,0))),DI174)</f>
        <v>0</v>
      </c>
      <c r="GH174" s="190">
        <f>AV174*AV$2*IF($FC174="V",1,-1)*IF($Q174="Fixo",(DJ174-INDEX('Curva Forward'!$C$5:$AN$13,MATCH(CONCATENATE(BD_COMERCIAL!$K174," ",BD_COMERCIAL!$L174),'Curva Forward'!$B$5:$B$13,0),MATCH(GH$4,'Curva Forward'!$C$4:$AN$4,0))),DJ174)</f>
        <v>0</v>
      </c>
      <c r="GI174" s="190">
        <f>AW174*AW$2*IF($FC174="V",1,-1)*IF($Q174="Fixo",(DK174-INDEX('Curva Forward'!$C$5:$AN$13,MATCH(CONCATENATE(BD_COMERCIAL!$K174," ",BD_COMERCIAL!$L174),'Curva Forward'!$B$5:$B$13,0),MATCH(GI$4,'Curva Forward'!$C$4:$AN$4,0))),DK174)</f>
        <v>0</v>
      </c>
      <c r="GJ174" s="190">
        <f>AX174*AX$2*IF($FC174="V",1,-1)*IF($Q174="Fixo",(DL174-INDEX('Curva Forward'!$C$5:$AN$13,MATCH(CONCATENATE(BD_COMERCIAL!$K174," ",BD_COMERCIAL!$L174),'Curva Forward'!$B$5:$B$13,0),MATCH(GJ$4,'Curva Forward'!$C$4:$AN$4,0))),DL174)</f>
        <v>0</v>
      </c>
      <c r="GK174" s="190">
        <f>AY174*AY$2*IF($FC174="V",1,-1)*IF($Q174="Fixo",(DM174-INDEX('Curva Forward'!$C$5:$AN$13,MATCH(CONCATENATE(BD_COMERCIAL!$K174," ",BD_COMERCIAL!$L174),'Curva Forward'!$B$5:$B$13,0),MATCH(GK$4,'Curva Forward'!$C$4:$AN$4,0))),DM174)</f>
        <v>0</v>
      </c>
      <c r="GL174" s="190">
        <f>IF(EZ174="",0,CL174*CL$2*IF($FC174="V",1,-1)*IF($Q174="Fixo",(EZ174-INDEX('Curva Forward'!$C$5:$AN$13,MATCH(CONCATENATE(BD_COMERCIAL!$K174," ",BD_COMERCIAL!$L174),'Curva Forward'!$B$5:$B$13,0),MATCH(GL$4,'Curva Forward'!$C$4:$AN$4,0))),EZ174))</f>
        <v>0</v>
      </c>
      <c r="GM174" s="190">
        <f>IF(FA174="",0,CM174*CM$2*IF($FC174="V",1,-1)*IF($Q174="Fixo",(FA174-INDEX('Curva Forward'!$C$5:$AN$13,MATCH(CONCATENATE(BD_COMERCIAL!$K174," ",BD_COMERCIAL!$L174),'Curva Forward'!$B$5:$B$13,0),MATCH(GM$4,'Curva Forward'!$C$4:$AN$4,0))),FA174))</f>
        <v>0</v>
      </c>
      <c r="GN174" s="190">
        <f>IF(FB174="",0,CN174*CN$2*IF($FC174="V",1,-1)*IF($Q174="Fixo",(FB174-INDEX('Curva Forward'!$C$5:$AN$13,MATCH(CONCATENATE(BD_COMERCIAL!$K174," ",BD_COMERCIAL!$L174),'Curva Forward'!$B$5:$B$13,0),MATCH(GN$4,'Curva Forward'!$C$4:$AN$4,0))),FB174))</f>
        <v>0</v>
      </c>
      <c r="GO174" s="191">
        <f t="shared" ca="1" si="25"/>
        <v>0</v>
      </c>
      <c r="GP174" s="191">
        <f t="shared" ca="1" si="26"/>
        <v>0</v>
      </c>
      <c r="GQ174" s="115"/>
      <c r="GR174" s="115"/>
      <c r="GS174"/>
      <c r="GT174" s="65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</row>
    <row r="175" spans="1:236" s="265" customFormat="1" ht="15" customHeight="1" x14ac:dyDescent="0.35">
      <c r="A175" s="251"/>
      <c r="B175" s="275"/>
      <c r="C175" s="253"/>
      <c r="D175" s="254"/>
      <c r="E175" s="254"/>
      <c r="F175" s="255"/>
      <c r="G175" s="256"/>
      <c r="H175" s="255"/>
      <c r="I175" s="254"/>
      <c r="J175" s="257"/>
      <c r="K175" s="256"/>
      <c r="L175" s="252"/>
      <c r="M175" s="258"/>
      <c r="N175" s="259"/>
      <c r="O175" s="256"/>
      <c r="P175" s="252"/>
      <c r="Q175" s="252"/>
      <c r="R175" s="256"/>
      <c r="S175" s="260"/>
      <c r="T175" s="258"/>
      <c r="U175" s="259"/>
      <c r="V175" s="261"/>
      <c r="W175" s="252"/>
      <c r="X175" s="262"/>
      <c r="Y175" s="257"/>
      <c r="Z175" s="263"/>
      <c r="AA175" s="264"/>
      <c r="AB175" s="266"/>
      <c r="AM175" s="251"/>
      <c r="AN175" s="266"/>
      <c r="AY175" s="251"/>
      <c r="AZ175" s="266"/>
      <c r="BK175" s="251"/>
      <c r="BL175" s="266"/>
      <c r="BW175" s="251"/>
      <c r="BX175" s="266"/>
      <c r="CI175" s="251"/>
      <c r="CJ175" s="267"/>
      <c r="CK175" s="267"/>
      <c r="CL175" s="267"/>
      <c r="CM175" s="267"/>
      <c r="CN175" s="267"/>
      <c r="CO175" s="268"/>
      <c r="CP175" s="266"/>
      <c r="DA175" s="251"/>
      <c r="DB175" s="266"/>
      <c r="DM175" s="251"/>
      <c r="DN175" s="266"/>
      <c r="DY175" s="251"/>
      <c r="DZ175" s="266"/>
      <c r="EK175" s="251"/>
      <c r="EL175" s="266"/>
      <c r="EW175" s="251"/>
      <c r="EX175" s="267"/>
      <c r="EY175" s="267"/>
      <c r="EZ175" s="267"/>
      <c r="FA175" s="267"/>
      <c r="FB175" s="269"/>
      <c r="FD175" s="270"/>
      <c r="FF175" s="276"/>
      <c r="FH175" s="206">
        <f t="shared" si="20"/>
        <v>0</v>
      </c>
      <c r="FI175" s="198">
        <f t="shared" si="21"/>
        <v>0</v>
      </c>
      <c r="FJ175"/>
      <c r="FK175">
        <f t="shared" si="22"/>
        <v>0</v>
      </c>
      <c r="FL175" s="191">
        <f t="shared" ca="1" si="23"/>
        <v>0</v>
      </c>
      <c r="FM175" s="191">
        <f t="shared" ca="1" si="24"/>
        <v>0</v>
      </c>
      <c r="FN175" s="190">
        <f>AB175*AB$2*IF($FC175="V",1,-1)*IF($Q175="Fixo",(CP175-INDEX('Curva Forward'!$C$5:$AN$13,MATCH(CONCATENATE(BD_COMERCIAL!$K175," ",BD_COMERCIAL!$L175),'Curva Forward'!$B$5:$B$13,0),MATCH(FN$4,'Curva Forward'!$C$4:$AN$4,0))),CP175)</f>
        <v>0</v>
      </c>
      <c r="FO175" s="190">
        <f>AC175*AC$2*IF($FC175="V",1,-1)*IF($Q175="Fixo",(CQ175-INDEX('Curva Forward'!$C$5:$AN$13,MATCH(CONCATENATE(BD_COMERCIAL!$K175," ",BD_COMERCIAL!$L175),'Curva Forward'!$B$5:$B$13,0),MATCH(FO$4,'Curva Forward'!$C$4:$AN$4,0))),CQ175)</f>
        <v>0</v>
      </c>
      <c r="FP175" s="190">
        <f>AD175*AD$2*IF($FC175="V",1,-1)*IF($Q175="Fixo",(CR175-INDEX('Curva Forward'!$C$5:$AN$13,MATCH(CONCATENATE(BD_COMERCIAL!$K175," ",BD_COMERCIAL!$L175),'Curva Forward'!$B$5:$B$13,0),MATCH(FP$4,'Curva Forward'!$C$4:$AN$4,0))),CR175)</f>
        <v>0</v>
      </c>
      <c r="FQ175" s="190">
        <f>AE175*AE$2*IF($FC175="V",1,-1)*IF($Q175="Fixo",(CS175-INDEX('Curva Forward'!$C$5:$AN$13,MATCH(CONCATENATE(BD_COMERCIAL!$K175," ",BD_COMERCIAL!$L175),'Curva Forward'!$B$5:$B$13,0),MATCH(FQ$4,'Curva Forward'!$C$4:$AN$4,0))),CS175)</f>
        <v>0</v>
      </c>
      <c r="FR175" s="190">
        <f>AF175*AF$2*IF($FC175="V",1,-1)*IF($Q175="Fixo",(CT175-INDEX('Curva Forward'!$C$5:$AN$13,MATCH(CONCATENATE(BD_COMERCIAL!$K175," ",BD_COMERCIAL!$L175),'Curva Forward'!$B$5:$B$13,0),MATCH(FR$4,'Curva Forward'!$C$4:$AN$4,0))),CT175)</f>
        <v>0</v>
      </c>
      <c r="FS175" s="190">
        <f>AG175*AG$2*IF($FC175="V",1,-1)*IF($Q175="Fixo",(CU175-INDEX('Curva Forward'!$C$5:$AN$13,MATCH(CONCATENATE(BD_COMERCIAL!$K175," ",BD_COMERCIAL!$L175),'Curva Forward'!$B$5:$B$13,0),MATCH(FS$4,'Curva Forward'!$C$4:$AN$4,0))),CU175)</f>
        <v>0</v>
      </c>
      <c r="FT175" s="190">
        <f>AH175*AH$2*IF($FC175="V",1,-1)*IF($Q175="Fixo",(CV175-INDEX('Curva Forward'!$C$5:$AN$13,MATCH(CONCATENATE(BD_COMERCIAL!$K175," ",BD_COMERCIAL!$L175),'Curva Forward'!$B$5:$B$13,0),MATCH(FT$4,'Curva Forward'!$C$4:$AN$4,0))),CV175)</f>
        <v>0</v>
      </c>
      <c r="FU175" s="190">
        <f>AI175*AI$2*IF($FC175="V",1,-1)*IF($Q175="Fixo",(CW175-INDEX('Curva Forward'!$C$5:$AN$13,MATCH(CONCATENATE(BD_COMERCIAL!$K175," ",BD_COMERCIAL!$L175),'Curva Forward'!$B$5:$B$13,0),MATCH(FU$4,'Curva Forward'!$C$4:$AN$4,0))),CW175)</f>
        <v>0</v>
      </c>
      <c r="FV175" s="190">
        <f>AJ175*AJ$2*IF($FC175="V",1,-1)*IF($Q175="Fixo",(CX175-INDEX('Curva Forward'!$C$5:$AN$13,MATCH(CONCATENATE(BD_COMERCIAL!$K175," ",BD_COMERCIAL!$L175),'Curva Forward'!$B$5:$B$13,0),MATCH(FV$4,'Curva Forward'!$C$4:$AN$4,0))),CX175)</f>
        <v>0</v>
      </c>
      <c r="FW175" s="190">
        <f>AK175*AK$2*IF($FC175="V",1,-1)*IF($Q175="Fixo",(CY175-INDEX('Curva Forward'!$C$5:$AN$13,MATCH(CONCATENATE(BD_COMERCIAL!$K175," ",BD_COMERCIAL!$L175),'Curva Forward'!$B$5:$B$13,0),MATCH(FW$4,'Curva Forward'!$C$4:$AN$4,0))),CY175)</f>
        <v>0</v>
      </c>
      <c r="FX175" s="190">
        <f>AL175*AL$2*IF($FC175="V",1,-1)*IF($Q175="Fixo",(CZ175-INDEX('Curva Forward'!$C$5:$AN$13,MATCH(CONCATENATE(BD_COMERCIAL!$K175," ",BD_COMERCIAL!$L175),'Curva Forward'!$B$5:$B$13,0),MATCH(FX$4,'Curva Forward'!$C$4:$AN$4,0))),CZ175)</f>
        <v>0</v>
      </c>
      <c r="FY175" s="190">
        <f>AM175*AM$2*IF($FC175="V",1,-1)*IF($Q175="Fixo",(DA175-INDEX('Curva Forward'!$C$5:$AN$13,MATCH(CONCATENATE(BD_COMERCIAL!$K175," ",BD_COMERCIAL!$L175),'Curva Forward'!$B$5:$B$13,0),MATCH(FY$4,'Curva Forward'!$C$4:$AN$4,0))),DA175)</f>
        <v>0</v>
      </c>
      <c r="FZ175" s="190">
        <f>AN175*AN$2*IF($FC175="V",1,-1)*IF($Q175="Fixo",(DB175-INDEX('Curva Forward'!$C$5:$AN$13,MATCH(CONCATENATE(BD_COMERCIAL!$K175," ",BD_COMERCIAL!$L175),'Curva Forward'!$B$5:$B$13,0),MATCH(FZ$4,'Curva Forward'!$C$4:$AN$4,0))),DB175)</f>
        <v>0</v>
      </c>
      <c r="GA175" s="190">
        <f>AO175*AO$2*IF($FC175="V",1,-1)*IF($Q175="Fixo",(DC175-INDEX('Curva Forward'!$C$5:$AN$13,MATCH(CONCATENATE(BD_COMERCIAL!$K175," ",BD_COMERCIAL!$L175),'Curva Forward'!$B$5:$B$13,0),MATCH(GA$4,'Curva Forward'!$C$4:$AN$4,0))),DC175)</f>
        <v>0</v>
      </c>
      <c r="GB175" s="190">
        <f>AP175*AP$2*IF($FC175="V",1,-1)*IF($Q175="Fixo",(DD175-INDEX('Curva Forward'!$C$5:$AN$13,MATCH(CONCATENATE(BD_COMERCIAL!$K175," ",BD_COMERCIAL!$L175),'Curva Forward'!$B$5:$B$13,0),MATCH(GB$4,'Curva Forward'!$C$4:$AN$4,0))),DD175)</f>
        <v>0</v>
      </c>
      <c r="GC175" s="190">
        <f>AQ175*AQ$2*IF($FC175="V",1,-1)*IF($Q175="Fixo",(DE175-INDEX('Curva Forward'!$C$5:$AN$13,MATCH(CONCATENATE(BD_COMERCIAL!$K175," ",BD_COMERCIAL!$L175),'Curva Forward'!$B$5:$B$13,0),MATCH(GC$4,'Curva Forward'!$C$4:$AN$4,0))),DE175)</f>
        <v>0</v>
      </c>
      <c r="GD175" s="190">
        <f>AR175*AR$2*IF($FC175="V",1,-1)*IF($Q175="Fixo",(DF175-INDEX('Curva Forward'!$C$5:$AN$13,MATCH(CONCATENATE(BD_COMERCIAL!$K175," ",BD_COMERCIAL!$L175),'Curva Forward'!$B$5:$B$13,0),MATCH(GD$4,'Curva Forward'!$C$4:$AN$4,0))),DF175)</f>
        <v>0</v>
      </c>
      <c r="GE175" s="190">
        <f>AS175*AS$2*IF($FC175="V",1,-1)*IF($Q175="Fixo",(DG175-INDEX('Curva Forward'!$C$5:$AN$13,MATCH(CONCATENATE(BD_COMERCIAL!$K175," ",BD_COMERCIAL!$L175),'Curva Forward'!$B$5:$B$13,0),MATCH(GE$4,'Curva Forward'!$C$4:$AN$4,0))),DG175)</f>
        <v>0</v>
      </c>
      <c r="GF175" s="190">
        <f>AT175*AT$2*IF($FC175="V",1,-1)*IF($Q175="Fixo",(DH175-INDEX('Curva Forward'!$C$5:$AN$13,MATCH(CONCATENATE(BD_COMERCIAL!$K175," ",BD_COMERCIAL!$L175),'Curva Forward'!$B$5:$B$13,0),MATCH(GF$4,'Curva Forward'!$C$4:$AN$4,0))),DH175)</f>
        <v>0</v>
      </c>
      <c r="GG175" s="190">
        <f>AU175*AU$2*IF($FC175="V",1,-1)*IF($Q175="Fixo",(DI175-INDEX('Curva Forward'!$C$5:$AN$13,MATCH(CONCATENATE(BD_COMERCIAL!$K175," ",BD_COMERCIAL!$L175),'Curva Forward'!$B$5:$B$13,0),MATCH(GG$4,'Curva Forward'!$C$4:$AN$4,0))),DI175)</f>
        <v>0</v>
      </c>
      <c r="GH175" s="190">
        <f>AV175*AV$2*IF($FC175="V",1,-1)*IF($Q175="Fixo",(DJ175-INDEX('Curva Forward'!$C$5:$AN$13,MATCH(CONCATENATE(BD_COMERCIAL!$K175," ",BD_COMERCIAL!$L175),'Curva Forward'!$B$5:$B$13,0),MATCH(GH$4,'Curva Forward'!$C$4:$AN$4,0))),DJ175)</f>
        <v>0</v>
      </c>
      <c r="GI175" s="190">
        <f>AW175*AW$2*IF($FC175="V",1,-1)*IF($Q175="Fixo",(DK175-INDEX('Curva Forward'!$C$5:$AN$13,MATCH(CONCATENATE(BD_COMERCIAL!$K175," ",BD_COMERCIAL!$L175),'Curva Forward'!$B$5:$B$13,0),MATCH(GI$4,'Curva Forward'!$C$4:$AN$4,0))),DK175)</f>
        <v>0</v>
      </c>
      <c r="GJ175" s="190">
        <f>AX175*AX$2*IF($FC175="V",1,-1)*IF($Q175="Fixo",(DL175-INDEX('Curva Forward'!$C$5:$AN$13,MATCH(CONCATENATE(BD_COMERCIAL!$K175," ",BD_COMERCIAL!$L175),'Curva Forward'!$B$5:$B$13,0),MATCH(GJ$4,'Curva Forward'!$C$4:$AN$4,0))),DL175)</f>
        <v>0</v>
      </c>
      <c r="GK175" s="190">
        <f>AY175*AY$2*IF($FC175="V",1,-1)*IF($Q175="Fixo",(DM175-INDEX('Curva Forward'!$C$5:$AN$13,MATCH(CONCATENATE(BD_COMERCIAL!$K175," ",BD_COMERCIAL!$L175),'Curva Forward'!$B$5:$B$13,0),MATCH(GK$4,'Curva Forward'!$C$4:$AN$4,0))),DM175)</f>
        <v>0</v>
      </c>
      <c r="GL175" s="190">
        <f>IF(EZ175="",0,CL175*CL$2*IF($FC175="V",1,-1)*IF($Q175="Fixo",(EZ175-INDEX('Curva Forward'!$C$5:$AN$13,MATCH(CONCATENATE(BD_COMERCIAL!$K175," ",BD_COMERCIAL!$L175),'Curva Forward'!$B$5:$B$13,0),MATCH(GL$4,'Curva Forward'!$C$4:$AN$4,0))),EZ175))</f>
        <v>0</v>
      </c>
      <c r="GM175" s="190">
        <f>IF(FA175="",0,CM175*CM$2*IF($FC175="V",1,-1)*IF($Q175="Fixo",(FA175-INDEX('Curva Forward'!$C$5:$AN$13,MATCH(CONCATENATE(BD_COMERCIAL!$K175," ",BD_COMERCIAL!$L175),'Curva Forward'!$B$5:$B$13,0),MATCH(GM$4,'Curva Forward'!$C$4:$AN$4,0))),FA175))</f>
        <v>0</v>
      </c>
      <c r="GN175" s="190">
        <f>IF(FB175="",0,CN175*CN$2*IF($FC175="V",1,-1)*IF($Q175="Fixo",(FB175-INDEX('Curva Forward'!$C$5:$AN$13,MATCH(CONCATENATE(BD_COMERCIAL!$K175," ",BD_COMERCIAL!$L175),'Curva Forward'!$B$5:$B$13,0),MATCH(GN$4,'Curva Forward'!$C$4:$AN$4,0))),FB175))</f>
        <v>0</v>
      </c>
      <c r="GO175" s="191">
        <f t="shared" ca="1" si="25"/>
        <v>0</v>
      </c>
      <c r="GP175" s="191">
        <f t="shared" ca="1" si="26"/>
        <v>0</v>
      </c>
      <c r="GQ175" s="115"/>
      <c r="GR175" s="115"/>
      <c r="GS175"/>
      <c r="GT175" s="6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</row>
    <row r="176" spans="1:236" s="265" customFormat="1" ht="15" customHeight="1" x14ac:dyDescent="0.35">
      <c r="A176" s="251"/>
      <c r="B176" s="275"/>
      <c r="C176" s="253"/>
      <c r="D176" s="254"/>
      <c r="E176" s="254"/>
      <c r="F176" s="255"/>
      <c r="G176" s="256"/>
      <c r="H176" s="255"/>
      <c r="I176" s="254"/>
      <c r="J176" s="257"/>
      <c r="K176" s="256"/>
      <c r="L176" s="252"/>
      <c r="M176" s="258"/>
      <c r="N176" s="259"/>
      <c r="O176" s="256"/>
      <c r="P176" s="252"/>
      <c r="Q176" s="252"/>
      <c r="R176" s="256"/>
      <c r="S176" s="260"/>
      <c r="T176" s="258"/>
      <c r="U176" s="259"/>
      <c r="V176" s="261"/>
      <c r="W176" s="252"/>
      <c r="X176" s="262"/>
      <c r="Y176" s="257"/>
      <c r="Z176" s="263"/>
      <c r="AA176" s="264"/>
      <c r="AB176" s="266"/>
      <c r="AM176" s="251"/>
      <c r="AN176" s="266"/>
      <c r="AY176" s="251"/>
      <c r="AZ176" s="266"/>
      <c r="BK176" s="251"/>
      <c r="BL176" s="266"/>
      <c r="BW176" s="251"/>
      <c r="BX176" s="266"/>
      <c r="CI176" s="251"/>
      <c r="CJ176" s="267"/>
      <c r="CK176" s="267"/>
      <c r="CL176" s="267"/>
      <c r="CM176" s="267"/>
      <c r="CN176" s="267"/>
      <c r="CO176" s="268"/>
      <c r="CP176" s="266"/>
      <c r="DA176" s="251"/>
      <c r="DB176" s="266"/>
      <c r="DM176" s="251"/>
      <c r="DN176" s="266"/>
      <c r="DY176" s="251"/>
      <c r="DZ176" s="266"/>
      <c r="EK176" s="251"/>
      <c r="EL176" s="266"/>
      <c r="EW176" s="251"/>
      <c r="EX176" s="267"/>
      <c r="EY176" s="267"/>
      <c r="EZ176" s="267"/>
      <c r="FA176" s="267"/>
      <c r="FB176" s="269"/>
      <c r="FD176" s="270"/>
      <c r="FF176" s="276"/>
      <c r="FH176" s="206">
        <f t="shared" si="20"/>
        <v>0</v>
      </c>
      <c r="FI176" s="198">
        <f t="shared" si="21"/>
        <v>0</v>
      </c>
      <c r="FJ176"/>
      <c r="FK176">
        <f t="shared" si="22"/>
        <v>0</v>
      </c>
      <c r="FL176" s="191">
        <f t="shared" ca="1" si="23"/>
        <v>0</v>
      </c>
      <c r="FM176" s="191">
        <f t="shared" ca="1" si="24"/>
        <v>0</v>
      </c>
      <c r="FN176" s="190">
        <f>AB176*AB$2*IF($FC176="V",1,-1)*IF($Q176="Fixo",(CP176-INDEX('Curva Forward'!$C$5:$AN$13,MATCH(CONCATENATE(BD_COMERCIAL!$K176," ",BD_COMERCIAL!$L176),'Curva Forward'!$B$5:$B$13,0),MATCH(FN$4,'Curva Forward'!$C$4:$AN$4,0))),CP176)</f>
        <v>0</v>
      </c>
      <c r="FO176" s="190">
        <f>AC176*AC$2*IF($FC176="V",1,-1)*IF($Q176="Fixo",(CQ176-INDEX('Curva Forward'!$C$5:$AN$13,MATCH(CONCATENATE(BD_COMERCIAL!$K176," ",BD_COMERCIAL!$L176),'Curva Forward'!$B$5:$B$13,0),MATCH(FO$4,'Curva Forward'!$C$4:$AN$4,0))),CQ176)</f>
        <v>0</v>
      </c>
      <c r="FP176" s="190">
        <f>AD176*AD$2*IF($FC176="V",1,-1)*IF($Q176="Fixo",(CR176-INDEX('Curva Forward'!$C$5:$AN$13,MATCH(CONCATENATE(BD_COMERCIAL!$K176," ",BD_COMERCIAL!$L176),'Curva Forward'!$B$5:$B$13,0),MATCH(FP$4,'Curva Forward'!$C$4:$AN$4,0))),CR176)</f>
        <v>0</v>
      </c>
      <c r="FQ176" s="190">
        <f>AE176*AE$2*IF($FC176="V",1,-1)*IF($Q176="Fixo",(CS176-INDEX('Curva Forward'!$C$5:$AN$13,MATCH(CONCATENATE(BD_COMERCIAL!$K176," ",BD_COMERCIAL!$L176),'Curva Forward'!$B$5:$B$13,0),MATCH(FQ$4,'Curva Forward'!$C$4:$AN$4,0))),CS176)</f>
        <v>0</v>
      </c>
      <c r="FR176" s="190">
        <f>AF176*AF$2*IF($FC176="V",1,-1)*IF($Q176="Fixo",(CT176-INDEX('Curva Forward'!$C$5:$AN$13,MATCH(CONCATENATE(BD_COMERCIAL!$K176," ",BD_COMERCIAL!$L176),'Curva Forward'!$B$5:$B$13,0),MATCH(FR$4,'Curva Forward'!$C$4:$AN$4,0))),CT176)</f>
        <v>0</v>
      </c>
      <c r="FS176" s="190">
        <f>AG176*AG$2*IF($FC176="V",1,-1)*IF($Q176="Fixo",(CU176-INDEX('Curva Forward'!$C$5:$AN$13,MATCH(CONCATENATE(BD_COMERCIAL!$K176," ",BD_COMERCIAL!$L176),'Curva Forward'!$B$5:$B$13,0),MATCH(FS$4,'Curva Forward'!$C$4:$AN$4,0))),CU176)</f>
        <v>0</v>
      </c>
      <c r="FT176" s="190">
        <f>AH176*AH$2*IF($FC176="V",1,-1)*IF($Q176="Fixo",(CV176-INDEX('Curva Forward'!$C$5:$AN$13,MATCH(CONCATENATE(BD_COMERCIAL!$K176," ",BD_COMERCIAL!$L176),'Curva Forward'!$B$5:$B$13,0),MATCH(FT$4,'Curva Forward'!$C$4:$AN$4,0))),CV176)</f>
        <v>0</v>
      </c>
      <c r="FU176" s="190">
        <f>AI176*AI$2*IF($FC176="V",1,-1)*IF($Q176="Fixo",(CW176-INDEX('Curva Forward'!$C$5:$AN$13,MATCH(CONCATENATE(BD_COMERCIAL!$K176," ",BD_COMERCIAL!$L176),'Curva Forward'!$B$5:$B$13,0),MATCH(FU$4,'Curva Forward'!$C$4:$AN$4,0))),CW176)</f>
        <v>0</v>
      </c>
      <c r="FV176" s="190">
        <f>AJ176*AJ$2*IF($FC176="V",1,-1)*IF($Q176="Fixo",(CX176-INDEX('Curva Forward'!$C$5:$AN$13,MATCH(CONCATENATE(BD_COMERCIAL!$K176," ",BD_COMERCIAL!$L176),'Curva Forward'!$B$5:$B$13,0),MATCH(FV$4,'Curva Forward'!$C$4:$AN$4,0))),CX176)</f>
        <v>0</v>
      </c>
      <c r="FW176" s="190">
        <f>AK176*AK$2*IF($FC176="V",1,-1)*IF($Q176="Fixo",(CY176-INDEX('Curva Forward'!$C$5:$AN$13,MATCH(CONCATENATE(BD_COMERCIAL!$K176," ",BD_COMERCIAL!$L176),'Curva Forward'!$B$5:$B$13,0),MATCH(FW$4,'Curva Forward'!$C$4:$AN$4,0))),CY176)</f>
        <v>0</v>
      </c>
      <c r="FX176" s="190">
        <f>AL176*AL$2*IF($FC176="V",1,-1)*IF($Q176="Fixo",(CZ176-INDEX('Curva Forward'!$C$5:$AN$13,MATCH(CONCATENATE(BD_COMERCIAL!$K176," ",BD_COMERCIAL!$L176),'Curva Forward'!$B$5:$B$13,0),MATCH(FX$4,'Curva Forward'!$C$4:$AN$4,0))),CZ176)</f>
        <v>0</v>
      </c>
      <c r="FY176" s="190">
        <f>AM176*AM$2*IF($FC176="V",1,-1)*IF($Q176="Fixo",(DA176-INDEX('Curva Forward'!$C$5:$AN$13,MATCH(CONCATENATE(BD_COMERCIAL!$K176," ",BD_COMERCIAL!$L176),'Curva Forward'!$B$5:$B$13,0),MATCH(FY$4,'Curva Forward'!$C$4:$AN$4,0))),DA176)</f>
        <v>0</v>
      </c>
      <c r="FZ176" s="190">
        <f>AN176*AN$2*IF($FC176="V",1,-1)*IF($Q176="Fixo",(DB176-INDEX('Curva Forward'!$C$5:$AN$13,MATCH(CONCATENATE(BD_COMERCIAL!$K176," ",BD_COMERCIAL!$L176),'Curva Forward'!$B$5:$B$13,0),MATCH(FZ$4,'Curva Forward'!$C$4:$AN$4,0))),DB176)</f>
        <v>0</v>
      </c>
      <c r="GA176" s="190">
        <f>AO176*AO$2*IF($FC176="V",1,-1)*IF($Q176="Fixo",(DC176-INDEX('Curva Forward'!$C$5:$AN$13,MATCH(CONCATENATE(BD_COMERCIAL!$K176," ",BD_COMERCIAL!$L176),'Curva Forward'!$B$5:$B$13,0),MATCH(GA$4,'Curva Forward'!$C$4:$AN$4,0))),DC176)</f>
        <v>0</v>
      </c>
      <c r="GB176" s="190">
        <f>AP176*AP$2*IF($FC176="V",1,-1)*IF($Q176="Fixo",(DD176-INDEX('Curva Forward'!$C$5:$AN$13,MATCH(CONCATENATE(BD_COMERCIAL!$K176," ",BD_COMERCIAL!$L176),'Curva Forward'!$B$5:$B$13,0),MATCH(GB$4,'Curva Forward'!$C$4:$AN$4,0))),DD176)</f>
        <v>0</v>
      </c>
      <c r="GC176" s="190">
        <f>AQ176*AQ$2*IF($FC176="V",1,-1)*IF($Q176="Fixo",(DE176-INDEX('Curva Forward'!$C$5:$AN$13,MATCH(CONCATENATE(BD_COMERCIAL!$K176," ",BD_COMERCIAL!$L176),'Curva Forward'!$B$5:$B$13,0),MATCH(GC$4,'Curva Forward'!$C$4:$AN$4,0))),DE176)</f>
        <v>0</v>
      </c>
      <c r="GD176" s="190">
        <f>AR176*AR$2*IF($FC176="V",1,-1)*IF($Q176="Fixo",(DF176-INDEX('Curva Forward'!$C$5:$AN$13,MATCH(CONCATENATE(BD_COMERCIAL!$K176," ",BD_COMERCIAL!$L176),'Curva Forward'!$B$5:$B$13,0),MATCH(GD$4,'Curva Forward'!$C$4:$AN$4,0))),DF176)</f>
        <v>0</v>
      </c>
      <c r="GE176" s="190">
        <f>AS176*AS$2*IF($FC176="V",1,-1)*IF($Q176="Fixo",(DG176-INDEX('Curva Forward'!$C$5:$AN$13,MATCH(CONCATENATE(BD_COMERCIAL!$K176," ",BD_COMERCIAL!$L176),'Curva Forward'!$B$5:$B$13,0),MATCH(GE$4,'Curva Forward'!$C$4:$AN$4,0))),DG176)</f>
        <v>0</v>
      </c>
      <c r="GF176" s="190">
        <f>AT176*AT$2*IF($FC176="V",1,-1)*IF($Q176="Fixo",(DH176-INDEX('Curva Forward'!$C$5:$AN$13,MATCH(CONCATENATE(BD_COMERCIAL!$K176," ",BD_COMERCIAL!$L176),'Curva Forward'!$B$5:$B$13,0),MATCH(GF$4,'Curva Forward'!$C$4:$AN$4,0))),DH176)</f>
        <v>0</v>
      </c>
      <c r="GG176" s="190">
        <f>AU176*AU$2*IF($FC176="V",1,-1)*IF($Q176="Fixo",(DI176-INDEX('Curva Forward'!$C$5:$AN$13,MATCH(CONCATENATE(BD_COMERCIAL!$K176," ",BD_COMERCIAL!$L176),'Curva Forward'!$B$5:$B$13,0),MATCH(GG$4,'Curva Forward'!$C$4:$AN$4,0))),DI176)</f>
        <v>0</v>
      </c>
      <c r="GH176" s="190">
        <f>AV176*AV$2*IF($FC176="V",1,-1)*IF($Q176="Fixo",(DJ176-INDEX('Curva Forward'!$C$5:$AN$13,MATCH(CONCATENATE(BD_COMERCIAL!$K176," ",BD_COMERCIAL!$L176),'Curva Forward'!$B$5:$B$13,0),MATCH(GH$4,'Curva Forward'!$C$4:$AN$4,0))),DJ176)</f>
        <v>0</v>
      </c>
      <c r="GI176" s="190">
        <f>AW176*AW$2*IF($FC176="V",1,-1)*IF($Q176="Fixo",(DK176-INDEX('Curva Forward'!$C$5:$AN$13,MATCH(CONCATENATE(BD_COMERCIAL!$K176," ",BD_COMERCIAL!$L176),'Curva Forward'!$B$5:$B$13,0),MATCH(GI$4,'Curva Forward'!$C$4:$AN$4,0))),DK176)</f>
        <v>0</v>
      </c>
      <c r="GJ176" s="190">
        <f>AX176*AX$2*IF($FC176="V",1,-1)*IF($Q176="Fixo",(DL176-INDEX('Curva Forward'!$C$5:$AN$13,MATCH(CONCATENATE(BD_COMERCIAL!$K176," ",BD_COMERCIAL!$L176),'Curva Forward'!$B$5:$B$13,0),MATCH(GJ$4,'Curva Forward'!$C$4:$AN$4,0))),DL176)</f>
        <v>0</v>
      </c>
      <c r="GK176" s="190">
        <f>AY176*AY$2*IF($FC176="V",1,-1)*IF($Q176="Fixo",(DM176-INDEX('Curva Forward'!$C$5:$AN$13,MATCH(CONCATENATE(BD_COMERCIAL!$K176," ",BD_COMERCIAL!$L176),'Curva Forward'!$B$5:$B$13,0),MATCH(GK$4,'Curva Forward'!$C$4:$AN$4,0))),DM176)</f>
        <v>0</v>
      </c>
      <c r="GL176" s="190">
        <f>IF(EZ176="",0,CL176*CL$2*IF($FC176="V",1,-1)*IF($Q176="Fixo",(EZ176-INDEX('Curva Forward'!$C$5:$AN$13,MATCH(CONCATENATE(BD_COMERCIAL!$K176," ",BD_COMERCIAL!$L176),'Curva Forward'!$B$5:$B$13,0),MATCH(GL$4,'Curva Forward'!$C$4:$AN$4,0))),EZ176))</f>
        <v>0</v>
      </c>
      <c r="GM176" s="190">
        <f>IF(FA176="",0,CM176*CM$2*IF($FC176="V",1,-1)*IF($Q176="Fixo",(FA176-INDEX('Curva Forward'!$C$5:$AN$13,MATCH(CONCATENATE(BD_COMERCIAL!$K176," ",BD_COMERCIAL!$L176),'Curva Forward'!$B$5:$B$13,0),MATCH(GM$4,'Curva Forward'!$C$4:$AN$4,0))),FA176))</f>
        <v>0</v>
      </c>
      <c r="GN176" s="190">
        <f>IF(FB176="",0,CN176*CN$2*IF($FC176="V",1,-1)*IF($Q176="Fixo",(FB176-INDEX('Curva Forward'!$C$5:$AN$13,MATCH(CONCATENATE(BD_COMERCIAL!$K176," ",BD_COMERCIAL!$L176),'Curva Forward'!$B$5:$B$13,0),MATCH(GN$4,'Curva Forward'!$C$4:$AN$4,0))),FB176))</f>
        <v>0</v>
      </c>
      <c r="GO176" s="191">
        <f t="shared" ca="1" si="25"/>
        <v>0</v>
      </c>
      <c r="GP176" s="191">
        <f t="shared" ca="1" si="26"/>
        <v>0</v>
      </c>
      <c r="GQ176" s="115"/>
      <c r="GR176" s="115"/>
      <c r="GS176"/>
      <c r="GT176" s="65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</row>
    <row r="177" spans="1:236" s="265" customFormat="1" ht="15" customHeight="1" x14ac:dyDescent="0.35">
      <c r="A177" s="251"/>
      <c r="B177" s="275"/>
      <c r="C177" s="253"/>
      <c r="D177" s="254"/>
      <c r="E177" s="254"/>
      <c r="F177" s="255"/>
      <c r="G177" s="256"/>
      <c r="H177" s="255"/>
      <c r="I177" s="254"/>
      <c r="J177" s="257"/>
      <c r="K177" s="256"/>
      <c r="L177" s="252"/>
      <c r="M177" s="258"/>
      <c r="N177" s="259"/>
      <c r="O177" s="256"/>
      <c r="P177" s="252"/>
      <c r="Q177" s="252"/>
      <c r="R177" s="256"/>
      <c r="S177" s="260"/>
      <c r="T177" s="258"/>
      <c r="U177" s="259"/>
      <c r="V177" s="261"/>
      <c r="W177" s="252"/>
      <c r="X177" s="262"/>
      <c r="Y177" s="257"/>
      <c r="Z177" s="263"/>
      <c r="AA177" s="264"/>
      <c r="AB177" s="266"/>
      <c r="AM177" s="251"/>
      <c r="AN177" s="266"/>
      <c r="AY177" s="251"/>
      <c r="AZ177" s="266"/>
      <c r="BK177" s="251"/>
      <c r="BL177" s="266"/>
      <c r="BW177" s="251"/>
      <c r="BX177" s="266"/>
      <c r="CI177" s="251"/>
      <c r="CJ177" s="267"/>
      <c r="CK177" s="267"/>
      <c r="CL177" s="267"/>
      <c r="CM177" s="267"/>
      <c r="CN177" s="267"/>
      <c r="CO177" s="268"/>
      <c r="CP177" s="266"/>
      <c r="DA177" s="251"/>
      <c r="DB177" s="266"/>
      <c r="DM177" s="251"/>
      <c r="DN177" s="266"/>
      <c r="DY177" s="251"/>
      <c r="DZ177" s="266"/>
      <c r="EK177" s="251"/>
      <c r="EL177" s="266"/>
      <c r="EW177" s="251"/>
      <c r="EX177" s="267"/>
      <c r="EY177" s="267"/>
      <c r="EZ177" s="267"/>
      <c r="FA177" s="267"/>
      <c r="FB177" s="269"/>
      <c r="FD177" s="270"/>
      <c r="FF177" s="276"/>
      <c r="FH177" s="206">
        <f t="shared" si="20"/>
        <v>0</v>
      </c>
      <c r="FI177" s="198">
        <f t="shared" si="21"/>
        <v>0</v>
      </c>
      <c r="FJ177"/>
      <c r="FK177">
        <f t="shared" si="22"/>
        <v>0</v>
      </c>
      <c r="FL177" s="191">
        <f t="shared" ca="1" si="23"/>
        <v>0</v>
      </c>
      <c r="FM177" s="191">
        <f t="shared" ca="1" si="24"/>
        <v>0</v>
      </c>
      <c r="FN177" s="190">
        <f>AB177*AB$2*IF($FC177="V",1,-1)*IF($Q177="Fixo",(CP177-INDEX('Curva Forward'!$C$5:$AN$13,MATCH(CONCATENATE(BD_COMERCIAL!$K177," ",BD_COMERCIAL!$L177),'Curva Forward'!$B$5:$B$13,0),MATCH(FN$4,'Curva Forward'!$C$4:$AN$4,0))),CP177)</f>
        <v>0</v>
      </c>
      <c r="FO177" s="190">
        <f>AC177*AC$2*IF($FC177="V",1,-1)*IF($Q177="Fixo",(CQ177-INDEX('Curva Forward'!$C$5:$AN$13,MATCH(CONCATENATE(BD_COMERCIAL!$K177," ",BD_COMERCIAL!$L177),'Curva Forward'!$B$5:$B$13,0),MATCH(FO$4,'Curva Forward'!$C$4:$AN$4,0))),CQ177)</f>
        <v>0</v>
      </c>
      <c r="FP177" s="190">
        <f>AD177*AD$2*IF($FC177="V",1,-1)*IF($Q177="Fixo",(CR177-INDEX('Curva Forward'!$C$5:$AN$13,MATCH(CONCATENATE(BD_COMERCIAL!$K177," ",BD_COMERCIAL!$L177),'Curva Forward'!$B$5:$B$13,0),MATCH(FP$4,'Curva Forward'!$C$4:$AN$4,0))),CR177)</f>
        <v>0</v>
      </c>
      <c r="FQ177" s="190">
        <f>AE177*AE$2*IF($FC177="V",1,-1)*IF($Q177="Fixo",(CS177-INDEX('Curva Forward'!$C$5:$AN$13,MATCH(CONCATENATE(BD_COMERCIAL!$K177," ",BD_COMERCIAL!$L177),'Curva Forward'!$B$5:$B$13,0),MATCH(FQ$4,'Curva Forward'!$C$4:$AN$4,0))),CS177)</f>
        <v>0</v>
      </c>
      <c r="FR177" s="190">
        <f>AF177*AF$2*IF($FC177="V",1,-1)*IF($Q177="Fixo",(CT177-INDEX('Curva Forward'!$C$5:$AN$13,MATCH(CONCATENATE(BD_COMERCIAL!$K177," ",BD_COMERCIAL!$L177),'Curva Forward'!$B$5:$B$13,0),MATCH(FR$4,'Curva Forward'!$C$4:$AN$4,0))),CT177)</f>
        <v>0</v>
      </c>
      <c r="FS177" s="190">
        <f>AG177*AG$2*IF($FC177="V",1,-1)*IF($Q177="Fixo",(CU177-INDEX('Curva Forward'!$C$5:$AN$13,MATCH(CONCATENATE(BD_COMERCIAL!$K177," ",BD_COMERCIAL!$L177),'Curva Forward'!$B$5:$B$13,0),MATCH(FS$4,'Curva Forward'!$C$4:$AN$4,0))),CU177)</f>
        <v>0</v>
      </c>
      <c r="FT177" s="190">
        <f>AH177*AH$2*IF($FC177="V",1,-1)*IF($Q177="Fixo",(CV177-INDEX('Curva Forward'!$C$5:$AN$13,MATCH(CONCATENATE(BD_COMERCIAL!$K177," ",BD_COMERCIAL!$L177),'Curva Forward'!$B$5:$B$13,0),MATCH(FT$4,'Curva Forward'!$C$4:$AN$4,0))),CV177)</f>
        <v>0</v>
      </c>
      <c r="FU177" s="190">
        <f>AI177*AI$2*IF($FC177="V",1,-1)*IF($Q177="Fixo",(CW177-INDEX('Curva Forward'!$C$5:$AN$13,MATCH(CONCATENATE(BD_COMERCIAL!$K177," ",BD_COMERCIAL!$L177),'Curva Forward'!$B$5:$B$13,0),MATCH(FU$4,'Curva Forward'!$C$4:$AN$4,0))),CW177)</f>
        <v>0</v>
      </c>
      <c r="FV177" s="190">
        <f>AJ177*AJ$2*IF($FC177="V",1,-1)*IF($Q177="Fixo",(CX177-INDEX('Curva Forward'!$C$5:$AN$13,MATCH(CONCATENATE(BD_COMERCIAL!$K177," ",BD_COMERCIAL!$L177),'Curva Forward'!$B$5:$B$13,0),MATCH(FV$4,'Curva Forward'!$C$4:$AN$4,0))),CX177)</f>
        <v>0</v>
      </c>
      <c r="FW177" s="190">
        <f>AK177*AK$2*IF($FC177="V",1,-1)*IF($Q177="Fixo",(CY177-INDEX('Curva Forward'!$C$5:$AN$13,MATCH(CONCATENATE(BD_COMERCIAL!$K177," ",BD_COMERCIAL!$L177),'Curva Forward'!$B$5:$B$13,0),MATCH(FW$4,'Curva Forward'!$C$4:$AN$4,0))),CY177)</f>
        <v>0</v>
      </c>
      <c r="FX177" s="190">
        <f>AL177*AL$2*IF($FC177="V",1,-1)*IF($Q177="Fixo",(CZ177-INDEX('Curva Forward'!$C$5:$AN$13,MATCH(CONCATENATE(BD_COMERCIAL!$K177," ",BD_COMERCIAL!$L177),'Curva Forward'!$B$5:$B$13,0),MATCH(FX$4,'Curva Forward'!$C$4:$AN$4,0))),CZ177)</f>
        <v>0</v>
      </c>
      <c r="FY177" s="190">
        <f>AM177*AM$2*IF($FC177="V",1,-1)*IF($Q177="Fixo",(DA177-INDEX('Curva Forward'!$C$5:$AN$13,MATCH(CONCATENATE(BD_COMERCIAL!$K177," ",BD_COMERCIAL!$L177),'Curva Forward'!$B$5:$B$13,0),MATCH(FY$4,'Curva Forward'!$C$4:$AN$4,0))),DA177)</f>
        <v>0</v>
      </c>
      <c r="FZ177" s="190">
        <f>AN177*AN$2*IF($FC177="V",1,-1)*IF($Q177="Fixo",(DB177-INDEX('Curva Forward'!$C$5:$AN$13,MATCH(CONCATENATE(BD_COMERCIAL!$K177," ",BD_COMERCIAL!$L177),'Curva Forward'!$B$5:$B$13,0),MATCH(FZ$4,'Curva Forward'!$C$4:$AN$4,0))),DB177)</f>
        <v>0</v>
      </c>
      <c r="GA177" s="190">
        <f>AO177*AO$2*IF($FC177="V",1,-1)*IF($Q177="Fixo",(DC177-INDEX('Curva Forward'!$C$5:$AN$13,MATCH(CONCATENATE(BD_COMERCIAL!$K177," ",BD_COMERCIAL!$L177),'Curva Forward'!$B$5:$B$13,0),MATCH(GA$4,'Curva Forward'!$C$4:$AN$4,0))),DC177)</f>
        <v>0</v>
      </c>
      <c r="GB177" s="190">
        <f>AP177*AP$2*IF($FC177="V",1,-1)*IF($Q177="Fixo",(DD177-INDEX('Curva Forward'!$C$5:$AN$13,MATCH(CONCATENATE(BD_COMERCIAL!$K177," ",BD_COMERCIAL!$L177),'Curva Forward'!$B$5:$B$13,0),MATCH(GB$4,'Curva Forward'!$C$4:$AN$4,0))),DD177)</f>
        <v>0</v>
      </c>
      <c r="GC177" s="190">
        <f>AQ177*AQ$2*IF($FC177="V",1,-1)*IF($Q177="Fixo",(DE177-INDEX('Curva Forward'!$C$5:$AN$13,MATCH(CONCATENATE(BD_COMERCIAL!$K177," ",BD_COMERCIAL!$L177),'Curva Forward'!$B$5:$B$13,0),MATCH(GC$4,'Curva Forward'!$C$4:$AN$4,0))),DE177)</f>
        <v>0</v>
      </c>
      <c r="GD177" s="190">
        <f>AR177*AR$2*IF($FC177="V",1,-1)*IF($Q177="Fixo",(DF177-INDEX('Curva Forward'!$C$5:$AN$13,MATCH(CONCATENATE(BD_COMERCIAL!$K177," ",BD_COMERCIAL!$L177),'Curva Forward'!$B$5:$B$13,0),MATCH(GD$4,'Curva Forward'!$C$4:$AN$4,0))),DF177)</f>
        <v>0</v>
      </c>
      <c r="GE177" s="190">
        <f>AS177*AS$2*IF($FC177="V",1,-1)*IF($Q177="Fixo",(DG177-INDEX('Curva Forward'!$C$5:$AN$13,MATCH(CONCATENATE(BD_COMERCIAL!$K177," ",BD_COMERCIAL!$L177),'Curva Forward'!$B$5:$B$13,0),MATCH(GE$4,'Curva Forward'!$C$4:$AN$4,0))),DG177)</f>
        <v>0</v>
      </c>
      <c r="GF177" s="190">
        <f>AT177*AT$2*IF($FC177="V",1,-1)*IF($Q177="Fixo",(DH177-INDEX('Curva Forward'!$C$5:$AN$13,MATCH(CONCATENATE(BD_COMERCIAL!$K177," ",BD_COMERCIAL!$L177),'Curva Forward'!$B$5:$B$13,0),MATCH(GF$4,'Curva Forward'!$C$4:$AN$4,0))),DH177)</f>
        <v>0</v>
      </c>
      <c r="GG177" s="190">
        <f>AU177*AU$2*IF($FC177="V",1,-1)*IF($Q177="Fixo",(DI177-INDEX('Curva Forward'!$C$5:$AN$13,MATCH(CONCATENATE(BD_COMERCIAL!$K177," ",BD_COMERCIAL!$L177),'Curva Forward'!$B$5:$B$13,0),MATCH(GG$4,'Curva Forward'!$C$4:$AN$4,0))),DI177)</f>
        <v>0</v>
      </c>
      <c r="GH177" s="190">
        <f>AV177*AV$2*IF($FC177="V",1,-1)*IF($Q177="Fixo",(DJ177-INDEX('Curva Forward'!$C$5:$AN$13,MATCH(CONCATENATE(BD_COMERCIAL!$K177," ",BD_COMERCIAL!$L177),'Curva Forward'!$B$5:$B$13,0),MATCH(GH$4,'Curva Forward'!$C$4:$AN$4,0))),DJ177)</f>
        <v>0</v>
      </c>
      <c r="GI177" s="190">
        <f>AW177*AW$2*IF($FC177="V",1,-1)*IF($Q177="Fixo",(DK177-INDEX('Curva Forward'!$C$5:$AN$13,MATCH(CONCATENATE(BD_COMERCIAL!$K177," ",BD_COMERCIAL!$L177),'Curva Forward'!$B$5:$B$13,0),MATCH(GI$4,'Curva Forward'!$C$4:$AN$4,0))),DK177)</f>
        <v>0</v>
      </c>
      <c r="GJ177" s="190">
        <f>AX177*AX$2*IF($FC177="V",1,-1)*IF($Q177="Fixo",(DL177-INDEX('Curva Forward'!$C$5:$AN$13,MATCH(CONCATENATE(BD_COMERCIAL!$K177," ",BD_COMERCIAL!$L177),'Curva Forward'!$B$5:$B$13,0),MATCH(GJ$4,'Curva Forward'!$C$4:$AN$4,0))),DL177)</f>
        <v>0</v>
      </c>
      <c r="GK177" s="190">
        <f>AY177*AY$2*IF($FC177="V",1,-1)*IF($Q177="Fixo",(DM177-INDEX('Curva Forward'!$C$5:$AN$13,MATCH(CONCATENATE(BD_COMERCIAL!$K177," ",BD_COMERCIAL!$L177),'Curva Forward'!$B$5:$B$13,0),MATCH(GK$4,'Curva Forward'!$C$4:$AN$4,0))),DM177)</f>
        <v>0</v>
      </c>
      <c r="GL177" s="190">
        <f>IF(EZ177="",0,CL177*CL$2*IF($FC177="V",1,-1)*IF($Q177="Fixo",(EZ177-INDEX('Curva Forward'!$C$5:$AN$13,MATCH(CONCATENATE(BD_COMERCIAL!$K177," ",BD_COMERCIAL!$L177),'Curva Forward'!$B$5:$B$13,0),MATCH(GL$4,'Curva Forward'!$C$4:$AN$4,0))),EZ177))</f>
        <v>0</v>
      </c>
      <c r="GM177" s="190">
        <f>IF(FA177="",0,CM177*CM$2*IF($FC177="V",1,-1)*IF($Q177="Fixo",(FA177-INDEX('Curva Forward'!$C$5:$AN$13,MATCH(CONCATENATE(BD_COMERCIAL!$K177," ",BD_COMERCIAL!$L177),'Curva Forward'!$B$5:$B$13,0),MATCH(GM$4,'Curva Forward'!$C$4:$AN$4,0))),FA177))</f>
        <v>0</v>
      </c>
      <c r="GN177" s="190">
        <f>IF(FB177="",0,CN177*CN$2*IF($FC177="V",1,-1)*IF($Q177="Fixo",(FB177-INDEX('Curva Forward'!$C$5:$AN$13,MATCH(CONCATENATE(BD_COMERCIAL!$K177," ",BD_COMERCIAL!$L177),'Curva Forward'!$B$5:$B$13,0),MATCH(GN$4,'Curva Forward'!$C$4:$AN$4,0))),FB177))</f>
        <v>0</v>
      </c>
      <c r="GO177" s="191">
        <f t="shared" ca="1" si="25"/>
        <v>0</v>
      </c>
      <c r="GP177" s="191">
        <f t="shared" ca="1" si="26"/>
        <v>0</v>
      </c>
      <c r="GQ177" s="115"/>
      <c r="GR177" s="115"/>
      <c r="GS177"/>
      <c r="GT177" s="65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</row>
    <row r="178" spans="1:236" s="265" customFormat="1" ht="15" customHeight="1" x14ac:dyDescent="0.35">
      <c r="A178" s="251"/>
      <c r="B178" s="275"/>
      <c r="C178" s="253"/>
      <c r="D178" s="254"/>
      <c r="E178" s="254"/>
      <c r="F178" s="255"/>
      <c r="G178" s="256"/>
      <c r="H178" s="255"/>
      <c r="I178" s="254"/>
      <c r="J178" s="257"/>
      <c r="K178" s="256"/>
      <c r="L178" s="252"/>
      <c r="M178" s="258"/>
      <c r="N178" s="259"/>
      <c r="O178" s="256"/>
      <c r="P178" s="252"/>
      <c r="Q178" s="252"/>
      <c r="R178" s="256"/>
      <c r="S178" s="260"/>
      <c r="T178" s="258"/>
      <c r="U178" s="259"/>
      <c r="V178" s="261"/>
      <c r="W178" s="252"/>
      <c r="X178" s="262"/>
      <c r="Y178" s="257"/>
      <c r="Z178" s="263"/>
      <c r="AA178" s="264"/>
      <c r="AB178" s="266"/>
      <c r="AM178" s="251"/>
      <c r="AN178" s="266"/>
      <c r="AY178" s="251"/>
      <c r="AZ178" s="266"/>
      <c r="BK178" s="251"/>
      <c r="BL178" s="266"/>
      <c r="BW178" s="251"/>
      <c r="BX178" s="266"/>
      <c r="CI178" s="251"/>
      <c r="CJ178" s="267"/>
      <c r="CK178" s="267"/>
      <c r="CL178" s="267"/>
      <c r="CM178" s="267"/>
      <c r="CN178" s="267"/>
      <c r="CO178" s="268"/>
      <c r="CP178" s="266"/>
      <c r="DA178" s="251"/>
      <c r="DB178" s="266"/>
      <c r="DM178" s="251"/>
      <c r="DN178" s="266"/>
      <c r="DY178" s="251"/>
      <c r="DZ178" s="266"/>
      <c r="EK178" s="251"/>
      <c r="EL178" s="266"/>
      <c r="EW178" s="251"/>
      <c r="EX178" s="267"/>
      <c r="EY178" s="267"/>
      <c r="EZ178" s="267"/>
      <c r="FA178" s="267"/>
      <c r="FB178" s="269"/>
      <c r="FD178" s="270"/>
      <c r="FF178" s="276"/>
      <c r="FH178" s="206">
        <f t="shared" si="20"/>
        <v>0</v>
      </c>
      <c r="FI178" s="198">
        <f t="shared" si="21"/>
        <v>0</v>
      </c>
      <c r="FJ178"/>
      <c r="FK178">
        <f t="shared" si="22"/>
        <v>0</v>
      </c>
      <c r="FL178" s="191">
        <f t="shared" ca="1" si="23"/>
        <v>0</v>
      </c>
      <c r="FM178" s="191">
        <f t="shared" ca="1" si="24"/>
        <v>0</v>
      </c>
      <c r="FN178" s="190">
        <f>AB178*AB$2*IF($FC178="V",1,-1)*IF($Q178="Fixo",(CP178-INDEX('Curva Forward'!$C$5:$AN$13,MATCH(CONCATENATE(BD_COMERCIAL!$K178," ",BD_COMERCIAL!$L178),'Curva Forward'!$B$5:$B$13,0),MATCH(FN$4,'Curva Forward'!$C$4:$AN$4,0))),CP178)</f>
        <v>0</v>
      </c>
      <c r="FO178" s="190">
        <f>AC178*AC$2*IF($FC178="V",1,-1)*IF($Q178="Fixo",(CQ178-INDEX('Curva Forward'!$C$5:$AN$13,MATCH(CONCATENATE(BD_COMERCIAL!$K178," ",BD_COMERCIAL!$L178),'Curva Forward'!$B$5:$B$13,0),MATCH(FO$4,'Curva Forward'!$C$4:$AN$4,0))),CQ178)</f>
        <v>0</v>
      </c>
      <c r="FP178" s="190">
        <f>AD178*AD$2*IF($FC178="V",1,-1)*IF($Q178="Fixo",(CR178-INDEX('Curva Forward'!$C$5:$AN$13,MATCH(CONCATENATE(BD_COMERCIAL!$K178," ",BD_COMERCIAL!$L178),'Curva Forward'!$B$5:$B$13,0),MATCH(FP$4,'Curva Forward'!$C$4:$AN$4,0))),CR178)</f>
        <v>0</v>
      </c>
      <c r="FQ178" s="190">
        <f>AE178*AE$2*IF($FC178="V",1,-1)*IF($Q178="Fixo",(CS178-INDEX('Curva Forward'!$C$5:$AN$13,MATCH(CONCATENATE(BD_COMERCIAL!$K178," ",BD_COMERCIAL!$L178),'Curva Forward'!$B$5:$B$13,0),MATCH(FQ$4,'Curva Forward'!$C$4:$AN$4,0))),CS178)</f>
        <v>0</v>
      </c>
      <c r="FR178" s="190">
        <f>AF178*AF$2*IF($FC178="V",1,-1)*IF($Q178="Fixo",(CT178-INDEX('Curva Forward'!$C$5:$AN$13,MATCH(CONCATENATE(BD_COMERCIAL!$K178," ",BD_COMERCIAL!$L178),'Curva Forward'!$B$5:$B$13,0),MATCH(FR$4,'Curva Forward'!$C$4:$AN$4,0))),CT178)</f>
        <v>0</v>
      </c>
      <c r="FS178" s="190">
        <f>AG178*AG$2*IF($FC178="V",1,-1)*IF($Q178="Fixo",(CU178-INDEX('Curva Forward'!$C$5:$AN$13,MATCH(CONCATENATE(BD_COMERCIAL!$K178," ",BD_COMERCIAL!$L178),'Curva Forward'!$B$5:$B$13,0),MATCH(FS$4,'Curva Forward'!$C$4:$AN$4,0))),CU178)</f>
        <v>0</v>
      </c>
      <c r="FT178" s="190">
        <f>AH178*AH$2*IF($FC178="V",1,-1)*IF($Q178="Fixo",(CV178-INDEX('Curva Forward'!$C$5:$AN$13,MATCH(CONCATENATE(BD_COMERCIAL!$K178," ",BD_COMERCIAL!$L178),'Curva Forward'!$B$5:$B$13,0),MATCH(FT$4,'Curva Forward'!$C$4:$AN$4,0))),CV178)</f>
        <v>0</v>
      </c>
      <c r="FU178" s="190">
        <f>AI178*AI$2*IF($FC178="V",1,-1)*IF($Q178="Fixo",(CW178-INDEX('Curva Forward'!$C$5:$AN$13,MATCH(CONCATENATE(BD_COMERCIAL!$K178," ",BD_COMERCIAL!$L178),'Curva Forward'!$B$5:$B$13,0),MATCH(FU$4,'Curva Forward'!$C$4:$AN$4,0))),CW178)</f>
        <v>0</v>
      </c>
      <c r="FV178" s="190">
        <f>AJ178*AJ$2*IF($FC178="V",1,-1)*IF($Q178="Fixo",(CX178-INDEX('Curva Forward'!$C$5:$AN$13,MATCH(CONCATENATE(BD_COMERCIAL!$K178," ",BD_COMERCIAL!$L178),'Curva Forward'!$B$5:$B$13,0),MATCH(FV$4,'Curva Forward'!$C$4:$AN$4,0))),CX178)</f>
        <v>0</v>
      </c>
      <c r="FW178" s="190">
        <f>AK178*AK$2*IF($FC178="V",1,-1)*IF($Q178="Fixo",(CY178-INDEX('Curva Forward'!$C$5:$AN$13,MATCH(CONCATENATE(BD_COMERCIAL!$K178," ",BD_COMERCIAL!$L178),'Curva Forward'!$B$5:$B$13,0),MATCH(FW$4,'Curva Forward'!$C$4:$AN$4,0))),CY178)</f>
        <v>0</v>
      </c>
      <c r="FX178" s="190">
        <f>AL178*AL$2*IF($FC178="V",1,-1)*IF($Q178="Fixo",(CZ178-INDEX('Curva Forward'!$C$5:$AN$13,MATCH(CONCATENATE(BD_COMERCIAL!$K178," ",BD_COMERCIAL!$L178),'Curva Forward'!$B$5:$B$13,0),MATCH(FX$4,'Curva Forward'!$C$4:$AN$4,0))),CZ178)</f>
        <v>0</v>
      </c>
      <c r="FY178" s="190">
        <f>AM178*AM$2*IF($FC178="V",1,-1)*IF($Q178="Fixo",(DA178-INDEX('Curva Forward'!$C$5:$AN$13,MATCH(CONCATENATE(BD_COMERCIAL!$K178," ",BD_COMERCIAL!$L178),'Curva Forward'!$B$5:$B$13,0),MATCH(FY$4,'Curva Forward'!$C$4:$AN$4,0))),DA178)</f>
        <v>0</v>
      </c>
      <c r="FZ178" s="190">
        <f>AN178*AN$2*IF($FC178="V",1,-1)*IF($Q178="Fixo",(DB178-INDEX('Curva Forward'!$C$5:$AN$13,MATCH(CONCATENATE(BD_COMERCIAL!$K178," ",BD_COMERCIAL!$L178),'Curva Forward'!$B$5:$B$13,0),MATCH(FZ$4,'Curva Forward'!$C$4:$AN$4,0))),DB178)</f>
        <v>0</v>
      </c>
      <c r="GA178" s="190">
        <f>AO178*AO$2*IF($FC178="V",1,-1)*IF($Q178="Fixo",(DC178-INDEX('Curva Forward'!$C$5:$AN$13,MATCH(CONCATENATE(BD_COMERCIAL!$K178," ",BD_COMERCIAL!$L178),'Curva Forward'!$B$5:$B$13,0),MATCH(GA$4,'Curva Forward'!$C$4:$AN$4,0))),DC178)</f>
        <v>0</v>
      </c>
      <c r="GB178" s="190">
        <f>AP178*AP$2*IF($FC178="V",1,-1)*IF($Q178="Fixo",(DD178-INDEX('Curva Forward'!$C$5:$AN$13,MATCH(CONCATENATE(BD_COMERCIAL!$K178," ",BD_COMERCIAL!$L178),'Curva Forward'!$B$5:$B$13,0),MATCH(GB$4,'Curva Forward'!$C$4:$AN$4,0))),DD178)</f>
        <v>0</v>
      </c>
      <c r="GC178" s="190">
        <f>AQ178*AQ$2*IF($FC178="V",1,-1)*IF($Q178="Fixo",(DE178-INDEX('Curva Forward'!$C$5:$AN$13,MATCH(CONCATENATE(BD_COMERCIAL!$K178," ",BD_COMERCIAL!$L178),'Curva Forward'!$B$5:$B$13,0),MATCH(GC$4,'Curva Forward'!$C$4:$AN$4,0))),DE178)</f>
        <v>0</v>
      </c>
      <c r="GD178" s="190">
        <f>AR178*AR$2*IF($FC178="V",1,-1)*IF($Q178="Fixo",(DF178-INDEX('Curva Forward'!$C$5:$AN$13,MATCH(CONCATENATE(BD_COMERCIAL!$K178," ",BD_COMERCIAL!$L178),'Curva Forward'!$B$5:$B$13,0),MATCH(GD$4,'Curva Forward'!$C$4:$AN$4,0))),DF178)</f>
        <v>0</v>
      </c>
      <c r="GE178" s="190">
        <f>AS178*AS$2*IF($FC178="V",1,-1)*IF($Q178="Fixo",(DG178-INDEX('Curva Forward'!$C$5:$AN$13,MATCH(CONCATENATE(BD_COMERCIAL!$K178," ",BD_COMERCIAL!$L178),'Curva Forward'!$B$5:$B$13,0),MATCH(GE$4,'Curva Forward'!$C$4:$AN$4,0))),DG178)</f>
        <v>0</v>
      </c>
      <c r="GF178" s="190">
        <f>AT178*AT$2*IF($FC178="V",1,-1)*IF($Q178="Fixo",(DH178-INDEX('Curva Forward'!$C$5:$AN$13,MATCH(CONCATENATE(BD_COMERCIAL!$K178," ",BD_COMERCIAL!$L178),'Curva Forward'!$B$5:$B$13,0),MATCH(GF$4,'Curva Forward'!$C$4:$AN$4,0))),DH178)</f>
        <v>0</v>
      </c>
      <c r="GG178" s="190">
        <f>AU178*AU$2*IF($FC178="V",1,-1)*IF($Q178="Fixo",(DI178-INDEX('Curva Forward'!$C$5:$AN$13,MATCH(CONCATENATE(BD_COMERCIAL!$K178," ",BD_COMERCIAL!$L178),'Curva Forward'!$B$5:$B$13,0),MATCH(GG$4,'Curva Forward'!$C$4:$AN$4,0))),DI178)</f>
        <v>0</v>
      </c>
      <c r="GH178" s="190">
        <f>AV178*AV$2*IF($FC178="V",1,-1)*IF($Q178="Fixo",(DJ178-INDEX('Curva Forward'!$C$5:$AN$13,MATCH(CONCATENATE(BD_COMERCIAL!$K178," ",BD_COMERCIAL!$L178),'Curva Forward'!$B$5:$B$13,0),MATCH(GH$4,'Curva Forward'!$C$4:$AN$4,0))),DJ178)</f>
        <v>0</v>
      </c>
      <c r="GI178" s="190">
        <f>AW178*AW$2*IF($FC178="V",1,-1)*IF($Q178="Fixo",(DK178-INDEX('Curva Forward'!$C$5:$AN$13,MATCH(CONCATENATE(BD_COMERCIAL!$K178," ",BD_COMERCIAL!$L178),'Curva Forward'!$B$5:$B$13,0),MATCH(GI$4,'Curva Forward'!$C$4:$AN$4,0))),DK178)</f>
        <v>0</v>
      </c>
      <c r="GJ178" s="190">
        <f>AX178*AX$2*IF($FC178="V",1,-1)*IF($Q178="Fixo",(DL178-INDEX('Curva Forward'!$C$5:$AN$13,MATCH(CONCATENATE(BD_COMERCIAL!$K178," ",BD_COMERCIAL!$L178),'Curva Forward'!$B$5:$B$13,0),MATCH(GJ$4,'Curva Forward'!$C$4:$AN$4,0))),DL178)</f>
        <v>0</v>
      </c>
      <c r="GK178" s="190">
        <f>AY178*AY$2*IF($FC178="V",1,-1)*IF($Q178="Fixo",(DM178-INDEX('Curva Forward'!$C$5:$AN$13,MATCH(CONCATENATE(BD_COMERCIAL!$K178," ",BD_COMERCIAL!$L178),'Curva Forward'!$B$5:$B$13,0),MATCH(GK$4,'Curva Forward'!$C$4:$AN$4,0))),DM178)</f>
        <v>0</v>
      </c>
      <c r="GL178" s="190">
        <f>IF(EZ178="",0,CL178*CL$2*IF($FC178="V",1,-1)*IF($Q178="Fixo",(EZ178-INDEX('Curva Forward'!$C$5:$AN$13,MATCH(CONCATENATE(BD_COMERCIAL!$K178," ",BD_COMERCIAL!$L178),'Curva Forward'!$B$5:$B$13,0),MATCH(GL$4,'Curva Forward'!$C$4:$AN$4,0))),EZ178))</f>
        <v>0</v>
      </c>
      <c r="GM178" s="190">
        <f>IF(FA178="",0,CM178*CM$2*IF($FC178="V",1,-1)*IF($Q178="Fixo",(FA178-INDEX('Curva Forward'!$C$5:$AN$13,MATCH(CONCATENATE(BD_COMERCIAL!$K178," ",BD_COMERCIAL!$L178),'Curva Forward'!$B$5:$B$13,0),MATCH(GM$4,'Curva Forward'!$C$4:$AN$4,0))),FA178))</f>
        <v>0</v>
      </c>
      <c r="GN178" s="190">
        <f>IF(FB178="",0,CN178*CN$2*IF($FC178="V",1,-1)*IF($Q178="Fixo",(FB178-INDEX('Curva Forward'!$C$5:$AN$13,MATCH(CONCATENATE(BD_COMERCIAL!$K178," ",BD_COMERCIAL!$L178),'Curva Forward'!$B$5:$B$13,0),MATCH(GN$4,'Curva Forward'!$C$4:$AN$4,0))),FB178))</f>
        <v>0</v>
      </c>
      <c r="GO178" s="191">
        <f t="shared" ca="1" si="25"/>
        <v>0</v>
      </c>
      <c r="GP178" s="191">
        <f t="shared" ca="1" si="26"/>
        <v>0</v>
      </c>
      <c r="GQ178" s="115"/>
      <c r="GR178" s="115"/>
      <c r="GS178"/>
      <c r="GT178" s="65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</row>
    <row r="179" spans="1:236" s="265" customFormat="1" ht="15" customHeight="1" x14ac:dyDescent="0.35">
      <c r="A179" s="251"/>
      <c r="B179" s="275"/>
      <c r="C179" s="253"/>
      <c r="D179" s="254"/>
      <c r="E179" s="254"/>
      <c r="F179" s="255"/>
      <c r="G179" s="256"/>
      <c r="H179" s="255"/>
      <c r="I179" s="254"/>
      <c r="J179" s="257"/>
      <c r="K179" s="256"/>
      <c r="L179" s="252"/>
      <c r="M179" s="258"/>
      <c r="N179" s="259"/>
      <c r="O179" s="256"/>
      <c r="P179" s="252"/>
      <c r="Q179" s="252"/>
      <c r="R179" s="256"/>
      <c r="S179" s="260"/>
      <c r="T179" s="258"/>
      <c r="U179" s="259"/>
      <c r="V179" s="261"/>
      <c r="W179" s="252"/>
      <c r="X179" s="262"/>
      <c r="Y179" s="257"/>
      <c r="Z179" s="263"/>
      <c r="AA179" s="264"/>
      <c r="AB179" s="266"/>
      <c r="AM179" s="251"/>
      <c r="AN179" s="266"/>
      <c r="AY179" s="251"/>
      <c r="AZ179" s="266"/>
      <c r="BK179" s="251"/>
      <c r="BL179" s="266"/>
      <c r="BW179" s="251"/>
      <c r="BX179" s="266"/>
      <c r="CI179" s="251"/>
      <c r="CJ179" s="267"/>
      <c r="CK179" s="267"/>
      <c r="CL179" s="267"/>
      <c r="CM179" s="267"/>
      <c r="CN179" s="267"/>
      <c r="CO179" s="268"/>
      <c r="CP179" s="266"/>
      <c r="DA179" s="251"/>
      <c r="DB179" s="266"/>
      <c r="DM179" s="251"/>
      <c r="DN179" s="266"/>
      <c r="DY179" s="251"/>
      <c r="DZ179" s="266"/>
      <c r="EK179" s="251"/>
      <c r="EL179" s="266"/>
      <c r="EW179" s="251"/>
      <c r="EX179" s="267"/>
      <c r="EY179" s="267"/>
      <c r="EZ179" s="267"/>
      <c r="FA179" s="267"/>
      <c r="FB179" s="269"/>
      <c r="FD179" s="270"/>
      <c r="FF179" s="276"/>
      <c r="FH179" s="206">
        <f t="shared" si="20"/>
        <v>0</v>
      </c>
      <c r="FI179" s="198">
        <f t="shared" si="21"/>
        <v>0</v>
      </c>
      <c r="FJ179"/>
      <c r="FK179">
        <f t="shared" si="22"/>
        <v>0</v>
      </c>
      <c r="FL179" s="191">
        <f t="shared" ca="1" si="23"/>
        <v>0</v>
      </c>
      <c r="FM179" s="191">
        <f t="shared" ca="1" si="24"/>
        <v>0</v>
      </c>
      <c r="FN179" s="190">
        <f>AB179*AB$2*IF($FC179="V",1,-1)*IF($Q179="Fixo",(CP179-INDEX('Curva Forward'!$C$5:$AN$13,MATCH(CONCATENATE(BD_COMERCIAL!$K179," ",BD_COMERCIAL!$L179),'Curva Forward'!$B$5:$B$13,0),MATCH(FN$4,'Curva Forward'!$C$4:$AN$4,0))),CP179)</f>
        <v>0</v>
      </c>
      <c r="FO179" s="190">
        <f>AC179*AC$2*IF($FC179="V",1,-1)*IF($Q179="Fixo",(CQ179-INDEX('Curva Forward'!$C$5:$AN$13,MATCH(CONCATENATE(BD_COMERCIAL!$K179," ",BD_COMERCIAL!$L179),'Curva Forward'!$B$5:$B$13,0),MATCH(FO$4,'Curva Forward'!$C$4:$AN$4,0))),CQ179)</f>
        <v>0</v>
      </c>
      <c r="FP179" s="190">
        <f>AD179*AD$2*IF($FC179="V",1,-1)*IF($Q179="Fixo",(CR179-INDEX('Curva Forward'!$C$5:$AN$13,MATCH(CONCATENATE(BD_COMERCIAL!$K179," ",BD_COMERCIAL!$L179),'Curva Forward'!$B$5:$B$13,0),MATCH(FP$4,'Curva Forward'!$C$4:$AN$4,0))),CR179)</f>
        <v>0</v>
      </c>
      <c r="FQ179" s="190">
        <f>AE179*AE$2*IF($FC179="V",1,-1)*IF($Q179="Fixo",(CS179-INDEX('Curva Forward'!$C$5:$AN$13,MATCH(CONCATENATE(BD_COMERCIAL!$K179," ",BD_COMERCIAL!$L179),'Curva Forward'!$B$5:$B$13,0),MATCH(FQ$4,'Curva Forward'!$C$4:$AN$4,0))),CS179)</f>
        <v>0</v>
      </c>
      <c r="FR179" s="190">
        <f>AF179*AF$2*IF($FC179="V",1,-1)*IF($Q179="Fixo",(CT179-INDEX('Curva Forward'!$C$5:$AN$13,MATCH(CONCATENATE(BD_COMERCIAL!$K179," ",BD_COMERCIAL!$L179),'Curva Forward'!$B$5:$B$13,0),MATCH(FR$4,'Curva Forward'!$C$4:$AN$4,0))),CT179)</f>
        <v>0</v>
      </c>
      <c r="FS179" s="190">
        <f>AG179*AG$2*IF($FC179="V",1,-1)*IF($Q179="Fixo",(CU179-INDEX('Curva Forward'!$C$5:$AN$13,MATCH(CONCATENATE(BD_COMERCIAL!$K179," ",BD_COMERCIAL!$L179),'Curva Forward'!$B$5:$B$13,0),MATCH(FS$4,'Curva Forward'!$C$4:$AN$4,0))),CU179)</f>
        <v>0</v>
      </c>
      <c r="FT179" s="190">
        <f>AH179*AH$2*IF($FC179="V",1,-1)*IF($Q179="Fixo",(CV179-INDEX('Curva Forward'!$C$5:$AN$13,MATCH(CONCATENATE(BD_COMERCIAL!$K179," ",BD_COMERCIAL!$L179),'Curva Forward'!$B$5:$B$13,0),MATCH(FT$4,'Curva Forward'!$C$4:$AN$4,0))),CV179)</f>
        <v>0</v>
      </c>
      <c r="FU179" s="190">
        <f>AI179*AI$2*IF($FC179="V",1,-1)*IF($Q179="Fixo",(CW179-INDEX('Curva Forward'!$C$5:$AN$13,MATCH(CONCATENATE(BD_COMERCIAL!$K179," ",BD_COMERCIAL!$L179),'Curva Forward'!$B$5:$B$13,0),MATCH(FU$4,'Curva Forward'!$C$4:$AN$4,0))),CW179)</f>
        <v>0</v>
      </c>
      <c r="FV179" s="190">
        <f>AJ179*AJ$2*IF($FC179="V",1,-1)*IF($Q179="Fixo",(CX179-INDEX('Curva Forward'!$C$5:$AN$13,MATCH(CONCATENATE(BD_COMERCIAL!$K179," ",BD_COMERCIAL!$L179),'Curva Forward'!$B$5:$B$13,0),MATCH(FV$4,'Curva Forward'!$C$4:$AN$4,0))),CX179)</f>
        <v>0</v>
      </c>
      <c r="FW179" s="190">
        <f>AK179*AK$2*IF($FC179="V",1,-1)*IF($Q179="Fixo",(CY179-INDEX('Curva Forward'!$C$5:$AN$13,MATCH(CONCATENATE(BD_COMERCIAL!$K179," ",BD_COMERCIAL!$L179),'Curva Forward'!$B$5:$B$13,0),MATCH(FW$4,'Curva Forward'!$C$4:$AN$4,0))),CY179)</f>
        <v>0</v>
      </c>
      <c r="FX179" s="190">
        <f>AL179*AL$2*IF($FC179="V",1,-1)*IF($Q179="Fixo",(CZ179-INDEX('Curva Forward'!$C$5:$AN$13,MATCH(CONCATENATE(BD_COMERCIAL!$K179," ",BD_COMERCIAL!$L179),'Curva Forward'!$B$5:$B$13,0),MATCH(FX$4,'Curva Forward'!$C$4:$AN$4,0))),CZ179)</f>
        <v>0</v>
      </c>
      <c r="FY179" s="190">
        <f>AM179*AM$2*IF($FC179="V",1,-1)*IF($Q179="Fixo",(DA179-INDEX('Curva Forward'!$C$5:$AN$13,MATCH(CONCATENATE(BD_COMERCIAL!$K179," ",BD_COMERCIAL!$L179),'Curva Forward'!$B$5:$B$13,0),MATCH(FY$4,'Curva Forward'!$C$4:$AN$4,0))),DA179)</f>
        <v>0</v>
      </c>
      <c r="FZ179" s="190">
        <f>AN179*AN$2*IF($FC179="V",1,-1)*IF($Q179="Fixo",(DB179-INDEX('Curva Forward'!$C$5:$AN$13,MATCH(CONCATENATE(BD_COMERCIAL!$K179," ",BD_COMERCIAL!$L179),'Curva Forward'!$B$5:$B$13,0),MATCH(FZ$4,'Curva Forward'!$C$4:$AN$4,0))),DB179)</f>
        <v>0</v>
      </c>
      <c r="GA179" s="190">
        <f>AO179*AO$2*IF($FC179="V",1,-1)*IF($Q179="Fixo",(DC179-INDEX('Curva Forward'!$C$5:$AN$13,MATCH(CONCATENATE(BD_COMERCIAL!$K179," ",BD_COMERCIAL!$L179),'Curva Forward'!$B$5:$B$13,0),MATCH(GA$4,'Curva Forward'!$C$4:$AN$4,0))),DC179)</f>
        <v>0</v>
      </c>
      <c r="GB179" s="190">
        <f>AP179*AP$2*IF($FC179="V",1,-1)*IF($Q179="Fixo",(DD179-INDEX('Curva Forward'!$C$5:$AN$13,MATCH(CONCATENATE(BD_COMERCIAL!$K179," ",BD_COMERCIAL!$L179),'Curva Forward'!$B$5:$B$13,0),MATCH(GB$4,'Curva Forward'!$C$4:$AN$4,0))),DD179)</f>
        <v>0</v>
      </c>
      <c r="GC179" s="190">
        <f>AQ179*AQ$2*IF($FC179="V",1,-1)*IF($Q179="Fixo",(DE179-INDEX('Curva Forward'!$C$5:$AN$13,MATCH(CONCATENATE(BD_COMERCIAL!$K179," ",BD_COMERCIAL!$L179),'Curva Forward'!$B$5:$B$13,0),MATCH(GC$4,'Curva Forward'!$C$4:$AN$4,0))),DE179)</f>
        <v>0</v>
      </c>
      <c r="GD179" s="190">
        <f>AR179*AR$2*IF($FC179="V",1,-1)*IF($Q179="Fixo",(DF179-INDEX('Curva Forward'!$C$5:$AN$13,MATCH(CONCATENATE(BD_COMERCIAL!$K179," ",BD_COMERCIAL!$L179),'Curva Forward'!$B$5:$B$13,0),MATCH(GD$4,'Curva Forward'!$C$4:$AN$4,0))),DF179)</f>
        <v>0</v>
      </c>
      <c r="GE179" s="190">
        <f>AS179*AS$2*IF($FC179="V",1,-1)*IF($Q179="Fixo",(DG179-INDEX('Curva Forward'!$C$5:$AN$13,MATCH(CONCATENATE(BD_COMERCIAL!$K179," ",BD_COMERCIAL!$L179),'Curva Forward'!$B$5:$B$13,0),MATCH(GE$4,'Curva Forward'!$C$4:$AN$4,0))),DG179)</f>
        <v>0</v>
      </c>
      <c r="GF179" s="190">
        <f>AT179*AT$2*IF($FC179="V",1,-1)*IF($Q179="Fixo",(DH179-INDEX('Curva Forward'!$C$5:$AN$13,MATCH(CONCATENATE(BD_COMERCIAL!$K179," ",BD_COMERCIAL!$L179),'Curva Forward'!$B$5:$B$13,0),MATCH(GF$4,'Curva Forward'!$C$4:$AN$4,0))),DH179)</f>
        <v>0</v>
      </c>
      <c r="GG179" s="190">
        <f>AU179*AU$2*IF($FC179="V",1,-1)*IF($Q179="Fixo",(DI179-INDEX('Curva Forward'!$C$5:$AN$13,MATCH(CONCATENATE(BD_COMERCIAL!$K179," ",BD_COMERCIAL!$L179),'Curva Forward'!$B$5:$B$13,0),MATCH(GG$4,'Curva Forward'!$C$4:$AN$4,0))),DI179)</f>
        <v>0</v>
      </c>
      <c r="GH179" s="190">
        <f>AV179*AV$2*IF($FC179="V",1,-1)*IF($Q179="Fixo",(DJ179-INDEX('Curva Forward'!$C$5:$AN$13,MATCH(CONCATENATE(BD_COMERCIAL!$K179," ",BD_COMERCIAL!$L179),'Curva Forward'!$B$5:$B$13,0),MATCH(GH$4,'Curva Forward'!$C$4:$AN$4,0))),DJ179)</f>
        <v>0</v>
      </c>
      <c r="GI179" s="190">
        <f>AW179*AW$2*IF($FC179="V",1,-1)*IF($Q179="Fixo",(DK179-INDEX('Curva Forward'!$C$5:$AN$13,MATCH(CONCATENATE(BD_COMERCIAL!$K179," ",BD_COMERCIAL!$L179),'Curva Forward'!$B$5:$B$13,0),MATCH(GI$4,'Curva Forward'!$C$4:$AN$4,0))),DK179)</f>
        <v>0</v>
      </c>
      <c r="GJ179" s="190">
        <f>AX179*AX$2*IF($FC179="V",1,-1)*IF($Q179="Fixo",(DL179-INDEX('Curva Forward'!$C$5:$AN$13,MATCH(CONCATENATE(BD_COMERCIAL!$K179," ",BD_COMERCIAL!$L179),'Curva Forward'!$B$5:$B$13,0),MATCH(GJ$4,'Curva Forward'!$C$4:$AN$4,0))),DL179)</f>
        <v>0</v>
      </c>
      <c r="GK179" s="190">
        <f>AY179*AY$2*IF($FC179="V",1,-1)*IF($Q179="Fixo",(DM179-INDEX('Curva Forward'!$C$5:$AN$13,MATCH(CONCATENATE(BD_COMERCIAL!$K179," ",BD_COMERCIAL!$L179),'Curva Forward'!$B$5:$B$13,0),MATCH(GK$4,'Curva Forward'!$C$4:$AN$4,0))),DM179)</f>
        <v>0</v>
      </c>
      <c r="GL179" s="190">
        <f>IF(EZ179="",0,CL179*CL$2*IF($FC179="V",1,-1)*IF($Q179="Fixo",(EZ179-INDEX('Curva Forward'!$C$5:$AN$13,MATCH(CONCATENATE(BD_COMERCIAL!$K179," ",BD_COMERCIAL!$L179),'Curva Forward'!$B$5:$B$13,0),MATCH(GL$4,'Curva Forward'!$C$4:$AN$4,0))),EZ179))</f>
        <v>0</v>
      </c>
      <c r="GM179" s="190">
        <f>IF(FA179="",0,CM179*CM$2*IF($FC179="V",1,-1)*IF($Q179="Fixo",(FA179-INDEX('Curva Forward'!$C$5:$AN$13,MATCH(CONCATENATE(BD_COMERCIAL!$K179," ",BD_COMERCIAL!$L179),'Curva Forward'!$B$5:$B$13,0),MATCH(GM$4,'Curva Forward'!$C$4:$AN$4,0))),FA179))</f>
        <v>0</v>
      </c>
      <c r="GN179" s="190">
        <f>IF(FB179="",0,CN179*CN$2*IF($FC179="V",1,-1)*IF($Q179="Fixo",(FB179-INDEX('Curva Forward'!$C$5:$AN$13,MATCH(CONCATENATE(BD_COMERCIAL!$K179," ",BD_COMERCIAL!$L179),'Curva Forward'!$B$5:$B$13,0),MATCH(GN$4,'Curva Forward'!$C$4:$AN$4,0))),FB179))</f>
        <v>0</v>
      </c>
      <c r="GO179" s="191">
        <f t="shared" ca="1" si="25"/>
        <v>0</v>
      </c>
      <c r="GP179" s="191">
        <f t="shared" ca="1" si="26"/>
        <v>0</v>
      </c>
      <c r="GQ179" s="115"/>
      <c r="GR179" s="115"/>
      <c r="GS179"/>
      <c r="GT179" s="65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</row>
    <row r="180" spans="1:236" s="265" customFormat="1" ht="15" customHeight="1" x14ac:dyDescent="0.35">
      <c r="A180" s="251"/>
      <c r="B180" s="275"/>
      <c r="C180" s="253"/>
      <c r="D180" s="254"/>
      <c r="E180" s="254"/>
      <c r="F180" s="255"/>
      <c r="G180" s="256"/>
      <c r="H180" s="255"/>
      <c r="I180" s="254"/>
      <c r="J180" s="257"/>
      <c r="K180" s="256"/>
      <c r="L180" s="252"/>
      <c r="M180" s="258"/>
      <c r="N180" s="259"/>
      <c r="O180" s="256"/>
      <c r="P180" s="252"/>
      <c r="Q180" s="252"/>
      <c r="R180" s="256"/>
      <c r="S180" s="260"/>
      <c r="T180" s="258"/>
      <c r="U180" s="259"/>
      <c r="V180" s="261"/>
      <c r="W180" s="252"/>
      <c r="X180" s="262"/>
      <c r="Y180" s="257"/>
      <c r="Z180" s="263"/>
      <c r="AA180" s="264"/>
      <c r="AB180" s="266"/>
      <c r="AM180" s="251"/>
      <c r="AN180" s="266"/>
      <c r="AY180" s="251"/>
      <c r="AZ180" s="266"/>
      <c r="BK180" s="251"/>
      <c r="BL180" s="266"/>
      <c r="BW180" s="251"/>
      <c r="BX180" s="266"/>
      <c r="CI180" s="251"/>
      <c r="CJ180" s="267"/>
      <c r="CK180" s="267"/>
      <c r="CL180" s="267"/>
      <c r="CM180" s="267"/>
      <c r="CN180" s="267"/>
      <c r="CO180" s="268"/>
      <c r="CP180" s="266"/>
      <c r="DA180" s="251"/>
      <c r="DB180" s="266"/>
      <c r="DM180" s="251"/>
      <c r="DN180" s="266"/>
      <c r="DY180" s="251"/>
      <c r="DZ180" s="266"/>
      <c r="EK180" s="251"/>
      <c r="EL180" s="266"/>
      <c r="EW180" s="251"/>
      <c r="EX180" s="267"/>
      <c r="EY180" s="267"/>
      <c r="EZ180" s="267"/>
      <c r="FA180" s="267"/>
      <c r="FB180" s="269"/>
      <c r="FD180" s="270"/>
      <c r="FF180" s="276"/>
      <c r="FH180" s="206">
        <f t="shared" si="20"/>
        <v>0</v>
      </c>
      <c r="FI180" s="198">
        <f t="shared" si="21"/>
        <v>0</v>
      </c>
      <c r="FJ180"/>
      <c r="FK180">
        <f t="shared" si="22"/>
        <v>0</v>
      </c>
      <c r="FL180" s="191">
        <f t="shared" ca="1" si="23"/>
        <v>0</v>
      </c>
      <c r="FM180" s="191">
        <f t="shared" ca="1" si="24"/>
        <v>0</v>
      </c>
      <c r="FN180" s="190">
        <f>AB180*AB$2*IF($FC180="V",1,-1)*IF($Q180="Fixo",(CP180-INDEX('Curva Forward'!$C$5:$AN$13,MATCH(CONCATENATE(BD_COMERCIAL!$K180," ",BD_COMERCIAL!$L180),'Curva Forward'!$B$5:$B$13,0),MATCH(FN$4,'Curva Forward'!$C$4:$AN$4,0))),CP180)</f>
        <v>0</v>
      </c>
      <c r="FO180" s="190">
        <f>AC180*AC$2*IF($FC180="V",1,-1)*IF($Q180="Fixo",(CQ180-INDEX('Curva Forward'!$C$5:$AN$13,MATCH(CONCATENATE(BD_COMERCIAL!$K180," ",BD_COMERCIAL!$L180),'Curva Forward'!$B$5:$B$13,0),MATCH(FO$4,'Curva Forward'!$C$4:$AN$4,0))),CQ180)</f>
        <v>0</v>
      </c>
      <c r="FP180" s="190">
        <f>AD180*AD$2*IF($FC180="V",1,-1)*IF($Q180="Fixo",(CR180-INDEX('Curva Forward'!$C$5:$AN$13,MATCH(CONCATENATE(BD_COMERCIAL!$K180," ",BD_COMERCIAL!$L180),'Curva Forward'!$B$5:$B$13,0),MATCH(FP$4,'Curva Forward'!$C$4:$AN$4,0))),CR180)</f>
        <v>0</v>
      </c>
      <c r="FQ180" s="190">
        <f>AE180*AE$2*IF($FC180="V",1,-1)*IF($Q180="Fixo",(CS180-INDEX('Curva Forward'!$C$5:$AN$13,MATCH(CONCATENATE(BD_COMERCIAL!$K180," ",BD_COMERCIAL!$L180),'Curva Forward'!$B$5:$B$13,0),MATCH(FQ$4,'Curva Forward'!$C$4:$AN$4,0))),CS180)</f>
        <v>0</v>
      </c>
      <c r="FR180" s="190">
        <f>AF180*AF$2*IF($FC180="V",1,-1)*IF($Q180="Fixo",(CT180-INDEX('Curva Forward'!$C$5:$AN$13,MATCH(CONCATENATE(BD_COMERCIAL!$K180," ",BD_COMERCIAL!$L180),'Curva Forward'!$B$5:$B$13,0),MATCH(FR$4,'Curva Forward'!$C$4:$AN$4,0))),CT180)</f>
        <v>0</v>
      </c>
      <c r="FS180" s="190">
        <f>AG180*AG$2*IF($FC180="V",1,-1)*IF($Q180="Fixo",(CU180-INDEX('Curva Forward'!$C$5:$AN$13,MATCH(CONCATENATE(BD_COMERCIAL!$K180," ",BD_COMERCIAL!$L180),'Curva Forward'!$B$5:$B$13,0),MATCH(FS$4,'Curva Forward'!$C$4:$AN$4,0))),CU180)</f>
        <v>0</v>
      </c>
      <c r="FT180" s="190">
        <f>AH180*AH$2*IF($FC180="V",1,-1)*IF($Q180="Fixo",(CV180-INDEX('Curva Forward'!$C$5:$AN$13,MATCH(CONCATENATE(BD_COMERCIAL!$K180," ",BD_COMERCIAL!$L180),'Curva Forward'!$B$5:$B$13,0),MATCH(FT$4,'Curva Forward'!$C$4:$AN$4,0))),CV180)</f>
        <v>0</v>
      </c>
      <c r="FU180" s="190">
        <f>AI180*AI$2*IF($FC180="V",1,-1)*IF($Q180="Fixo",(CW180-INDEX('Curva Forward'!$C$5:$AN$13,MATCH(CONCATENATE(BD_COMERCIAL!$K180," ",BD_COMERCIAL!$L180),'Curva Forward'!$B$5:$B$13,0),MATCH(FU$4,'Curva Forward'!$C$4:$AN$4,0))),CW180)</f>
        <v>0</v>
      </c>
      <c r="FV180" s="190">
        <f>AJ180*AJ$2*IF($FC180="V",1,-1)*IF($Q180="Fixo",(CX180-INDEX('Curva Forward'!$C$5:$AN$13,MATCH(CONCATENATE(BD_COMERCIAL!$K180," ",BD_COMERCIAL!$L180),'Curva Forward'!$B$5:$B$13,0),MATCH(FV$4,'Curva Forward'!$C$4:$AN$4,0))),CX180)</f>
        <v>0</v>
      </c>
      <c r="FW180" s="190">
        <f>AK180*AK$2*IF($FC180="V",1,-1)*IF($Q180="Fixo",(CY180-INDEX('Curva Forward'!$C$5:$AN$13,MATCH(CONCATENATE(BD_COMERCIAL!$K180," ",BD_COMERCIAL!$L180),'Curva Forward'!$B$5:$B$13,0),MATCH(FW$4,'Curva Forward'!$C$4:$AN$4,0))),CY180)</f>
        <v>0</v>
      </c>
      <c r="FX180" s="190">
        <f>AL180*AL$2*IF($FC180="V",1,-1)*IF($Q180="Fixo",(CZ180-INDEX('Curva Forward'!$C$5:$AN$13,MATCH(CONCATENATE(BD_COMERCIAL!$K180," ",BD_COMERCIAL!$L180),'Curva Forward'!$B$5:$B$13,0),MATCH(FX$4,'Curva Forward'!$C$4:$AN$4,0))),CZ180)</f>
        <v>0</v>
      </c>
      <c r="FY180" s="190">
        <f>AM180*AM$2*IF($FC180="V",1,-1)*IF($Q180="Fixo",(DA180-INDEX('Curva Forward'!$C$5:$AN$13,MATCH(CONCATENATE(BD_COMERCIAL!$K180," ",BD_COMERCIAL!$L180),'Curva Forward'!$B$5:$B$13,0),MATCH(FY$4,'Curva Forward'!$C$4:$AN$4,0))),DA180)</f>
        <v>0</v>
      </c>
      <c r="FZ180" s="190">
        <f>AN180*AN$2*IF($FC180="V",1,-1)*IF($Q180="Fixo",(DB180-INDEX('Curva Forward'!$C$5:$AN$13,MATCH(CONCATENATE(BD_COMERCIAL!$K180," ",BD_COMERCIAL!$L180),'Curva Forward'!$B$5:$B$13,0),MATCH(FZ$4,'Curva Forward'!$C$4:$AN$4,0))),DB180)</f>
        <v>0</v>
      </c>
      <c r="GA180" s="190">
        <f>AO180*AO$2*IF($FC180="V",1,-1)*IF($Q180="Fixo",(DC180-INDEX('Curva Forward'!$C$5:$AN$13,MATCH(CONCATENATE(BD_COMERCIAL!$K180," ",BD_COMERCIAL!$L180),'Curva Forward'!$B$5:$B$13,0),MATCH(GA$4,'Curva Forward'!$C$4:$AN$4,0))),DC180)</f>
        <v>0</v>
      </c>
      <c r="GB180" s="190">
        <f>AP180*AP$2*IF($FC180="V",1,-1)*IF($Q180="Fixo",(DD180-INDEX('Curva Forward'!$C$5:$AN$13,MATCH(CONCATENATE(BD_COMERCIAL!$K180," ",BD_COMERCIAL!$L180),'Curva Forward'!$B$5:$B$13,0),MATCH(GB$4,'Curva Forward'!$C$4:$AN$4,0))),DD180)</f>
        <v>0</v>
      </c>
      <c r="GC180" s="190">
        <f>AQ180*AQ$2*IF($FC180="V",1,-1)*IF($Q180="Fixo",(DE180-INDEX('Curva Forward'!$C$5:$AN$13,MATCH(CONCATENATE(BD_COMERCIAL!$K180," ",BD_COMERCIAL!$L180),'Curva Forward'!$B$5:$B$13,0),MATCH(GC$4,'Curva Forward'!$C$4:$AN$4,0))),DE180)</f>
        <v>0</v>
      </c>
      <c r="GD180" s="190">
        <f>AR180*AR$2*IF($FC180="V",1,-1)*IF($Q180="Fixo",(DF180-INDEX('Curva Forward'!$C$5:$AN$13,MATCH(CONCATENATE(BD_COMERCIAL!$K180," ",BD_COMERCIAL!$L180),'Curva Forward'!$B$5:$B$13,0),MATCH(GD$4,'Curva Forward'!$C$4:$AN$4,0))),DF180)</f>
        <v>0</v>
      </c>
      <c r="GE180" s="190">
        <f>AS180*AS$2*IF($FC180="V",1,-1)*IF($Q180="Fixo",(DG180-INDEX('Curva Forward'!$C$5:$AN$13,MATCH(CONCATENATE(BD_COMERCIAL!$K180," ",BD_COMERCIAL!$L180),'Curva Forward'!$B$5:$B$13,0),MATCH(GE$4,'Curva Forward'!$C$4:$AN$4,0))),DG180)</f>
        <v>0</v>
      </c>
      <c r="GF180" s="190">
        <f>AT180*AT$2*IF($FC180="V",1,-1)*IF($Q180="Fixo",(DH180-INDEX('Curva Forward'!$C$5:$AN$13,MATCH(CONCATENATE(BD_COMERCIAL!$K180," ",BD_COMERCIAL!$L180),'Curva Forward'!$B$5:$B$13,0),MATCH(GF$4,'Curva Forward'!$C$4:$AN$4,0))),DH180)</f>
        <v>0</v>
      </c>
      <c r="GG180" s="190">
        <f>AU180*AU$2*IF($FC180="V",1,-1)*IF($Q180="Fixo",(DI180-INDEX('Curva Forward'!$C$5:$AN$13,MATCH(CONCATENATE(BD_COMERCIAL!$K180," ",BD_COMERCIAL!$L180),'Curva Forward'!$B$5:$B$13,0),MATCH(GG$4,'Curva Forward'!$C$4:$AN$4,0))),DI180)</f>
        <v>0</v>
      </c>
      <c r="GH180" s="190">
        <f>AV180*AV$2*IF($FC180="V",1,-1)*IF($Q180="Fixo",(DJ180-INDEX('Curva Forward'!$C$5:$AN$13,MATCH(CONCATENATE(BD_COMERCIAL!$K180," ",BD_COMERCIAL!$L180),'Curva Forward'!$B$5:$B$13,0),MATCH(GH$4,'Curva Forward'!$C$4:$AN$4,0))),DJ180)</f>
        <v>0</v>
      </c>
      <c r="GI180" s="190">
        <f>AW180*AW$2*IF($FC180="V",1,-1)*IF($Q180="Fixo",(DK180-INDEX('Curva Forward'!$C$5:$AN$13,MATCH(CONCATENATE(BD_COMERCIAL!$K180," ",BD_COMERCIAL!$L180),'Curva Forward'!$B$5:$B$13,0),MATCH(GI$4,'Curva Forward'!$C$4:$AN$4,0))),DK180)</f>
        <v>0</v>
      </c>
      <c r="GJ180" s="190">
        <f>AX180*AX$2*IF($FC180="V",1,-1)*IF($Q180="Fixo",(DL180-INDEX('Curva Forward'!$C$5:$AN$13,MATCH(CONCATENATE(BD_COMERCIAL!$K180," ",BD_COMERCIAL!$L180),'Curva Forward'!$B$5:$B$13,0),MATCH(GJ$4,'Curva Forward'!$C$4:$AN$4,0))),DL180)</f>
        <v>0</v>
      </c>
      <c r="GK180" s="190">
        <f>AY180*AY$2*IF($FC180="V",1,-1)*IF($Q180="Fixo",(DM180-INDEX('Curva Forward'!$C$5:$AN$13,MATCH(CONCATENATE(BD_COMERCIAL!$K180," ",BD_COMERCIAL!$L180),'Curva Forward'!$B$5:$B$13,0),MATCH(GK$4,'Curva Forward'!$C$4:$AN$4,0))),DM180)</f>
        <v>0</v>
      </c>
      <c r="GL180" s="190">
        <f>IF(EZ180="",0,CL180*CL$2*IF($FC180="V",1,-1)*IF($Q180="Fixo",(EZ180-INDEX('Curva Forward'!$C$5:$AN$13,MATCH(CONCATENATE(BD_COMERCIAL!$K180," ",BD_COMERCIAL!$L180),'Curva Forward'!$B$5:$B$13,0),MATCH(GL$4,'Curva Forward'!$C$4:$AN$4,0))),EZ180))</f>
        <v>0</v>
      </c>
      <c r="GM180" s="190">
        <f>IF(FA180="",0,CM180*CM$2*IF($FC180="V",1,-1)*IF($Q180="Fixo",(FA180-INDEX('Curva Forward'!$C$5:$AN$13,MATCH(CONCATENATE(BD_COMERCIAL!$K180," ",BD_COMERCIAL!$L180),'Curva Forward'!$B$5:$B$13,0),MATCH(GM$4,'Curva Forward'!$C$4:$AN$4,0))),FA180))</f>
        <v>0</v>
      </c>
      <c r="GN180" s="190">
        <f>IF(FB180="",0,CN180*CN$2*IF($FC180="V",1,-1)*IF($Q180="Fixo",(FB180-INDEX('Curva Forward'!$C$5:$AN$13,MATCH(CONCATENATE(BD_COMERCIAL!$K180," ",BD_COMERCIAL!$L180),'Curva Forward'!$B$5:$B$13,0),MATCH(GN$4,'Curva Forward'!$C$4:$AN$4,0))),FB180))</f>
        <v>0</v>
      </c>
      <c r="GO180" s="191">
        <f t="shared" ca="1" si="25"/>
        <v>0</v>
      </c>
      <c r="GP180" s="191">
        <f t="shared" ca="1" si="26"/>
        <v>0</v>
      </c>
      <c r="GQ180" s="115"/>
      <c r="GR180" s="115"/>
      <c r="GS180"/>
      <c r="GT180" s="65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</row>
    <row r="181" spans="1:236" s="265" customFormat="1" ht="15" customHeight="1" x14ac:dyDescent="0.35">
      <c r="A181" s="251"/>
      <c r="B181" s="275"/>
      <c r="C181" s="253"/>
      <c r="D181" s="254"/>
      <c r="E181" s="254"/>
      <c r="F181" s="255"/>
      <c r="G181" s="256"/>
      <c r="H181" s="255"/>
      <c r="I181" s="254"/>
      <c r="J181" s="257"/>
      <c r="K181" s="256"/>
      <c r="L181" s="252"/>
      <c r="M181" s="258"/>
      <c r="N181" s="259"/>
      <c r="O181" s="256"/>
      <c r="P181" s="252"/>
      <c r="Q181" s="252"/>
      <c r="R181" s="256"/>
      <c r="S181" s="260"/>
      <c r="T181" s="258"/>
      <c r="U181" s="259"/>
      <c r="V181" s="261"/>
      <c r="W181" s="252"/>
      <c r="X181" s="262"/>
      <c r="Y181" s="257"/>
      <c r="Z181" s="263"/>
      <c r="AA181" s="264"/>
      <c r="AB181" s="266"/>
      <c r="AM181" s="251"/>
      <c r="AN181" s="266"/>
      <c r="AY181" s="251"/>
      <c r="AZ181" s="266"/>
      <c r="BK181" s="251"/>
      <c r="BL181" s="266"/>
      <c r="BW181" s="251"/>
      <c r="BX181" s="266"/>
      <c r="CI181" s="251"/>
      <c r="CJ181" s="267"/>
      <c r="CK181" s="267"/>
      <c r="CL181" s="267"/>
      <c r="CM181" s="267"/>
      <c r="CN181" s="267"/>
      <c r="CO181" s="268"/>
      <c r="CP181" s="266"/>
      <c r="DA181" s="251"/>
      <c r="DB181" s="266"/>
      <c r="DM181" s="251"/>
      <c r="DN181" s="266"/>
      <c r="DY181" s="251"/>
      <c r="DZ181" s="266"/>
      <c r="EK181" s="251"/>
      <c r="EL181" s="266"/>
      <c r="EW181" s="251"/>
      <c r="EX181" s="267"/>
      <c r="EY181" s="267"/>
      <c r="EZ181" s="267"/>
      <c r="FA181" s="267"/>
      <c r="FB181" s="269"/>
      <c r="FD181" s="270"/>
      <c r="FF181" s="276"/>
      <c r="FH181" s="206">
        <f t="shared" si="20"/>
        <v>0</v>
      </c>
      <c r="FI181" s="198">
        <f t="shared" si="21"/>
        <v>0</v>
      </c>
      <c r="FJ181"/>
      <c r="FK181">
        <f t="shared" si="22"/>
        <v>0</v>
      </c>
      <c r="FL181" s="191">
        <f t="shared" ca="1" si="23"/>
        <v>0</v>
      </c>
      <c r="FM181" s="191">
        <f t="shared" ca="1" si="24"/>
        <v>0</v>
      </c>
      <c r="FN181" s="190">
        <f>AB181*AB$2*IF($FC181="V",1,-1)*IF($Q181="Fixo",(CP181-INDEX('Curva Forward'!$C$5:$AN$13,MATCH(CONCATENATE(BD_COMERCIAL!$K181," ",BD_COMERCIAL!$L181),'Curva Forward'!$B$5:$B$13,0),MATCH(FN$4,'Curva Forward'!$C$4:$AN$4,0))),CP181)</f>
        <v>0</v>
      </c>
      <c r="FO181" s="190">
        <f>AC181*AC$2*IF($FC181="V",1,-1)*IF($Q181="Fixo",(CQ181-INDEX('Curva Forward'!$C$5:$AN$13,MATCH(CONCATENATE(BD_COMERCIAL!$K181," ",BD_COMERCIAL!$L181),'Curva Forward'!$B$5:$B$13,0),MATCH(FO$4,'Curva Forward'!$C$4:$AN$4,0))),CQ181)</f>
        <v>0</v>
      </c>
      <c r="FP181" s="190">
        <f>AD181*AD$2*IF($FC181="V",1,-1)*IF($Q181="Fixo",(CR181-INDEX('Curva Forward'!$C$5:$AN$13,MATCH(CONCATENATE(BD_COMERCIAL!$K181," ",BD_COMERCIAL!$L181),'Curva Forward'!$B$5:$B$13,0),MATCH(FP$4,'Curva Forward'!$C$4:$AN$4,0))),CR181)</f>
        <v>0</v>
      </c>
      <c r="FQ181" s="190">
        <f>AE181*AE$2*IF($FC181="V",1,-1)*IF($Q181="Fixo",(CS181-INDEX('Curva Forward'!$C$5:$AN$13,MATCH(CONCATENATE(BD_COMERCIAL!$K181," ",BD_COMERCIAL!$L181),'Curva Forward'!$B$5:$B$13,0),MATCH(FQ$4,'Curva Forward'!$C$4:$AN$4,0))),CS181)</f>
        <v>0</v>
      </c>
      <c r="FR181" s="190">
        <f>AF181*AF$2*IF($FC181="V",1,-1)*IF($Q181="Fixo",(CT181-INDEX('Curva Forward'!$C$5:$AN$13,MATCH(CONCATENATE(BD_COMERCIAL!$K181," ",BD_COMERCIAL!$L181),'Curva Forward'!$B$5:$B$13,0),MATCH(FR$4,'Curva Forward'!$C$4:$AN$4,0))),CT181)</f>
        <v>0</v>
      </c>
      <c r="FS181" s="190">
        <f>AG181*AG$2*IF($FC181="V",1,-1)*IF($Q181="Fixo",(CU181-INDEX('Curva Forward'!$C$5:$AN$13,MATCH(CONCATENATE(BD_COMERCIAL!$K181," ",BD_COMERCIAL!$L181),'Curva Forward'!$B$5:$B$13,0),MATCH(FS$4,'Curva Forward'!$C$4:$AN$4,0))),CU181)</f>
        <v>0</v>
      </c>
      <c r="FT181" s="190">
        <f>AH181*AH$2*IF($FC181="V",1,-1)*IF($Q181="Fixo",(CV181-INDEX('Curva Forward'!$C$5:$AN$13,MATCH(CONCATENATE(BD_COMERCIAL!$K181," ",BD_COMERCIAL!$L181),'Curva Forward'!$B$5:$B$13,0),MATCH(FT$4,'Curva Forward'!$C$4:$AN$4,0))),CV181)</f>
        <v>0</v>
      </c>
      <c r="FU181" s="190">
        <f>AI181*AI$2*IF($FC181="V",1,-1)*IF($Q181="Fixo",(CW181-INDEX('Curva Forward'!$C$5:$AN$13,MATCH(CONCATENATE(BD_COMERCIAL!$K181," ",BD_COMERCIAL!$L181),'Curva Forward'!$B$5:$B$13,0),MATCH(FU$4,'Curva Forward'!$C$4:$AN$4,0))),CW181)</f>
        <v>0</v>
      </c>
      <c r="FV181" s="190">
        <f>AJ181*AJ$2*IF($FC181="V",1,-1)*IF($Q181="Fixo",(CX181-INDEX('Curva Forward'!$C$5:$AN$13,MATCH(CONCATENATE(BD_COMERCIAL!$K181," ",BD_COMERCIAL!$L181),'Curva Forward'!$B$5:$B$13,0),MATCH(FV$4,'Curva Forward'!$C$4:$AN$4,0))),CX181)</f>
        <v>0</v>
      </c>
      <c r="FW181" s="190">
        <f>AK181*AK$2*IF($FC181="V",1,-1)*IF($Q181="Fixo",(CY181-INDEX('Curva Forward'!$C$5:$AN$13,MATCH(CONCATENATE(BD_COMERCIAL!$K181," ",BD_COMERCIAL!$L181),'Curva Forward'!$B$5:$B$13,0),MATCH(FW$4,'Curva Forward'!$C$4:$AN$4,0))),CY181)</f>
        <v>0</v>
      </c>
      <c r="FX181" s="190">
        <f>AL181*AL$2*IF($FC181="V",1,-1)*IF($Q181="Fixo",(CZ181-INDEX('Curva Forward'!$C$5:$AN$13,MATCH(CONCATENATE(BD_COMERCIAL!$K181," ",BD_COMERCIAL!$L181),'Curva Forward'!$B$5:$B$13,0),MATCH(FX$4,'Curva Forward'!$C$4:$AN$4,0))),CZ181)</f>
        <v>0</v>
      </c>
      <c r="FY181" s="190">
        <f>AM181*AM$2*IF($FC181="V",1,-1)*IF($Q181="Fixo",(DA181-INDEX('Curva Forward'!$C$5:$AN$13,MATCH(CONCATENATE(BD_COMERCIAL!$K181," ",BD_COMERCIAL!$L181),'Curva Forward'!$B$5:$B$13,0),MATCH(FY$4,'Curva Forward'!$C$4:$AN$4,0))),DA181)</f>
        <v>0</v>
      </c>
      <c r="FZ181" s="190">
        <f>AN181*AN$2*IF($FC181="V",1,-1)*IF($Q181="Fixo",(DB181-INDEX('Curva Forward'!$C$5:$AN$13,MATCH(CONCATENATE(BD_COMERCIAL!$K181," ",BD_COMERCIAL!$L181),'Curva Forward'!$B$5:$B$13,0),MATCH(FZ$4,'Curva Forward'!$C$4:$AN$4,0))),DB181)</f>
        <v>0</v>
      </c>
      <c r="GA181" s="190">
        <f>AO181*AO$2*IF($FC181="V",1,-1)*IF($Q181="Fixo",(DC181-INDEX('Curva Forward'!$C$5:$AN$13,MATCH(CONCATENATE(BD_COMERCIAL!$K181," ",BD_COMERCIAL!$L181),'Curva Forward'!$B$5:$B$13,0),MATCH(GA$4,'Curva Forward'!$C$4:$AN$4,0))),DC181)</f>
        <v>0</v>
      </c>
      <c r="GB181" s="190">
        <f>AP181*AP$2*IF($FC181="V",1,-1)*IF($Q181="Fixo",(DD181-INDEX('Curva Forward'!$C$5:$AN$13,MATCH(CONCATENATE(BD_COMERCIAL!$K181," ",BD_COMERCIAL!$L181),'Curva Forward'!$B$5:$B$13,0),MATCH(GB$4,'Curva Forward'!$C$4:$AN$4,0))),DD181)</f>
        <v>0</v>
      </c>
      <c r="GC181" s="190">
        <f>AQ181*AQ$2*IF($FC181="V",1,-1)*IF($Q181="Fixo",(DE181-INDEX('Curva Forward'!$C$5:$AN$13,MATCH(CONCATENATE(BD_COMERCIAL!$K181," ",BD_COMERCIAL!$L181),'Curva Forward'!$B$5:$B$13,0),MATCH(GC$4,'Curva Forward'!$C$4:$AN$4,0))),DE181)</f>
        <v>0</v>
      </c>
      <c r="GD181" s="190">
        <f>AR181*AR$2*IF($FC181="V",1,-1)*IF($Q181="Fixo",(DF181-INDEX('Curva Forward'!$C$5:$AN$13,MATCH(CONCATENATE(BD_COMERCIAL!$K181," ",BD_COMERCIAL!$L181),'Curva Forward'!$B$5:$B$13,0),MATCH(GD$4,'Curva Forward'!$C$4:$AN$4,0))),DF181)</f>
        <v>0</v>
      </c>
      <c r="GE181" s="190">
        <f>AS181*AS$2*IF($FC181="V",1,-1)*IF($Q181="Fixo",(DG181-INDEX('Curva Forward'!$C$5:$AN$13,MATCH(CONCATENATE(BD_COMERCIAL!$K181," ",BD_COMERCIAL!$L181),'Curva Forward'!$B$5:$B$13,0),MATCH(GE$4,'Curva Forward'!$C$4:$AN$4,0))),DG181)</f>
        <v>0</v>
      </c>
      <c r="GF181" s="190">
        <f>AT181*AT$2*IF($FC181="V",1,-1)*IF($Q181="Fixo",(DH181-INDEX('Curva Forward'!$C$5:$AN$13,MATCH(CONCATENATE(BD_COMERCIAL!$K181," ",BD_COMERCIAL!$L181),'Curva Forward'!$B$5:$B$13,0),MATCH(GF$4,'Curva Forward'!$C$4:$AN$4,0))),DH181)</f>
        <v>0</v>
      </c>
      <c r="GG181" s="190">
        <f>AU181*AU$2*IF($FC181="V",1,-1)*IF($Q181="Fixo",(DI181-INDEX('Curva Forward'!$C$5:$AN$13,MATCH(CONCATENATE(BD_COMERCIAL!$K181," ",BD_COMERCIAL!$L181),'Curva Forward'!$B$5:$B$13,0),MATCH(GG$4,'Curva Forward'!$C$4:$AN$4,0))),DI181)</f>
        <v>0</v>
      </c>
      <c r="GH181" s="190">
        <f>AV181*AV$2*IF($FC181="V",1,-1)*IF($Q181="Fixo",(DJ181-INDEX('Curva Forward'!$C$5:$AN$13,MATCH(CONCATENATE(BD_COMERCIAL!$K181," ",BD_COMERCIAL!$L181),'Curva Forward'!$B$5:$B$13,0),MATCH(GH$4,'Curva Forward'!$C$4:$AN$4,0))),DJ181)</f>
        <v>0</v>
      </c>
      <c r="GI181" s="190">
        <f>AW181*AW$2*IF($FC181="V",1,-1)*IF($Q181="Fixo",(DK181-INDEX('Curva Forward'!$C$5:$AN$13,MATCH(CONCATENATE(BD_COMERCIAL!$K181," ",BD_COMERCIAL!$L181),'Curva Forward'!$B$5:$B$13,0),MATCH(GI$4,'Curva Forward'!$C$4:$AN$4,0))),DK181)</f>
        <v>0</v>
      </c>
      <c r="GJ181" s="190">
        <f>AX181*AX$2*IF($FC181="V",1,-1)*IF($Q181="Fixo",(DL181-INDEX('Curva Forward'!$C$5:$AN$13,MATCH(CONCATENATE(BD_COMERCIAL!$K181," ",BD_COMERCIAL!$L181),'Curva Forward'!$B$5:$B$13,0),MATCH(GJ$4,'Curva Forward'!$C$4:$AN$4,0))),DL181)</f>
        <v>0</v>
      </c>
      <c r="GK181" s="190">
        <f>AY181*AY$2*IF($FC181="V",1,-1)*IF($Q181="Fixo",(DM181-INDEX('Curva Forward'!$C$5:$AN$13,MATCH(CONCATENATE(BD_COMERCIAL!$K181," ",BD_COMERCIAL!$L181),'Curva Forward'!$B$5:$B$13,0),MATCH(GK$4,'Curva Forward'!$C$4:$AN$4,0))),DM181)</f>
        <v>0</v>
      </c>
      <c r="GL181" s="190">
        <f>IF(EZ181="",0,CL181*CL$2*IF($FC181="V",1,-1)*IF($Q181="Fixo",(EZ181-INDEX('Curva Forward'!$C$5:$AN$13,MATCH(CONCATENATE(BD_COMERCIAL!$K181," ",BD_COMERCIAL!$L181),'Curva Forward'!$B$5:$B$13,0),MATCH(GL$4,'Curva Forward'!$C$4:$AN$4,0))),EZ181))</f>
        <v>0</v>
      </c>
      <c r="GM181" s="190">
        <f>IF(FA181="",0,CM181*CM$2*IF($FC181="V",1,-1)*IF($Q181="Fixo",(FA181-INDEX('Curva Forward'!$C$5:$AN$13,MATCH(CONCATENATE(BD_COMERCIAL!$K181," ",BD_COMERCIAL!$L181),'Curva Forward'!$B$5:$B$13,0),MATCH(GM$4,'Curva Forward'!$C$4:$AN$4,0))),FA181))</f>
        <v>0</v>
      </c>
      <c r="GN181" s="190">
        <f>IF(FB181="",0,CN181*CN$2*IF($FC181="V",1,-1)*IF($Q181="Fixo",(FB181-INDEX('Curva Forward'!$C$5:$AN$13,MATCH(CONCATENATE(BD_COMERCIAL!$K181," ",BD_COMERCIAL!$L181),'Curva Forward'!$B$5:$B$13,0),MATCH(GN$4,'Curva Forward'!$C$4:$AN$4,0))),FB181))</f>
        <v>0</v>
      </c>
      <c r="GO181" s="191">
        <f t="shared" ca="1" si="25"/>
        <v>0</v>
      </c>
      <c r="GP181" s="191">
        <f t="shared" ca="1" si="26"/>
        <v>0</v>
      </c>
      <c r="GQ181" s="115"/>
      <c r="GR181" s="115"/>
      <c r="GS181"/>
      <c r="GT181" s="65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</row>
    <row r="182" spans="1:236" s="265" customFormat="1" ht="15" customHeight="1" x14ac:dyDescent="0.35">
      <c r="A182" s="251"/>
      <c r="B182" s="275"/>
      <c r="C182" s="253"/>
      <c r="D182" s="254"/>
      <c r="E182" s="254"/>
      <c r="F182" s="255"/>
      <c r="G182" s="256"/>
      <c r="H182" s="255"/>
      <c r="I182" s="254"/>
      <c r="J182" s="257"/>
      <c r="K182" s="256"/>
      <c r="L182" s="252"/>
      <c r="M182" s="258"/>
      <c r="N182" s="259"/>
      <c r="O182" s="256"/>
      <c r="P182" s="252"/>
      <c r="Q182" s="252"/>
      <c r="R182" s="256"/>
      <c r="S182" s="260"/>
      <c r="T182" s="258"/>
      <c r="U182" s="259"/>
      <c r="V182" s="261"/>
      <c r="W182" s="252"/>
      <c r="X182" s="262"/>
      <c r="Y182" s="257"/>
      <c r="Z182" s="263"/>
      <c r="AA182" s="264"/>
      <c r="AB182" s="266"/>
      <c r="AM182" s="251"/>
      <c r="AN182" s="266"/>
      <c r="AY182" s="251"/>
      <c r="AZ182" s="266"/>
      <c r="BK182" s="251"/>
      <c r="BL182" s="266"/>
      <c r="BW182" s="251"/>
      <c r="BX182" s="266"/>
      <c r="CI182" s="251"/>
      <c r="CJ182" s="267"/>
      <c r="CK182" s="267"/>
      <c r="CL182" s="267"/>
      <c r="CM182" s="267"/>
      <c r="CN182" s="267"/>
      <c r="CO182" s="268"/>
      <c r="CP182" s="266"/>
      <c r="DA182" s="251"/>
      <c r="DB182" s="266"/>
      <c r="DM182" s="251"/>
      <c r="DN182" s="266"/>
      <c r="DY182" s="251"/>
      <c r="DZ182" s="266"/>
      <c r="EK182" s="251"/>
      <c r="EL182" s="266"/>
      <c r="EW182" s="251"/>
      <c r="EX182" s="267"/>
      <c r="EY182" s="267"/>
      <c r="EZ182" s="267"/>
      <c r="FA182" s="267"/>
      <c r="FB182" s="269"/>
      <c r="FD182" s="270"/>
      <c r="FF182" s="276"/>
      <c r="FH182" s="206">
        <f t="shared" si="20"/>
        <v>0</v>
      </c>
      <c r="FI182" s="198">
        <f t="shared" si="21"/>
        <v>0</v>
      </c>
      <c r="FJ182"/>
      <c r="FK182">
        <f t="shared" si="22"/>
        <v>0</v>
      </c>
      <c r="FL182" s="191">
        <f t="shared" ca="1" si="23"/>
        <v>0</v>
      </c>
      <c r="FM182" s="191">
        <f t="shared" ca="1" si="24"/>
        <v>0</v>
      </c>
      <c r="FN182" s="190">
        <f>AB182*AB$2*IF($FC182="V",1,-1)*IF($Q182="Fixo",(CP182-INDEX('Curva Forward'!$C$5:$AN$13,MATCH(CONCATENATE(BD_COMERCIAL!$K182," ",BD_COMERCIAL!$L182),'Curva Forward'!$B$5:$B$13,0),MATCH(FN$4,'Curva Forward'!$C$4:$AN$4,0))),CP182)</f>
        <v>0</v>
      </c>
      <c r="FO182" s="190">
        <f>AC182*AC$2*IF($FC182="V",1,-1)*IF($Q182="Fixo",(CQ182-INDEX('Curva Forward'!$C$5:$AN$13,MATCH(CONCATENATE(BD_COMERCIAL!$K182," ",BD_COMERCIAL!$L182),'Curva Forward'!$B$5:$B$13,0),MATCH(FO$4,'Curva Forward'!$C$4:$AN$4,0))),CQ182)</f>
        <v>0</v>
      </c>
      <c r="FP182" s="190">
        <f>AD182*AD$2*IF($FC182="V",1,-1)*IF($Q182="Fixo",(CR182-INDEX('Curva Forward'!$C$5:$AN$13,MATCH(CONCATENATE(BD_COMERCIAL!$K182," ",BD_COMERCIAL!$L182),'Curva Forward'!$B$5:$B$13,0),MATCH(FP$4,'Curva Forward'!$C$4:$AN$4,0))),CR182)</f>
        <v>0</v>
      </c>
      <c r="FQ182" s="190">
        <f>AE182*AE$2*IF($FC182="V",1,-1)*IF($Q182="Fixo",(CS182-INDEX('Curva Forward'!$C$5:$AN$13,MATCH(CONCATENATE(BD_COMERCIAL!$K182," ",BD_COMERCIAL!$L182),'Curva Forward'!$B$5:$B$13,0),MATCH(FQ$4,'Curva Forward'!$C$4:$AN$4,0))),CS182)</f>
        <v>0</v>
      </c>
      <c r="FR182" s="190">
        <f>AF182*AF$2*IF($FC182="V",1,-1)*IF($Q182="Fixo",(CT182-INDEX('Curva Forward'!$C$5:$AN$13,MATCH(CONCATENATE(BD_COMERCIAL!$K182," ",BD_COMERCIAL!$L182),'Curva Forward'!$B$5:$B$13,0),MATCH(FR$4,'Curva Forward'!$C$4:$AN$4,0))),CT182)</f>
        <v>0</v>
      </c>
      <c r="FS182" s="190">
        <f>AG182*AG$2*IF($FC182="V",1,-1)*IF($Q182="Fixo",(CU182-INDEX('Curva Forward'!$C$5:$AN$13,MATCH(CONCATENATE(BD_COMERCIAL!$K182," ",BD_COMERCIAL!$L182),'Curva Forward'!$B$5:$B$13,0),MATCH(FS$4,'Curva Forward'!$C$4:$AN$4,0))),CU182)</f>
        <v>0</v>
      </c>
      <c r="FT182" s="190">
        <f>AH182*AH$2*IF($FC182="V",1,-1)*IF($Q182="Fixo",(CV182-INDEX('Curva Forward'!$C$5:$AN$13,MATCH(CONCATENATE(BD_COMERCIAL!$K182," ",BD_COMERCIAL!$L182),'Curva Forward'!$B$5:$B$13,0),MATCH(FT$4,'Curva Forward'!$C$4:$AN$4,0))),CV182)</f>
        <v>0</v>
      </c>
      <c r="FU182" s="190">
        <f>AI182*AI$2*IF($FC182="V",1,-1)*IF($Q182="Fixo",(CW182-INDEX('Curva Forward'!$C$5:$AN$13,MATCH(CONCATENATE(BD_COMERCIAL!$K182," ",BD_COMERCIAL!$L182),'Curva Forward'!$B$5:$B$13,0),MATCH(FU$4,'Curva Forward'!$C$4:$AN$4,0))),CW182)</f>
        <v>0</v>
      </c>
      <c r="FV182" s="190">
        <f>AJ182*AJ$2*IF($FC182="V",1,-1)*IF($Q182="Fixo",(CX182-INDEX('Curva Forward'!$C$5:$AN$13,MATCH(CONCATENATE(BD_COMERCIAL!$K182," ",BD_COMERCIAL!$L182),'Curva Forward'!$B$5:$B$13,0),MATCH(FV$4,'Curva Forward'!$C$4:$AN$4,0))),CX182)</f>
        <v>0</v>
      </c>
      <c r="FW182" s="190">
        <f>AK182*AK$2*IF($FC182="V",1,-1)*IF($Q182="Fixo",(CY182-INDEX('Curva Forward'!$C$5:$AN$13,MATCH(CONCATENATE(BD_COMERCIAL!$K182," ",BD_COMERCIAL!$L182),'Curva Forward'!$B$5:$B$13,0),MATCH(FW$4,'Curva Forward'!$C$4:$AN$4,0))),CY182)</f>
        <v>0</v>
      </c>
      <c r="FX182" s="190">
        <f>AL182*AL$2*IF($FC182="V",1,-1)*IF($Q182="Fixo",(CZ182-INDEX('Curva Forward'!$C$5:$AN$13,MATCH(CONCATENATE(BD_COMERCIAL!$K182," ",BD_COMERCIAL!$L182),'Curva Forward'!$B$5:$B$13,0),MATCH(FX$4,'Curva Forward'!$C$4:$AN$4,0))),CZ182)</f>
        <v>0</v>
      </c>
      <c r="FY182" s="190">
        <f>AM182*AM$2*IF($FC182="V",1,-1)*IF($Q182="Fixo",(DA182-INDEX('Curva Forward'!$C$5:$AN$13,MATCH(CONCATENATE(BD_COMERCIAL!$K182," ",BD_COMERCIAL!$L182),'Curva Forward'!$B$5:$B$13,0),MATCH(FY$4,'Curva Forward'!$C$4:$AN$4,0))),DA182)</f>
        <v>0</v>
      </c>
      <c r="FZ182" s="190">
        <f>AN182*AN$2*IF($FC182="V",1,-1)*IF($Q182="Fixo",(DB182-INDEX('Curva Forward'!$C$5:$AN$13,MATCH(CONCATENATE(BD_COMERCIAL!$K182," ",BD_COMERCIAL!$L182),'Curva Forward'!$B$5:$B$13,0),MATCH(FZ$4,'Curva Forward'!$C$4:$AN$4,0))),DB182)</f>
        <v>0</v>
      </c>
      <c r="GA182" s="190">
        <f>AO182*AO$2*IF($FC182="V",1,-1)*IF($Q182="Fixo",(DC182-INDEX('Curva Forward'!$C$5:$AN$13,MATCH(CONCATENATE(BD_COMERCIAL!$K182," ",BD_COMERCIAL!$L182),'Curva Forward'!$B$5:$B$13,0),MATCH(GA$4,'Curva Forward'!$C$4:$AN$4,0))),DC182)</f>
        <v>0</v>
      </c>
      <c r="GB182" s="190">
        <f>AP182*AP$2*IF($FC182="V",1,-1)*IF($Q182="Fixo",(DD182-INDEX('Curva Forward'!$C$5:$AN$13,MATCH(CONCATENATE(BD_COMERCIAL!$K182," ",BD_COMERCIAL!$L182),'Curva Forward'!$B$5:$B$13,0),MATCH(GB$4,'Curva Forward'!$C$4:$AN$4,0))),DD182)</f>
        <v>0</v>
      </c>
      <c r="GC182" s="190">
        <f>AQ182*AQ$2*IF($FC182="V",1,-1)*IF($Q182="Fixo",(DE182-INDEX('Curva Forward'!$C$5:$AN$13,MATCH(CONCATENATE(BD_COMERCIAL!$K182," ",BD_COMERCIAL!$L182),'Curva Forward'!$B$5:$B$13,0),MATCH(GC$4,'Curva Forward'!$C$4:$AN$4,0))),DE182)</f>
        <v>0</v>
      </c>
      <c r="GD182" s="190">
        <f>AR182*AR$2*IF($FC182="V",1,-1)*IF($Q182="Fixo",(DF182-INDEX('Curva Forward'!$C$5:$AN$13,MATCH(CONCATENATE(BD_COMERCIAL!$K182," ",BD_COMERCIAL!$L182),'Curva Forward'!$B$5:$B$13,0),MATCH(GD$4,'Curva Forward'!$C$4:$AN$4,0))),DF182)</f>
        <v>0</v>
      </c>
      <c r="GE182" s="190">
        <f>AS182*AS$2*IF($FC182="V",1,-1)*IF($Q182="Fixo",(DG182-INDEX('Curva Forward'!$C$5:$AN$13,MATCH(CONCATENATE(BD_COMERCIAL!$K182," ",BD_COMERCIAL!$L182),'Curva Forward'!$B$5:$B$13,0),MATCH(GE$4,'Curva Forward'!$C$4:$AN$4,0))),DG182)</f>
        <v>0</v>
      </c>
      <c r="GF182" s="190">
        <f>AT182*AT$2*IF($FC182="V",1,-1)*IF($Q182="Fixo",(DH182-INDEX('Curva Forward'!$C$5:$AN$13,MATCH(CONCATENATE(BD_COMERCIAL!$K182," ",BD_COMERCIAL!$L182),'Curva Forward'!$B$5:$B$13,0),MATCH(GF$4,'Curva Forward'!$C$4:$AN$4,0))),DH182)</f>
        <v>0</v>
      </c>
      <c r="GG182" s="190">
        <f>AU182*AU$2*IF($FC182="V",1,-1)*IF($Q182="Fixo",(DI182-INDEX('Curva Forward'!$C$5:$AN$13,MATCH(CONCATENATE(BD_COMERCIAL!$K182," ",BD_COMERCIAL!$L182),'Curva Forward'!$B$5:$B$13,0),MATCH(GG$4,'Curva Forward'!$C$4:$AN$4,0))),DI182)</f>
        <v>0</v>
      </c>
      <c r="GH182" s="190">
        <f>AV182*AV$2*IF($FC182="V",1,-1)*IF($Q182="Fixo",(DJ182-INDEX('Curva Forward'!$C$5:$AN$13,MATCH(CONCATENATE(BD_COMERCIAL!$K182," ",BD_COMERCIAL!$L182),'Curva Forward'!$B$5:$B$13,0),MATCH(GH$4,'Curva Forward'!$C$4:$AN$4,0))),DJ182)</f>
        <v>0</v>
      </c>
      <c r="GI182" s="190">
        <f>AW182*AW$2*IF($FC182="V",1,-1)*IF($Q182="Fixo",(DK182-INDEX('Curva Forward'!$C$5:$AN$13,MATCH(CONCATENATE(BD_COMERCIAL!$K182," ",BD_COMERCIAL!$L182),'Curva Forward'!$B$5:$B$13,0),MATCH(GI$4,'Curva Forward'!$C$4:$AN$4,0))),DK182)</f>
        <v>0</v>
      </c>
      <c r="GJ182" s="190">
        <f>AX182*AX$2*IF($FC182="V",1,-1)*IF($Q182="Fixo",(DL182-INDEX('Curva Forward'!$C$5:$AN$13,MATCH(CONCATENATE(BD_COMERCIAL!$K182," ",BD_COMERCIAL!$L182),'Curva Forward'!$B$5:$B$13,0),MATCH(GJ$4,'Curva Forward'!$C$4:$AN$4,0))),DL182)</f>
        <v>0</v>
      </c>
      <c r="GK182" s="190">
        <f>AY182*AY$2*IF($FC182="V",1,-1)*IF($Q182="Fixo",(DM182-INDEX('Curva Forward'!$C$5:$AN$13,MATCH(CONCATENATE(BD_COMERCIAL!$K182," ",BD_COMERCIAL!$L182),'Curva Forward'!$B$5:$B$13,0),MATCH(GK$4,'Curva Forward'!$C$4:$AN$4,0))),DM182)</f>
        <v>0</v>
      </c>
      <c r="GL182" s="190">
        <f>IF(EZ182="",0,CL182*CL$2*IF($FC182="V",1,-1)*IF($Q182="Fixo",(EZ182-INDEX('Curva Forward'!$C$5:$AN$13,MATCH(CONCATENATE(BD_COMERCIAL!$K182," ",BD_COMERCIAL!$L182),'Curva Forward'!$B$5:$B$13,0),MATCH(GL$4,'Curva Forward'!$C$4:$AN$4,0))),EZ182))</f>
        <v>0</v>
      </c>
      <c r="GM182" s="190">
        <f>IF(FA182="",0,CM182*CM$2*IF($FC182="V",1,-1)*IF($Q182="Fixo",(FA182-INDEX('Curva Forward'!$C$5:$AN$13,MATCH(CONCATENATE(BD_COMERCIAL!$K182," ",BD_COMERCIAL!$L182),'Curva Forward'!$B$5:$B$13,0),MATCH(GM$4,'Curva Forward'!$C$4:$AN$4,0))),FA182))</f>
        <v>0</v>
      </c>
      <c r="GN182" s="190">
        <f>IF(FB182="",0,CN182*CN$2*IF($FC182="V",1,-1)*IF($Q182="Fixo",(FB182-INDEX('Curva Forward'!$C$5:$AN$13,MATCH(CONCATENATE(BD_COMERCIAL!$K182," ",BD_COMERCIAL!$L182),'Curva Forward'!$B$5:$B$13,0),MATCH(GN$4,'Curva Forward'!$C$4:$AN$4,0))),FB182))</f>
        <v>0</v>
      </c>
      <c r="GO182" s="191">
        <f t="shared" ca="1" si="25"/>
        <v>0</v>
      </c>
      <c r="GP182" s="191">
        <f t="shared" ca="1" si="26"/>
        <v>0</v>
      </c>
      <c r="GQ182" s="115"/>
      <c r="GR182" s="115"/>
      <c r="GS182"/>
      <c r="GT182" s="65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</row>
    <row r="183" spans="1:236" s="265" customFormat="1" ht="15" customHeight="1" x14ac:dyDescent="0.35">
      <c r="A183" s="251"/>
      <c r="B183" s="275"/>
      <c r="C183" s="253"/>
      <c r="D183" s="254"/>
      <c r="E183" s="254"/>
      <c r="F183" s="255"/>
      <c r="G183" s="256"/>
      <c r="H183" s="255"/>
      <c r="I183" s="254"/>
      <c r="J183" s="257"/>
      <c r="K183" s="256"/>
      <c r="L183" s="252"/>
      <c r="M183" s="258"/>
      <c r="N183" s="259"/>
      <c r="O183" s="256"/>
      <c r="P183" s="252"/>
      <c r="Q183" s="252"/>
      <c r="R183" s="256"/>
      <c r="S183" s="260"/>
      <c r="T183" s="258"/>
      <c r="U183" s="259"/>
      <c r="V183" s="261"/>
      <c r="W183" s="252"/>
      <c r="X183" s="262"/>
      <c r="Y183" s="257"/>
      <c r="Z183" s="263"/>
      <c r="AA183" s="264"/>
      <c r="AB183" s="266"/>
      <c r="AM183" s="251"/>
      <c r="AN183" s="266"/>
      <c r="AY183" s="251"/>
      <c r="AZ183" s="266"/>
      <c r="BK183" s="251"/>
      <c r="BL183" s="266"/>
      <c r="BW183" s="251"/>
      <c r="BX183" s="266"/>
      <c r="CI183" s="251"/>
      <c r="CJ183" s="267"/>
      <c r="CK183" s="267"/>
      <c r="CL183" s="267"/>
      <c r="CM183" s="267"/>
      <c r="CN183" s="267"/>
      <c r="CO183" s="268"/>
      <c r="CP183" s="266"/>
      <c r="DA183" s="251"/>
      <c r="DB183" s="266"/>
      <c r="DM183" s="251"/>
      <c r="DN183" s="266"/>
      <c r="DY183" s="251"/>
      <c r="DZ183" s="266"/>
      <c r="EK183" s="251"/>
      <c r="EL183" s="266"/>
      <c r="EW183" s="251"/>
      <c r="EX183" s="267"/>
      <c r="EY183" s="267"/>
      <c r="EZ183" s="267"/>
      <c r="FA183" s="267"/>
      <c r="FB183" s="269"/>
      <c r="FD183" s="270"/>
      <c r="FF183" s="276"/>
      <c r="FH183" s="206">
        <f t="shared" si="20"/>
        <v>0</v>
      </c>
      <c r="FI183" s="198">
        <f t="shared" si="21"/>
        <v>0</v>
      </c>
      <c r="FJ183"/>
      <c r="FK183">
        <f t="shared" si="22"/>
        <v>0</v>
      </c>
      <c r="FL183" s="191">
        <f t="shared" ca="1" si="23"/>
        <v>0</v>
      </c>
      <c r="FM183" s="191">
        <f t="shared" ca="1" si="24"/>
        <v>0</v>
      </c>
      <c r="FN183" s="190">
        <f>AB183*AB$2*IF($FC183="V",1,-1)*IF($Q183="Fixo",(CP183-INDEX('Curva Forward'!$C$5:$AN$13,MATCH(CONCATENATE(BD_COMERCIAL!$K183," ",BD_COMERCIAL!$L183),'Curva Forward'!$B$5:$B$13,0),MATCH(FN$4,'Curva Forward'!$C$4:$AN$4,0))),CP183)</f>
        <v>0</v>
      </c>
      <c r="FO183" s="190">
        <f>AC183*AC$2*IF($FC183="V",1,-1)*IF($Q183="Fixo",(CQ183-INDEX('Curva Forward'!$C$5:$AN$13,MATCH(CONCATENATE(BD_COMERCIAL!$K183," ",BD_COMERCIAL!$L183),'Curva Forward'!$B$5:$B$13,0),MATCH(FO$4,'Curva Forward'!$C$4:$AN$4,0))),CQ183)</f>
        <v>0</v>
      </c>
      <c r="FP183" s="190">
        <f>AD183*AD$2*IF($FC183="V",1,-1)*IF($Q183="Fixo",(CR183-INDEX('Curva Forward'!$C$5:$AN$13,MATCH(CONCATENATE(BD_COMERCIAL!$K183," ",BD_COMERCIAL!$L183),'Curva Forward'!$B$5:$B$13,0),MATCH(FP$4,'Curva Forward'!$C$4:$AN$4,0))),CR183)</f>
        <v>0</v>
      </c>
      <c r="FQ183" s="190">
        <f>AE183*AE$2*IF($FC183="V",1,-1)*IF($Q183="Fixo",(CS183-INDEX('Curva Forward'!$C$5:$AN$13,MATCH(CONCATENATE(BD_COMERCIAL!$K183," ",BD_COMERCIAL!$L183),'Curva Forward'!$B$5:$B$13,0),MATCH(FQ$4,'Curva Forward'!$C$4:$AN$4,0))),CS183)</f>
        <v>0</v>
      </c>
      <c r="FR183" s="190">
        <f>AF183*AF$2*IF($FC183="V",1,-1)*IF($Q183="Fixo",(CT183-INDEX('Curva Forward'!$C$5:$AN$13,MATCH(CONCATENATE(BD_COMERCIAL!$K183," ",BD_COMERCIAL!$L183),'Curva Forward'!$B$5:$B$13,0),MATCH(FR$4,'Curva Forward'!$C$4:$AN$4,0))),CT183)</f>
        <v>0</v>
      </c>
      <c r="FS183" s="190">
        <f>AG183*AG$2*IF($FC183="V",1,-1)*IF($Q183="Fixo",(CU183-INDEX('Curva Forward'!$C$5:$AN$13,MATCH(CONCATENATE(BD_COMERCIAL!$K183," ",BD_COMERCIAL!$L183),'Curva Forward'!$B$5:$B$13,0),MATCH(FS$4,'Curva Forward'!$C$4:$AN$4,0))),CU183)</f>
        <v>0</v>
      </c>
      <c r="FT183" s="190">
        <f>AH183*AH$2*IF($FC183="V",1,-1)*IF($Q183="Fixo",(CV183-INDEX('Curva Forward'!$C$5:$AN$13,MATCH(CONCATENATE(BD_COMERCIAL!$K183," ",BD_COMERCIAL!$L183),'Curva Forward'!$B$5:$B$13,0),MATCH(FT$4,'Curva Forward'!$C$4:$AN$4,0))),CV183)</f>
        <v>0</v>
      </c>
      <c r="FU183" s="190">
        <f>AI183*AI$2*IF($FC183="V",1,-1)*IF($Q183="Fixo",(CW183-INDEX('Curva Forward'!$C$5:$AN$13,MATCH(CONCATENATE(BD_COMERCIAL!$K183," ",BD_COMERCIAL!$L183),'Curva Forward'!$B$5:$B$13,0),MATCH(FU$4,'Curva Forward'!$C$4:$AN$4,0))),CW183)</f>
        <v>0</v>
      </c>
      <c r="FV183" s="190">
        <f>AJ183*AJ$2*IF($FC183="V",1,-1)*IF($Q183="Fixo",(CX183-INDEX('Curva Forward'!$C$5:$AN$13,MATCH(CONCATENATE(BD_COMERCIAL!$K183," ",BD_COMERCIAL!$L183),'Curva Forward'!$B$5:$B$13,0),MATCH(FV$4,'Curva Forward'!$C$4:$AN$4,0))),CX183)</f>
        <v>0</v>
      </c>
      <c r="FW183" s="190">
        <f>AK183*AK$2*IF($FC183="V",1,-1)*IF($Q183="Fixo",(CY183-INDEX('Curva Forward'!$C$5:$AN$13,MATCH(CONCATENATE(BD_COMERCIAL!$K183," ",BD_COMERCIAL!$L183),'Curva Forward'!$B$5:$B$13,0),MATCH(FW$4,'Curva Forward'!$C$4:$AN$4,0))),CY183)</f>
        <v>0</v>
      </c>
      <c r="FX183" s="190">
        <f>AL183*AL$2*IF($FC183="V",1,-1)*IF($Q183="Fixo",(CZ183-INDEX('Curva Forward'!$C$5:$AN$13,MATCH(CONCATENATE(BD_COMERCIAL!$K183," ",BD_COMERCIAL!$L183),'Curva Forward'!$B$5:$B$13,0),MATCH(FX$4,'Curva Forward'!$C$4:$AN$4,0))),CZ183)</f>
        <v>0</v>
      </c>
      <c r="FY183" s="190">
        <f>AM183*AM$2*IF($FC183="V",1,-1)*IF($Q183="Fixo",(DA183-INDEX('Curva Forward'!$C$5:$AN$13,MATCH(CONCATENATE(BD_COMERCIAL!$K183," ",BD_COMERCIAL!$L183),'Curva Forward'!$B$5:$B$13,0),MATCH(FY$4,'Curva Forward'!$C$4:$AN$4,0))),DA183)</f>
        <v>0</v>
      </c>
      <c r="FZ183" s="190">
        <f>AN183*AN$2*IF($FC183="V",1,-1)*IF($Q183="Fixo",(DB183-INDEX('Curva Forward'!$C$5:$AN$13,MATCH(CONCATENATE(BD_COMERCIAL!$K183," ",BD_COMERCIAL!$L183),'Curva Forward'!$B$5:$B$13,0),MATCH(FZ$4,'Curva Forward'!$C$4:$AN$4,0))),DB183)</f>
        <v>0</v>
      </c>
      <c r="GA183" s="190">
        <f>AO183*AO$2*IF($FC183="V",1,-1)*IF($Q183="Fixo",(DC183-INDEX('Curva Forward'!$C$5:$AN$13,MATCH(CONCATENATE(BD_COMERCIAL!$K183," ",BD_COMERCIAL!$L183),'Curva Forward'!$B$5:$B$13,0),MATCH(GA$4,'Curva Forward'!$C$4:$AN$4,0))),DC183)</f>
        <v>0</v>
      </c>
      <c r="GB183" s="190">
        <f>AP183*AP$2*IF($FC183="V",1,-1)*IF($Q183="Fixo",(DD183-INDEX('Curva Forward'!$C$5:$AN$13,MATCH(CONCATENATE(BD_COMERCIAL!$K183," ",BD_COMERCIAL!$L183),'Curva Forward'!$B$5:$B$13,0),MATCH(GB$4,'Curva Forward'!$C$4:$AN$4,0))),DD183)</f>
        <v>0</v>
      </c>
      <c r="GC183" s="190">
        <f>AQ183*AQ$2*IF($FC183="V",1,-1)*IF($Q183="Fixo",(DE183-INDEX('Curva Forward'!$C$5:$AN$13,MATCH(CONCATENATE(BD_COMERCIAL!$K183," ",BD_COMERCIAL!$L183),'Curva Forward'!$B$5:$B$13,0),MATCH(GC$4,'Curva Forward'!$C$4:$AN$4,0))),DE183)</f>
        <v>0</v>
      </c>
      <c r="GD183" s="190">
        <f>AR183*AR$2*IF($FC183="V",1,-1)*IF($Q183="Fixo",(DF183-INDEX('Curva Forward'!$C$5:$AN$13,MATCH(CONCATENATE(BD_COMERCIAL!$K183," ",BD_COMERCIAL!$L183),'Curva Forward'!$B$5:$B$13,0),MATCH(GD$4,'Curva Forward'!$C$4:$AN$4,0))),DF183)</f>
        <v>0</v>
      </c>
      <c r="GE183" s="190">
        <f>AS183*AS$2*IF($FC183="V",1,-1)*IF($Q183="Fixo",(DG183-INDEX('Curva Forward'!$C$5:$AN$13,MATCH(CONCATENATE(BD_COMERCIAL!$K183," ",BD_COMERCIAL!$L183),'Curva Forward'!$B$5:$B$13,0),MATCH(GE$4,'Curva Forward'!$C$4:$AN$4,0))),DG183)</f>
        <v>0</v>
      </c>
      <c r="GF183" s="190">
        <f>AT183*AT$2*IF($FC183="V",1,-1)*IF($Q183="Fixo",(DH183-INDEX('Curva Forward'!$C$5:$AN$13,MATCH(CONCATENATE(BD_COMERCIAL!$K183," ",BD_COMERCIAL!$L183),'Curva Forward'!$B$5:$B$13,0),MATCH(GF$4,'Curva Forward'!$C$4:$AN$4,0))),DH183)</f>
        <v>0</v>
      </c>
      <c r="GG183" s="190">
        <f>AU183*AU$2*IF($FC183="V",1,-1)*IF($Q183="Fixo",(DI183-INDEX('Curva Forward'!$C$5:$AN$13,MATCH(CONCATENATE(BD_COMERCIAL!$K183," ",BD_COMERCIAL!$L183),'Curva Forward'!$B$5:$B$13,0),MATCH(GG$4,'Curva Forward'!$C$4:$AN$4,0))),DI183)</f>
        <v>0</v>
      </c>
      <c r="GH183" s="190">
        <f>AV183*AV$2*IF($FC183="V",1,-1)*IF($Q183="Fixo",(DJ183-INDEX('Curva Forward'!$C$5:$AN$13,MATCH(CONCATENATE(BD_COMERCIAL!$K183," ",BD_COMERCIAL!$L183),'Curva Forward'!$B$5:$B$13,0),MATCH(GH$4,'Curva Forward'!$C$4:$AN$4,0))),DJ183)</f>
        <v>0</v>
      </c>
      <c r="GI183" s="190">
        <f>AW183*AW$2*IF($FC183="V",1,-1)*IF($Q183="Fixo",(DK183-INDEX('Curva Forward'!$C$5:$AN$13,MATCH(CONCATENATE(BD_COMERCIAL!$K183," ",BD_COMERCIAL!$L183),'Curva Forward'!$B$5:$B$13,0),MATCH(GI$4,'Curva Forward'!$C$4:$AN$4,0))),DK183)</f>
        <v>0</v>
      </c>
      <c r="GJ183" s="190">
        <f>AX183*AX$2*IF($FC183="V",1,-1)*IF($Q183="Fixo",(DL183-INDEX('Curva Forward'!$C$5:$AN$13,MATCH(CONCATENATE(BD_COMERCIAL!$K183," ",BD_COMERCIAL!$L183),'Curva Forward'!$B$5:$B$13,0),MATCH(GJ$4,'Curva Forward'!$C$4:$AN$4,0))),DL183)</f>
        <v>0</v>
      </c>
      <c r="GK183" s="190">
        <f>AY183*AY$2*IF($FC183="V",1,-1)*IF($Q183="Fixo",(DM183-INDEX('Curva Forward'!$C$5:$AN$13,MATCH(CONCATENATE(BD_COMERCIAL!$K183," ",BD_COMERCIAL!$L183),'Curva Forward'!$B$5:$B$13,0),MATCH(GK$4,'Curva Forward'!$C$4:$AN$4,0))),DM183)</f>
        <v>0</v>
      </c>
      <c r="GL183" s="190">
        <f>IF(EZ183="",0,CL183*CL$2*IF($FC183="V",1,-1)*IF($Q183="Fixo",(EZ183-INDEX('Curva Forward'!$C$5:$AN$13,MATCH(CONCATENATE(BD_COMERCIAL!$K183," ",BD_COMERCIAL!$L183),'Curva Forward'!$B$5:$B$13,0),MATCH(GL$4,'Curva Forward'!$C$4:$AN$4,0))),EZ183))</f>
        <v>0</v>
      </c>
      <c r="GM183" s="190">
        <f>IF(FA183="",0,CM183*CM$2*IF($FC183="V",1,-1)*IF($Q183="Fixo",(FA183-INDEX('Curva Forward'!$C$5:$AN$13,MATCH(CONCATENATE(BD_COMERCIAL!$K183," ",BD_COMERCIAL!$L183),'Curva Forward'!$B$5:$B$13,0),MATCH(GM$4,'Curva Forward'!$C$4:$AN$4,0))),FA183))</f>
        <v>0</v>
      </c>
      <c r="GN183" s="190">
        <f>IF(FB183="",0,CN183*CN$2*IF($FC183="V",1,-1)*IF($Q183="Fixo",(FB183-INDEX('Curva Forward'!$C$5:$AN$13,MATCH(CONCATENATE(BD_COMERCIAL!$K183," ",BD_COMERCIAL!$L183),'Curva Forward'!$B$5:$B$13,0),MATCH(GN$4,'Curva Forward'!$C$4:$AN$4,0))),FB183))</f>
        <v>0</v>
      </c>
      <c r="GO183" s="191">
        <f t="shared" ca="1" si="25"/>
        <v>0</v>
      </c>
      <c r="GP183" s="191">
        <f t="shared" ca="1" si="26"/>
        <v>0</v>
      </c>
      <c r="GQ183" s="115"/>
      <c r="GR183" s="115"/>
      <c r="GS183"/>
      <c r="GT183" s="65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</row>
    <row r="184" spans="1:236" s="265" customFormat="1" ht="15" customHeight="1" x14ac:dyDescent="0.35">
      <c r="A184" s="251"/>
      <c r="B184" s="275"/>
      <c r="C184" s="253"/>
      <c r="D184" s="254"/>
      <c r="E184" s="254"/>
      <c r="F184" s="255"/>
      <c r="G184" s="256"/>
      <c r="H184" s="255"/>
      <c r="I184" s="254"/>
      <c r="J184" s="257"/>
      <c r="K184" s="256"/>
      <c r="L184" s="252"/>
      <c r="M184" s="258"/>
      <c r="N184" s="259"/>
      <c r="O184" s="256"/>
      <c r="P184" s="252"/>
      <c r="Q184" s="252"/>
      <c r="R184" s="256"/>
      <c r="S184" s="260"/>
      <c r="T184" s="258"/>
      <c r="U184" s="259"/>
      <c r="V184" s="261"/>
      <c r="W184" s="252"/>
      <c r="X184" s="262"/>
      <c r="Y184" s="257"/>
      <c r="Z184" s="263"/>
      <c r="AA184" s="264"/>
      <c r="AB184" s="266"/>
      <c r="AM184" s="251"/>
      <c r="AN184" s="266"/>
      <c r="AY184" s="251"/>
      <c r="AZ184" s="266"/>
      <c r="BK184" s="251"/>
      <c r="BL184" s="266"/>
      <c r="BW184" s="251"/>
      <c r="BX184" s="266"/>
      <c r="CI184" s="251"/>
      <c r="CJ184" s="267"/>
      <c r="CK184" s="267"/>
      <c r="CL184" s="267"/>
      <c r="CM184" s="267"/>
      <c r="CN184" s="267"/>
      <c r="CO184" s="268"/>
      <c r="CP184" s="266"/>
      <c r="DA184" s="251"/>
      <c r="DB184" s="266"/>
      <c r="DM184" s="251"/>
      <c r="DN184" s="266"/>
      <c r="DY184" s="251"/>
      <c r="DZ184" s="266"/>
      <c r="EK184" s="251"/>
      <c r="EL184" s="266"/>
      <c r="EW184" s="251"/>
      <c r="EX184" s="267"/>
      <c r="EY184" s="267"/>
      <c r="EZ184" s="267"/>
      <c r="FA184" s="267"/>
      <c r="FB184" s="269"/>
      <c r="FD184" s="270"/>
      <c r="FF184" s="276"/>
      <c r="FH184" s="206">
        <f t="shared" si="20"/>
        <v>0</v>
      </c>
      <c r="FI184" s="198">
        <f t="shared" si="21"/>
        <v>0</v>
      </c>
      <c r="FJ184"/>
      <c r="FK184">
        <f t="shared" si="22"/>
        <v>0</v>
      </c>
      <c r="FL184" s="191">
        <f t="shared" ca="1" si="23"/>
        <v>0</v>
      </c>
      <c r="FM184" s="191">
        <f t="shared" ca="1" si="24"/>
        <v>0</v>
      </c>
      <c r="FN184" s="190">
        <f>AB184*AB$2*IF($FC184="V",1,-1)*IF($Q184="Fixo",(CP184-INDEX('Curva Forward'!$C$5:$AN$13,MATCH(CONCATENATE(BD_COMERCIAL!$K184," ",BD_COMERCIAL!$L184),'Curva Forward'!$B$5:$B$13,0),MATCH(FN$4,'Curva Forward'!$C$4:$AN$4,0))),CP184)</f>
        <v>0</v>
      </c>
      <c r="FO184" s="190">
        <f>AC184*AC$2*IF($FC184="V",1,-1)*IF($Q184="Fixo",(CQ184-INDEX('Curva Forward'!$C$5:$AN$13,MATCH(CONCATENATE(BD_COMERCIAL!$K184," ",BD_COMERCIAL!$L184),'Curva Forward'!$B$5:$B$13,0),MATCH(FO$4,'Curva Forward'!$C$4:$AN$4,0))),CQ184)</f>
        <v>0</v>
      </c>
      <c r="FP184" s="190">
        <f>AD184*AD$2*IF($FC184="V",1,-1)*IF($Q184="Fixo",(CR184-INDEX('Curva Forward'!$C$5:$AN$13,MATCH(CONCATENATE(BD_COMERCIAL!$K184," ",BD_COMERCIAL!$L184),'Curva Forward'!$B$5:$B$13,0),MATCH(FP$4,'Curva Forward'!$C$4:$AN$4,0))),CR184)</f>
        <v>0</v>
      </c>
      <c r="FQ184" s="190">
        <f>AE184*AE$2*IF($FC184="V",1,-1)*IF($Q184="Fixo",(CS184-INDEX('Curva Forward'!$C$5:$AN$13,MATCH(CONCATENATE(BD_COMERCIAL!$K184," ",BD_COMERCIAL!$L184),'Curva Forward'!$B$5:$B$13,0),MATCH(FQ$4,'Curva Forward'!$C$4:$AN$4,0))),CS184)</f>
        <v>0</v>
      </c>
      <c r="FR184" s="190">
        <f>AF184*AF$2*IF($FC184="V",1,-1)*IF($Q184="Fixo",(CT184-INDEX('Curva Forward'!$C$5:$AN$13,MATCH(CONCATENATE(BD_COMERCIAL!$K184," ",BD_COMERCIAL!$L184),'Curva Forward'!$B$5:$B$13,0),MATCH(FR$4,'Curva Forward'!$C$4:$AN$4,0))),CT184)</f>
        <v>0</v>
      </c>
      <c r="FS184" s="190">
        <f>AG184*AG$2*IF($FC184="V",1,-1)*IF($Q184="Fixo",(CU184-INDEX('Curva Forward'!$C$5:$AN$13,MATCH(CONCATENATE(BD_COMERCIAL!$K184," ",BD_COMERCIAL!$L184),'Curva Forward'!$B$5:$B$13,0),MATCH(FS$4,'Curva Forward'!$C$4:$AN$4,0))),CU184)</f>
        <v>0</v>
      </c>
      <c r="FT184" s="190">
        <f>AH184*AH$2*IF($FC184="V",1,-1)*IF($Q184="Fixo",(CV184-INDEX('Curva Forward'!$C$5:$AN$13,MATCH(CONCATENATE(BD_COMERCIAL!$K184," ",BD_COMERCIAL!$L184),'Curva Forward'!$B$5:$B$13,0),MATCH(FT$4,'Curva Forward'!$C$4:$AN$4,0))),CV184)</f>
        <v>0</v>
      </c>
      <c r="FU184" s="190">
        <f>AI184*AI$2*IF($FC184="V",1,-1)*IF($Q184="Fixo",(CW184-INDEX('Curva Forward'!$C$5:$AN$13,MATCH(CONCATENATE(BD_COMERCIAL!$K184," ",BD_COMERCIAL!$L184),'Curva Forward'!$B$5:$B$13,0),MATCH(FU$4,'Curva Forward'!$C$4:$AN$4,0))),CW184)</f>
        <v>0</v>
      </c>
      <c r="FV184" s="190">
        <f>AJ184*AJ$2*IF($FC184="V",1,-1)*IF($Q184="Fixo",(CX184-INDEX('Curva Forward'!$C$5:$AN$13,MATCH(CONCATENATE(BD_COMERCIAL!$K184," ",BD_COMERCIAL!$L184),'Curva Forward'!$B$5:$B$13,0),MATCH(FV$4,'Curva Forward'!$C$4:$AN$4,0))),CX184)</f>
        <v>0</v>
      </c>
      <c r="FW184" s="190">
        <f>AK184*AK$2*IF($FC184="V",1,-1)*IF($Q184="Fixo",(CY184-INDEX('Curva Forward'!$C$5:$AN$13,MATCH(CONCATENATE(BD_COMERCIAL!$K184," ",BD_COMERCIAL!$L184),'Curva Forward'!$B$5:$B$13,0),MATCH(FW$4,'Curva Forward'!$C$4:$AN$4,0))),CY184)</f>
        <v>0</v>
      </c>
      <c r="FX184" s="190">
        <f>AL184*AL$2*IF($FC184="V",1,-1)*IF($Q184="Fixo",(CZ184-INDEX('Curva Forward'!$C$5:$AN$13,MATCH(CONCATENATE(BD_COMERCIAL!$K184," ",BD_COMERCIAL!$L184),'Curva Forward'!$B$5:$B$13,0),MATCH(FX$4,'Curva Forward'!$C$4:$AN$4,0))),CZ184)</f>
        <v>0</v>
      </c>
      <c r="FY184" s="190">
        <f>AM184*AM$2*IF($FC184="V",1,-1)*IF($Q184="Fixo",(DA184-INDEX('Curva Forward'!$C$5:$AN$13,MATCH(CONCATENATE(BD_COMERCIAL!$K184," ",BD_COMERCIAL!$L184),'Curva Forward'!$B$5:$B$13,0),MATCH(FY$4,'Curva Forward'!$C$4:$AN$4,0))),DA184)</f>
        <v>0</v>
      </c>
      <c r="FZ184" s="190">
        <f>AN184*AN$2*IF($FC184="V",1,-1)*IF($Q184="Fixo",(DB184-INDEX('Curva Forward'!$C$5:$AN$13,MATCH(CONCATENATE(BD_COMERCIAL!$K184," ",BD_COMERCIAL!$L184),'Curva Forward'!$B$5:$B$13,0),MATCH(FZ$4,'Curva Forward'!$C$4:$AN$4,0))),DB184)</f>
        <v>0</v>
      </c>
      <c r="GA184" s="190">
        <f>AO184*AO$2*IF($FC184="V",1,-1)*IF($Q184="Fixo",(DC184-INDEX('Curva Forward'!$C$5:$AN$13,MATCH(CONCATENATE(BD_COMERCIAL!$K184," ",BD_COMERCIAL!$L184),'Curva Forward'!$B$5:$B$13,0),MATCH(GA$4,'Curva Forward'!$C$4:$AN$4,0))),DC184)</f>
        <v>0</v>
      </c>
      <c r="GB184" s="190">
        <f>AP184*AP$2*IF($FC184="V",1,-1)*IF($Q184="Fixo",(DD184-INDEX('Curva Forward'!$C$5:$AN$13,MATCH(CONCATENATE(BD_COMERCIAL!$K184," ",BD_COMERCIAL!$L184),'Curva Forward'!$B$5:$B$13,0),MATCH(GB$4,'Curva Forward'!$C$4:$AN$4,0))),DD184)</f>
        <v>0</v>
      </c>
      <c r="GC184" s="190">
        <f>AQ184*AQ$2*IF($FC184="V",1,-1)*IF($Q184="Fixo",(DE184-INDEX('Curva Forward'!$C$5:$AN$13,MATCH(CONCATENATE(BD_COMERCIAL!$K184," ",BD_COMERCIAL!$L184),'Curva Forward'!$B$5:$B$13,0),MATCH(GC$4,'Curva Forward'!$C$4:$AN$4,0))),DE184)</f>
        <v>0</v>
      </c>
      <c r="GD184" s="190">
        <f>AR184*AR$2*IF($FC184="V",1,-1)*IF($Q184="Fixo",(DF184-INDEX('Curva Forward'!$C$5:$AN$13,MATCH(CONCATENATE(BD_COMERCIAL!$K184," ",BD_COMERCIAL!$L184),'Curva Forward'!$B$5:$B$13,0),MATCH(GD$4,'Curva Forward'!$C$4:$AN$4,0))),DF184)</f>
        <v>0</v>
      </c>
      <c r="GE184" s="190">
        <f>AS184*AS$2*IF($FC184="V",1,-1)*IF($Q184="Fixo",(DG184-INDEX('Curva Forward'!$C$5:$AN$13,MATCH(CONCATENATE(BD_COMERCIAL!$K184," ",BD_COMERCIAL!$L184),'Curva Forward'!$B$5:$B$13,0),MATCH(GE$4,'Curva Forward'!$C$4:$AN$4,0))),DG184)</f>
        <v>0</v>
      </c>
      <c r="GF184" s="190">
        <f>AT184*AT$2*IF($FC184="V",1,-1)*IF($Q184="Fixo",(DH184-INDEX('Curva Forward'!$C$5:$AN$13,MATCH(CONCATENATE(BD_COMERCIAL!$K184," ",BD_COMERCIAL!$L184),'Curva Forward'!$B$5:$B$13,0),MATCH(GF$4,'Curva Forward'!$C$4:$AN$4,0))),DH184)</f>
        <v>0</v>
      </c>
      <c r="GG184" s="190">
        <f>AU184*AU$2*IF($FC184="V",1,-1)*IF($Q184="Fixo",(DI184-INDEX('Curva Forward'!$C$5:$AN$13,MATCH(CONCATENATE(BD_COMERCIAL!$K184," ",BD_COMERCIAL!$L184),'Curva Forward'!$B$5:$B$13,0),MATCH(GG$4,'Curva Forward'!$C$4:$AN$4,0))),DI184)</f>
        <v>0</v>
      </c>
      <c r="GH184" s="190">
        <f>AV184*AV$2*IF($FC184="V",1,-1)*IF($Q184="Fixo",(DJ184-INDEX('Curva Forward'!$C$5:$AN$13,MATCH(CONCATENATE(BD_COMERCIAL!$K184," ",BD_COMERCIAL!$L184),'Curva Forward'!$B$5:$B$13,0),MATCH(GH$4,'Curva Forward'!$C$4:$AN$4,0))),DJ184)</f>
        <v>0</v>
      </c>
      <c r="GI184" s="190">
        <f>AW184*AW$2*IF($FC184="V",1,-1)*IF($Q184="Fixo",(DK184-INDEX('Curva Forward'!$C$5:$AN$13,MATCH(CONCATENATE(BD_COMERCIAL!$K184," ",BD_COMERCIAL!$L184),'Curva Forward'!$B$5:$B$13,0),MATCH(GI$4,'Curva Forward'!$C$4:$AN$4,0))),DK184)</f>
        <v>0</v>
      </c>
      <c r="GJ184" s="190">
        <f>AX184*AX$2*IF($FC184="V",1,-1)*IF($Q184="Fixo",(DL184-INDEX('Curva Forward'!$C$5:$AN$13,MATCH(CONCATENATE(BD_COMERCIAL!$K184," ",BD_COMERCIAL!$L184),'Curva Forward'!$B$5:$B$13,0),MATCH(GJ$4,'Curva Forward'!$C$4:$AN$4,0))),DL184)</f>
        <v>0</v>
      </c>
      <c r="GK184" s="190">
        <f>AY184*AY$2*IF($FC184="V",1,-1)*IF($Q184="Fixo",(DM184-INDEX('Curva Forward'!$C$5:$AN$13,MATCH(CONCATENATE(BD_COMERCIAL!$K184," ",BD_COMERCIAL!$L184),'Curva Forward'!$B$5:$B$13,0),MATCH(GK$4,'Curva Forward'!$C$4:$AN$4,0))),DM184)</f>
        <v>0</v>
      </c>
      <c r="GL184" s="190">
        <f>IF(EZ184="",0,CL184*CL$2*IF($FC184="V",1,-1)*IF($Q184="Fixo",(EZ184-INDEX('Curva Forward'!$C$5:$AN$13,MATCH(CONCATENATE(BD_COMERCIAL!$K184," ",BD_COMERCIAL!$L184),'Curva Forward'!$B$5:$B$13,0),MATCH(GL$4,'Curva Forward'!$C$4:$AN$4,0))),EZ184))</f>
        <v>0</v>
      </c>
      <c r="GM184" s="190">
        <f>IF(FA184="",0,CM184*CM$2*IF($FC184="V",1,-1)*IF($Q184="Fixo",(FA184-INDEX('Curva Forward'!$C$5:$AN$13,MATCH(CONCATENATE(BD_COMERCIAL!$K184," ",BD_COMERCIAL!$L184),'Curva Forward'!$B$5:$B$13,0),MATCH(GM$4,'Curva Forward'!$C$4:$AN$4,0))),FA184))</f>
        <v>0</v>
      </c>
      <c r="GN184" s="190">
        <f>IF(FB184="",0,CN184*CN$2*IF($FC184="V",1,-1)*IF($Q184="Fixo",(FB184-INDEX('Curva Forward'!$C$5:$AN$13,MATCH(CONCATENATE(BD_COMERCIAL!$K184," ",BD_COMERCIAL!$L184),'Curva Forward'!$B$5:$B$13,0),MATCH(GN$4,'Curva Forward'!$C$4:$AN$4,0))),FB184))</f>
        <v>0</v>
      </c>
      <c r="GO184" s="191">
        <f t="shared" ca="1" si="25"/>
        <v>0</v>
      </c>
      <c r="GP184" s="191">
        <f t="shared" ca="1" si="26"/>
        <v>0</v>
      </c>
      <c r="GQ184" s="115"/>
      <c r="GR184" s="115"/>
      <c r="GS184"/>
      <c r="GT184" s="65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</row>
    <row r="185" spans="1:236" s="265" customFormat="1" ht="15" customHeight="1" x14ac:dyDescent="0.35">
      <c r="A185" s="251"/>
      <c r="B185" s="275"/>
      <c r="C185" s="253"/>
      <c r="D185" s="254"/>
      <c r="E185" s="254"/>
      <c r="F185" s="255"/>
      <c r="G185" s="256"/>
      <c r="H185" s="255"/>
      <c r="I185" s="254"/>
      <c r="J185" s="257"/>
      <c r="K185" s="256"/>
      <c r="L185" s="252"/>
      <c r="M185" s="258"/>
      <c r="N185" s="259"/>
      <c r="O185" s="256"/>
      <c r="P185" s="252"/>
      <c r="Q185" s="252"/>
      <c r="R185" s="256"/>
      <c r="S185" s="260"/>
      <c r="T185" s="258"/>
      <c r="U185" s="259"/>
      <c r="V185" s="261"/>
      <c r="W185" s="252"/>
      <c r="X185" s="262"/>
      <c r="Y185" s="257"/>
      <c r="Z185" s="263"/>
      <c r="AA185" s="264"/>
      <c r="AB185" s="266"/>
      <c r="AM185" s="251"/>
      <c r="AN185" s="266"/>
      <c r="AY185" s="251"/>
      <c r="AZ185" s="266"/>
      <c r="BK185" s="251"/>
      <c r="BL185" s="266"/>
      <c r="BW185" s="251"/>
      <c r="BX185" s="266"/>
      <c r="CI185" s="251"/>
      <c r="CJ185" s="267"/>
      <c r="CK185" s="267"/>
      <c r="CL185" s="267"/>
      <c r="CM185" s="267"/>
      <c r="CN185" s="267"/>
      <c r="CO185" s="268"/>
      <c r="CP185" s="266"/>
      <c r="DA185" s="251"/>
      <c r="DB185" s="266"/>
      <c r="DM185" s="251"/>
      <c r="DN185" s="266"/>
      <c r="DY185" s="251"/>
      <c r="DZ185" s="266"/>
      <c r="EK185" s="251"/>
      <c r="EL185" s="266"/>
      <c r="EW185" s="251"/>
      <c r="EX185" s="267"/>
      <c r="EY185" s="267"/>
      <c r="EZ185" s="267"/>
      <c r="FA185" s="267"/>
      <c r="FB185" s="269"/>
      <c r="FD185" s="270"/>
      <c r="FF185" s="276"/>
      <c r="FH185" s="206">
        <f t="shared" si="20"/>
        <v>0</v>
      </c>
      <c r="FI185" s="198">
        <f t="shared" si="21"/>
        <v>0</v>
      </c>
      <c r="FJ185"/>
      <c r="FK185">
        <f t="shared" si="22"/>
        <v>0</v>
      </c>
      <c r="FL185" s="191">
        <f t="shared" ca="1" si="23"/>
        <v>0</v>
      </c>
      <c r="FM185" s="191">
        <f t="shared" ca="1" si="24"/>
        <v>0</v>
      </c>
      <c r="FN185" s="190">
        <f>AB185*AB$2*IF($FC185="V",1,-1)*IF($Q185="Fixo",(CP185-INDEX('Curva Forward'!$C$5:$AN$13,MATCH(CONCATENATE(BD_COMERCIAL!$K185," ",BD_COMERCIAL!$L185),'Curva Forward'!$B$5:$B$13,0),MATCH(FN$4,'Curva Forward'!$C$4:$AN$4,0))),CP185)</f>
        <v>0</v>
      </c>
      <c r="FO185" s="190">
        <f>AC185*AC$2*IF($FC185="V",1,-1)*IF($Q185="Fixo",(CQ185-INDEX('Curva Forward'!$C$5:$AN$13,MATCH(CONCATENATE(BD_COMERCIAL!$K185," ",BD_COMERCIAL!$L185),'Curva Forward'!$B$5:$B$13,0),MATCH(FO$4,'Curva Forward'!$C$4:$AN$4,0))),CQ185)</f>
        <v>0</v>
      </c>
      <c r="FP185" s="190">
        <f>AD185*AD$2*IF($FC185="V",1,-1)*IF($Q185="Fixo",(CR185-INDEX('Curva Forward'!$C$5:$AN$13,MATCH(CONCATENATE(BD_COMERCIAL!$K185," ",BD_COMERCIAL!$L185),'Curva Forward'!$B$5:$B$13,0),MATCH(FP$4,'Curva Forward'!$C$4:$AN$4,0))),CR185)</f>
        <v>0</v>
      </c>
      <c r="FQ185" s="190">
        <f>AE185*AE$2*IF($FC185="V",1,-1)*IF($Q185="Fixo",(CS185-INDEX('Curva Forward'!$C$5:$AN$13,MATCH(CONCATENATE(BD_COMERCIAL!$K185," ",BD_COMERCIAL!$L185),'Curva Forward'!$B$5:$B$13,0),MATCH(FQ$4,'Curva Forward'!$C$4:$AN$4,0))),CS185)</f>
        <v>0</v>
      </c>
      <c r="FR185" s="190">
        <f>AF185*AF$2*IF($FC185="V",1,-1)*IF($Q185="Fixo",(CT185-INDEX('Curva Forward'!$C$5:$AN$13,MATCH(CONCATENATE(BD_COMERCIAL!$K185," ",BD_COMERCIAL!$L185),'Curva Forward'!$B$5:$B$13,0),MATCH(FR$4,'Curva Forward'!$C$4:$AN$4,0))),CT185)</f>
        <v>0</v>
      </c>
      <c r="FS185" s="190">
        <f>AG185*AG$2*IF($FC185="V",1,-1)*IF($Q185="Fixo",(CU185-INDEX('Curva Forward'!$C$5:$AN$13,MATCH(CONCATENATE(BD_COMERCIAL!$K185," ",BD_COMERCIAL!$L185),'Curva Forward'!$B$5:$B$13,0),MATCH(FS$4,'Curva Forward'!$C$4:$AN$4,0))),CU185)</f>
        <v>0</v>
      </c>
      <c r="FT185" s="190">
        <f>AH185*AH$2*IF($FC185="V",1,-1)*IF($Q185="Fixo",(CV185-INDEX('Curva Forward'!$C$5:$AN$13,MATCH(CONCATENATE(BD_COMERCIAL!$K185," ",BD_COMERCIAL!$L185),'Curva Forward'!$B$5:$B$13,0),MATCH(FT$4,'Curva Forward'!$C$4:$AN$4,0))),CV185)</f>
        <v>0</v>
      </c>
      <c r="FU185" s="190">
        <f>AI185*AI$2*IF($FC185="V",1,-1)*IF($Q185="Fixo",(CW185-INDEX('Curva Forward'!$C$5:$AN$13,MATCH(CONCATENATE(BD_COMERCIAL!$K185," ",BD_COMERCIAL!$L185),'Curva Forward'!$B$5:$B$13,0),MATCH(FU$4,'Curva Forward'!$C$4:$AN$4,0))),CW185)</f>
        <v>0</v>
      </c>
      <c r="FV185" s="190">
        <f>AJ185*AJ$2*IF($FC185="V",1,-1)*IF($Q185="Fixo",(CX185-INDEX('Curva Forward'!$C$5:$AN$13,MATCH(CONCATENATE(BD_COMERCIAL!$K185," ",BD_COMERCIAL!$L185),'Curva Forward'!$B$5:$B$13,0),MATCH(FV$4,'Curva Forward'!$C$4:$AN$4,0))),CX185)</f>
        <v>0</v>
      </c>
      <c r="FW185" s="190">
        <f>AK185*AK$2*IF($FC185="V",1,-1)*IF($Q185="Fixo",(CY185-INDEX('Curva Forward'!$C$5:$AN$13,MATCH(CONCATENATE(BD_COMERCIAL!$K185," ",BD_COMERCIAL!$L185),'Curva Forward'!$B$5:$B$13,0),MATCH(FW$4,'Curva Forward'!$C$4:$AN$4,0))),CY185)</f>
        <v>0</v>
      </c>
      <c r="FX185" s="190">
        <f>AL185*AL$2*IF($FC185="V",1,-1)*IF($Q185="Fixo",(CZ185-INDEX('Curva Forward'!$C$5:$AN$13,MATCH(CONCATENATE(BD_COMERCIAL!$K185," ",BD_COMERCIAL!$L185),'Curva Forward'!$B$5:$B$13,0),MATCH(FX$4,'Curva Forward'!$C$4:$AN$4,0))),CZ185)</f>
        <v>0</v>
      </c>
      <c r="FY185" s="190">
        <f>AM185*AM$2*IF($FC185="V",1,-1)*IF($Q185="Fixo",(DA185-INDEX('Curva Forward'!$C$5:$AN$13,MATCH(CONCATENATE(BD_COMERCIAL!$K185," ",BD_COMERCIAL!$L185),'Curva Forward'!$B$5:$B$13,0),MATCH(FY$4,'Curva Forward'!$C$4:$AN$4,0))),DA185)</f>
        <v>0</v>
      </c>
      <c r="FZ185" s="190">
        <f>AN185*AN$2*IF($FC185="V",1,-1)*IF($Q185="Fixo",(DB185-INDEX('Curva Forward'!$C$5:$AN$13,MATCH(CONCATENATE(BD_COMERCIAL!$K185," ",BD_COMERCIAL!$L185),'Curva Forward'!$B$5:$B$13,0),MATCH(FZ$4,'Curva Forward'!$C$4:$AN$4,0))),DB185)</f>
        <v>0</v>
      </c>
      <c r="GA185" s="190">
        <f>AO185*AO$2*IF($FC185="V",1,-1)*IF($Q185="Fixo",(DC185-INDEX('Curva Forward'!$C$5:$AN$13,MATCH(CONCATENATE(BD_COMERCIAL!$K185," ",BD_COMERCIAL!$L185),'Curva Forward'!$B$5:$B$13,0),MATCH(GA$4,'Curva Forward'!$C$4:$AN$4,0))),DC185)</f>
        <v>0</v>
      </c>
      <c r="GB185" s="190">
        <f>AP185*AP$2*IF($FC185="V",1,-1)*IF($Q185="Fixo",(DD185-INDEX('Curva Forward'!$C$5:$AN$13,MATCH(CONCATENATE(BD_COMERCIAL!$K185," ",BD_COMERCIAL!$L185),'Curva Forward'!$B$5:$B$13,0),MATCH(GB$4,'Curva Forward'!$C$4:$AN$4,0))),DD185)</f>
        <v>0</v>
      </c>
      <c r="GC185" s="190">
        <f>AQ185*AQ$2*IF($FC185="V",1,-1)*IF($Q185="Fixo",(DE185-INDEX('Curva Forward'!$C$5:$AN$13,MATCH(CONCATENATE(BD_COMERCIAL!$K185," ",BD_COMERCIAL!$L185),'Curva Forward'!$B$5:$B$13,0),MATCH(GC$4,'Curva Forward'!$C$4:$AN$4,0))),DE185)</f>
        <v>0</v>
      </c>
      <c r="GD185" s="190">
        <f>AR185*AR$2*IF($FC185="V",1,-1)*IF($Q185="Fixo",(DF185-INDEX('Curva Forward'!$C$5:$AN$13,MATCH(CONCATENATE(BD_COMERCIAL!$K185," ",BD_COMERCIAL!$L185),'Curva Forward'!$B$5:$B$13,0),MATCH(GD$4,'Curva Forward'!$C$4:$AN$4,0))),DF185)</f>
        <v>0</v>
      </c>
      <c r="GE185" s="190">
        <f>AS185*AS$2*IF($FC185="V",1,-1)*IF($Q185="Fixo",(DG185-INDEX('Curva Forward'!$C$5:$AN$13,MATCH(CONCATENATE(BD_COMERCIAL!$K185," ",BD_COMERCIAL!$L185),'Curva Forward'!$B$5:$B$13,0),MATCH(GE$4,'Curva Forward'!$C$4:$AN$4,0))),DG185)</f>
        <v>0</v>
      </c>
      <c r="GF185" s="190">
        <f>AT185*AT$2*IF($FC185="V",1,-1)*IF($Q185="Fixo",(DH185-INDEX('Curva Forward'!$C$5:$AN$13,MATCH(CONCATENATE(BD_COMERCIAL!$K185," ",BD_COMERCIAL!$L185),'Curva Forward'!$B$5:$B$13,0),MATCH(GF$4,'Curva Forward'!$C$4:$AN$4,0))),DH185)</f>
        <v>0</v>
      </c>
      <c r="GG185" s="190">
        <f>AU185*AU$2*IF($FC185="V",1,-1)*IF($Q185="Fixo",(DI185-INDEX('Curva Forward'!$C$5:$AN$13,MATCH(CONCATENATE(BD_COMERCIAL!$K185," ",BD_COMERCIAL!$L185),'Curva Forward'!$B$5:$B$13,0),MATCH(GG$4,'Curva Forward'!$C$4:$AN$4,0))),DI185)</f>
        <v>0</v>
      </c>
      <c r="GH185" s="190">
        <f>AV185*AV$2*IF($FC185="V",1,-1)*IF($Q185="Fixo",(DJ185-INDEX('Curva Forward'!$C$5:$AN$13,MATCH(CONCATENATE(BD_COMERCIAL!$K185," ",BD_COMERCIAL!$L185),'Curva Forward'!$B$5:$B$13,0),MATCH(GH$4,'Curva Forward'!$C$4:$AN$4,0))),DJ185)</f>
        <v>0</v>
      </c>
      <c r="GI185" s="190">
        <f>AW185*AW$2*IF($FC185="V",1,-1)*IF($Q185="Fixo",(DK185-INDEX('Curva Forward'!$C$5:$AN$13,MATCH(CONCATENATE(BD_COMERCIAL!$K185," ",BD_COMERCIAL!$L185),'Curva Forward'!$B$5:$B$13,0),MATCH(GI$4,'Curva Forward'!$C$4:$AN$4,0))),DK185)</f>
        <v>0</v>
      </c>
      <c r="GJ185" s="190">
        <f>AX185*AX$2*IF($FC185="V",1,-1)*IF($Q185="Fixo",(DL185-INDEX('Curva Forward'!$C$5:$AN$13,MATCH(CONCATENATE(BD_COMERCIAL!$K185," ",BD_COMERCIAL!$L185),'Curva Forward'!$B$5:$B$13,0),MATCH(GJ$4,'Curva Forward'!$C$4:$AN$4,0))),DL185)</f>
        <v>0</v>
      </c>
      <c r="GK185" s="190">
        <f>AY185*AY$2*IF($FC185="V",1,-1)*IF($Q185="Fixo",(DM185-INDEX('Curva Forward'!$C$5:$AN$13,MATCH(CONCATENATE(BD_COMERCIAL!$K185," ",BD_COMERCIAL!$L185),'Curva Forward'!$B$5:$B$13,0),MATCH(GK$4,'Curva Forward'!$C$4:$AN$4,0))),DM185)</f>
        <v>0</v>
      </c>
      <c r="GL185" s="190">
        <f>IF(EZ185="",0,CL185*CL$2*IF($FC185="V",1,-1)*IF($Q185="Fixo",(EZ185-INDEX('Curva Forward'!$C$5:$AN$13,MATCH(CONCATENATE(BD_COMERCIAL!$K185," ",BD_COMERCIAL!$L185),'Curva Forward'!$B$5:$B$13,0),MATCH(GL$4,'Curva Forward'!$C$4:$AN$4,0))),EZ185))</f>
        <v>0</v>
      </c>
      <c r="GM185" s="190">
        <f>IF(FA185="",0,CM185*CM$2*IF($FC185="V",1,-1)*IF($Q185="Fixo",(FA185-INDEX('Curva Forward'!$C$5:$AN$13,MATCH(CONCATENATE(BD_COMERCIAL!$K185," ",BD_COMERCIAL!$L185),'Curva Forward'!$B$5:$B$13,0),MATCH(GM$4,'Curva Forward'!$C$4:$AN$4,0))),FA185))</f>
        <v>0</v>
      </c>
      <c r="GN185" s="190">
        <f>IF(FB185="",0,CN185*CN$2*IF($FC185="V",1,-1)*IF($Q185="Fixo",(FB185-INDEX('Curva Forward'!$C$5:$AN$13,MATCH(CONCATENATE(BD_COMERCIAL!$K185," ",BD_COMERCIAL!$L185),'Curva Forward'!$B$5:$B$13,0),MATCH(GN$4,'Curva Forward'!$C$4:$AN$4,0))),FB185))</f>
        <v>0</v>
      </c>
      <c r="GO185" s="191">
        <f t="shared" ca="1" si="25"/>
        <v>0</v>
      </c>
      <c r="GP185" s="191">
        <f t="shared" ca="1" si="26"/>
        <v>0</v>
      </c>
      <c r="GQ185" s="115"/>
      <c r="GR185" s="115"/>
      <c r="GS185"/>
      <c r="GT185" s="6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</row>
    <row r="186" spans="1:236" s="265" customFormat="1" ht="15" customHeight="1" x14ac:dyDescent="0.35">
      <c r="A186" s="251"/>
      <c r="B186" s="275"/>
      <c r="C186" s="253"/>
      <c r="D186" s="254"/>
      <c r="E186" s="254"/>
      <c r="F186" s="255"/>
      <c r="G186" s="256"/>
      <c r="H186" s="255"/>
      <c r="I186" s="254"/>
      <c r="J186" s="257"/>
      <c r="K186" s="256"/>
      <c r="L186" s="252"/>
      <c r="M186" s="258"/>
      <c r="N186" s="259"/>
      <c r="O186" s="256"/>
      <c r="P186" s="252"/>
      <c r="Q186" s="252"/>
      <c r="R186" s="256"/>
      <c r="S186" s="260"/>
      <c r="T186" s="258"/>
      <c r="U186" s="259"/>
      <c r="V186" s="261"/>
      <c r="W186" s="252"/>
      <c r="X186" s="262"/>
      <c r="Y186" s="257"/>
      <c r="Z186" s="263"/>
      <c r="AA186" s="264"/>
      <c r="AB186" s="266"/>
      <c r="AM186" s="251"/>
      <c r="AN186" s="266"/>
      <c r="AY186" s="251"/>
      <c r="AZ186" s="266"/>
      <c r="BK186" s="251"/>
      <c r="BL186" s="266"/>
      <c r="BW186" s="251"/>
      <c r="BX186" s="266"/>
      <c r="CI186" s="251"/>
      <c r="CJ186" s="267"/>
      <c r="CK186" s="267"/>
      <c r="CL186" s="267"/>
      <c r="CM186" s="267"/>
      <c r="CN186" s="267"/>
      <c r="CO186" s="268"/>
      <c r="CP186" s="266"/>
      <c r="DA186" s="251"/>
      <c r="DB186" s="266"/>
      <c r="DM186" s="251"/>
      <c r="DN186" s="266"/>
      <c r="DY186" s="251"/>
      <c r="DZ186" s="266"/>
      <c r="EK186" s="251"/>
      <c r="EL186" s="266"/>
      <c r="EW186" s="251"/>
      <c r="EX186" s="267"/>
      <c r="EY186" s="267"/>
      <c r="EZ186" s="267"/>
      <c r="FA186" s="267"/>
      <c r="FB186" s="269"/>
      <c r="FD186" s="270"/>
      <c r="FF186" s="276"/>
      <c r="FH186" s="206">
        <f t="shared" si="20"/>
        <v>0</v>
      </c>
      <c r="FI186" s="198">
        <f t="shared" si="21"/>
        <v>0</v>
      </c>
      <c r="FJ186"/>
      <c r="FK186">
        <f t="shared" si="22"/>
        <v>0</v>
      </c>
      <c r="FL186" s="191">
        <f t="shared" ca="1" si="23"/>
        <v>0</v>
      </c>
      <c r="FM186" s="191">
        <f t="shared" ca="1" si="24"/>
        <v>0</v>
      </c>
      <c r="FN186" s="190">
        <f>AB186*AB$2*IF($FC186="V",1,-1)*IF($Q186="Fixo",(CP186-INDEX('Curva Forward'!$C$5:$AN$13,MATCH(CONCATENATE(BD_COMERCIAL!$K186," ",BD_COMERCIAL!$L186),'Curva Forward'!$B$5:$B$13,0),MATCH(FN$4,'Curva Forward'!$C$4:$AN$4,0))),CP186)</f>
        <v>0</v>
      </c>
      <c r="FO186" s="190">
        <f>AC186*AC$2*IF($FC186="V",1,-1)*IF($Q186="Fixo",(CQ186-INDEX('Curva Forward'!$C$5:$AN$13,MATCH(CONCATENATE(BD_COMERCIAL!$K186," ",BD_COMERCIAL!$L186),'Curva Forward'!$B$5:$B$13,0),MATCH(FO$4,'Curva Forward'!$C$4:$AN$4,0))),CQ186)</f>
        <v>0</v>
      </c>
      <c r="FP186" s="190">
        <f>AD186*AD$2*IF($FC186="V",1,-1)*IF($Q186="Fixo",(CR186-INDEX('Curva Forward'!$C$5:$AN$13,MATCH(CONCATENATE(BD_COMERCIAL!$K186," ",BD_COMERCIAL!$L186),'Curva Forward'!$B$5:$B$13,0),MATCH(FP$4,'Curva Forward'!$C$4:$AN$4,0))),CR186)</f>
        <v>0</v>
      </c>
      <c r="FQ186" s="190">
        <f>AE186*AE$2*IF($FC186="V",1,-1)*IF($Q186="Fixo",(CS186-INDEX('Curva Forward'!$C$5:$AN$13,MATCH(CONCATENATE(BD_COMERCIAL!$K186," ",BD_COMERCIAL!$L186),'Curva Forward'!$B$5:$B$13,0),MATCH(FQ$4,'Curva Forward'!$C$4:$AN$4,0))),CS186)</f>
        <v>0</v>
      </c>
      <c r="FR186" s="190">
        <f>AF186*AF$2*IF($FC186="V",1,-1)*IF($Q186="Fixo",(CT186-INDEX('Curva Forward'!$C$5:$AN$13,MATCH(CONCATENATE(BD_COMERCIAL!$K186," ",BD_COMERCIAL!$L186),'Curva Forward'!$B$5:$B$13,0),MATCH(FR$4,'Curva Forward'!$C$4:$AN$4,0))),CT186)</f>
        <v>0</v>
      </c>
      <c r="FS186" s="190">
        <f>AG186*AG$2*IF($FC186="V",1,-1)*IF($Q186="Fixo",(CU186-INDEX('Curva Forward'!$C$5:$AN$13,MATCH(CONCATENATE(BD_COMERCIAL!$K186," ",BD_COMERCIAL!$L186),'Curva Forward'!$B$5:$B$13,0),MATCH(FS$4,'Curva Forward'!$C$4:$AN$4,0))),CU186)</f>
        <v>0</v>
      </c>
      <c r="FT186" s="190">
        <f>AH186*AH$2*IF($FC186="V",1,-1)*IF($Q186="Fixo",(CV186-INDEX('Curva Forward'!$C$5:$AN$13,MATCH(CONCATENATE(BD_COMERCIAL!$K186," ",BD_COMERCIAL!$L186),'Curva Forward'!$B$5:$B$13,0),MATCH(FT$4,'Curva Forward'!$C$4:$AN$4,0))),CV186)</f>
        <v>0</v>
      </c>
      <c r="FU186" s="190">
        <f>AI186*AI$2*IF($FC186="V",1,-1)*IF($Q186="Fixo",(CW186-INDEX('Curva Forward'!$C$5:$AN$13,MATCH(CONCATENATE(BD_COMERCIAL!$K186," ",BD_COMERCIAL!$L186),'Curva Forward'!$B$5:$B$13,0),MATCH(FU$4,'Curva Forward'!$C$4:$AN$4,0))),CW186)</f>
        <v>0</v>
      </c>
      <c r="FV186" s="190">
        <f>AJ186*AJ$2*IF($FC186="V",1,-1)*IF($Q186="Fixo",(CX186-INDEX('Curva Forward'!$C$5:$AN$13,MATCH(CONCATENATE(BD_COMERCIAL!$K186," ",BD_COMERCIAL!$L186),'Curva Forward'!$B$5:$B$13,0),MATCH(FV$4,'Curva Forward'!$C$4:$AN$4,0))),CX186)</f>
        <v>0</v>
      </c>
      <c r="FW186" s="190">
        <f>AK186*AK$2*IF($FC186="V",1,-1)*IF($Q186="Fixo",(CY186-INDEX('Curva Forward'!$C$5:$AN$13,MATCH(CONCATENATE(BD_COMERCIAL!$K186," ",BD_COMERCIAL!$L186),'Curva Forward'!$B$5:$B$13,0),MATCH(FW$4,'Curva Forward'!$C$4:$AN$4,0))),CY186)</f>
        <v>0</v>
      </c>
      <c r="FX186" s="190">
        <f>AL186*AL$2*IF($FC186="V",1,-1)*IF($Q186="Fixo",(CZ186-INDEX('Curva Forward'!$C$5:$AN$13,MATCH(CONCATENATE(BD_COMERCIAL!$K186," ",BD_COMERCIAL!$L186),'Curva Forward'!$B$5:$B$13,0),MATCH(FX$4,'Curva Forward'!$C$4:$AN$4,0))),CZ186)</f>
        <v>0</v>
      </c>
      <c r="FY186" s="190">
        <f>AM186*AM$2*IF($FC186="V",1,-1)*IF($Q186="Fixo",(DA186-INDEX('Curva Forward'!$C$5:$AN$13,MATCH(CONCATENATE(BD_COMERCIAL!$K186," ",BD_COMERCIAL!$L186),'Curva Forward'!$B$5:$B$13,0),MATCH(FY$4,'Curva Forward'!$C$4:$AN$4,0))),DA186)</f>
        <v>0</v>
      </c>
      <c r="FZ186" s="190">
        <f>AN186*AN$2*IF($FC186="V",1,-1)*IF($Q186="Fixo",(DB186-INDEX('Curva Forward'!$C$5:$AN$13,MATCH(CONCATENATE(BD_COMERCIAL!$K186," ",BD_COMERCIAL!$L186),'Curva Forward'!$B$5:$B$13,0),MATCH(FZ$4,'Curva Forward'!$C$4:$AN$4,0))),DB186)</f>
        <v>0</v>
      </c>
      <c r="GA186" s="190">
        <f>AO186*AO$2*IF($FC186="V",1,-1)*IF($Q186="Fixo",(DC186-INDEX('Curva Forward'!$C$5:$AN$13,MATCH(CONCATENATE(BD_COMERCIAL!$K186," ",BD_COMERCIAL!$L186),'Curva Forward'!$B$5:$B$13,0),MATCH(GA$4,'Curva Forward'!$C$4:$AN$4,0))),DC186)</f>
        <v>0</v>
      </c>
      <c r="GB186" s="190">
        <f>AP186*AP$2*IF($FC186="V",1,-1)*IF($Q186="Fixo",(DD186-INDEX('Curva Forward'!$C$5:$AN$13,MATCH(CONCATENATE(BD_COMERCIAL!$K186," ",BD_COMERCIAL!$L186),'Curva Forward'!$B$5:$B$13,0),MATCH(GB$4,'Curva Forward'!$C$4:$AN$4,0))),DD186)</f>
        <v>0</v>
      </c>
      <c r="GC186" s="190">
        <f>AQ186*AQ$2*IF($FC186="V",1,-1)*IF($Q186="Fixo",(DE186-INDEX('Curva Forward'!$C$5:$AN$13,MATCH(CONCATENATE(BD_COMERCIAL!$K186," ",BD_COMERCIAL!$L186),'Curva Forward'!$B$5:$B$13,0),MATCH(GC$4,'Curva Forward'!$C$4:$AN$4,0))),DE186)</f>
        <v>0</v>
      </c>
      <c r="GD186" s="190">
        <f>AR186*AR$2*IF($FC186="V",1,-1)*IF($Q186="Fixo",(DF186-INDEX('Curva Forward'!$C$5:$AN$13,MATCH(CONCATENATE(BD_COMERCIAL!$K186," ",BD_COMERCIAL!$L186),'Curva Forward'!$B$5:$B$13,0),MATCH(GD$4,'Curva Forward'!$C$4:$AN$4,0))),DF186)</f>
        <v>0</v>
      </c>
      <c r="GE186" s="190">
        <f>AS186*AS$2*IF($FC186="V",1,-1)*IF($Q186="Fixo",(DG186-INDEX('Curva Forward'!$C$5:$AN$13,MATCH(CONCATENATE(BD_COMERCIAL!$K186," ",BD_COMERCIAL!$L186),'Curva Forward'!$B$5:$B$13,0),MATCH(GE$4,'Curva Forward'!$C$4:$AN$4,0))),DG186)</f>
        <v>0</v>
      </c>
      <c r="GF186" s="190">
        <f>AT186*AT$2*IF($FC186="V",1,-1)*IF($Q186="Fixo",(DH186-INDEX('Curva Forward'!$C$5:$AN$13,MATCH(CONCATENATE(BD_COMERCIAL!$K186," ",BD_COMERCIAL!$L186),'Curva Forward'!$B$5:$B$13,0),MATCH(GF$4,'Curva Forward'!$C$4:$AN$4,0))),DH186)</f>
        <v>0</v>
      </c>
      <c r="GG186" s="190">
        <f>AU186*AU$2*IF($FC186="V",1,-1)*IF($Q186="Fixo",(DI186-INDEX('Curva Forward'!$C$5:$AN$13,MATCH(CONCATENATE(BD_COMERCIAL!$K186," ",BD_COMERCIAL!$L186),'Curva Forward'!$B$5:$B$13,0),MATCH(GG$4,'Curva Forward'!$C$4:$AN$4,0))),DI186)</f>
        <v>0</v>
      </c>
      <c r="GH186" s="190">
        <f>AV186*AV$2*IF($FC186="V",1,-1)*IF($Q186="Fixo",(DJ186-INDEX('Curva Forward'!$C$5:$AN$13,MATCH(CONCATENATE(BD_COMERCIAL!$K186," ",BD_COMERCIAL!$L186),'Curva Forward'!$B$5:$B$13,0),MATCH(GH$4,'Curva Forward'!$C$4:$AN$4,0))),DJ186)</f>
        <v>0</v>
      </c>
      <c r="GI186" s="190">
        <f>AW186*AW$2*IF($FC186="V",1,-1)*IF($Q186="Fixo",(DK186-INDEX('Curva Forward'!$C$5:$AN$13,MATCH(CONCATENATE(BD_COMERCIAL!$K186," ",BD_COMERCIAL!$L186),'Curva Forward'!$B$5:$B$13,0),MATCH(GI$4,'Curva Forward'!$C$4:$AN$4,0))),DK186)</f>
        <v>0</v>
      </c>
      <c r="GJ186" s="190">
        <f>AX186*AX$2*IF($FC186="V",1,-1)*IF($Q186="Fixo",(DL186-INDEX('Curva Forward'!$C$5:$AN$13,MATCH(CONCATENATE(BD_COMERCIAL!$K186," ",BD_COMERCIAL!$L186),'Curva Forward'!$B$5:$B$13,0),MATCH(GJ$4,'Curva Forward'!$C$4:$AN$4,0))),DL186)</f>
        <v>0</v>
      </c>
      <c r="GK186" s="190">
        <f>AY186*AY$2*IF($FC186="V",1,-1)*IF($Q186="Fixo",(DM186-INDEX('Curva Forward'!$C$5:$AN$13,MATCH(CONCATENATE(BD_COMERCIAL!$K186," ",BD_COMERCIAL!$L186),'Curva Forward'!$B$5:$B$13,0),MATCH(GK$4,'Curva Forward'!$C$4:$AN$4,0))),DM186)</f>
        <v>0</v>
      </c>
      <c r="GL186" s="190">
        <f>IF(EZ186="",0,CL186*CL$2*IF($FC186="V",1,-1)*IF($Q186="Fixo",(EZ186-INDEX('Curva Forward'!$C$5:$AN$13,MATCH(CONCATENATE(BD_COMERCIAL!$K186," ",BD_COMERCIAL!$L186),'Curva Forward'!$B$5:$B$13,0),MATCH(GL$4,'Curva Forward'!$C$4:$AN$4,0))),EZ186))</f>
        <v>0</v>
      </c>
      <c r="GM186" s="190">
        <f>IF(FA186="",0,CM186*CM$2*IF($FC186="V",1,-1)*IF($Q186="Fixo",(FA186-INDEX('Curva Forward'!$C$5:$AN$13,MATCH(CONCATENATE(BD_COMERCIAL!$K186," ",BD_COMERCIAL!$L186),'Curva Forward'!$B$5:$B$13,0),MATCH(GM$4,'Curva Forward'!$C$4:$AN$4,0))),FA186))</f>
        <v>0</v>
      </c>
      <c r="GN186" s="190">
        <f>IF(FB186="",0,CN186*CN$2*IF($FC186="V",1,-1)*IF($Q186="Fixo",(FB186-INDEX('Curva Forward'!$C$5:$AN$13,MATCH(CONCATENATE(BD_COMERCIAL!$K186," ",BD_COMERCIAL!$L186),'Curva Forward'!$B$5:$B$13,0),MATCH(GN$4,'Curva Forward'!$C$4:$AN$4,0))),FB186))</f>
        <v>0</v>
      </c>
      <c r="GO186" s="191">
        <f t="shared" ca="1" si="25"/>
        <v>0</v>
      </c>
      <c r="GP186" s="191">
        <f t="shared" ca="1" si="26"/>
        <v>0</v>
      </c>
      <c r="GQ186" s="115"/>
      <c r="GR186" s="115"/>
      <c r="GS186"/>
      <c r="GT186" s="65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</row>
    <row r="187" spans="1:236" s="265" customFormat="1" ht="15" customHeight="1" x14ac:dyDescent="0.35">
      <c r="A187" s="251"/>
      <c r="B187" s="275"/>
      <c r="C187" s="253"/>
      <c r="D187" s="254"/>
      <c r="E187" s="254"/>
      <c r="F187" s="255"/>
      <c r="G187" s="256"/>
      <c r="H187" s="255"/>
      <c r="I187" s="254"/>
      <c r="J187" s="257"/>
      <c r="K187" s="256"/>
      <c r="L187" s="252"/>
      <c r="M187" s="258"/>
      <c r="N187" s="259"/>
      <c r="O187" s="256"/>
      <c r="P187" s="252"/>
      <c r="Q187" s="252"/>
      <c r="R187" s="256"/>
      <c r="S187" s="260"/>
      <c r="T187" s="258"/>
      <c r="U187" s="259"/>
      <c r="V187" s="261"/>
      <c r="W187" s="252"/>
      <c r="X187" s="262"/>
      <c r="Y187" s="257"/>
      <c r="Z187" s="263"/>
      <c r="AA187" s="264"/>
      <c r="AB187" s="266"/>
      <c r="AM187" s="251"/>
      <c r="AN187" s="266"/>
      <c r="AY187" s="251"/>
      <c r="AZ187" s="266"/>
      <c r="BK187" s="251"/>
      <c r="BL187" s="266"/>
      <c r="BW187" s="251"/>
      <c r="BX187" s="266"/>
      <c r="CI187" s="251"/>
      <c r="CJ187" s="267"/>
      <c r="CK187" s="267"/>
      <c r="CL187" s="267"/>
      <c r="CM187" s="267"/>
      <c r="CN187" s="267"/>
      <c r="CO187" s="268"/>
      <c r="CP187" s="266"/>
      <c r="DA187" s="251"/>
      <c r="DB187" s="266"/>
      <c r="DM187" s="251"/>
      <c r="DN187" s="266"/>
      <c r="DY187" s="251"/>
      <c r="DZ187" s="266"/>
      <c r="EK187" s="251"/>
      <c r="EL187" s="266"/>
      <c r="EW187" s="251"/>
      <c r="EX187" s="267"/>
      <c r="EY187" s="267"/>
      <c r="EZ187" s="267"/>
      <c r="FA187" s="267"/>
      <c r="FB187" s="269"/>
      <c r="FD187" s="270"/>
      <c r="FF187" s="276"/>
      <c r="FH187" s="206">
        <f t="shared" si="20"/>
        <v>0</v>
      </c>
      <c r="FI187" s="198">
        <f t="shared" si="21"/>
        <v>0</v>
      </c>
      <c r="FJ187"/>
      <c r="FK187">
        <f t="shared" si="22"/>
        <v>0</v>
      </c>
      <c r="FL187" s="191">
        <f t="shared" ca="1" si="23"/>
        <v>0</v>
      </c>
      <c r="FM187" s="191">
        <f t="shared" ca="1" si="24"/>
        <v>0</v>
      </c>
      <c r="FN187" s="190">
        <f>AB187*AB$2*IF($FC187="V",1,-1)*IF($Q187="Fixo",(CP187-INDEX('Curva Forward'!$C$5:$AN$13,MATCH(CONCATENATE(BD_COMERCIAL!$K187," ",BD_COMERCIAL!$L187),'Curva Forward'!$B$5:$B$13,0),MATCH(FN$4,'Curva Forward'!$C$4:$AN$4,0))),CP187)</f>
        <v>0</v>
      </c>
      <c r="FO187" s="190">
        <f>AC187*AC$2*IF($FC187="V",1,-1)*IF($Q187="Fixo",(CQ187-INDEX('Curva Forward'!$C$5:$AN$13,MATCH(CONCATENATE(BD_COMERCIAL!$K187," ",BD_COMERCIAL!$L187),'Curva Forward'!$B$5:$B$13,0),MATCH(FO$4,'Curva Forward'!$C$4:$AN$4,0))),CQ187)</f>
        <v>0</v>
      </c>
      <c r="FP187" s="190">
        <f>AD187*AD$2*IF($FC187="V",1,-1)*IF($Q187="Fixo",(CR187-INDEX('Curva Forward'!$C$5:$AN$13,MATCH(CONCATENATE(BD_COMERCIAL!$K187," ",BD_COMERCIAL!$L187),'Curva Forward'!$B$5:$B$13,0),MATCH(FP$4,'Curva Forward'!$C$4:$AN$4,0))),CR187)</f>
        <v>0</v>
      </c>
      <c r="FQ187" s="190">
        <f>AE187*AE$2*IF($FC187="V",1,-1)*IF($Q187="Fixo",(CS187-INDEX('Curva Forward'!$C$5:$AN$13,MATCH(CONCATENATE(BD_COMERCIAL!$K187," ",BD_COMERCIAL!$L187),'Curva Forward'!$B$5:$B$13,0),MATCH(FQ$4,'Curva Forward'!$C$4:$AN$4,0))),CS187)</f>
        <v>0</v>
      </c>
      <c r="FR187" s="190">
        <f>AF187*AF$2*IF($FC187="V",1,-1)*IF($Q187="Fixo",(CT187-INDEX('Curva Forward'!$C$5:$AN$13,MATCH(CONCATENATE(BD_COMERCIAL!$K187," ",BD_COMERCIAL!$L187),'Curva Forward'!$B$5:$B$13,0),MATCH(FR$4,'Curva Forward'!$C$4:$AN$4,0))),CT187)</f>
        <v>0</v>
      </c>
      <c r="FS187" s="190">
        <f>AG187*AG$2*IF($FC187="V",1,-1)*IF($Q187="Fixo",(CU187-INDEX('Curva Forward'!$C$5:$AN$13,MATCH(CONCATENATE(BD_COMERCIAL!$K187," ",BD_COMERCIAL!$L187),'Curva Forward'!$B$5:$B$13,0),MATCH(FS$4,'Curva Forward'!$C$4:$AN$4,0))),CU187)</f>
        <v>0</v>
      </c>
      <c r="FT187" s="190">
        <f>AH187*AH$2*IF($FC187="V",1,-1)*IF($Q187="Fixo",(CV187-INDEX('Curva Forward'!$C$5:$AN$13,MATCH(CONCATENATE(BD_COMERCIAL!$K187," ",BD_COMERCIAL!$L187),'Curva Forward'!$B$5:$B$13,0),MATCH(FT$4,'Curva Forward'!$C$4:$AN$4,0))),CV187)</f>
        <v>0</v>
      </c>
      <c r="FU187" s="190">
        <f>AI187*AI$2*IF($FC187="V",1,-1)*IF($Q187="Fixo",(CW187-INDEX('Curva Forward'!$C$5:$AN$13,MATCH(CONCATENATE(BD_COMERCIAL!$K187," ",BD_COMERCIAL!$L187),'Curva Forward'!$B$5:$B$13,0),MATCH(FU$4,'Curva Forward'!$C$4:$AN$4,0))),CW187)</f>
        <v>0</v>
      </c>
      <c r="FV187" s="190">
        <f>AJ187*AJ$2*IF($FC187="V",1,-1)*IF($Q187="Fixo",(CX187-INDEX('Curva Forward'!$C$5:$AN$13,MATCH(CONCATENATE(BD_COMERCIAL!$K187," ",BD_COMERCIAL!$L187),'Curva Forward'!$B$5:$B$13,0),MATCH(FV$4,'Curva Forward'!$C$4:$AN$4,0))),CX187)</f>
        <v>0</v>
      </c>
      <c r="FW187" s="190">
        <f>AK187*AK$2*IF($FC187="V",1,-1)*IF($Q187="Fixo",(CY187-INDEX('Curva Forward'!$C$5:$AN$13,MATCH(CONCATENATE(BD_COMERCIAL!$K187," ",BD_COMERCIAL!$L187),'Curva Forward'!$B$5:$B$13,0),MATCH(FW$4,'Curva Forward'!$C$4:$AN$4,0))),CY187)</f>
        <v>0</v>
      </c>
      <c r="FX187" s="190">
        <f>AL187*AL$2*IF($FC187="V",1,-1)*IF($Q187="Fixo",(CZ187-INDEX('Curva Forward'!$C$5:$AN$13,MATCH(CONCATENATE(BD_COMERCIAL!$K187," ",BD_COMERCIAL!$L187),'Curva Forward'!$B$5:$B$13,0),MATCH(FX$4,'Curva Forward'!$C$4:$AN$4,0))),CZ187)</f>
        <v>0</v>
      </c>
      <c r="FY187" s="190">
        <f>AM187*AM$2*IF($FC187="V",1,-1)*IF($Q187="Fixo",(DA187-INDEX('Curva Forward'!$C$5:$AN$13,MATCH(CONCATENATE(BD_COMERCIAL!$K187," ",BD_COMERCIAL!$L187),'Curva Forward'!$B$5:$B$13,0),MATCH(FY$4,'Curva Forward'!$C$4:$AN$4,0))),DA187)</f>
        <v>0</v>
      </c>
      <c r="FZ187" s="190">
        <f>AN187*AN$2*IF($FC187="V",1,-1)*IF($Q187="Fixo",(DB187-INDEX('Curva Forward'!$C$5:$AN$13,MATCH(CONCATENATE(BD_COMERCIAL!$K187," ",BD_COMERCIAL!$L187),'Curva Forward'!$B$5:$B$13,0),MATCH(FZ$4,'Curva Forward'!$C$4:$AN$4,0))),DB187)</f>
        <v>0</v>
      </c>
      <c r="GA187" s="190">
        <f>AO187*AO$2*IF($FC187="V",1,-1)*IF($Q187="Fixo",(DC187-INDEX('Curva Forward'!$C$5:$AN$13,MATCH(CONCATENATE(BD_COMERCIAL!$K187," ",BD_COMERCIAL!$L187),'Curva Forward'!$B$5:$B$13,0),MATCH(GA$4,'Curva Forward'!$C$4:$AN$4,0))),DC187)</f>
        <v>0</v>
      </c>
      <c r="GB187" s="190">
        <f>AP187*AP$2*IF($FC187="V",1,-1)*IF($Q187="Fixo",(DD187-INDEX('Curva Forward'!$C$5:$AN$13,MATCH(CONCATENATE(BD_COMERCIAL!$K187," ",BD_COMERCIAL!$L187),'Curva Forward'!$B$5:$B$13,0),MATCH(GB$4,'Curva Forward'!$C$4:$AN$4,0))),DD187)</f>
        <v>0</v>
      </c>
      <c r="GC187" s="190">
        <f>AQ187*AQ$2*IF($FC187="V",1,-1)*IF($Q187="Fixo",(DE187-INDEX('Curva Forward'!$C$5:$AN$13,MATCH(CONCATENATE(BD_COMERCIAL!$K187," ",BD_COMERCIAL!$L187),'Curva Forward'!$B$5:$B$13,0),MATCH(GC$4,'Curva Forward'!$C$4:$AN$4,0))),DE187)</f>
        <v>0</v>
      </c>
      <c r="GD187" s="190">
        <f>AR187*AR$2*IF($FC187="V",1,-1)*IF($Q187="Fixo",(DF187-INDEX('Curva Forward'!$C$5:$AN$13,MATCH(CONCATENATE(BD_COMERCIAL!$K187," ",BD_COMERCIAL!$L187),'Curva Forward'!$B$5:$B$13,0),MATCH(GD$4,'Curva Forward'!$C$4:$AN$4,0))),DF187)</f>
        <v>0</v>
      </c>
      <c r="GE187" s="190">
        <f>AS187*AS$2*IF($FC187="V",1,-1)*IF($Q187="Fixo",(DG187-INDEX('Curva Forward'!$C$5:$AN$13,MATCH(CONCATENATE(BD_COMERCIAL!$K187," ",BD_COMERCIAL!$L187),'Curva Forward'!$B$5:$B$13,0),MATCH(GE$4,'Curva Forward'!$C$4:$AN$4,0))),DG187)</f>
        <v>0</v>
      </c>
      <c r="GF187" s="190">
        <f>AT187*AT$2*IF($FC187="V",1,-1)*IF($Q187="Fixo",(DH187-INDEX('Curva Forward'!$C$5:$AN$13,MATCH(CONCATENATE(BD_COMERCIAL!$K187," ",BD_COMERCIAL!$L187),'Curva Forward'!$B$5:$B$13,0),MATCH(GF$4,'Curva Forward'!$C$4:$AN$4,0))),DH187)</f>
        <v>0</v>
      </c>
      <c r="GG187" s="190">
        <f>AU187*AU$2*IF($FC187="V",1,-1)*IF($Q187="Fixo",(DI187-INDEX('Curva Forward'!$C$5:$AN$13,MATCH(CONCATENATE(BD_COMERCIAL!$K187," ",BD_COMERCIAL!$L187),'Curva Forward'!$B$5:$B$13,0),MATCH(GG$4,'Curva Forward'!$C$4:$AN$4,0))),DI187)</f>
        <v>0</v>
      </c>
      <c r="GH187" s="190">
        <f>AV187*AV$2*IF($FC187="V",1,-1)*IF($Q187="Fixo",(DJ187-INDEX('Curva Forward'!$C$5:$AN$13,MATCH(CONCATENATE(BD_COMERCIAL!$K187," ",BD_COMERCIAL!$L187),'Curva Forward'!$B$5:$B$13,0),MATCH(GH$4,'Curva Forward'!$C$4:$AN$4,0))),DJ187)</f>
        <v>0</v>
      </c>
      <c r="GI187" s="190">
        <f>AW187*AW$2*IF($FC187="V",1,-1)*IF($Q187="Fixo",(DK187-INDEX('Curva Forward'!$C$5:$AN$13,MATCH(CONCATENATE(BD_COMERCIAL!$K187," ",BD_COMERCIAL!$L187),'Curva Forward'!$B$5:$B$13,0),MATCH(GI$4,'Curva Forward'!$C$4:$AN$4,0))),DK187)</f>
        <v>0</v>
      </c>
      <c r="GJ187" s="190">
        <f>AX187*AX$2*IF($FC187="V",1,-1)*IF($Q187="Fixo",(DL187-INDEX('Curva Forward'!$C$5:$AN$13,MATCH(CONCATENATE(BD_COMERCIAL!$K187," ",BD_COMERCIAL!$L187),'Curva Forward'!$B$5:$B$13,0),MATCH(GJ$4,'Curva Forward'!$C$4:$AN$4,0))),DL187)</f>
        <v>0</v>
      </c>
      <c r="GK187" s="190">
        <f>AY187*AY$2*IF($FC187="V",1,-1)*IF($Q187="Fixo",(DM187-INDEX('Curva Forward'!$C$5:$AN$13,MATCH(CONCATENATE(BD_COMERCIAL!$K187," ",BD_COMERCIAL!$L187),'Curva Forward'!$B$5:$B$13,0),MATCH(GK$4,'Curva Forward'!$C$4:$AN$4,0))),DM187)</f>
        <v>0</v>
      </c>
      <c r="GL187" s="190">
        <f>IF(EZ187="",0,CL187*CL$2*IF($FC187="V",1,-1)*IF($Q187="Fixo",(EZ187-INDEX('Curva Forward'!$C$5:$AN$13,MATCH(CONCATENATE(BD_COMERCIAL!$K187," ",BD_COMERCIAL!$L187),'Curva Forward'!$B$5:$B$13,0),MATCH(GL$4,'Curva Forward'!$C$4:$AN$4,0))),EZ187))</f>
        <v>0</v>
      </c>
      <c r="GM187" s="190">
        <f>IF(FA187="",0,CM187*CM$2*IF($FC187="V",1,-1)*IF($Q187="Fixo",(FA187-INDEX('Curva Forward'!$C$5:$AN$13,MATCH(CONCATENATE(BD_COMERCIAL!$K187," ",BD_COMERCIAL!$L187),'Curva Forward'!$B$5:$B$13,0),MATCH(GM$4,'Curva Forward'!$C$4:$AN$4,0))),FA187))</f>
        <v>0</v>
      </c>
      <c r="GN187" s="190">
        <f>IF(FB187="",0,CN187*CN$2*IF($FC187="V",1,-1)*IF($Q187="Fixo",(FB187-INDEX('Curva Forward'!$C$5:$AN$13,MATCH(CONCATENATE(BD_COMERCIAL!$K187," ",BD_COMERCIAL!$L187),'Curva Forward'!$B$5:$B$13,0),MATCH(GN$4,'Curva Forward'!$C$4:$AN$4,0))),FB187))</f>
        <v>0</v>
      </c>
      <c r="GO187" s="191">
        <f t="shared" ca="1" si="25"/>
        <v>0</v>
      </c>
      <c r="GP187" s="191">
        <f t="shared" ca="1" si="26"/>
        <v>0</v>
      </c>
      <c r="GQ187" s="115"/>
      <c r="GR187" s="115"/>
      <c r="GS187"/>
      <c r="GT187" s="65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</row>
    <row r="188" spans="1:236" s="265" customFormat="1" ht="15" customHeight="1" x14ac:dyDescent="0.35">
      <c r="A188" s="251"/>
      <c r="B188" s="275"/>
      <c r="C188" s="253"/>
      <c r="D188" s="254"/>
      <c r="E188" s="254"/>
      <c r="F188" s="255"/>
      <c r="G188" s="256"/>
      <c r="H188" s="255"/>
      <c r="I188" s="254"/>
      <c r="J188" s="257"/>
      <c r="K188" s="256"/>
      <c r="L188" s="252"/>
      <c r="M188" s="258"/>
      <c r="N188" s="259"/>
      <c r="O188" s="256"/>
      <c r="P188" s="252"/>
      <c r="Q188" s="252"/>
      <c r="R188" s="256"/>
      <c r="S188" s="260"/>
      <c r="T188" s="258"/>
      <c r="U188" s="259"/>
      <c r="V188" s="261"/>
      <c r="W188" s="252"/>
      <c r="X188" s="262"/>
      <c r="Y188" s="257"/>
      <c r="Z188" s="263"/>
      <c r="AA188" s="264"/>
      <c r="AB188" s="266"/>
      <c r="AM188" s="251"/>
      <c r="AN188" s="266"/>
      <c r="AY188" s="251"/>
      <c r="AZ188" s="266"/>
      <c r="BK188" s="251"/>
      <c r="BL188" s="266"/>
      <c r="BW188" s="251"/>
      <c r="BX188" s="266"/>
      <c r="CI188" s="251"/>
      <c r="CJ188" s="267"/>
      <c r="CK188" s="267"/>
      <c r="CL188" s="267"/>
      <c r="CM188" s="267"/>
      <c r="CN188" s="267"/>
      <c r="CO188" s="268"/>
      <c r="CP188" s="266"/>
      <c r="DA188" s="251"/>
      <c r="DB188" s="266"/>
      <c r="DM188" s="251"/>
      <c r="DN188" s="266"/>
      <c r="DY188" s="251"/>
      <c r="DZ188" s="266"/>
      <c r="EK188" s="251"/>
      <c r="EL188" s="266"/>
      <c r="EW188" s="251"/>
      <c r="EX188" s="267"/>
      <c r="EY188" s="267"/>
      <c r="EZ188" s="267"/>
      <c r="FA188" s="267"/>
      <c r="FB188" s="269"/>
      <c r="FD188" s="270"/>
      <c r="FF188" s="276"/>
      <c r="FH188" s="206">
        <f t="shared" si="20"/>
        <v>0</v>
      </c>
      <c r="FI188" s="198">
        <f t="shared" si="21"/>
        <v>0</v>
      </c>
      <c r="FJ188"/>
      <c r="FK188">
        <f t="shared" si="22"/>
        <v>0</v>
      </c>
      <c r="FL188" s="191">
        <f t="shared" ca="1" si="23"/>
        <v>0</v>
      </c>
      <c r="FM188" s="191">
        <f t="shared" ca="1" si="24"/>
        <v>0</v>
      </c>
      <c r="FN188" s="190">
        <f>AB188*AB$2*IF($FC188="V",1,-1)*IF($Q188="Fixo",(CP188-INDEX('Curva Forward'!$C$5:$AN$13,MATCH(CONCATENATE(BD_COMERCIAL!$K188," ",BD_COMERCIAL!$L188),'Curva Forward'!$B$5:$B$13,0),MATCH(FN$4,'Curva Forward'!$C$4:$AN$4,0))),CP188)</f>
        <v>0</v>
      </c>
      <c r="FO188" s="190">
        <f>AC188*AC$2*IF($FC188="V",1,-1)*IF($Q188="Fixo",(CQ188-INDEX('Curva Forward'!$C$5:$AN$13,MATCH(CONCATENATE(BD_COMERCIAL!$K188," ",BD_COMERCIAL!$L188),'Curva Forward'!$B$5:$B$13,0),MATCH(FO$4,'Curva Forward'!$C$4:$AN$4,0))),CQ188)</f>
        <v>0</v>
      </c>
      <c r="FP188" s="190">
        <f>AD188*AD$2*IF($FC188="V",1,-1)*IF($Q188="Fixo",(CR188-INDEX('Curva Forward'!$C$5:$AN$13,MATCH(CONCATENATE(BD_COMERCIAL!$K188," ",BD_COMERCIAL!$L188),'Curva Forward'!$B$5:$B$13,0),MATCH(FP$4,'Curva Forward'!$C$4:$AN$4,0))),CR188)</f>
        <v>0</v>
      </c>
      <c r="FQ188" s="190">
        <f>AE188*AE$2*IF($FC188="V",1,-1)*IF($Q188="Fixo",(CS188-INDEX('Curva Forward'!$C$5:$AN$13,MATCH(CONCATENATE(BD_COMERCIAL!$K188," ",BD_COMERCIAL!$L188),'Curva Forward'!$B$5:$B$13,0),MATCH(FQ$4,'Curva Forward'!$C$4:$AN$4,0))),CS188)</f>
        <v>0</v>
      </c>
      <c r="FR188" s="190">
        <f>AF188*AF$2*IF($FC188="V",1,-1)*IF($Q188="Fixo",(CT188-INDEX('Curva Forward'!$C$5:$AN$13,MATCH(CONCATENATE(BD_COMERCIAL!$K188," ",BD_COMERCIAL!$L188),'Curva Forward'!$B$5:$B$13,0),MATCH(FR$4,'Curva Forward'!$C$4:$AN$4,0))),CT188)</f>
        <v>0</v>
      </c>
      <c r="FS188" s="190">
        <f>AG188*AG$2*IF($FC188="V",1,-1)*IF($Q188="Fixo",(CU188-INDEX('Curva Forward'!$C$5:$AN$13,MATCH(CONCATENATE(BD_COMERCIAL!$K188," ",BD_COMERCIAL!$L188),'Curva Forward'!$B$5:$B$13,0),MATCH(FS$4,'Curva Forward'!$C$4:$AN$4,0))),CU188)</f>
        <v>0</v>
      </c>
      <c r="FT188" s="190">
        <f>AH188*AH$2*IF($FC188="V",1,-1)*IF($Q188="Fixo",(CV188-INDEX('Curva Forward'!$C$5:$AN$13,MATCH(CONCATENATE(BD_COMERCIAL!$K188," ",BD_COMERCIAL!$L188),'Curva Forward'!$B$5:$B$13,0),MATCH(FT$4,'Curva Forward'!$C$4:$AN$4,0))),CV188)</f>
        <v>0</v>
      </c>
      <c r="FU188" s="190">
        <f>AI188*AI$2*IF($FC188="V",1,-1)*IF($Q188="Fixo",(CW188-INDEX('Curva Forward'!$C$5:$AN$13,MATCH(CONCATENATE(BD_COMERCIAL!$K188," ",BD_COMERCIAL!$L188),'Curva Forward'!$B$5:$B$13,0),MATCH(FU$4,'Curva Forward'!$C$4:$AN$4,0))),CW188)</f>
        <v>0</v>
      </c>
      <c r="FV188" s="190">
        <f>AJ188*AJ$2*IF($FC188="V",1,-1)*IF($Q188="Fixo",(CX188-INDEX('Curva Forward'!$C$5:$AN$13,MATCH(CONCATENATE(BD_COMERCIAL!$K188," ",BD_COMERCIAL!$L188),'Curva Forward'!$B$5:$B$13,0),MATCH(FV$4,'Curva Forward'!$C$4:$AN$4,0))),CX188)</f>
        <v>0</v>
      </c>
      <c r="FW188" s="190">
        <f>AK188*AK$2*IF($FC188="V",1,-1)*IF($Q188="Fixo",(CY188-INDEX('Curva Forward'!$C$5:$AN$13,MATCH(CONCATENATE(BD_COMERCIAL!$K188," ",BD_COMERCIAL!$L188),'Curva Forward'!$B$5:$B$13,0),MATCH(FW$4,'Curva Forward'!$C$4:$AN$4,0))),CY188)</f>
        <v>0</v>
      </c>
      <c r="FX188" s="190">
        <f>AL188*AL$2*IF($FC188="V",1,-1)*IF($Q188="Fixo",(CZ188-INDEX('Curva Forward'!$C$5:$AN$13,MATCH(CONCATENATE(BD_COMERCIAL!$K188," ",BD_COMERCIAL!$L188),'Curva Forward'!$B$5:$B$13,0),MATCH(FX$4,'Curva Forward'!$C$4:$AN$4,0))),CZ188)</f>
        <v>0</v>
      </c>
      <c r="FY188" s="190">
        <f>AM188*AM$2*IF($FC188="V",1,-1)*IF($Q188="Fixo",(DA188-INDEX('Curva Forward'!$C$5:$AN$13,MATCH(CONCATENATE(BD_COMERCIAL!$K188," ",BD_COMERCIAL!$L188),'Curva Forward'!$B$5:$B$13,0),MATCH(FY$4,'Curva Forward'!$C$4:$AN$4,0))),DA188)</f>
        <v>0</v>
      </c>
      <c r="FZ188" s="190">
        <f>AN188*AN$2*IF($FC188="V",1,-1)*IF($Q188="Fixo",(DB188-INDEX('Curva Forward'!$C$5:$AN$13,MATCH(CONCATENATE(BD_COMERCIAL!$K188," ",BD_COMERCIAL!$L188),'Curva Forward'!$B$5:$B$13,0),MATCH(FZ$4,'Curva Forward'!$C$4:$AN$4,0))),DB188)</f>
        <v>0</v>
      </c>
      <c r="GA188" s="190">
        <f>AO188*AO$2*IF($FC188="V",1,-1)*IF($Q188="Fixo",(DC188-INDEX('Curva Forward'!$C$5:$AN$13,MATCH(CONCATENATE(BD_COMERCIAL!$K188," ",BD_COMERCIAL!$L188),'Curva Forward'!$B$5:$B$13,0),MATCH(GA$4,'Curva Forward'!$C$4:$AN$4,0))),DC188)</f>
        <v>0</v>
      </c>
      <c r="GB188" s="190">
        <f>AP188*AP$2*IF($FC188="V",1,-1)*IF($Q188="Fixo",(DD188-INDEX('Curva Forward'!$C$5:$AN$13,MATCH(CONCATENATE(BD_COMERCIAL!$K188," ",BD_COMERCIAL!$L188),'Curva Forward'!$B$5:$B$13,0),MATCH(GB$4,'Curva Forward'!$C$4:$AN$4,0))),DD188)</f>
        <v>0</v>
      </c>
      <c r="GC188" s="190">
        <f>AQ188*AQ$2*IF($FC188="V",1,-1)*IF($Q188="Fixo",(DE188-INDEX('Curva Forward'!$C$5:$AN$13,MATCH(CONCATENATE(BD_COMERCIAL!$K188," ",BD_COMERCIAL!$L188),'Curva Forward'!$B$5:$B$13,0),MATCH(GC$4,'Curva Forward'!$C$4:$AN$4,0))),DE188)</f>
        <v>0</v>
      </c>
      <c r="GD188" s="190">
        <f>AR188*AR$2*IF($FC188="V",1,-1)*IF($Q188="Fixo",(DF188-INDEX('Curva Forward'!$C$5:$AN$13,MATCH(CONCATENATE(BD_COMERCIAL!$K188," ",BD_COMERCIAL!$L188),'Curva Forward'!$B$5:$B$13,0),MATCH(GD$4,'Curva Forward'!$C$4:$AN$4,0))),DF188)</f>
        <v>0</v>
      </c>
      <c r="GE188" s="190">
        <f>AS188*AS$2*IF($FC188="V",1,-1)*IF($Q188="Fixo",(DG188-INDEX('Curva Forward'!$C$5:$AN$13,MATCH(CONCATENATE(BD_COMERCIAL!$K188," ",BD_COMERCIAL!$L188),'Curva Forward'!$B$5:$B$13,0),MATCH(GE$4,'Curva Forward'!$C$4:$AN$4,0))),DG188)</f>
        <v>0</v>
      </c>
      <c r="GF188" s="190">
        <f>AT188*AT$2*IF($FC188="V",1,-1)*IF($Q188="Fixo",(DH188-INDEX('Curva Forward'!$C$5:$AN$13,MATCH(CONCATENATE(BD_COMERCIAL!$K188," ",BD_COMERCIAL!$L188),'Curva Forward'!$B$5:$B$13,0),MATCH(GF$4,'Curva Forward'!$C$4:$AN$4,0))),DH188)</f>
        <v>0</v>
      </c>
      <c r="GG188" s="190">
        <f>AU188*AU$2*IF($FC188="V",1,-1)*IF($Q188="Fixo",(DI188-INDEX('Curva Forward'!$C$5:$AN$13,MATCH(CONCATENATE(BD_COMERCIAL!$K188," ",BD_COMERCIAL!$L188),'Curva Forward'!$B$5:$B$13,0),MATCH(GG$4,'Curva Forward'!$C$4:$AN$4,0))),DI188)</f>
        <v>0</v>
      </c>
      <c r="GH188" s="190">
        <f>AV188*AV$2*IF($FC188="V",1,-1)*IF($Q188="Fixo",(DJ188-INDEX('Curva Forward'!$C$5:$AN$13,MATCH(CONCATENATE(BD_COMERCIAL!$K188," ",BD_COMERCIAL!$L188),'Curva Forward'!$B$5:$B$13,0),MATCH(GH$4,'Curva Forward'!$C$4:$AN$4,0))),DJ188)</f>
        <v>0</v>
      </c>
      <c r="GI188" s="190">
        <f>AW188*AW$2*IF($FC188="V",1,-1)*IF($Q188="Fixo",(DK188-INDEX('Curva Forward'!$C$5:$AN$13,MATCH(CONCATENATE(BD_COMERCIAL!$K188," ",BD_COMERCIAL!$L188),'Curva Forward'!$B$5:$B$13,0),MATCH(GI$4,'Curva Forward'!$C$4:$AN$4,0))),DK188)</f>
        <v>0</v>
      </c>
      <c r="GJ188" s="190">
        <f>AX188*AX$2*IF($FC188="V",1,-1)*IF($Q188="Fixo",(DL188-INDEX('Curva Forward'!$C$5:$AN$13,MATCH(CONCATENATE(BD_COMERCIAL!$K188," ",BD_COMERCIAL!$L188),'Curva Forward'!$B$5:$B$13,0),MATCH(GJ$4,'Curva Forward'!$C$4:$AN$4,0))),DL188)</f>
        <v>0</v>
      </c>
      <c r="GK188" s="190">
        <f>AY188*AY$2*IF($FC188="V",1,-1)*IF($Q188="Fixo",(DM188-INDEX('Curva Forward'!$C$5:$AN$13,MATCH(CONCATENATE(BD_COMERCIAL!$K188," ",BD_COMERCIAL!$L188),'Curva Forward'!$B$5:$B$13,0),MATCH(GK$4,'Curva Forward'!$C$4:$AN$4,0))),DM188)</f>
        <v>0</v>
      </c>
      <c r="GL188" s="190">
        <f>IF(EZ188="",0,CL188*CL$2*IF($FC188="V",1,-1)*IF($Q188="Fixo",(EZ188-INDEX('Curva Forward'!$C$5:$AN$13,MATCH(CONCATENATE(BD_COMERCIAL!$K188," ",BD_COMERCIAL!$L188),'Curva Forward'!$B$5:$B$13,0),MATCH(GL$4,'Curva Forward'!$C$4:$AN$4,0))),EZ188))</f>
        <v>0</v>
      </c>
      <c r="GM188" s="190">
        <f>IF(FA188="",0,CM188*CM$2*IF($FC188="V",1,-1)*IF($Q188="Fixo",(FA188-INDEX('Curva Forward'!$C$5:$AN$13,MATCH(CONCATENATE(BD_COMERCIAL!$K188," ",BD_COMERCIAL!$L188),'Curva Forward'!$B$5:$B$13,0),MATCH(GM$4,'Curva Forward'!$C$4:$AN$4,0))),FA188))</f>
        <v>0</v>
      </c>
      <c r="GN188" s="190">
        <f>IF(FB188="",0,CN188*CN$2*IF($FC188="V",1,-1)*IF($Q188="Fixo",(FB188-INDEX('Curva Forward'!$C$5:$AN$13,MATCH(CONCATENATE(BD_COMERCIAL!$K188," ",BD_COMERCIAL!$L188),'Curva Forward'!$B$5:$B$13,0),MATCH(GN$4,'Curva Forward'!$C$4:$AN$4,0))),FB188))</f>
        <v>0</v>
      </c>
      <c r="GO188" s="191">
        <f t="shared" ca="1" si="25"/>
        <v>0</v>
      </c>
      <c r="GP188" s="191">
        <f t="shared" ca="1" si="26"/>
        <v>0</v>
      </c>
      <c r="GQ188" s="115"/>
      <c r="GR188" s="115"/>
      <c r="GS188"/>
      <c r="GT188" s="65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</row>
    <row r="189" spans="1:236" s="265" customFormat="1" ht="15" customHeight="1" x14ac:dyDescent="0.35">
      <c r="A189" s="251"/>
      <c r="B189" s="275"/>
      <c r="C189" s="253"/>
      <c r="D189" s="254"/>
      <c r="E189" s="254"/>
      <c r="F189" s="255"/>
      <c r="G189" s="256"/>
      <c r="H189" s="255"/>
      <c r="I189" s="254"/>
      <c r="J189" s="257"/>
      <c r="K189" s="256"/>
      <c r="L189" s="252"/>
      <c r="M189" s="258"/>
      <c r="N189" s="259"/>
      <c r="O189" s="256"/>
      <c r="P189" s="252"/>
      <c r="Q189" s="252"/>
      <c r="R189" s="256"/>
      <c r="S189" s="260"/>
      <c r="T189" s="258"/>
      <c r="U189" s="259"/>
      <c r="V189" s="261"/>
      <c r="W189" s="252"/>
      <c r="X189" s="262"/>
      <c r="Y189" s="257"/>
      <c r="Z189" s="263"/>
      <c r="AA189" s="264"/>
      <c r="AB189" s="266"/>
      <c r="AM189" s="251"/>
      <c r="AN189" s="266"/>
      <c r="AY189" s="251"/>
      <c r="AZ189" s="266"/>
      <c r="BK189" s="251"/>
      <c r="BL189" s="266"/>
      <c r="BW189" s="251"/>
      <c r="BX189" s="266"/>
      <c r="CI189" s="251"/>
      <c r="CJ189" s="267"/>
      <c r="CK189" s="267"/>
      <c r="CL189" s="267"/>
      <c r="CM189" s="267"/>
      <c r="CN189" s="267"/>
      <c r="CO189" s="268"/>
      <c r="CP189" s="266"/>
      <c r="DA189" s="251"/>
      <c r="DB189" s="266"/>
      <c r="DM189" s="251"/>
      <c r="DN189" s="266"/>
      <c r="DY189" s="251"/>
      <c r="DZ189" s="266"/>
      <c r="EK189" s="251"/>
      <c r="EL189" s="266"/>
      <c r="EW189" s="251"/>
      <c r="EX189" s="267"/>
      <c r="EY189" s="267"/>
      <c r="EZ189" s="267"/>
      <c r="FA189" s="267"/>
      <c r="FB189" s="269"/>
      <c r="FD189" s="270"/>
      <c r="FF189" s="276"/>
      <c r="FH189" s="206">
        <f t="shared" si="20"/>
        <v>0</v>
      </c>
      <c r="FI189" s="198">
        <f t="shared" si="21"/>
        <v>0</v>
      </c>
      <c r="FJ189"/>
      <c r="FK189">
        <f t="shared" si="22"/>
        <v>0</v>
      </c>
      <c r="FL189" s="191">
        <f t="shared" ca="1" si="23"/>
        <v>0</v>
      </c>
      <c r="FM189" s="191">
        <f t="shared" ca="1" si="24"/>
        <v>0</v>
      </c>
      <c r="FN189" s="190">
        <f>AB189*AB$2*IF($FC189="V",1,-1)*IF($Q189="Fixo",(CP189-INDEX('Curva Forward'!$C$5:$AN$13,MATCH(CONCATENATE(BD_COMERCIAL!$K189," ",BD_COMERCIAL!$L189),'Curva Forward'!$B$5:$B$13,0),MATCH(FN$4,'Curva Forward'!$C$4:$AN$4,0))),CP189)</f>
        <v>0</v>
      </c>
      <c r="FO189" s="190">
        <f>AC189*AC$2*IF($FC189="V",1,-1)*IF($Q189="Fixo",(CQ189-INDEX('Curva Forward'!$C$5:$AN$13,MATCH(CONCATENATE(BD_COMERCIAL!$K189," ",BD_COMERCIAL!$L189),'Curva Forward'!$B$5:$B$13,0),MATCH(FO$4,'Curva Forward'!$C$4:$AN$4,0))),CQ189)</f>
        <v>0</v>
      </c>
      <c r="FP189" s="190">
        <f>AD189*AD$2*IF($FC189="V",1,-1)*IF($Q189="Fixo",(CR189-INDEX('Curva Forward'!$C$5:$AN$13,MATCH(CONCATENATE(BD_COMERCIAL!$K189," ",BD_COMERCIAL!$L189),'Curva Forward'!$B$5:$B$13,0),MATCH(FP$4,'Curva Forward'!$C$4:$AN$4,0))),CR189)</f>
        <v>0</v>
      </c>
      <c r="FQ189" s="190">
        <f>AE189*AE$2*IF($FC189="V",1,-1)*IF($Q189="Fixo",(CS189-INDEX('Curva Forward'!$C$5:$AN$13,MATCH(CONCATENATE(BD_COMERCIAL!$K189," ",BD_COMERCIAL!$L189),'Curva Forward'!$B$5:$B$13,0),MATCH(FQ$4,'Curva Forward'!$C$4:$AN$4,0))),CS189)</f>
        <v>0</v>
      </c>
      <c r="FR189" s="190">
        <f>AF189*AF$2*IF($FC189="V",1,-1)*IF($Q189="Fixo",(CT189-INDEX('Curva Forward'!$C$5:$AN$13,MATCH(CONCATENATE(BD_COMERCIAL!$K189," ",BD_COMERCIAL!$L189),'Curva Forward'!$B$5:$B$13,0),MATCH(FR$4,'Curva Forward'!$C$4:$AN$4,0))),CT189)</f>
        <v>0</v>
      </c>
      <c r="FS189" s="190">
        <f>AG189*AG$2*IF($FC189="V",1,-1)*IF($Q189="Fixo",(CU189-INDEX('Curva Forward'!$C$5:$AN$13,MATCH(CONCATENATE(BD_COMERCIAL!$K189," ",BD_COMERCIAL!$L189),'Curva Forward'!$B$5:$B$13,0),MATCH(FS$4,'Curva Forward'!$C$4:$AN$4,0))),CU189)</f>
        <v>0</v>
      </c>
      <c r="FT189" s="190">
        <f>AH189*AH$2*IF($FC189="V",1,-1)*IF($Q189="Fixo",(CV189-INDEX('Curva Forward'!$C$5:$AN$13,MATCH(CONCATENATE(BD_COMERCIAL!$K189," ",BD_COMERCIAL!$L189),'Curva Forward'!$B$5:$B$13,0),MATCH(FT$4,'Curva Forward'!$C$4:$AN$4,0))),CV189)</f>
        <v>0</v>
      </c>
      <c r="FU189" s="190">
        <f>AI189*AI$2*IF($FC189="V",1,-1)*IF($Q189="Fixo",(CW189-INDEX('Curva Forward'!$C$5:$AN$13,MATCH(CONCATENATE(BD_COMERCIAL!$K189," ",BD_COMERCIAL!$L189),'Curva Forward'!$B$5:$B$13,0),MATCH(FU$4,'Curva Forward'!$C$4:$AN$4,0))),CW189)</f>
        <v>0</v>
      </c>
      <c r="FV189" s="190">
        <f>AJ189*AJ$2*IF($FC189="V",1,-1)*IF($Q189="Fixo",(CX189-INDEX('Curva Forward'!$C$5:$AN$13,MATCH(CONCATENATE(BD_COMERCIAL!$K189," ",BD_COMERCIAL!$L189),'Curva Forward'!$B$5:$B$13,0),MATCH(FV$4,'Curva Forward'!$C$4:$AN$4,0))),CX189)</f>
        <v>0</v>
      </c>
      <c r="FW189" s="190">
        <f>AK189*AK$2*IF($FC189="V",1,-1)*IF($Q189="Fixo",(CY189-INDEX('Curva Forward'!$C$5:$AN$13,MATCH(CONCATENATE(BD_COMERCIAL!$K189," ",BD_COMERCIAL!$L189),'Curva Forward'!$B$5:$B$13,0),MATCH(FW$4,'Curva Forward'!$C$4:$AN$4,0))),CY189)</f>
        <v>0</v>
      </c>
      <c r="FX189" s="190">
        <f>AL189*AL$2*IF($FC189="V",1,-1)*IF($Q189="Fixo",(CZ189-INDEX('Curva Forward'!$C$5:$AN$13,MATCH(CONCATENATE(BD_COMERCIAL!$K189," ",BD_COMERCIAL!$L189),'Curva Forward'!$B$5:$B$13,0),MATCH(FX$4,'Curva Forward'!$C$4:$AN$4,0))),CZ189)</f>
        <v>0</v>
      </c>
      <c r="FY189" s="190">
        <f>AM189*AM$2*IF($FC189="V",1,-1)*IF($Q189="Fixo",(DA189-INDEX('Curva Forward'!$C$5:$AN$13,MATCH(CONCATENATE(BD_COMERCIAL!$K189," ",BD_COMERCIAL!$L189),'Curva Forward'!$B$5:$B$13,0),MATCH(FY$4,'Curva Forward'!$C$4:$AN$4,0))),DA189)</f>
        <v>0</v>
      </c>
      <c r="FZ189" s="190">
        <f>AN189*AN$2*IF($FC189="V",1,-1)*IF($Q189="Fixo",(DB189-INDEX('Curva Forward'!$C$5:$AN$13,MATCH(CONCATENATE(BD_COMERCIAL!$K189," ",BD_COMERCIAL!$L189),'Curva Forward'!$B$5:$B$13,0),MATCH(FZ$4,'Curva Forward'!$C$4:$AN$4,0))),DB189)</f>
        <v>0</v>
      </c>
      <c r="GA189" s="190">
        <f>AO189*AO$2*IF($FC189="V",1,-1)*IF($Q189="Fixo",(DC189-INDEX('Curva Forward'!$C$5:$AN$13,MATCH(CONCATENATE(BD_COMERCIAL!$K189," ",BD_COMERCIAL!$L189),'Curva Forward'!$B$5:$B$13,0),MATCH(GA$4,'Curva Forward'!$C$4:$AN$4,0))),DC189)</f>
        <v>0</v>
      </c>
      <c r="GB189" s="190">
        <f>AP189*AP$2*IF($FC189="V",1,-1)*IF($Q189="Fixo",(DD189-INDEX('Curva Forward'!$C$5:$AN$13,MATCH(CONCATENATE(BD_COMERCIAL!$K189," ",BD_COMERCIAL!$L189),'Curva Forward'!$B$5:$B$13,0),MATCH(GB$4,'Curva Forward'!$C$4:$AN$4,0))),DD189)</f>
        <v>0</v>
      </c>
      <c r="GC189" s="190">
        <f>AQ189*AQ$2*IF($FC189="V",1,-1)*IF($Q189="Fixo",(DE189-INDEX('Curva Forward'!$C$5:$AN$13,MATCH(CONCATENATE(BD_COMERCIAL!$K189," ",BD_COMERCIAL!$L189),'Curva Forward'!$B$5:$B$13,0),MATCH(GC$4,'Curva Forward'!$C$4:$AN$4,0))),DE189)</f>
        <v>0</v>
      </c>
      <c r="GD189" s="190">
        <f>AR189*AR$2*IF($FC189="V",1,-1)*IF($Q189="Fixo",(DF189-INDEX('Curva Forward'!$C$5:$AN$13,MATCH(CONCATENATE(BD_COMERCIAL!$K189," ",BD_COMERCIAL!$L189),'Curva Forward'!$B$5:$B$13,0),MATCH(GD$4,'Curva Forward'!$C$4:$AN$4,0))),DF189)</f>
        <v>0</v>
      </c>
      <c r="GE189" s="190">
        <f>AS189*AS$2*IF($FC189="V",1,-1)*IF($Q189="Fixo",(DG189-INDEX('Curva Forward'!$C$5:$AN$13,MATCH(CONCATENATE(BD_COMERCIAL!$K189," ",BD_COMERCIAL!$L189),'Curva Forward'!$B$5:$B$13,0),MATCH(GE$4,'Curva Forward'!$C$4:$AN$4,0))),DG189)</f>
        <v>0</v>
      </c>
      <c r="GF189" s="190">
        <f>AT189*AT$2*IF($FC189="V",1,-1)*IF($Q189="Fixo",(DH189-INDEX('Curva Forward'!$C$5:$AN$13,MATCH(CONCATENATE(BD_COMERCIAL!$K189," ",BD_COMERCIAL!$L189),'Curva Forward'!$B$5:$B$13,0),MATCH(GF$4,'Curva Forward'!$C$4:$AN$4,0))),DH189)</f>
        <v>0</v>
      </c>
      <c r="GG189" s="190">
        <f>AU189*AU$2*IF($FC189="V",1,-1)*IF($Q189="Fixo",(DI189-INDEX('Curva Forward'!$C$5:$AN$13,MATCH(CONCATENATE(BD_COMERCIAL!$K189," ",BD_COMERCIAL!$L189),'Curva Forward'!$B$5:$B$13,0),MATCH(GG$4,'Curva Forward'!$C$4:$AN$4,0))),DI189)</f>
        <v>0</v>
      </c>
      <c r="GH189" s="190">
        <f>AV189*AV$2*IF($FC189="V",1,-1)*IF($Q189="Fixo",(DJ189-INDEX('Curva Forward'!$C$5:$AN$13,MATCH(CONCATENATE(BD_COMERCIAL!$K189," ",BD_COMERCIAL!$L189),'Curva Forward'!$B$5:$B$13,0),MATCH(GH$4,'Curva Forward'!$C$4:$AN$4,0))),DJ189)</f>
        <v>0</v>
      </c>
      <c r="GI189" s="190">
        <f>AW189*AW$2*IF($FC189="V",1,-1)*IF($Q189="Fixo",(DK189-INDEX('Curva Forward'!$C$5:$AN$13,MATCH(CONCATENATE(BD_COMERCIAL!$K189," ",BD_COMERCIAL!$L189),'Curva Forward'!$B$5:$B$13,0),MATCH(GI$4,'Curva Forward'!$C$4:$AN$4,0))),DK189)</f>
        <v>0</v>
      </c>
      <c r="GJ189" s="190">
        <f>AX189*AX$2*IF($FC189="V",1,-1)*IF($Q189="Fixo",(DL189-INDEX('Curva Forward'!$C$5:$AN$13,MATCH(CONCATENATE(BD_COMERCIAL!$K189," ",BD_COMERCIAL!$L189),'Curva Forward'!$B$5:$B$13,0),MATCH(GJ$4,'Curva Forward'!$C$4:$AN$4,0))),DL189)</f>
        <v>0</v>
      </c>
      <c r="GK189" s="190">
        <f>AY189*AY$2*IF($FC189="V",1,-1)*IF($Q189="Fixo",(DM189-INDEX('Curva Forward'!$C$5:$AN$13,MATCH(CONCATENATE(BD_COMERCIAL!$K189," ",BD_COMERCIAL!$L189),'Curva Forward'!$B$5:$B$13,0),MATCH(GK$4,'Curva Forward'!$C$4:$AN$4,0))),DM189)</f>
        <v>0</v>
      </c>
      <c r="GL189" s="190">
        <f>IF(EZ189="",0,CL189*CL$2*IF($FC189="V",1,-1)*IF($Q189="Fixo",(EZ189-INDEX('Curva Forward'!$C$5:$AN$13,MATCH(CONCATENATE(BD_COMERCIAL!$K189," ",BD_COMERCIAL!$L189),'Curva Forward'!$B$5:$B$13,0),MATCH(GL$4,'Curva Forward'!$C$4:$AN$4,0))),EZ189))</f>
        <v>0</v>
      </c>
      <c r="GM189" s="190">
        <f>IF(FA189="",0,CM189*CM$2*IF($FC189="V",1,-1)*IF($Q189="Fixo",(FA189-INDEX('Curva Forward'!$C$5:$AN$13,MATCH(CONCATENATE(BD_COMERCIAL!$K189," ",BD_COMERCIAL!$L189),'Curva Forward'!$B$5:$B$13,0),MATCH(GM$4,'Curva Forward'!$C$4:$AN$4,0))),FA189))</f>
        <v>0</v>
      </c>
      <c r="GN189" s="190">
        <f>IF(FB189="",0,CN189*CN$2*IF($FC189="V",1,-1)*IF($Q189="Fixo",(FB189-INDEX('Curva Forward'!$C$5:$AN$13,MATCH(CONCATENATE(BD_COMERCIAL!$K189," ",BD_COMERCIAL!$L189),'Curva Forward'!$B$5:$B$13,0),MATCH(GN$4,'Curva Forward'!$C$4:$AN$4,0))),FB189))</f>
        <v>0</v>
      </c>
      <c r="GO189" s="191">
        <f t="shared" ca="1" si="25"/>
        <v>0</v>
      </c>
      <c r="GP189" s="191">
        <f t="shared" ca="1" si="26"/>
        <v>0</v>
      </c>
      <c r="GQ189" s="115"/>
      <c r="GR189" s="115"/>
      <c r="GS189"/>
      <c r="GT189" s="65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</row>
    <row r="190" spans="1:236" s="265" customFormat="1" ht="15" customHeight="1" x14ac:dyDescent="0.35">
      <c r="A190" s="251"/>
      <c r="B190" s="275"/>
      <c r="C190" s="253"/>
      <c r="D190" s="254"/>
      <c r="E190" s="254"/>
      <c r="F190" s="255"/>
      <c r="G190" s="256"/>
      <c r="H190" s="255"/>
      <c r="I190" s="254"/>
      <c r="J190" s="257"/>
      <c r="K190" s="256"/>
      <c r="L190" s="252"/>
      <c r="M190" s="258"/>
      <c r="N190" s="259"/>
      <c r="O190" s="256"/>
      <c r="P190" s="252"/>
      <c r="Q190" s="252"/>
      <c r="R190" s="256"/>
      <c r="S190" s="260"/>
      <c r="T190" s="258"/>
      <c r="U190" s="259"/>
      <c r="V190" s="261"/>
      <c r="W190" s="252"/>
      <c r="X190" s="262"/>
      <c r="Y190" s="257"/>
      <c r="Z190" s="263"/>
      <c r="AA190" s="264"/>
      <c r="AB190" s="266"/>
      <c r="AM190" s="251"/>
      <c r="AN190" s="266"/>
      <c r="AY190" s="251"/>
      <c r="AZ190" s="266"/>
      <c r="BK190" s="251"/>
      <c r="BL190" s="266"/>
      <c r="BW190" s="251"/>
      <c r="BX190" s="266"/>
      <c r="CI190" s="251"/>
      <c r="CJ190" s="267"/>
      <c r="CK190" s="267"/>
      <c r="CL190" s="267"/>
      <c r="CM190" s="267"/>
      <c r="CN190" s="267"/>
      <c r="CO190" s="268"/>
      <c r="CP190" s="266"/>
      <c r="DA190" s="251"/>
      <c r="DB190" s="266"/>
      <c r="DM190" s="251"/>
      <c r="DN190" s="266"/>
      <c r="DY190" s="251"/>
      <c r="DZ190" s="266"/>
      <c r="EK190" s="251"/>
      <c r="EL190" s="266"/>
      <c r="EW190" s="251"/>
      <c r="EX190" s="267"/>
      <c r="EY190" s="267"/>
      <c r="EZ190" s="267"/>
      <c r="FA190" s="267"/>
      <c r="FB190" s="269"/>
      <c r="FD190" s="270"/>
      <c r="FF190" s="276"/>
      <c r="FH190" s="206">
        <f t="shared" si="20"/>
        <v>0</v>
      </c>
      <c r="FI190" s="198">
        <f t="shared" si="21"/>
        <v>0</v>
      </c>
      <c r="FJ190"/>
      <c r="FK190">
        <f t="shared" si="22"/>
        <v>0</v>
      </c>
      <c r="FL190" s="191">
        <f t="shared" ca="1" si="23"/>
        <v>0</v>
      </c>
      <c r="FM190" s="191">
        <f t="shared" ca="1" si="24"/>
        <v>0</v>
      </c>
      <c r="FN190" s="190">
        <f>AB190*AB$2*IF($FC190="V",1,-1)*IF($Q190="Fixo",(CP190-INDEX('Curva Forward'!$C$5:$AN$13,MATCH(CONCATENATE(BD_COMERCIAL!$K190," ",BD_COMERCIAL!$L190),'Curva Forward'!$B$5:$B$13,0),MATCH(FN$4,'Curva Forward'!$C$4:$AN$4,0))),CP190)</f>
        <v>0</v>
      </c>
      <c r="FO190" s="190">
        <f>AC190*AC$2*IF($FC190="V",1,-1)*IF($Q190="Fixo",(CQ190-INDEX('Curva Forward'!$C$5:$AN$13,MATCH(CONCATENATE(BD_COMERCIAL!$K190," ",BD_COMERCIAL!$L190),'Curva Forward'!$B$5:$B$13,0),MATCH(FO$4,'Curva Forward'!$C$4:$AN$4,0))),CQ190)</f>
        <v>0</v>
      </c>
      <c r="FP190" s="190">
        <f>AD190*AD$2*IF($FC190="V",1,-1)*IF($Q190="Fixo",(CR190-INDEX('Curva Forward'!$C$5:$AN$13,MATCH(CONCATENATE(BD_COMERCIAL!$K190," ",BD_COMERCIAL!$L190),'Curva Forward'!$B$5:$B$13,0),MATCH(FP$4,'Curva Forward'!$C$4:$AN$4,0))),CR190)</f>
        <v>0</v>
      </c>
      <c r="FQ190" s="190">
        <f>AE190*AE$2*IF($FC190="V",1,-1)*IF($Q190="Fixo",(CS190-INDEX('Curva Forward'!$C$5:$AN$13,MATCH(CONCATENATE(BD_COMERCIAL!$K190," ",BD_COMERCIAL!$L190),'Curva Forward'!$B$5:$B$13,0),MATCH(FQ$4,'Curva Forward'!$C$4:$AN$4,0))),CS190)</f>
        <v>0</v>
      </c>
      <c r="FR190" s="190">
        <f>AF190*AF$2*IF($FC190="V",1,-1)*IF($Q190="Fixo",(CT190-INDEX('Curva Forward'!$C$5:$AN$13,MATCH(CONCATENATE(BD_COMERCIAL!$K190," ",BD_COMERCIAL!$L190),'Curva Forward'!$B$5:$B$13,0),MATCH(FR$4,'Curva Forward'!$C$4:$AN$4,0))),CT190)</f>
        <v>0</v>
      </c>
      <c r="FS190" s="190">
        <f>AG190*AG$2*IF($FC190="V",1,-1)*IF($Q190="Fixo",(CU190-INDEX('Curva Forward'!$C$5:$AN$13,MATCH(CONCATENATE(BD_COMERCIAL!$K190," ",BD_COMERCIAL!$L190),'Curva Forward'!$B$5:$B$13,0),MATCH(FS$4,'Curva Forward'!$C$4:$AN$4,0))),CU190)</f>
        <v>0</v>
      </c>
      <c r="FT190" s="190">
        <f>AH190*AH$2*IF($FC190="V",1,-1)*IF($Q190="Fixo",(CV190-INDEX('Curva Forward'!$C$5:$AN$13,MATCH(CONCATENATE(BD_COMERCIAL!$K190," ",BD_COMERCIAL!$L190),'Curva Forward'!$B$5:$B$13,0),MATCH(FT$4,'Curva Forward'!$C$4:$AN$4,0))),CV190)</f>
        <v>0</v>
      </c>
      <c r="FU190" s="190">
        <f>AI190*AI$2*IF($FC190="V",1,-1)*IF($Q190="Fixo",(CW190-INDEX('Curva Forward'!$C$5:$AN$13,MATCH(CONCATENATE(BD_COMERCIAL!$K190," ",BD_COMERCIAL!$L190),'Curva Forward'!$B$5:$B$13,0),MATCH(FU$4,'Curva Forward'!$C$4:$AN$4,0))),CW190)</f>
        <v>0</v>
      </c>
      <c r="FV190" s="190">
        <f>AJ190*AJ$2*IF($FC190="V",1,-1)*IF($Q190="Fixo",(CX190-INDEX('Curva Forward'!$C$5:$AN$13,MATCH(CONCATENATE(BD_COMERCIAL!$K190," ",BD_COMERCIAL!$L190),'Curva Forward'!$B$5:$B$13,0),MATCH(FV$4,'Curva Forward'!$C$4:$AN$4,0))),CX190)</f>
        <v>0</v>
      </c>
      <c r="FW190" s="190">
        <f>AK190*AK$2*IF($FC190="V",1,-1)*IF($Q190="Fixo",(CY190-INDEX('Curva Forward'!$C$5:$AN$13,MATCH(CONCATENATE(BD_COMERCIAL!$K190," ",BD_COMERCIAL!$L190),'Curva Forward'!$B$5:$B$13,0),MATCH(FW$4,'Curva Forward'!$C$4:$AN$4,0))),CY190)</f>
        <v>0</v>
      </c>
      <c r="FX190" s="190">
        <f>AL190*AL$2*IF($FC190="V",1,-1)*IF($Q190="Fixo",(CZ190-INDEX('Curva Forward'!$C$5:$AN$13,MATCH(CONCATENATE(BD_COMERCIAL!$K190," ",BD_COMERCIAL!$L190),'Curva Forward'!$B$5:$B$13,0),MATCH(FX$4,'Curva Forward'!$C$4:$AN$4,0))),CZ190)</f>
        <v>0</v>
      </c>
      <c r="FY190" s="190">
        <f>AM190*AM$2*IF($FC190="V",1,-1)*IF($Q190="Fixo",(DA190-INDEX('Curva Forward'!$C$5:$AN$13,MATCH(CONCATENATE(BD_COMERCIAL!$K190," ",BD_COMERCIAL!$L190),'Curva Forward'!$B$5:$B$13,0),MATCH(FY$4,'Curva Forward'!$C$4:$AN$4,0))),DA190)</f>
        <v>0</v>
      </c>
      <c r="FZ190" s="190">
        <f>AN190*AN$2*IF($FC190="V",1,-1)*IF($Q190="Fixo",(DB190-INDEX('Curva Forward'!$C$5:$AN$13,MATCH(CONCATENATE(BD_COMERCIAL!$K190," ",BD_COMERCIAL!$L190),'Curva Forward'!$B$5:$B$13,0),MATCH(FZ$4,'Curva Forward'!$C$4:$AN$4,0))),DB190)</f>
        <v>0</v>
      </c>
      <c r="GA190" s="190">
        <f>AO190*AO$2*IF($FC190="V",1,-1)*IF($Q190="Fixo",(DC190-INDEX('Curva Forward'!$C$5:$AN$13,MATCH(CONCATENATE(BD_COMERCIAL!$K190," ",BD_COMERCIAL!$L190),'Curva Forward'!$B$5:$B$13,0),MATCH(GA$4,'Curva Forward'!$C$4:$AN$4,0))),DC190)</f>
        <v>0</v>
      </c>
      <c r="GB190" s="190">
        <f>AP190*AP$2*IF($FC190="V",1,-1)*IF($Q190="Fixo",(DD190-INDEX('Curva Forward'!$C$5:$AN$13,MATCH(CONCATENATE(BD_COMERCIAL!$K190," ",BD_COMERCIAL!$L190),'Curva Forward'!$B$5:$B$13,0),MATCH(GB$4,'Curva Forward'!$C$4:$AN$4,0))),DD190)</f>
        <v>0</v>
      </c>
      <c r="GC190" s="190">
        <f>AQ190*AQ$2*IF($FC190="V",1,-1)*IF($Q190="Fixo",(DE190-INDEX('Curva Forward'!$C$5:$AN$13,MATCH(CONCATENATE(BD_COMERCIAL!$K190," ",BD_COMERCIAL!$L190),'Curva Forward'!$B$5:$B$13,0),MATCH(GC$4,'Curva Forward'!$C$4:$AN$4,0))),DE190)</f>
        <v>0</v>
      </c>
      <c r="GD190" s="190">
        <f>AR190*AR$2*IF($FC190="V",1,-1)*IF($Q190="Fixo",(DF190-INDEX('Curva Forward'!$C$5:$AN$13,MATCH(CONCATENATE(BD_COMERCIAL!$K190," ",BD_COMERCIAL!$L190),'Curva Forward'!$B$5:$B$13,0),MATCH(GD$4,'Curva Forward'!$C$4:$AN$4,0))),DF190)</f>
        <v>0</v>
      </c>
      <c r="GE190" s="190">
        <f>AS190*AS$2*IF($FC190="V",1,-1)*IF($Q190="Fixo",(DG190-INDEX('Curva Forward'!$C$5:$AN$13,MATCH(CONCATENATE(BD_COMERCIAL!$K190," ",BD_COMERCIAL!$L190),'Curva Forward'!$B$5:$B$13,0),MATCH(GE$4,'Curva Forward'!$C$4:$AN$4,0))),DG190)</f>
        <v>0</v>
      </c>
      <c r="GF190" s="190">
        <f>AT190*AT$2*IF($FC190="V",1,-1)*IF($Q190="Fixo",(DH190-INDEX('Curva Forward'!$C$5:$AN$13,MATCH(CONCATENATE(BD_COMERCIAL!$K190," ",BD_COMERCIAL!$L190),'Curva Forward'!$B$5:$B$13,0),MATCH(GF$4,'Curva Forward'!$C$4:$AN$4,0))),DH190)</f>
        <v>0</v>
      </c>
      <c r="GG190" s="190">
        <f>AU190*AU$2*IF($FC190="V",1,-1)*IF($Q190="Fixo",(DI190-INDEX('Curva Forward'!$C$5:$AN$13,MATCH(CONCATENATE(BD_COMERCIAL!$K190," ",BD_COMERCIAL!$L190),'Curva Forward'!$B$5:$B$13,0),MATCH(GG$4,'Curva Forward'!$C$4:$AN$4,0))),DI190)</f>
        <v>0</v>
      </c>
      <c r="GH190" s="190">
        <f>AV190*AV$2*IF($FC190="V",1,-1)*IF($Q190="Fixo",(DJ190-INDEX('Curva Forward'!$C$5:$AN$13,MATCH(CONCATENATE(BD_COMERCIAL!$K190," ",BD_COMERCIAL!$L190),'Curva Forward'!$B$5:$B$13,0),MATCH(GH$4,'Curva Forward'!$C$4:$AN$4,0))),DJ190)</f>
        <v>0</v>
      </c>
      <c r="GI190" s="190">
        <f>AW190*AW$2*IF($FC190="V",1,-1)*IF($Q190="Fixo",(DK190-INDEX('Curva Forward'!$C$5:$AN$13,MATCH(CONCATENATE(BD_COMERCIAL!$K190," ",BD_COMERCIAL!$L190),'Curva Forward'!$B$5:$B$13,0),MATCH(GI$4,'Curva Forward'!$C$4:$AN$4,0))),DK190)</f>
        <v>0</v>
      </c>
      <c r="GJ190" s="190">
        <f>AX190*AX$2*IF($FC190="V",1,-1)*IF($Q190="Fixo",(DL190-INDEX('Curva Forward'!$C$5:$AN$13,MATCH(CONCATENATE(BD_COMERCIAL!$K190," ",BD_COMERCIAL!$L190),'Curva Forward'!$B$5:$B$13,0),MATCH(GJ$4,'Curva Forward'!$C$4:$AN$4,0))),DL190)</f>
        <v>0</v>
      </c>
      <c r="GK190" s="190">
        <f>AY190*AY$2*IF($FC190="V",1,-1)*IF($Q190="Fixo",(DM190-INDEX('Curva Forward'!$C$5:$AN$13,MATCH(CONCATENATE(BD_COMERCIAL!$K190," ",BD_COMERCIAL!$L190),'Curva Forward'!$B$5:$B$13,0),MATCH(GK$4,'Curva Forward'!$C$4:$AN$4,0))),DM190)</f>
        <v>0</v>
      </c>
      <c r="GL190" s="190">
        <f>IF(EZ190="",0,CL190*CL$2*IF($FC190="V",1,-1)*IF($Q190="Fixo",(EZ190-INDEX('Curva Forward'!$C$5:$AN$13,MATCH(CONCATENATE(BD_COMERCIAL!$K190," ",BD_COMERCIAL!$L190),'Curva Forward'!$B$5:$B$13,0),MATCH(GL$4,'Curva Forward'!$C$4:$AN$4,0))),EZ190))</f>
        <v>0</v>
      </c>
      <c r="GM190" s="190">
        <f>IF(FA190="",0,CM190*CM$2*IF($FC190="V",1,-1)*IF($Q190="Fixo",(FA190-INDEX('Curva Forward'!$C$5:$AN$13,MATCH(CONCATENATE(BD_COMERCIAL!$K190," ",BD_COMERCIAL!$L190),'Curva Forward'!$B$5:$B$13,0),MATCH(GM$4,'Curva Forward'!$C$4:$AN$4,0))),FA190))</f>
        <v>0</v>
      </c>
      <c r="GN190" s="190">
        <f>IF(FB190="",0,CN190*CN$2*IF($FC190="V",1,-1)*IF($Q190="Fixo",(FB190-INDEX('Curva Forward'!$C$5:$AN$13,MATCH(CONCATENATE(BD_COMERCIAL!$K190," ",BD_COMERCIAL!$L190),'Curva Forward'!$B$5:$B$13,0),MATCH(GN$4,'Curva Forward'!$C$4:$AN$4,0))),FB190))</f>
        <v>0</v>
      </c>
      <c r="GO190" s="191">
        <f t="shared" ca="1" si="25"/>
        <v>0</v>
      </c>
      <c r="GP190" s="191">
        <f t="shared" ca="1" si="26"/>
        <v>0</v>
      </c>
      <c r="GQ190" s="115"/>
      <c r="GR190" s="115"/>
      <c r="GS190"/>
      <c r="GT190" s="65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</row>
    <row r="191" spans="1:236" s="265" customFormat="1" ht="15" customHeight="1" x14ac:dyDescent="0.35">
      <c r="A191" s="251"/>
      <c r="B191" s="275"/>
      <c r="C191" s="253"/>
      <c r="D191" s="254"/>
      <c r="E191" s="254"/>
      <c r="F191" s="255"/>
      <c r="G191" s="256"/>
      <c r="H191" s="255"/>
      <c r="I191" s="254"/>
      <c r="J191" s="257"/>
      <c r="K191" s="256"/>
      <c r="L191" s="252"/>
      <c r="M191" s="258"/>
      <c r="N191" s="259"/>
      <c r="O191" s="256"/>
      <c r="P191" s="252"/>
      <c r="Q191" s="252"/>
      <c r="R191" s="256"/>
      <c r="S191" s="260"/>
      <c r="T191" s="258"/>
      <c r="U191" s="259"/>
      <c r="V191" s="261"/>
      <c r="W191" s="252"/>
      <c r="X191" s="262"/>
      <c r="Y191" s="257"/>
      <c r="Z191" s="263"/>
      <c r="AA191" s="264"/>
      <c r="AB191" s="266"/>
      <c r="AM191" s="251"/>
      <c r="AN191" s="266"/>
      <c r="AY191" s="251"/>
      <c r="AZ191" s="266"/>
      <c r="BK191" s="251"/>
      <c r="BL191" s="266"/>
      <c r="BW191" s="251"/>
      <c r="BX191" s="266"/>
      <c r="CI191" s="251"/>
      <c r="CJ191" s="267"/>
      <c r="CK191" s="267"/>
      <c r="CL191" s="267"/>
      <c r="CM191" s="267"/>
      <c r="CN191" s="267"/>
      <c r="CO191" s="268"/>
      <c r="CP191" s="266"/>
      <c r="DA191" s="251"/>
      <c r="DB191" s="266"/>
      <c r="DM191" s="251"/>
      <c r="DN191" s="266"/>
      <c r="DY191" s="251"/>
      <c r="DZ191" s="266"/>
      <c r="EK191" s="251"/>
      <c r="EL191" s="266"/>
      <c r="EW191" s="251"/>
      <c r="EX191" s="267"/>
      <c r="EY191" s="267"/>
      <c r="EZ191" s="267"/>
      <c r="FA191" s="267"/>
      <c r="FB191" s="269"/>
      <c r="FD191" s="270"/>
      <c r="FF191" s="276"/>
      <c r="FH191" s="206">
        <f t="shared" si="20"/>
        <v>0</v>
      </c>
      <c r="FI191" s="198">
        <f t="shared" si="21"/>
        <v>0</v>
      </c>
      <c r="FJ191"/>
      <c r="FK191">
        <f t="shared" si="22"/>
        <v>0</v>
      </c>
      <c r="FL191" s="191">
        <f t="shared" ca="1" si="23"/>
        <v>0</v>
      </c>
      <c r="FM191" s="191">
        <f t="shared" ca="1" si="24"/>
        <v>0</v>
      </c>
      <c r="FN191" s="190">
        <f>AB191*AB$2*IF($FC191="V",1,-1)*IF($Q191="Fixo",(CP191-INDEX('Curva Forward'!$C$5:$AN$13,MATCH(CONCATENATE(BD_COMERCIAL!$K191," ",BD_COMERCIAL!$L191),'Curva Forward'!$B$5:$B$13,0),MATCH(FN$4,'Curva Forward'!$C$4:$AN$4,0))),CP191)</f>
        <v>0</v>
      </c>
      <c r="FO191" s="190">
        <f>AC191*AC$2*IF($FC191="V",1,-1)*IF($Q191="Fixo",(CQ191-INDEX('Curva Forward'!$C$5:$AN$13,MATCH(CONCATENATE(BD_COMERCIAL!$K191," ",BD_COMERCIAL!$L191),'Curva Forward'!$B$5:$B$13,0),MATCH(FO$4,'Curva Forward'!$C$4:$AN$4,0))),CQ191)</f>
        <v>0</v>
      </c>
      <c r="FP191" s="190">
        <f>AD191*AD$2*IF($FC191="V",1,-1)*IF($Q191="Fixo",(CR191-INDEX('Curva Forward'!$C$5:$AN$13,MATCH(CONCATENATE(BD_COMERCIAL!$K191," ",BD_COMERCIAL!$L191),'Curva Forward'!$B$5:$B$13,0),MATCH(FP$4,'Curva Forward'!$C$4:$AN$4,0))),CR191)</f>
        <v>0</v>
      </c>
      <c r="FQ191" s="190">
        <f>AE191*AE$2*IF($FC191="V",1,-1)*IF($Q191="Fixo",(CS191-INDEX('Curva Forward'!$C$5:$AN$13,MATCH(CONCATENATE(BD_COMERCIAL!$K191," ",BD_COMERCIAL!$L191),'Curva Forward'!$B$5:$B$13,0),MATCH(FQ$4,'Curva Forward'!$C$4:$AN$4,0))),CS191)</f>
        <v>0</v>
      </c>
      <c r="FR191" s="190">
        <f>AF191*AF$2*IF($FC191="V",1,-1)*IF($Q191="Fixo",(CT191-INDEX('Curva Forward'!$C$5:$AN$13,MATCH(CONCATENATE(BD_COMERCIAL!$K191," ",BD_COMERCIAL!$L191),'Curva Forward'!$B$5:$B$13,0),MATCH(FR$4,'Curva Forward'!$C$4:$AN$4,0))),CT191)</f>
        <v>0</v>
      </c>
      <c r="FS191" s="190">
        <f>AG191*AG$2*IF($FC191="V",1,-1)*IF($Q191="Fixo",(CU191-INDEX('Curva Forward'!$C$5:$AN$13,MATCH(CONCATENATE(BD_COMERCIAL!$K191," ",BD_COMERCIAL!$L191),'Curva Forward'!$B$5:$B$13,0),MATCH(FS$4,'Curva Forward'!$C$4:$AN$4,0))),CU191)</f>
        <v>0</v>
      </c>
      <c r="FT191" s="190">
        <f>AH191*AH$2*IF($FC191="V",1,-1)*IF($Q191="Fixo",(CV191-INDEX('Curva Forward'!$C$5:$AN$13,MATCH(CONCATENATE(BD_COMERCIAL!$K191," ",BD_COMERCIAL!$L191),'Curva Forward'!$B$5:$B$13,0),MATCH(FT$4,'Curva Forward'!$C$4:$AN$4,0))),CV191)</f>
        <v>0</v>
      </c>
      <c r="FU191" s="190">
        <f>AI191*AI$2*IF($FC191="V",1,-1)*IF($Q191="Fixo",(CW191-INDEX('Curva Forward'!$C$5:$AN$13,MATCH(CONCATENATE(BD_COMERCIAL!$K191," ",BD_COMERCIAL!$L191),'Curva Forward'!$B$5:$B$13,0),MATCH(FU$4,'Curva Forward'!$C$4:$AN$4,0))),CW191)</f>
        <v>0</v>
      </c>
      <c r="FV191" s="190">
        <f>AJ191*AJ$2*IF($FC191="V",1,-1)*IF($Q191="Fixo",(CX191-INDEX('Curva Forward'!$C$5:$AN$13,MATCH(CONCATENATE(BD_COMERCIAL!$K191," ",BD_COMERCIAL!$L191),'Curva Forward'!$B$5:$B$13,0),MATCH(FV$4,'Curva Forward'!$C$4:$AN$4,0))),CX191)</f>
        <v>0</v>
      </c>
      <c r="FW191" s="190">
        <f>AK191*AK$2*IF($FC191="V",1,-1)*IF($Q191="Fixo",(CY191-INDEX('Curva Forward'!$C$5:$AN$13,MATCH(CONCATENATE(BD_COMERCIAL!$K191," ",BD_COMERCIAL!$L191),'Curva Forward'!$B$5:$B$13,0),MATCH(FW$4,'Curva Forward'!$C$4:$AN$4,0))),CY191)</f>
        <v>0</v>
      </c>
      <c r="FX191" s="190">
        <f>AL191*AL$2*IF($FC191="V",1,-1)*IF($Q191="Fixo",(CZ191-INDEX('Curva Forward'!$C$5:$AN$13,MATCH(CONCATENATE(BD_COMERCIAL!$K191," ",BD_COMERCIAL!$L191),'Curva Forward'!$B$5:$B$13,0),MATCH(FX$4,'Curva Forward'!$C$4:$AN$4,0))),CZ191)</f>
        <v>0</v>
      </c>
      <c r="FY191" s="190">
        <f>AM191*AM$2*IF($FC191="V",1,-1)*IF($Q191="Fixo",(DA191-INDEX('Curva Forward'!$C$5:$AN$13,MATCH(CONCATENATE(BD_COMERCIAL!$K191," ",BD_COMERCIAL!$L191),'Curva Forward'!$B$5:$B$13,0),MATCH(FY$4,'Curva Forward'!$C$4:$AN$4,0))),DA191)</f>
        <v>0</v>
      </c>
      <c r="FZ191" s="190">
        <f>AN191*AN$2*IF($FC191="V",1,-1)*IF($Q191="Fixo",(DB191-INDEX('Curva Forward'!$C$5:$AN$13,MATCH(CONCATENATE(BD_COMERCIAL!$K191," ",BD_COMERCIAL!$L191),'Curva Forward'!$B$5:$B$13,0),MATCH(FZ$4,'Curva Forward'!$C$4:$AN$4,0))),DB191)</f>
        <v>0</v>
      </c>
      <c r="GA191" s="190">
        <f>AO191*AO$2*IF($FC191="V",1,-1)*IF($Q191="Fixo",(DC191-INDEX('Curva Forward'!$C$5:$AN$13,MATCH(CONCATENATE(BD_COMERCIAL!$K191," ",BD_COMERCIAL!$L191),'Curva Forward'!$B$5:$B$13,0),MATCH(GA$4,'Curva Forward'!$C$4:$AN$4,0))),DC191)</f>
        <v>0</v>
      </c>
      <c r="GB191" s="190">
        <f>AP191*AP$2*IF($FC191="V",1,-1)*IF($Q191="Fixo",(DD191-INDEX('Curva Forward'!$C$5:$AN$13,MATCH(CONCATENATE(BD_COMERCIAL!$K191," ",BD_COMERCIAL!$L191),'Curva Forward'!$B$5:$B$13,0),MATCH(GB$4,'Curva Forward'!$C$4:$AN$4,0))),DD191)</f>
        <v>0</v>
      </c>
      <c r="GC191" s="190">
        <f>AQ191*AQ$2*IF($FC191="V",1,-1)*IF($Q191="Fixo",(DE191-INDEX('Curva Forward'!$C$5:$AN$13,MATCH(CONCATENATE(BD_COMERCIAL!$K191," ",BD_COMERCIAL!$L191),'Curva Forward'!$B$5:$B$13,0),MATCH(GC$4,'Curva Forward'!$C$4:$AN$4,0))),DE191)</f>
        <v>0</v>
      </c>
      <c r="GD191" s="190">
        <f>AR191*AR$2*IF($FC191="V",1,-1)*IF($Q191="Fixo",(DF191-INDEX('Curva Forward'!$C$5:$AN$13,MATCH(CONCATENATE(BD_COMERCIAL!$K191," ",BD_COMERCIAL!$L191),'Curva Forward'!$B$5:$B$13,0),MATCH(GD$4,'Curva Forward'!$C$4:$AN$4,0))),DF191)</f>
        <v>0</v>
      </c>
      <c r="GE191" s="190">
        <f>AS191*AS$2*IF($FC191="V",1,-1)*IF($Q191="Fixo",(DG191-INDEX('Curva Forward'!$C$5:$AN$13,MATCH(CONCATENATE(BD_COMERCIAL!$K191," ",BD_COMERCIAL!$L191),'Curva Forward'!$B$5:$B$13,0),MATCH(GE$4,'Curva Forward'!$C$4:$AN$4,0))),DG191)</f>
        <v>0</v>
      </c>
      <c r="GF191" s="190">
        <f>AT191*AT$2*IF($FC191="V",1,-1)*IF($Q191="Fixo",(DH191-INDEX('Curva Forward'!$C$5:$AN$13,MATCH(CONCATENATE(BD_COMERCIAL!$K191," ",BD_COMERCIAL!$L191),'Curva Forward'!$B$5:$B$13,0),MATCH(GF$4,'Curva Forward'!$C$4:$AN$4,0))),DH191)</f>
        <v>0</v>
      </c>
      <c r="GG191" s="190">
        <f>AU191*AU$2*IF($FC191="V",1,-1)*IF($Q191="Fixo",(DI191-INDEX('Curva Forward'!$C$5:$AN$13,MATCH(CONCATENATE(BD_COMERCIAL!$K191," ",BD_COMERCIAL!$L191),'Curva Forward'!$B$5:$B$13,0),MATCH(GG$4,'Curva Forward'!$C$4:$AN$4,0))),DI191)</f>
        <v>0</v>
      </c>
      <c r="GH191" s="190">
        <f>AV191*AV$2*IF($FC191="V",1,-1)*IF($Q191="Fixo",(DJ191-INDEX('Curva Forward'!$C$5:$AN$13,MATCH(CONCATENATE(BD_COMERCIAL!$K191," ",BD_COMERCIAL!$L191),'Curva Forward'!$B$5:$B$13,0),MATCH(GH$4,'Curva Forward'!$C$4:$AN$4,0))),DJ191)</f>
        <v>0</v>
      </c>
      <c r="GI191" s="190">
        <f>AW191*AW$2*IF($FC191="V",1,-1)*IF($Q191="Fixo",(DK191-INDEX('Curva Forward'!$C$5:$AN$13,MATCH(CONCATENATE(BD_COMERCIAL!$K191," ",BD_COMERCIAL!$L191),'Curva Forward'!$B$5:$B$13,0),MATCH(GI$4,'Curva Forward'!$C$4:$AN$4,0))),DK191)</f>
        <v>0</v>
      </c>
      <c r="GJ191" s="190">
        <f>AX191*AX$2*IF($FC191="V",1,-1)*IF($Q191="Fixo",(DL191-INDEX('Curva Forward'!$C$5:$AN$13,MATCH(CONCATENATE(BD_COMERCIAL!$K191," ",BD_COMERCIAL!$L191),'Curva Forward'!$B$5:$B$13,0),MATCH(GJ$4,'Curva Forward'!$C$4:$AN$4,0))),DL191)</f>
        <v>0</v>
      </c>
      <c r="GK191" s="190">
        <f>AY191*AY$2*IF($FC191="V",1,-1)*IF($Q191="Fixo",(DM191-INDEX('Curva Forward'!$C$5:$AN$13,MATCH(CONCATENATE(BD_COMERCIAL!$K191," ",BD_COMERCIAL!$L191),'Curva Forward'!$B$5:$B$13,0),MATCH(GK$4,'Curva Forward'!$C$4:$AN$4,0))),DM191)</f>
        <v>0</v>
      </c>
      <c r="GL191" s="190">
        <f>IF(EZ191="",0,CL191*CL$2*IF($FC191="V",1,-1)*IF($Q191="Fixo",(EZ191-INDEX('Curva Forward'!$C$5:$AN$13,MATCH(CONCATENATE(BD_COMERCIAL!$K191," ",BD_COMERCIAL!$L191),'Curva Forward'!$B$5:$B$13,0),MATCH(GL$4,'Curva Forward'!$C$4:$AN$4,0))),EZ191))</f>
        <v>0</v>
      </c>
      <c r="GM191" s="190">
        <f>IF(FA191="",0,CM191*CM$2*IF($FC191="V",1,-1)*IF($Q191="Fixo",(FA191-INDEX('Curva Forward'!$C$5:$AN$13,MATCH(CONCATENATE(BD_COMERCIAL!$K191," ",BD_COMERCIAL!$L191),'Curva Forward'!$B$5:$B$13,0),MATCH(GM$4,'Curva Forward'!$C$4:$AN$4,0))),FA191))</f>
        <v>0</v>
      </c>
      <c r="GN191" s="190">
        <f>IF(FB191="",0,CN191*CN$2*IF($FC191="V",1,-1)*IF($Q191="Fixo",(FB191-INDEX('Curva Forward'!$C$5:$AN$13,MATCH(CONCATENATE(BD_COMERCIAL!$K191," ",BD_COMERCIAL!$L191),'Curva Forward'!$B$5:$B$13,0),MATCH(GN$4,'Curva Forward'!$C$4:$AN$4,0))),FB191))</f>
        <v>0</v>
      </c>
      <c r="GO191" s="191">
        <f t="shared" ca="1" si="25"/>
        <v>0</v>
      </c>
      <c r="GP191" s="191">
        <f t="shared" ca="1" si="26"/>
        <v>0</v>
      </c>
      <c r="GQ191" s="115"/>
      <c r="GR191" s="115"/>
      <c r="GS191"/>
      <c r="GT191" s="65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</row>
    <row r="192" spans="1:236" s="265" customFormat="1" ht="15" customHeight="1" x14ac:dyDescent="0.35">
      <c r="A192" s="251"/>
      <c r="B192" s="275"/>
      <c r="C192" s="253"/>
      <c r="D192" s="254"/>
      <c r="E192" s="254"/>
      <c r="F192" s="255"/>
      <c r="G192" s="256"/>
      <c r="H192" s="255"/>
      <c r="I192" s="254"/>
      <c r="J192" s="257"/>
      <c r="K192" s="256"/>
      <c r="L192" s="252"/>
      <c r="M192" s="258"/>
      <c r="N192" s="259"/>
      <c r="O192" s="256"/>
      <c r="P192" s="252"/>
      <c r="Q192" s="252"/>
      <c r="R192" s="256"/>
      <c r="S192" s="260"/>
      <c r="T192" s="258"/>
      <c r="U192" s="259"/>
      <c r="V192" s="261"/>
      <c r="W192" s="252"/>
      <c r="X192" s="262"/>
      <c r="Y192" s="257"/>
      <c r="Z192" s="263"/>
      <c r="AA192" s="264"/>
      <c r="AB192" s="266"/>
      <c r="AM192" s="251"/>
      <c r="AN192" s="266"/>
      <c r="AY192" s="251"/>
      <c r="AZ192" s="266"/>
      <c r="BK192" s="251"/>
      <c r="BL192" s="266"/>
      <c r="BW192" s="251"/>
      <c r="BX192" s="266"/>
      <c r="CI192" s="251"/>
      <c r="CJ192" s="267"/>
      <c r="CK192" s="267"/>
      <c r="CL192" s="267"/>
      <c r="CM192" s="267"/>
      <c r="CN192" s="267"/>
      <c r="CO192" s="268"/>
      <c r="CP192" s="266"/>
      <c r="DA192" s="251"/>
      <c r="DB192" s="266"/>
      <c r="DM192" s="251"/>
      <c r="DN192" s="266"/>
      <c r="DY192" s="251"/>
      <c r="DZ192" s="266"/>
      <c r="EK192" s="251"/>
      <c r="EL192" s="266"/>
      <c r="EW192" s="251"/>
      <c r="EX192" s="267"/>
      <c r="EY192" s="267"/>
      <c r="EZ192" s="267"/>
      <c r="FA192" s="267"/>
      <c r="FB192" s="269"/>
      <c r="FD192" s="270"/>
      <c r="FF192" s="276"/>
      <c r="FH192" s="206">
        <f t="shared" si="20"/>
        <v>0</v>
      </c>
      <c r="FI192" s="198">
        <f t="shared" si="21"/>
        <v>0</v>
      </c>
      <c r="FJ192"/>
      <c r="FK192">
        <f t="shared" si="22"/>
        <v>0</v>
      </c>
      <c r="FL192" s="191">
        <f t="shared" ca="1" si="23"/>
        <v>0</v>
      </c>
      <c r="FM192" s="191">
        <f t="shared" ca="1" si="24"/>
        <v>0</v>
      </c>
      <c r="FN192" s="190">
        <f>AB192*AB$2*IF($FC192="V",1,-1)*IF($Q192="Fixo",(CP192-INDEX('Curva Forward'!$C$5:$AN$13,MATCH(CONCATENATE(BD_COMERCIAL!$K192," ",BD_COMERCIAL!$L192),'Curva Forward'!$B$5:$B$13,0),MATCH(FN$4,'Curva Forward'!$C$4:$AN$4,0))),CP192)</f>
        <v>0</v>
      </c>
      <c r="FO192" s="190">
        <f>AC192*AC$2*IF($FC192="V",1,-1)*IF($Q192="Fixo",(CQ192-INDEX('Curva Forward'!$C$5:$AN$13,MATCH(CONCATENATE(BD_COMERCIAL!$K192," ",BD_COMERCIAL!$L192),'Curva Forward'!$B$5:$B$13,0),MATCH(FO$4,'Curva Forward'!$C$4:$AN$4,0))),CQ192)</f>
        <v>0</v>
      </c>
      <c r="FP192" s="190">
        <f>AD192*AD$2*IF($FC192="V",1,-1)*IF($Q192="Fixo",(CR192-INDEX('Curva Forward'!$C$5:$AN$13,MATCH(CONCATENATE(BD_COMERCIAL!$K192," ",BD_COMERCIAL!$L192),'Curva Forward'!$B$5:$B$13,0),MATCH(FP$4,'Curva Forward'!$C$4:$AN$4,0))),CR192)</f>
        <v>0</v>
      </c>
      <c r="FQ192" s="190">
        <f>AE192*AE$2*IF($FC192="V",1,-1)*IF($Q192="Fixo",(CS192-INDEX('Curva Forward'!$C$5:$AN$13,MATCH(CONCATENATE(BD_COMERCIAL!$K192," ",BD_COMERCIAL!$L192),'Curva Forward'!$B$5:$B$13,0),MATCH(FQ$4,'Curva Forward'!$C$4:$AN$4,0))),CS192)</f>
        <v>0</v>
      </c>
      <c r="FR192" s="190">
        <f>AF192*AF$2*IF($FC192="V",1,-1)*IF($Q192="Fixo",(CT192-INDEX('Curva Forward'!$C$5:$AN$13,MATCH(CONCATENATE(BD_COMERCIAL!$K192," ",BD_COMERCIAL!$L192),'Curva Forward'!$B$5:$B$13,0),MATCH(FR$4,'Curva Forward'!$C$4:$AN$4,0))),CT192)</f>
        <v>0</v>
      </c>
      <c r="FS192" s="190">
        <f>AG192*AG$2*IF($FC192="V",1,-1)*IF($Q192="Fixo",(CU192-INDEX('Curva Forward'!$C$5:$AN$13,MATCH(CONCATENATE(BD_COMERCIAL!$K192," ",BD_COMERCIAL!$L192),'Curva Forward'!$B$5:$B$13,0),MATCH(FS$4,'Curva Forward'!$C$4:$AN$4,0))),CU192)</f>
        <v>0</v>
      </c>
      <c r="FT192" s="190">
        <f>AH192*AH$2*IF($FC192="V",1,-1)*IF($Q192="Fixo",(CV192-INDEX('Curva Forward'!$C$5:$AN$13,MATCH(CONCATENATE(BD_COMERCIAL!$K192," ",BD_COMERCIAL!$L192),'Curva Forward'!$B$5:$B$13,0),MATCH(FT$4,'Curva Forward'!$C$4:$AN$4,0))),CV192)</f>
        <v>0</v>
      </c>
      <c r="FU192" s="190">
        <f>AI192*AI$2*IF($FC192="V",1,-1)*IF($Q192="Fixo",(CW192-INDEX('Curva Forward'!$C$5:$AN$13,MATCH(CONCATENATE(BD_COMERCIAL!$K192," ",BD_COMERCIAL!$L192),'Curva Forward'!$B$5:$B$13,0),MATCH(FU$4,'Curva Forward'!$C$4:$AN$4,0))),CW192)</f>
        <v>0</v>
      </c>
      <c r="FV192" s="190">
        <f>AJ192*AJ$2*IF($FC192="V",1,-1)*IF($Q192="Fixo",(CX192-INDEX('Curva Forward'!$C$5:$AN$13,MATCH(CONCATENATE(BD_COMERCIAL!$K192," ",BD_COMERCIAL!$L192),'Curva Forward'!$B$5:$B$13,0),MATCH(FV$4,'Curva Forward'!$C$4:$AN$4,0))),CX192)</f>
        <v>0</v>
      </c>
      <c r="FW192" s="190">
        <f>AK192*AK$2*IF($FC192="V",1,-1)*IF($Q192="Fixo",(CY192-INDEX('Curva Forward'!$C$5:$AN$13,MATCH(CONCATENATE(BD_COMERCIAL!$K192," ",BD_COMERCIAL!$L192),'Curva Forward'!$B$5:$B$13,0),MATCH(FW$4,'Curva Forward'!$C$4:$AN$4,0))),CY192)</f>
        <v>0</v>
      </c>
      <c r="FX192" s="190">
        <f>AL192*AL$2*IF($FC192="V",1,-1)*IF($Q192="Fixo",(CZ192-INDEX('Curva Forward'!$C$5:$AN$13,MATCH(CONCATENATE(BD_COMERCIAL!$K192," ",BD_COMERCIAL!$L192),'Curva Forward'!$B$5:$B$13,0),MATCH(FX$4,'Curva Forward'!$C$4:$AN$4,0))),CZ192)</f>
        <v>0</v>
      </c>
      <c r="FY192" s="190">
        <f>AM192*AM$2*IF($FC192="V",1,-1)*IF($Q192="Fixo",(DA192-INDEX('Curva Forward'!$C$5:$AN$13,MATCH(CONCATENATE(BD_COMERCIAL!$K192," ",BD_COMERCIAL!$L192),'Curva Forward'!$B$5:$B$13,0),MATCH(FY$4,'Curva Forward'!$C$4:$AN$4,0))),DA192)</f>
        <v>0</v>
      </c>
      <c r="FZ192" s="190">
        <f>AN192*AN$2*IF($FC192="V",1,-1)*IF($Q192="Fixo",(DB192-INDEX('Curva Forward'!$C$5:$AN$13,MATCH(CONCATENATE(BD_COMERCIAL!$K192," ",BD_COMERCIAL!$L192),'Curva Forward'!$B$5:$B$13,0),MATCH(FZ$4,'Curva Forward'!$C$4:$AN$4,0))),DB192)</f>
        <v>0</v>
      </c>
      <c r="GA192" s="190">
        <f>AO192*AO$2*IF($FC192="V",1,-1)*IF($Q192="Fixo",(DC192-INDEX('Curva Forward'!$C$5:$AN$13,MATCH(CONCATENATE(BD_COMERCIAL!$K192," ",BD_COMERCIAL!$L192),'Curva Forward'!$B$5:$B$13,0),MATCH(GA$4,'Curva Forward'!$C$4:$AN$4,0))),DC192)</f>
        <v>0</v>
      </c>
      <c r="GB192" s="190">
        <f>AP192*AP$2*IF($FC192="V",1,-1)*IF($Q192="Fixo",(DD192-INDEX('Curva Forward'!$C$5:$AN$13,MATCH(CONCATENATE(BD_COMERCIAL!$K192," ",BD_COMERCIAL!$L192),'Curva Forward'!$B$5:$B$13,0),MATCH(GB$4,'Curva Forward'!$C$4:$AN$4,0))),DD192)</f>
        <v>0</v>
      </c>
      <c r="GC192" s="190">
        <f>AQ192*AQ$2*IF($FC192="V",1,-1)*IF($Q192="Fixo",(DE192-INDEX('Curva Forward'!$C$5:$AN$13,MATCH(CONCATENATE(BD_COMERCIAL!$K192," ",BD_COMERCIAL!$L192),'Curva Forward'!$B$5:$B$13,0),MATCH(GC$4,'Curva Forward'!$C$4:$AN$4,0))),DE192)</f>
        <v>0</v>
      </c>
      <c r="GD192" s="190">
        <f>AR192*AR$2*IF($FC192="V",1,-1)*IF($Q192="Fixo",(DF192-INDEX('Curva Forward'!$C$5:$AN$13,MATCH(CONCATENATE(BD_COMERCIAL!$K192," ",BD_COMERCIAL!$L192),'Curva Forward'!$B$5:$B$13,0),MATCH(GD$4,'Curva Forward'!$C$4:$AN$4,0))),DF192)</f>
        <v>0</v>
      </c>
      <c r="GE192" s="190">
        <f>AS192*AS$2*IF($FC192="V",1,-1)*IF($Q192="Fixo",(DG192-INDEX('Curva Forward'!$C$5:$AN$13,MATCH(CONCATENATE(BD_COMERCIAL!$K192," ",BD_COMERCIAL!$L192),'Curva Forward'!$B$5:$B$13,0),MATCH(GE$4,'Curva Forward'!$C$4:$AN$4,0))),DG192)</f>
        <v>0</v>
      </c>
      <c r="GF192" s="190">
        <f>AT192*AT$2*IF($FC192="V",1,-1)*IF($Q192="Fixo",(DH192-INDEX('Curva Forward'!$C$5:$AN$13,MATCH(CONCATENATE(BD_COMERCIAL!$K192," ",BD_COMERCIAL!$L192),'Curva Forward'!$B$5:$B$13,0),MATCH(GF$4,'Curva Forward'!$C$4:$AN$4,0))),DH192)</f>
        <v>0</v>
      </c>
      <c r="GG192" s="190">
        <f>AU192*AU$2*IF($FC192="V",1,-1)*IF($Q192="Fixo",(DI192-INDEX('Curva Forward'!$C$5:$AN$13,MATCH(CONCATENATE(BD_COMERCIAL!$K192," ",BD_COMERCIAL!$L192),'Curva Forward'!$B$5:$B$13,0),MATCH(GG$4,'Curva Forward'!$C$4:$AN$4,0))),DI192)</f>
        <v>0</v>
      </c>
      <c r="GH192" s="190">
        <f>AV192*AV$2*IF($FC192="V",1,-1)*IF($Q192="Fixo",(DJ192-INDEX('Curva Forward'!$C$5:$AN$13,MATCH(CONCATENATE(BD_COMERCIAL!$K192," ",BD_COMERCIAL!$L192),'Curva Forward'!$B$5:$B$13,0),MATCH(GH$4,'Curva Forward'!$C$4:$AN$4,0))),DJ192)</f>
        <v>0</v>
      </c>
      <c r="GI192" s="190">
        <f>AW192*AW$2*IF($FC192="V",1,-1)*IF($Q192="Fixo",(DK192-INDEX('Curva Forward'!$C$5:$AN$13,MATCH(CONCATENATE(BD_COMERCIAL!$K192," ",BD_COMERCIAL!$L192),'Curva Forward'!$B$5:$B$13,0),MATCH(GI$4,'Curva Forward'!$C$4:$AN$4,0))),DK192)</f>
        <v>0</v>
      </c>
      <c r="GJ192" s="190">
        <f>AX192*AX$2*IF($FC192="V",1,-1)*IF($Q192="Fixo",(DL192-INDEX('Curva Forward'!$C$5:$AN$13,MATCH(CONCATENATE(BD_COMERCIAL!$K192," ",BD_COMERCIAL!$L192),'Curva Forward'!$B$5:$B$13,0),MATCH(GJ$4,'Curva Forward'!$C$4:$AN$4,0))),DL192)</f>
        <v>0</v>
      </c>
      <c r="GK192" s="190">
        <f>AY192*AY$2*IF($FC192="V",1,-1)*IF($Q192="Fixo",(DM192-INDEX('Curva Forward'!$C$5:$AN$13,MATCH(CONCATENATE(BD_COMERCIAL!$K192," ",BD_COMERCIAL!$L192),'Curva Forward'!$B$5:$B$13,0),MATCH(GK$4,'Curva Forward'!$C$4:$AN$4,0))),DM192)</f>
        <v>0</v>
      </c>
      <c r="GL192" s="190">
        <f>IF(EZ192="",0,CL192*CL$2*IF($FC192="V",1,-1)*IF($Q192="Fixo",(EZ192-INDEX('Curva Forward'!$C$5:$AN$13,MATCH(CONCATENATE(BD_COMERCIAL!$K192," ",BD_COMERCIAL!$L192),'Curva Forward'!$B$5:$B$13,0),MATCH(GL$4,'Curva Forward'!$C$4:$AN$4,0))),EZ192))</f>
        <v>0</v>
      </c>
      <c r="GM192" s="190">
        <f>IF(FA192="",0,CM192*CM$2*IF($FC192="V",1,-1)*IF($Q192="Fixo",(FA192-INDEX('Curva Forward'!$C$5:$AN$13,MATCH(CONCATENATE(BD_COMERCIAL!$K192," ",BD_COMERCIAL!$L192),'Curva Forward'!$B$5:$B$13,0),MATCH(GM$4,'Curva Forward'!$C$4:$AN$4,0))),FA192))</f>
        <v>0</v>
      </c>
      <c r="GN192" s="190">
        <f>IF(FB192="",0,CN192*CN$2*IF($FC192="V",1,-1)*IF($Q192="Fixo",(FB192-INDEX('Curva Forward'!$C$5:$AN$13,MATCH(CONCATENATE(BD_COMERCIAL!$K192," ",BD_COMERCIAL!$L192),'Curva Forward'!$B$5:$B$13,0),MATCH(GN$4,'Curva Forward'!$C$4:$AN$4,0))),FB192))</f>
        <v>0</v>
      </c>
      <c r="GO192" s="191">
        <f t="shared" ca="1" si="25"/>
        <v>0</v>
      </c>
      <c r="GP192" s="191">
        <f t="shared" ca="1" si="26"/>
        <v>0</v>
      </c>
      <c r="GQ192" s="115"/>
      <c r="GR192" s="115"/>
      <c r="GS192"/>
      <c r="GT192" s="65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</row>
    <row r="193" spans="1:236" s="265" customFormat="1" ht="15" customHeight="1" x14ac:dyDescent="0.35">
      <c r="A193" s="251"/>
      <c r="B193" s="275"/>
      <c r="C193" s="253"/>
      <c r="D193" s="254"/>
      <c r="E193" s="254"/>
      <c r="F193" s="255"/>
      <c r="G193" s="256"/>
      <c r="H193" s="255"/>
      <c r="I193" s="254"/>
      <c r="J193" s="257"/>
      <c r="K193" s="256"/>
      <c r="L193" s="252"/>
      <c r="M193" s="258"/>
      <c r="N193" s="259"/>
      <c r="O193" s="256"/>
      <c r="P193" s="252"/>
      <c r="Q193" s="252"/>
      <c r="R193" s="256"/>
      <c r="S193" s="260"/>
      <c r="T193" s="258"/>
      <c r="U193" s="259"/>
      <c r="V193" s="261"/>
      <c r="W193" s="252"/>
      <c r="X193" s="262"/>
      <c r="Y193" s="257"/>
      <c r="Z193" s="263"/>
      <c r="AA193" s="264"/>
      <c r="AB193" s="266"/>
      <c r="AM193" s="251"/>
      <c r="AN193" s="266"/>
      <c r="AY193" s="251"/>
      <c r="AZ193" s="266"/>
      <c r="BK193" s="251"/>
      <c r="BL193" s="266"/>
      <c r="BW193" s="251"/>
      <c r="BX193" s="266"/>
      <c r="CI193" s="251"/>
      <c r="CJ193" s="267"/>
      <c r="CK193" s="267"/>
      <c r="CL193" s="267"/>
      <c r="CM193" s="267"/>
      <c r="CN193" s="267"/>
      <c r="CO193" s="268"/>
      <c r="CP193" s="266"/>
      <c r="DA193" s="251"/>
      <c r="DB193" s="266"/>
      <c r="DM193" s="251"/>
      <c r="DN193" s="266"/>
      <c r="DY193" s="251"/>
      <c r="DZ193" s="266"/>
      <c r="EK193" s="251"/>
      <c r="EL193" s="266"/>
      <c r="EW193" s="251"/>
      <c r="EX193" s="267"/>
      <c r="EY193" s="267"/>
      <c r="EZ193" s="267"/>
      <c r="FA193" s="267"/>
      <c r="FB193" s="269"/>
      <c r="FD193" s="270"/>
      <c r="FF193" s="276"/>
      <c r="FH193" s="206">
        <f t="shared" si="20"/>
        <v>0</v>
      </c>
      <c r="FI193" s="198">
        <f t="shared" si="21"/>
        <v>0</v>
      </c>
      <c r="FJ193"/>
      <c r="FK193">
        <f t="shared" si="22"/>
        <v>0</v>
      </c>
      <c r="FL193" s="191">
        <f t="shared" ca="1" si="23"/>
        <v>0</v>
      </c>
      <c r="FM193" s="191">
        <f t="shared" ca="1" si="24"/>
        <v>0</v>
      </c>
      <c r="FN193" s="190">
        <f>AB193*AB$2*IF($FC193="V",1,-1)*IF($Q193="Fixo",(CP193-INDEX('Curva Forward'!$C$5:$AN$13,MATCH(CONCATENATE(BD_COMERCIAL!$K193," ",BD_COMERCIAL!$L193),'Curva Forward'!$B$5:$B$13,0),MATCH(FN$4,'Curva Forward'!$C$4:$AN$4,0))),CP193)</f>
        <v>0</v>
      </c>
      <c r="FO193" s="190">
        <f>AC193*AC$2*IF($FC193="V",1,-1)*IF($Q193="Fixo",(CQ193-INDEX('Curva Forward'!$C$5:$AN$13,MATCH(CONCATENATE(BD_COMERCIAL!$K193," ",BD_COMERCIAL!$L193),'Curva Forward'!$B$5:$B$13,0),MATCH(FO$4,'Curva Forward'!$C$4:$AN$4,0))),CQ193)</f>
        <v>0</v>
      </c>
      <c r="FP193" s="190">
        <f>AD193*AD$2*IF($FC193="V",1,-1)*IF($Q193="Fixo",(CR193-INDEX('Curva Forward'!$C$5:$AN$13,MATCH(CONCATENATE(BD_COMERCIAL!$K193," ",BD_COMERCIAL!$L193),'Curva Forward'!$B$5:$B$13,0),MATCH(FP$4,'Curva Forward'!$C$4:$AN$4,0))),CR193)</f>
        <v>0</v>
      </c>
      <c r="FQ193" s="190">
        <f>AE193*AE$2*IF($FC193="V",1,-1)*IF($Q193="Fixo",(CS193-INDEX('Curva Forward'!$C$5:$AN$13,MATCH(CONCATENATE(BD_COMERCIAL!$K193," ",BD_COMERCIAL!$L193),'Curva Forward'!$B$5:$B$13,0),MATCH(FQ$4,'Curva Forward'!$C$4:$AN$4,0))),CS193)</f>
        <v>0</v>
      </c>
      <c r="FR193" s="190">
        <f>AF193*AF$2*IF($FC193="V",1,-1)*IF($Q193="Fixo",(CT193-INDEX('Curva Forward'!$C$5:$AN$13,MATCH(CONCATENATE(BD_COMERCIAL!$K193," ",BD_COMERCIAL!$L193),'Curva Forward'!$B$5:$B$13,0),MATCH(FR$4,'Curva Forward'!$C$4:$AN$4,0))),CT193)</f>
        <v>0</v>
      </c>
      <c r="FS193" s="190">
        <f>AG193*AG$2*IF($FC193="V",1,-1)*IF($Q193="Fixo",(CU193-INDEX('Curva Forward'!$C$5:$AN$13,MATCH(CONCATENATE(BD_COMERCIAL!$K193," ",BD_COMERCIAL!$L193),'Curva Forward'!$B$5:$B$13,0),MATCH(FS$4,'Curva Forward'!$C$4:$AN$4,0))),CU193)</f>
        <v>0</v>
      </c>
      <c r="FT193" s="190">
        <f>AH193*AH$2*IF($FC193="V",1,-1)*IF($Q193="Fixo",(CV193-INDEX('Curva Forward'!$C$5:$AN$13,MATCH(CONCATENATE(BD_COMERCIAL!$K193," ",BD_COMERCIAL!$L193),'Curva Forward'!$B$5:$B$13,0),MATCH(FT$4,'Curva Forward'!$C$4:$AN$4,0))),CV193)</f>
        <v>0</v>
      </c>
      <c r="FU193" s="190">
        <f>AI193*AI$2*IF($FC193="V",1,-1)*IF($Q193="Fixo",(CW193-INDEX('Curva Forward'!$C$5:$AN$13,MATCH(CONCATENATE(BD_COMERCIAL!$K193," ",BD_COMERCIAL!$L193),'Curva Forward'!$B$5:$B$13,0),MATCH(FU$4,'Curva Forward'!$C$4:$AN$4,0))),CW193)</f>
        <v>0</v>
      </c>
      <c r="FV193" s="190">
        <f>AJ193*AJ$2*IF($FC193="V",1,-1)*IF($Q193="Fixo",(CX193-INDEX('Curva Forward'!$C$5:$AN$13,MATCH(CONCATENATE(BD_COMERCIAL!$K193," ",BD_COMERCIAL!$L193),'Curva Forward'!$B$5:$B$13,0),MATCH(FV$4,'Curva Forward'!$C$4:$AN$4,0))),CX193)</f>
        <v>0</v>
      </c>
      <c r="FW193" s="190">
        <f>AK193*AK$2*IF($FC193="V",1,-1)*IF($Q193="Fixo",(CY193-INDEX('Curva Forward'!$C$5:$AN$13,MATCH(CONCATENATE(BD_COMERCIAL!$K193," ",BD_COMERCIAL!$L193),'Curva Forward'!$B$5:$B$13,0),MATCH(FW$4,'Curva Forward'!$C$4:$AN$4,0))),CY193)</f>
        <v>0</v>
      </c>
      <c r="FX193" s="190">
        <f>AL193*AL$2*IF($FC193="V",1,-1)*IF($Q193="Fixo",(CZ193-INDEX('Curva Forward'!$C$5:$AN$13,MATCH(CONCATENATE(BD_COMERCIAL!$K193," ",BD_COMERCIAL!$L193),'Curva Forward'!$B$5:$B$13,0),MATCH(FX$4,'Curva Forward'!$C$4:$AN$4,0))),CZ193)</f>
        <v>0</v>
      </c>
      <c r="FY193" s="190">
        <f>AM193*AM$2*IF($FC193="V",1,-1)*IF($Q193="Fixo",(DA193-INDEX('Curva Forward'!$C$5:$AN$13,MATCH(CONCATENATE(BD_COMERCIAL!$K193," ",BD_COMERCIAL!$L193),'Curva Forward'!$B$5:$B$13,0),MATCH(FY$4,'Curva Forward'!$C$4:$AN$4,0))),DA193)</f>
        <v>0</v>
      </c>
      <c r="FZ193" s="190">
        <f>AN193*AN$2*IF($FC193="V",1,-1)*IF($Q193="Fixo",(DB193-INDEX('Curva Forward'!$C$5:$AN$13,MATCH(CONCATENATE(BD_COMERCIAL!$K193," ",BD_COMERCIAL!$L193),'Curva Forward'!$B$5:$B$13,0),MATCH(FZ$4,'Curva Forward'!$C$4:$AN$4,0))),DB193)</f>
        <v>0</v>
      </c>
      <c r="GA193" s="190">
        <f>AO193*AO$2*IF($FC193="V",1,-1)*IF($Q193="Fixo",(DC193-INDEX('Curva Forward'!$C$5:$AN$13,MATCH(CONCATENATE(BD_COMERCIAL!$K193," ",BD_COMERCIAL!$L193),'Curva Forward'!$B$5:$B$13,0),MATCH(GA$4,'Curva Forward'!$C$4:$AN$4,0))),DC193)</f>
        <v>0</v>
      </c>
      <c r="GB193" s="190">
        <f>AP193*AP$2*IF($FC193="V",1,-1)*IF($Q193="Fixo",(DD193-INDEX('Curva Forward'!$C$5:$AN$13,MATCH(CONCATENATE(BD_COMERCIAL!$K193," ",BD_COMERCIAL!$L193),'Curva Forward'!$B$5:$B$13,0),MATCH(GB$4,'Curva Forward'!$C$4:$AN$4,0))),DD193)</f>
        <v>0</v>
      </c>
      <c r="GC193" s="190">
        <f>AQ193*AQ$2*IF($FC193="V",1,-1)*IF($Q193="Fixo",(DE193-INDEX('Curva Forward'!$C$5:$AN$13,MATCH(CONCATENATE(BD_COMERCIAL!$K193," ",BD_COMERCIAL!$L193),'Curva Forward'!$B$5:$B$13,0),MATCH(GC$4,'Curva Forward'!$C$4:$AN$4,0))),DE193)</f>
        <v>0</v>
      </c>
      <c r="GD193" s="190">
        <f>AR193*AR$2*IF($FC193="V",1,-1)*IF($Q193="Fixo",(DF193-INDEX('Curva Forward'!$C$5:$AN$13,MATCH(CONCATENATE(BD_COMERCIAL!$K193," ",BD_COMERCIAL!$L193),'Curva Forward'!$B$5:$B$13,0),MATCH(GD$4,'Curva Forward'!$C$4:$AN$4,0))),DF193)</f>
        <v>0</v>
      </c>
      <c r="GE193" s="190">
        <f>AS193*AS$2*IF($FC193="V",1,-1)*IF($Q193="Fixo",(DG193-INDEX('Curva Forward'!$C$5:$AN$13,MATCH(CONCATENATE(BD_COMERCIAL!$K193," ",BD_COMERCIAL!$L193),'Curva Forward'!$B$5:$B$13,0),MATCH(GE$4,'Curva Forward'!$C$4:$AN$4,0))),DG193)</f>
        <v>0</v>
      </c>
      <c r="GF193" s="190">
        <f>AT193*AT$2*IF($FC193="V",1,-1)*IF($Q193="Fixo",(DH193-INDEX('Curva Forward'!$C$5:$AN$13,MATCH(CONCATENATE(BD_COMERCIAL!$K193," ",BD_COMERCIAL!$L193),'Curva Forward'!$B$5:$B$13,0),MATCH(GF$4,'Curva Forward'!$C$4:$AN$4,0))),DH193)</f>
        <v>0</v>
      </c>
      <c r="GG193" s="190">
        <f>AU193*AU$2*IF($FC193="V",1,-1)*IF($Q193="Fixo",(DI193-INDEX('Curva Forward'!$C$5:$AN$13,MATCH(CONCATENATE(BD_COMERCIAL!$K193," ",BD_COMERCIAL!$L193),'Curva Forward'!$B$5:$B$13,0),MATCH(GG$4,'Curva Forward'!$C$4:$AN$4,0))),DI193)</f>
        <v>0</v>
      </c>
      <c r="GH193" s="190">
        <f>AV193*AV$2*IF($FC193="V",1,-1)*IF($Q193="Fixo",(DJ193-INDEX('Curva Forward'!$C$5:$AN$13,MATCH(CONCATENATE(BD_COMERCIAL!$K193," ",BD_COMERCIAL!$L193),'Curva Forward'!$B$5:$B$13,0),MATCH(GH$4,'Curva Forward'!$C$4:$AN$4,0))),DJ193)</f>
        <v>0</v>
      </c>
      <c r="GI193" s="190">
        <f>AW193*AW$2*IF($FC193="V",1,-1)*IF($Q193="Fixo",(DK193-INDEX('Curva Forward'!$C$5:$AN$13,MATCH(CONCATENATE(BD_COMERCIAL!$K193," ",BD_COMERCIAL!$L193),'Curva Forward'!$B$5:$B$13,0),MATCH(GI$4,'Curva Forward'!$C$4:$AN$4,0))),DK193)</f>
        <v>0</v>
      </c>
      <c r="GJ193" s="190">
        <f>AX193*AX$2*IF($FC193="V",1,-1)*IF($Q193="Fixo",(DL193-INDEX('Curva Forward'!$C$5:$AN$13,MATCH(CONCATENATE(BD_COMERCIAL!$K193," ",BD_COMERCIAL!$L193),'Curva Forward'!$B$5:$B$13,0),MATCH(GJ$4,'Curva Forward'!$C$4:$AN$4,0))),DL193)</f>
        <v>0</v>
      </c>
      <c r="GK193" s="190">
        <f>AY193*AY$2*IF($FC193="V",1,-1)*IF($Q193="Fixo",(DM193-INDEX('Curva Forward'!$C$5:$AN$13,MATCH(CONCATENATE(BD_COMERCIAL!$K193," ",BD_COMERCIAL!$L193),'Curva Forward'!$B$5:$B$13,0),MATCH(GK$4,'Curva Forward'!$C$4:$AN$4,0))),DM193)</f>
        <v>0</v>
      </c>
      <c r="GL193" s="190">
        <f>IF(EZ193="",0,CL193*CL$2*IF($FC193="V",1,-1)*IF($Q193="Fixo",(EZ193-INDEX('Curva Forward'!$C$5:$AN$13,MATCH(CONCATENATE(BD_COMERCIAL!$K193," ",BD_COMERCIAL!$L193),'Curva Forward'!$B$5:$B$13,0),MATCH(GL$4,'Curva Forward'!$C$4:$AN$4,0))),EZ193))</f>
        <v>0</v>
      </c>
      <c r="GM193" s="190">
        <f>IF(FA193="",0,CM193*CM$2*IF($FC193="V",1,-1)*IF($Q193="Fixo",(FA193-INDEX('Curva Forward'!$C$5:$AN$13,MATCH(CONCATENATE(BD_COMERCIAL!$K193," ",BD_COMERCIAL!$L193),'Curva Forward'!$B$5:$B$13,0),MATCH(GM$4,'Curva Forward'!$C$4:$AN$4,0))),FA193))</f>
        <v>0</v>
      </c>
      <c r="GN193" s="190">
        <f>IF(FB193="",0,CN193*CN$2*IF($FC193="V",1,-1)*IF($Q193="Fixo",(FB193-INDEX('Curva Forward'!$C$5:$AN$13,MATCH(CONCATENATE(BD_COMERCIAL!$K193," ",BD_COMERCIAL!$L193),'Curva Forward'!$B$5:$B$13,0),MATCH(GN$4,'Curva Forward'!$C$4:$AN$4,0))),FB193))</f>
        <v>0</v>
      </c>
      <c r="GO193" s="191">
        <f t="shared" ca="1" si="25"/>
        <v>0</v>
      </c>
      <c r="GP193" s="191">
        <f t="shared" ca="1" si="26"/>
        <v>0</v>
      </c>
      <c r="GQ193" s="115"/>
      <c r="GR193" s="115"/>
      <c r="GS193"/>
      <c r="GT193" s="65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</row>
    <row r="194" spans="1:236" s="265" customFormat="1" ht="15" customHeight="1" x14ac:dyDescent="0.35">
      <c r="A194" s="251"/>
      <c r="B194" s="275"/>
      <c r="C194" s="253"/>
      <c r="D194" s="254"/>
      <c r="E194" s="254"/>
      <c r="F194" s="255"/>
      <c r="G194" s="256"/>
      <c r="H194" s="255"/>
      <c r="I194" s="254"/>
      <c r="J194" s="257"/>
      <c r="K194" s="256"/>
      <c r="L194" s="252"/>
      <c r="M194" s="258"/>
      <c r="N194" s="259"/>
      <c r="O194" s="256"/>
      <c r="P194" s="252"/>
      <c r="Q194" s="252"/>
      <c r="R194" s="256"/>
      <c r="S194" s="260"/>
      <c r="T194" s="258"/>
      <c r="U194" s="259"/>
      <c r="V194" s="261"/>
      <c r="W194" s="252"/>
      <c r="X194" s="262"/>
      <c r="Y194" s="257"/>
      <c r="Z194" s="263"/>
      <c r="AA194" s="264"/>
      <c r="AB194" s="266"/>
      <c r="AM194" s="251"/>
      <c r="AN194" s="266"/>
      <c r="AY194" s="251"/>
      <c r="AZ194" s="266"/>
      <c r="BK194" s="251"/>
      <c r="BL194" s="266"/>
      <c r="BW194" s="251"/>
      <c r="BX194" s="266"/>
      <c r="CI194" s="251"/>
      <c r="CJ194" s="267"/>
      <c r="CK194" s="267"/>
      <c r="CL194" s="267"/>
      <c r="CM194" s="267"/>
      <c r="CN194" s="267"/>
      <c r="CO194" s="268"/>
      <c r="CP194" s="266"/>
      <c r="DA194" s="251"/>
      <c r="DB194" s="266"/>
      <c r="DM194" s="251"/>
      <c r="DN194" s="266"/>
      <c r="DY194" s="251"/>
      <c r="DZ194" s="266"/>
      <c r="EK194" s="251"/>
      <c r="EL194" s="266"/>
      <c r="EW194" s="251"/>
      <c r="EX194" s="267"/>
      <c r="EY194" s="267"/>
      <c r="EZ194" s="267"/>
      <c r="FA194" s="267"/>
      <c r="FB194" s="269"/>
      <c r="FD194" s="270"/>
      <c r="FF194" s="276"/>
      <c r="FH194" s="206">
        <f t="shared" si="20"/>
        <v>0</v>
      </c>
      <c r="FI194" s="198">
        <f t="shared" si="21"/>
        <v>0</v>
      </c>
      <c r="FJ194"/>
      <c r="FK194">
        <f t="shared" si="22"/>
        <v>0</v>
      </c>
      <c r="FL194" s="191">
        <f t="shared" ca="1" si="23"/>
        <v>0</v>
      </c>
      <c r="FM194" s="191">
        <f t="shared" ca="1" si="24"/>
        <v>0</v>
      </c>
      <c r="FN194" s="190">
        <f>AB194*AB$2*IF($FC194="V",1,-1)*IF($Q194="Fixo",(CP194-INDEX('Curva Forward'!$C$5:$AN$13,MATCH(CONCATENATE(BD_COMERCIAL!$K194," ",BD_COMERCIAL!$L194),'Curva Forward'!$B$5:$B$13,0),MATCH(FN$4,'Curva Forward'!$C$4:$AN$4,0))),CP194)</f>
        <v>0</v>
      </c>
      <c r="FO194" s="190">
        <f>AC194*AC$2*IF($FC194="V",1,-1)*IF($Q194="Fixo",(CQ194-INDEX('Curva Forward'!$C$5:$AN$13,MATCH(CONCATENATE(BD_COMERCIAL!$K194," ",BD_COMERCIAL!$L194),'Curva Forward'!$B$5:$B$13,0),MATCH(FO$4,'Curva Forward'!$C$4:$AN$4,0))),CQ194)</f>
        <v>0</v>
      </c>
      <c r="FP194" s="190">
        <f>AD194*AD$2*IF($FC194="V",1,-1)*IF($Q194="Fixo",(CR194-INDEX('Curva Forward'!$C$5:$AN$13,MATCH(CONCATENATE(BD_COMERCIAL!$K194," ",BD_COMERCIAL!$L194),'Curva Forward'!$B$5:$B$13,0),MATCH(FP$4,'Curva Forward'!$C$4:$AN$4,0))),CR194)</f>
        <v>0</v>
      </c>
      <c r="FQ194" s="190">
        <f>AE194*AE$2*IF($FC194="V",1,-1)*IF($Q194="Fixo",(CS194-INDEX('Curva Forward'!$C$5:$AN$13,MATCH(CONCATENATE(BD_COMERCIAL!$K194," ",BD_COMERCIAL!$L194),'Curva Forward'!$B$5:$B$13,0),MATCH(FQ$4,'Curva Forward'!$C$4:$AN$4,0))),CS194)</f>
        <v>0</v>
      </c>
      <c r="FR194" s="190">
        <f>AF194*AF$2*IF($FC194="V",1,-1)*IF($Q194="Fixo",(CT194-INDEX('Curva Forward'!$C$5:$AN$13,MATCH(CONCATENATE(BD_COMERCIAL!$K194," ",BD_COMERCIAL!$L194),'Curva Forward'!$B$5:$B$13,0),MATCH(FR$4,'Curva Forward'!$C$4:$AN$4,0))),CT194)</f>
        <v>0</v>
      </c>
      <c r="FS194" s="190">
        <f>AG194*AG$2*IF($FC194="V",1,-1)*IF($Q194="Fixo",(CU194-INDEX('Curva Forward'!$C$5:$AN$13,MATCH(CONCATENATE(BD_COMERCIAL!$K194," ",BD_COMERCIAL!$L194),'Curva Forward'!$B$5:$B$13,0),MATCH(FS$4,'Curva Forward'!$C$4:$AN$4,0))),CU194)</f>
        <v>0</v>
      </c>
      <c r="FT194" s="190">
        <f>AH194*AH$2*IF($FC194="V",1,-1)*IF($Q194="Fixo",(CV194-INDEX('Curva Forward'!$C$5:$AN$13,MATCH(CONCATENATE(BD_COMERCIAL!$K194," ",BD_COMERCIAL!$L194),'Curva Forward'!$B$5:$B$13,0),MATCH(FT$4,'Curva Forward'!$C$4:$AN$4,0))),CV194)</f>
        <v>0</v>
      </c>
      <c r="FU194" s="190">
        <f>AI194*AI$2*IF($FC194="V",1,-1)*IF($Q194="Fixo",(CW194-INDEX('Curva Forward'!$C$5:$AN$13,MATCH(CONCATENATE(BD_COMERCIAL!$K194," ",BD_COMERCIAL!$L194),'Curva Forward'!$B$5:$B$13,0),MATCH(FU$4,'Curva Forward'!$C$4:$AN$4,0))),CW194)</f>
        <v>0</v>
      </c>
      <c r="FV194" s="190">
        <f>AJ194*AJ$2*IF($FC194="V",1,-1)*IF($Q194="Fixo",(CX194-INDEX('Curva Forward'!$C$5:$AN$13,MATCH(CONCATENATE(BD_COMERCIAL!$K194," ",BD_COMERCIAL!$L194),'Curva Forward'!$B$5:$B$13,0),MATCH(FV$4,'Curva Forward'!$C$4:$AN$4,0))),CX194)</f>
        <v>0</v>
      </c>
      <c r="FW194" s="190">
        <f>AK194*AK$2*IF($FC194="V",1,-1)*IF($Q194="Fixo",(CY194-INDEX('Curva Forward'!$C$5:$AN$13,MATCH(CONCATENATE(BD_COMERCIAL!$K194," ",BD_COMERCIAL!$L194),'Curva Forward'!$B$5:$B$13,0),MATCH(FW$4,'Curva Forward'!$C$4:$AN$4,0))),CY194)</f>
        <v>0</v>
      </c>
      <c r="FX194" s="190">
        <f>AL194*AL$2*IF($FC194="V",1,-1)*IF($Q194="Fixo",(CZ194-INDEX('Curva Forward'!$C$5:$AN$13,MATCH(CONCATENATE(BD_COMERCIAL!$K194," ",BD_COMERCIAL!$L194),'Curva Forward'!$B$5:$B$13,0),MATCH(FX$4,'Curva Forward'!$C$4:$AN$4,0))),CZ194)</f>
        <v>0</v>
      </c>
      <c r="FY194" s="190">
        <f>AM194*AM$2*IF($FC194="V",1,-1)*IF($Q194="Fixo",(DA194-INDEX('Curva Forward'!$C$5:$AN$13,MATCH(CONCATENATE(BD_COMERCIAL!$K194," ",BD_COMERCIAL!$L194),'Curva Forward'!$B$5:$B$13,0),MATCH(FY$4,'Curva Forward'!$C$4:$AN$4,0))),DA194)</f>
        <v>0</v>
      </c>
      <c r="FZ194" s="190">
        <f>AN194*AN$2*IF($FC194="V",1,-1)*IF($Q194="Fixo",(DB194-INDEX('Curva Forward'!$C$5:$AN$13,MATCH(CONCATENATE(BD_COMERCIAL!$K194," ",BD_COMERCIAL!$L194),'Curva Forward'!$B$5:$B$13,0),MATCH(FZ$4,'Curva Forward'!$C$4:$AN$4,0))),DB194)</f>
        <v>0</v>
      </c>
      <c r="GA194" s="190">
        <f>AO194*AO$2*IF($FC194="V",1,-1)*IF($Q194="Fixo",(DC194-INDEX('Curva Forward'!$C$5:$AN$13,MATCH(CONCATENATE(BD_COMERCIAL!$K194," ",BD_COMERCIAL!$L194),'Curva Forward'!$B$5:$B$13,0),MATCH(GA$4,'Curva Forward'!$C$4:$AN$4,0))),DC194)</f>
        <v>0</v>
      </c>
      <c r="GB194" s="190">
        <f>AP194*AP$2*IF($FC194="V",1,-1)*IF($Q194="Fixo",(DD194-INDEX('Curva Forward'!$C$5:$AN$13,MATCH(CONCATENATE(BD_COMERCIAL!$K194," ",BD_COMERCIAL!$L194),'Curva Forward'!$B$5:$B$13,0),MATCH(GB$4,'Curva Forward'!$C$4:$AN$4,0))),DD194)</f>
        <v>0</v>
      </c>
      <c r="GC194" s="190">
        <f>AQ194*AQ$2*IF($FC194="V",1,-1)*IF($Q194="Fixo",(DE194-INDEX('Curva Forward'!$C$5:$AN$13,MATCH(CONCATENATE(BD_COMERCIAL!$K194," ",BD_COMERCIAL!$L194),'Curva Forward'!$B$5:$B$13,0),MATCH(GC$4,'Curva Forward'!$C$4:$AN$4,0))),DE194)</f>
        <v>0</v>
      </c>
      <c r="GD194" s="190">
        <f>AR194*AR$2*IF($FC194="V",1,-1)*IF($Q194="Fixo",(DF194-INDEX('Curva Forward'!$C$5:$AN$13,MATCH(CONCATENATE(BD_COMERCIAL!$K194," ",BD_COMERCIAL!$L194),'Curva Forward'!$B$5:$B$13,0),MATCH(GD$4,'Curva Forward'!$C$4:$AN$4,0))),DF194)</f>
        <v>0</v>
      </c>
      <c r="GE194" s="190">
        <f>AS194*AS$2*IF($FC194="V",1,-1)*IF($Q194="Fixo",(DG194-INDEX('Curva Forward'!$C$5:$AN$13,MATCH(CONCATENATE(BD_COMERCIAL!$K194," ",BD_COMERCIAL!$L194),'Curva Forward'!$B$5:$B$13,0),MATCH(GE$4,'Curva Forward'!$C$4:$AN$4,0))),DG194)</f>
        <v>0</v>
      </c>
      <c r="GF194" s="190">
        <f>AT194*AT$2*IF($FC194="V",1,-1)*IF($Q194="Fixo",(DH194-INDEX('Curva Forward'!$C$5:$AN$13,MATCH(CONCATENATE(BD_COMERCIAL!$K194," ",BD_COMERCIAL!$L194),'Curva Forward'!$B$5:$B$13,0),MATCH(GF$4,'Curva Forward'!$C$4:$AN$4,0))),DH194)</f>
        <v>0</v>
      </c>
      <c r="GG194" s="190">
        <f>AU194*AU$2*IF($FC194="V",1,-1)*IF($Q194="Fixo",(DI194-INDEX('Curva Forward'!$C$5:$AN$13,MATCH(CONCATENATE(BD_COMERCIAL!$K194," ",BD_COMERCIAL!$L194),'Curva Forward'!$B$5:$B$13,0),MATCH(GG$4,'Curva Forward'!$C$4:$AN$4,0))),DI194)</f>
        <v>0</v>
      </c>
      <c r="GH194" s="190">
        <f>AV194*AV$2*IF($FC194="V",1,-1)*IF($Q194="Fixo",(DJ194-INDEX('Curva Forward'!$C$5:$AN$13,MATCH(CONCATENATE(BD_COMERCIAL!$K194," ",BD_COMERCIAL!$L194),'Curva Forward'!$B$5:$B$13,0),MATCH(GH$4,'Curva Forward'!$C$4:$AN$4,0))),DJ194)</f>
        <v>0</v>
      </c>
      <c r="GI194" s="190">
        <f>AW194*AW$2*IF($FC194="V",1,-1)*IF($Q194="Fixo",(DK194-INDEX('Curva Forward'!$C$5:$AN$13,MATCH(CONCATENATE(BD_COMERCIAL!$K194," ",BD_COMERCIAL!$L194),'Curva Forward'!$B$5:$B$13,0),MATCH(GI$4,'Curva Forward'!$C$4:$AN$4,0))),DK194)</f>
        <v>0</v>
      </c>
      <c r="GJ194" s="190">
        <f>AX194*AX$2*IF($FC194="V",1,-1)*IF($Q194="Fixo",(DL194-INDEX('Curva Forward'!$C$5:$AN$13,MATCH(CONCATENATE(BD_COMERCIAL!$K194," ",BD_COMERCIAL!$L194),'Curva Forward'!$B$5:$B$13,0),MATCH(GJ$4,'Curva Forward'!$C$4:$AN$4,0))),DL194)</f>
        <v>0</v>
      </c>
      <c r="GK194" s="190">
        <f>AY194*AY$2*IF($FC194="V",1,-1)*IF($Q194="Fixo",(DM194-INDEX('Curva Forward'!$C$5:$AN$13,MATCH(CONCATENATE(BD_COMERCIAL!$K194," ",BD_COMERCIAL!$L194),'Curva Forward'!$B$5:$B$13,0),MATCH(GK$4,'Curva Forward'!$C$4:$AN$4,0))),DM194)</f>
        <v>0</v>
      </c>
      <c r="GL194" s="190">
        <f>IF(EZ194="",0,CL194*CL$2*IF($FC194="V",1,-1)*IF($Q194="Fixo",(EZ194-INDEX('Curva Forward'!$C$5:$AN$13,MATCH(CONCATENATE(BD_COMERCIAL!$K194," ",BD_COMERCIAL!$L194),'Curva Forward'!$B$5:$B$13,0),MATCH(GL$4,'Curva Forward'!$C$4:$AN$4,0))),EZ194))</f>
        <v>0</v>
      </c>
      <c r="GM194" s="190">
        <f>IF(FA194="",0,CM194*CM$2*IF($FC194="V",1,-1)*IF($Q194="Fixo",(FA194-INDEX('Curva Forward'!$C$5:$AN$13,MATCH(CONCATENATE(BD_COMERCIAL!$K194," ",BD_COMERCIAL!$L194),'Curva Forward'!$B$5:$B$13,0),MATCH(GM$4,'Curva Forward'!$C$4:$AN$4,0))),FA194))</f>
        <v>0</v>
      </c>
      <c r="GN194" s="190">
        <f>IF(FB194="",0,CN194*CN$2*IF($FC194="V",1,-1)*IF($Q194="Fixo",(FB194-INDEX('Curva Forward'!$C$5:$AN$13,MATCH(CONCATENATE(BD_COMERCIAL!$K194," ",BD_COMERCIAL!$L194),'Curva Forward'!$B$5:$B$13,0),MATCH(GN$4,'Curva Forward'!$C$4:$AN$4,0))),FB194))</f>
        <v>0</v>
      </c>
      <c r="GO194" s="191">
        <f t="shared" ca="1" si="25"/>
        <v>0</v>
      </c>
      <c r="GP194" s="191">
        <f t="shared" ca="1" si="26"/>
        <v>0</v>
      </c>
      <c r="GQ194" s="115"/>
      <c r="GR194" s="115"/>
      <c r="GS194"/>
      <c r="GT194" s="65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</row>
    <row r="195" spans="1:236" s="265" customFormat="1" ht="15" customHeight="1" x14ac:dyDescent="0.35">
      <c r="A195" s="251"/>
      <c r="B195" s="275"/>
      <c r="C195" s="253"/>
      <c r="D195" s="254"/>
      <c r="E195" s="254"/>
      <c r="F195" s="255"/>
      <c r="G195" s="256"/>
      <c r="H195" s="255"/>
      <c r="I195" s="254"/>
      <c r="J195" s="257"/>
      <c r="K195" s="256"/>
      <c r="L195" s="252"/>
      <c r="M195" s="258"/>
      <c r="N195" s="259"/>
      <c r="O195" s="256"/>
      <c r="P195" s="252"/>
      <c r="Q195" s="252"/>
      <c r="R195" s="256"/>
      <c r="S195" s="260"/>
      <c r="T195" s="258"/>
      <c r="U195" s="259"/>
      <c r="V195" s="261"/>
      <c r="W195" s="252"/>
      <c r="X195" s="262"/>
      <c r="Y195" s="257"/>
      <c r="Z195" s="263"/>
      <c r="AA195" s="264"/>
      <c r="AB195" s="266"/>
      <c r="AM195" s="251"/>
      <c r="AN195" s="266"/>
      <c r="AY195" s="251"/>
      <c r="AZ195" s="266"/>
      <c r="BK195" s="251"/>
      <c r="BL195" s="266"/>
      <c r="BW195" s="251"/>
      <c r="BX195" s="266"/>
      <c r="CI195" s="251"/>
      <c r="CJ195" s="267"/>
      <c r="CK195" s="267"/>
      <c r="CL195" s="267"/>
      <c r="CM195" s="267"/>
      <c r="CN195" s="267"/>
      <c r="CO195" s="268"/>
      <c r="CP195" s="266"/>
      <c r="DA195" s="251"/>
      <c r="DB195" s="266"/>
      <c r="DM195" s="251"/>
      <c r="DN195" s="266"/>
      <c r="DY195" s="251"/>
      <c r="DZ195" s="266"/>
      <c r="EK195" s="251"/>
      <c r="EL195" s="266"/>
      <c r="EW195" s="251"/>
      <c r="EX195" s="267"/>
      <c r="EY195" s="267"/>
      <c r="EZ195" s="267"/>
      <c r="FA195" s="267"/>
      <c r="FB195" s="269"/>
      <c r="FD195" s="270"/>
      <c r="FF195" s="276"/>
      <c r="FH195" s="206">
        <f t="shared" si="20"/>
        <v>0</v>
      </c>
      <c r="FI195" s="198">
        <f t="shared" si="21"/>
        <v>0</v>
      </c>
      <c r="FJ195"/>
      <c r="FK195">
        <f t="shared" si="22"/>
        <v>0</v>
      </c>
      <c r="FL195" s="191">
        <f t="shared" ca="1" si="23"/>
        <v>0</v>
      </c>
      <c r="FM195" s="191">
        <f t="shared" ca="1" si="24"/>
        <v>0</v>
      </c>
      <c r="FN195" s="190">
        <f>AB195*AB$2*IF($FC195="V",1,-1)*IF($Q195="Fixo",(CP195-INDEX('Curva Forward'!$C$5:$AN$13,MATCH(CONCATENATE(BD_COMERCIAL!$K195," ",BD_COMERCIAL!$L195),'Curva Forward'!$B$5:$B$13,0),MATCH(FN$4,'Curva Forward'!$C$4:$AN$4,0))),CP195)</f>
        <v>0</v>
      </c>
      <c r="FO195" s="190">
        <f>AC195*AC$2*IF($FC195="V",1,-1)*IF($Q195="Fixo",(CQ195-INDEX('Curva Forward'!$C$5:$AN$13,MATCH(CONCATENATE(BD_COMERCIAL!$K195," ",BD_COMERCIAL!$L195),'Curva Forward'!$B$5:$B$13,0),MATCH(FO$4,'Curva Forward'!$C$4:$AN$4,0))),CQ195)</f>
        <v>0</v>
      </c>
      <c r="FP195" s="190">
        <f>AD195*AD$2*IF($FC195="V",1,-1)*IF($Q195="Fixo",(CR195-INDEX('Curva Forward'!$C$5:$AN$13,MATCH(CONCATENATE(BD_COMERCIAL!$K195," ",BD_COMERCIAL!$L195),'Curva Forward'!$B$5:$B$13,0),MATCH(FP$4,'Curva Forward'!$C$4:$AN$4,0))),CR195)</f>
        <v>0</v>
      </c>
      <c r="FQ195" s="190">
        <f>AE195*AE$2*IF($FC195="V",1,-1)*IF($Q195="Fixo",(CS195-INDEX('Curva Forward'!$C$5:$AN$13,MATCH(CONCATENATE(BD_COMERCIAL!$K195," ",BD_COMERCIAL!$L195),'Curva Forward'!$B$5:$B$13,0),MATCH(FQ$4,'Curva Forward'!$C$4:$AN$4,0))),CS195)</f>
        <v>0</v>
      </c>
      <c r="FR195" s="190">
        <f>AF195*AF$2*IF($FC195="V",1,-1)*IF($Q195="Fixo",(CT195-INDEX('Curva Forward'!$C$5:$AN$13,MATCH(CONCATENATE(BD_COMERCIAL!$K195," ",BD_COMERCIAL!$L195),'Curva Forward'!$B$5:$B$13,0),MATCH(FR$4,'Curva Forward'!$C$4:$AN$4,0))),CT195)</f>
        <v>0</v>
      </c>
      <c r="FS195" s="190">
        <f>AG195*AG$2*IF($FC195="V",1,-1)*IF($Q195="Fixo",(CU195-INDEX('Curva Forward'!$C$5:$AN$13,MATCH(CONCATENATE(BD_COMERCIAL!$K195," ",BD_COMERCIAL!$L195),'Curva Forward'!$B$5:$B$13,0),MATCH(FS$4,'Curva Forward'!$C$4:$AN$4,0))),CU195)</f>
        <v>0</v>
      </c>
      <c r="FT195" s="190">
        <f>AH195*AH$2*IF($FC195="V",1,-1)*IF($Q195="Fixo",(CV195-INDEX('Curva Forward'!$C$5:$AN$13,MATCH(CONCATENATE(BD_COMERCIAL!$K195," ",BD_COMERCIAL!$L195),'Curva Forward'!$B$5:$B$13,0),MATCH(FT$4,'Curva Forward'!$C$4:$AN$4,0))),CV195)</f>
        <v>0</v>
      </c>
      <c r="FU195" s="190">
        <f>AI195*AI$2*IF($FC195="V",1,-1)*IF($Q195="Fixo",(CW195-INDEX('Curva Forward'!$C$5:$AN$13,MATCH(CONCATENATE(BD_COMERCIAL!$K195," ",BD_COMERCIAL!$L195),'Curva Forward'!$B$5:$B$13,0),MATCH(FU$4,'Curva Forward'!$C$4:$AN$4,0))),CW195)</f>
        <v>0</v>
      </c>
      <c r="FV195" s="190">
        <f>AJ195*AJ$2*IF($FC195="V",1,-1)*IF($Q195="Fixo",(CX195-INDEX('Curva Forward'!$C$5:$AN$13,MATCH(CONCATENATE(BD_COMERCIAL!$K195," ",BD_COMERCIAL!$L195),'Curva Forward'!$B$5:$B$13,0),MATCH(FV$4,'Curva Forward'!$C$4:$AN$4,0))),CX195)</f>
        <v>0</v>
      </c>
      <c r="FW195" s="190">
        <f>AK195*AK$2*IF($FC195="V",1,-1)*IF($Q195="Fixo",(CY195-INDEX('Curva Forward'!$C$5:$AN$13,MATCH(CONCATENATE(BD_COMERCIAL!$K195," ",BD_COMERCIAL!$L195),'Curva Forward'!$B$5:$B$13,0),MATCH(FW$4,'Curva Forward'!$C$4:$AN$4,0))),CY195)</f>
        <v>0</v>
      </c>
      <c r="FX195" s="190">
        <f>AL195*AL$2*IF($FC195="V",1,-1)*IF($Q195="Fixo",(CZ195-INDEX('Curva Forward'!$C$5:$AN$13,MATCH(CONCATENATE(BD_COMERCIAL!$K195," ",BD_COMERCIAL!$L195),'Curva Forward'!$B$5:$B$13,0),MATCH(FX$4,'Curva Forward'!$C$4:$AN$4,0))),CZ195)</f>
        <v>0</v>
      </c>
      <c r="FY195" s="190">
        <f>AM195*AM$2*IF($FC195="V",1,-1)*IF($Q195="Fixo",(DA195-INDEX('Curva Forward'!$C$5:$AN$13,MATCH(CONCATENATE(BD_COMERCIAL!$K195," ",BD_COMERCIAL!$L195),'Curva Forward'!$B$5:$B$13,0),MATCH(FY$4,'Curva Forward'!$C$4:$AN$4,0))),DA195)</f>
        <v>0</v>
      </c>
      <c r="FZ195" s="190">
        <f>AN195*AN$2*IF($FC195="V",1,-1)*IF($Q195="Fixo",(DB195-INDEX('Curva Forward'!$C$5:$AN$13,MATCH(CONCATENATE(BD_COMERCIAL!$K195," ",BD_COMERCIAL!$L195),'Curva Forward'!$B$5:$B$13,0),MATCH(FZ$4,'Curva Forward'!$C$4:$AN$4,0))),DB195)</f>
        <v>0</v>
      </c>
      <c r="GA195" s="190">
        <f>AO195*AO$2*IF($FC195="V",1,-1)*IF($Q195="Fixo",(DC195-INDEX('Curva Forward'!$C$5:$AN$13,MATCH(CONCATENATE(BD_COMERCIAL!$K195," ",BD_COMERCIAL!$L195),'Curva Forward'!$B$5:$B$13,0),MATCH(GA$4,'Curva Forward'!$C$4:$AN$4,0))),DC195)</f>
        <v>0</v>
      </c>
      <c r="GB195" s="190">
        <f>AP195*AP$2*IF($FC195="V",1,-1)*IF($Q195="Fixo",(DD195-INDEX('Curva Forward'!$C$5:$AN$13,MATCH(CONCATENATE(BD_COMERCIAL!$K195," ",BD_COMERCIAL!$L195),'Curva Forward'!$B$5:$B$13,0),MATCH(GB$4,'Curva Forward'!$C$4:$AN$4,0))),DD195)</f>
        <v>0</v>
      </c>
      <c r="GC195" s="190">
        <f>AQ195*AQ$2*IF($FC195="V",1,-1)*IF($Q195="Fixo",(DE195-INDEX('Curva Forward'!$C$5:$AN$13,MATCH(CONCATENATE(BD_COMERCIAL!$K195," ",BD_COMERCIAL!$L195),'Curva Forward'!$B$5:$B$13,0),MATCH(GC$4,'Curva Forward'!$C$4:$AN$4,0))),DE195)</f>
        <v>0</v>
      </c>
      <c r="GD195" s="190">
        <f>AR195*AR$2*IF($FC195="V",1,-1)*IF($Q195="Fixo",(DF195-INDEX('Curva Forward'!$C$5:$AN$13,MATCH(CONCATENATE(BD_COMERCIAL!$K195," ",BD_COMERCIAL!$L195),'Curva Forward'!$B$5:$B$13,0),MATCH(GD$4,'Curva Forward'!$C$4:$AN$4,0))),DF195)</f>
        <v>0</v>
      </c>
      <c r="GE195" s="190">
        <f>AS195*AS$2*IF($FC195="V",1,-1)*IF($Q195="Fixo",(DG195-INDEX('Curva Forward'!$C$5:$AN$13,MATCH(CONCATENATE(BD_COMERCIAL!$K195," ",BD_COMERCIAL!$L195),'Curva Forward'!$B$5:$B$13,0),MATCH(GE$4,'Curva Forward'!$C$4:$AN$4,0))),DG195)</f>
        <v>0</v>
      </c>
      <c r="GF195" s="190">
        <f>AT195*AT$2*IF($FC195="V",1,-1)*IF($Q195="Fixo",(DH195-INDEX('Curva Forward'!$C$5:$AN$13,MATCH(CONCATENATE(BD_COMERCIAL!$K195," ",BD_COMERCIAL!$L195),'Curva Forward'!$B$5:$B$13,0),MATCH(GF$4,'Curva Forward'!$C$4:$AN$4,0))),DH195)</f>
        <v>0</v>
      </c>
      <c r="GG195" s="190">
        <f>AU195*AU$2*IF($FC195="V",1,-1)*IF($Q195="Fixo",(DI195-INDEX('Curva Forward'!$C$5:$AN$13,MATCH(CONCATENATE(BD_COMERCIAL!$K195," ",BD_COMERCIAL!$L195),'Curva Forward'!$B$5:$B$13,0),MATCH(GG$4,'Curva Forward'!$C$4:$AN$4,0))),DI195)</f>
        <v>0</v>
      </c>
      <c r="GH195" s="190">
        <f>AV195*AV$2*IF($FC195="V",1,-1)*IF($Q195="Fixo",(DJ195-INDEX('Curva Forward'!$C$5:$AN$13,MATCH(CONCATENATE(BD_COMERCIAL!$K195," ",BD_COMERCIAL!$L195),'Curva Forward'!$B$5:$B$13,0),MATCH(GH$4,'Curva Forward'!$C$4:$AN$4,0))),DJ195)</f>
        <v>0</v>
      </c>
      <c r="GI195" s="190">
        <f>AW195*AW$2*IF($FC195="V",1,-1)*IF($Q195="Fixo",(DK195-INDEX('Curva Forward'!$C$5:$AN$13,MATCH(CONCATENATE(BD_COMERCIAL!$K195," ",BD_COMERCIAL!$L195),'Curva Forward'!$B$5:$B$13,0),MATCH(GI$4,'Curva Forward'!$C$4:$AN$4,0))),DK195)</f>
        <v>0</v>
      </c>
      <c r="GJ195" s="190">
        <f>AX195*AX$2*IF($FC195="V",1,-1)*IF($Q195="Fixo",(DL195-INDEX('Curva Forward'!$C$5:$AN$13,MATCH(CONCATENATE(BD_COMERCIAL!$K195," ",BD_COMERCIAL!$L195),'Curva Forward'!$B$5:$B$13,0),MATCH(GJ$4,'Curva Forward'!$C$4:$AN$4,0))),DL195)</f>
        <v>0</v>
      </c>
      <c r="GK195" s="190">
        <f>AY195*AY$2*IF($FC195="V",1,-1)*IF($Q195="Fixo",(DM195-INDEX('Curva Forward'!$C$5:$AN$13,MATCH(CONCATENATE(BD_COMERCIAL!$K195," ",BD_COMERCIAL!$L195),'Curva Forward'!$B$5:$B$13,0),MATCH(GK$4,'Curva Forward'!$C$4:$AN$4,0))),DM195)</f>
        <v>0</v>
      </c>
      <c r="GL195" s="190">
        <f>IF(EZ195="",0,CL195*CL$2*IF($FC195="V",1,-1)*IF($Q195="Fixo",(EZ195-INDEX('Curva Forward'!$C$5:$AN$13,MATCH(CONCATENATE(BD_COMERCIAL!$K195," ",BD_COMERCIAL!$L195),'Curva Forward'!$B$5:$B$13,0),MATCH(GL$4,'Curva Forward'!$C$4:$AN$4,0))),EZ195))</f>
        <v>0</v>
      </c>
      <c r="GM195" s="190">
        <f>IF(FA195="",0,CM195*CM$2*IF($FC195="V",1,-1)*IF($Q195="Fixo",(FA195-INDEX('Curva Forward'!$C$5:$AN$13,MATCH(CONCATENATE(BD_COMERCIAL!$K195," ",BD_COMERCIAL!$L195),'Curva Forward'!$B$5:$B$13,0),MATCH(GM$4,'Curva Forward'!$C$4:$AN$4,0))),FA195))</f>
        <v>0</v>
      </c>
      <c r="GN195" s="190">
        <f>IF(FB195="",0,CN195*CN$2*IF($FC195="V",1,-1)*IF($Q195="Fixo",(FB195-INDEX('Curva Forward'!$C$5:$AN$13,MATCH(CONCATENATE(BD_COMERCIAL!$K195," ",BD_COMERCIAL!$L195),'Curva Forward'!$B$5:$B$13,0),MATCH(GN$4,'Curva Forward'!$C$4:$AN$4,0))),FB195))</f>
        <v>0</v>
      </c>
      <c r="GO195" s="191">
        <f t="shared" ca="1" si="25"/>
        <v>0</v>
      </c>
      <c r="GP195" s="191">
        <f t="shared" ca="1" si="26"/>
        <v>0</v>
      </c>
      <c r="GQ195" s="115"/>
      <c r="GR195" s="115"/>
      <c r="GS195"/>
      <c r="GT195" s="6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</row>
    <row r="196" spans="1:236" s="265" customFormat="1" ht="15" customHeight="1" x14ac:dyDescent="0.35">
      <c r="A196" s="251"/>
      <c r="B196" s="275"/>
      <c r="C196" s="253"/>
      <c r="D196" s="254"/>
      <c r="E196" s="254"/>
      <c r="F196" s="255"/>
      <c r="G196" s="256"/>
      <c r="H196" s="255"/>
      <c r="I196" s="254"/>
      <c r="J196" s="257"/>
      <c r="K196" s="256"/>
      <c r="L196" s="252"/>
      <c r="M196" s="258"/>
      <c r="N196" s="259"/>
      <c r="O196" s="256"/>
      <c r="P196" s="252"/>
      <c r="Q196" s="252"/>
      <c r="R196" s="256"/>
      <c r="S196" s="260"/>
      <c r="T196" s="258"/>
      <c r="U196" s="259"/>
      <c r="V196" s="261"/>
      <c r="W196" s="252"/>
      <c r="X196" s="262"/>
      <c r="Y196" s="257"/>
      <c r="Z196" s="263"/>
      <c r="AA196" s="264"/>
      <c r="AB196" s="266"/>
      <c r="AM196" s="251"/>
      <c r="AN196" s="266"/>
      <c r="AY196" s="251"/>
      <c r="AZ196" s="266"/>
      <c r="BK196" s="251"/>
      <c r="BL196" s="266"/>
      <c r="BW196" s="251"/>
      <c r="BX196" s="266"/>
      <c r="CI196" s="251"/>
      <c r="CJ196" s="267"/>
      <c r="CK196" s="267"/>
      <c r="CL196" s="267"/>
      <c r="CM196" s="267"/>
      <c r="CN196" s="267"/>
      <c r="CO196" s="268"/>
      <c r="CP196" s="266"/>
      <c r="DA196" s="251"/>
      <c r="DB196" s="266"/>
      <c r="DM196" s="251"/>
      <c r="DN196" s="266"/>
      <c r="DY196" s="251"/>
      <c r="DZ196" s="266"/>
      <c r="EK196" s="251"/>
      <c r="EL196" s="266"/>
      <c r="EW196" s="251"/>
      <c r="EX196" s="267"/>
      <c r="EY196" s="267"/>
      <c r="EZ196" s="267"/>
      <c r="FA196" s="267"/>
      <c r="FB196" s="269"/>
      <c r="FD196" s="270"/>
      <c r="FF196" s="276"/>
      <c r="FH196" s="206">
        <f t="shared" si="20"/>
        <v>0</v>
      </c>
      <c r="FI196" s="198">
        <f t="shared" si="21"/>
        <v>0</v>
      </c>
      <c r="FJ196"/>
      <c r="FK196">
        <f t="shared" si="22"/>
        <v>0</v>
      </c>
      <c r="FL196" s="191">
        <f t="shared" ca="1" si="23"/>
        <v>0</v>
      </c>
      <c r="FM196" s="191">
        <f t="shared" ca="1" si="24"/>
        <v>0</v>
      </c>
      <c r="FN196" s="190">
        <f>AB196*AB$2*IF($FC196="V",1,-1)*IF($Q196="Fixo",(CP196-INDEX('Curva Forward'!$C$5:$AN$13,MATCH(CONCATENATE(BD_COMERCIAL!$K196," ",BD_COMERCIAL!$L196),'Curva Forward'!$B$5:$B$13,0),MATCH(FN$4,'Curva Forward'!$C$4:$AN$4,0))),CP196)</f>
        <v>0</v>
      </c>
      <c r="FO196" s="190">
        <f>AC196*AC$2*IF($FC196="V",1,-1)*IF($Q196="Fixo",(CQ196-INDEX('Curva Forward'!$C$5:$AN$13,MATCH(CONCATENATE(BD_COMERCIAL!$K196," ",BD_COMERCIAL!$L196),'Curva Forward'!$B$5:$B$13,0),MATCH(FO$4,'Curva Forward'!$C$4:$AN$4,0))),CQ196)</f>
        <v>0</v>
      </c>
      <c r="FP196" s="190">
        <f>AD196*AD$2*IF($FC196="V",1,-1)*IF($Q196="Fixo",(CR196-INDEX('Curva Forward'!$C$5:$AN$13,MATCH(CONCATENATE(BD_COMERCIAL!$K196," ",BD_COMERCIAL!$L196),'Curva Forward'!$B$5:$B$13,0),MATCH(FP$4,'Curva Forward'!$C$4:$AN$4,0))),CR196)</f>
        <v>0</v>
      </c>
      <c r="FQ196" s="190">
        <f>AE196*AE$2*IF($FC196="V",1,-1)*IF($Q196="Fixo",(CS196-INDEX('Curva Forward'!$C$5:$AN$13,MATCH(CONCATENATE(BD_COMERCIAL!$K196," ",BD_COMERCIAL!$L196),'Curva Forward'!$B$5:$B$13,0),MATCH(FQ$4,'Curva Forward'!$C$4:$AN$4,0))),CS196)</f>
        <v>0</v>
      </c>
      <c r="FR196" s="190">
        <f>AF196*AF$2*IF($FC196="V",1,-1)*IF($Q196="Fixo",(CT196-INDEX('Curva Forward'!$C$5:$AN$13,MATCH(CONCATENATE(BD_COMERCIAL!$K196," ",BD_COMERCIAL!$L196),'Curva Forward'!$B$5:$B$13,0),MATCH(FR$4,'Curva Forward'!$C$4:$AN$4,0))),CT196)</f>
        <v>0</v>
      </c>
      <c r="FS196" s="190">
        <f>AG196*AG$2*IF($FC196="V",1,-1)*IF($Q196="Fixo",(CU196-INDEX('Curva Forward'!$C$5:$AN$13,MATCH(CONCATENATE(BD_COMERCIAL!$K196," ",BD_COMERCIAL!$L196),'Curva Forward'!$B$5:$B$13,0),MATCH(FS$4,'Curva Forward'!$C$4:$AN$4,0))),CU196)</f>
        <v>0</v>
      </c>
      <c r="FT196" s="190">
        <f>AH196*AH$2*IF($FC196="V",1,-1)*IF($Q196="Fixo",(CV196-INDEX('Curva Forward'!$C$5:$AN$13,MATCH(CONCATENATE(BD_COMERCIAL!$K196," ",BD_COMERCIAL!$L196),'Curva Forward'!$B$5:$B$13,0),MATCH(FT$4,'Curva Forward'!$C$4:$AN$4,0))),CV196)</f>
        <v>0</v>
      </c>
      <c r="FU196" s="190">
        <f>AI196*AI$2*IF($FC196="V",1,-1)*IF($Q196="Fixo",(CW196-INDEX('Curva Forward'!$C$5:$AN$13,MATCH(CONCATENATE(BD_COMERCIAL!$K196," ",BD_COMERCIAL!$L196),'Curva Forward'!$B$5:$B$13,0),MATCH(FU$4,'Curva Forward'!$C$4:$AN$4,0))),CW196)</f>
        <v>0</v>
      </c>
      <c r="FV196" s="190">
        <f>AJ196*AJ$2*IF($FC196="V",1,-1)*IF($Q196="Fixo",(CX196-INDEX('Curva Forward'!$C$5:$AN$13,MATCH(CONCATENATE(BD_COMERCIAL!$K196," ",BD_COMERCIAL!$L196),'Curva Forward'!$B$5:$B$13,0),MATCH(FV$4,'Curva Forward'!$C$4:$AN$4,0))),CX196)</f>
        <v>0</v>
      </c>
      <c r="FW196" s="190">
        <f>AK196*AK$2*IF($FC196="V",1,-1)*IF($Q196="Fixo",(CY196-INDEX('Curva Forward'!$C$5:$AN$13,MATCH(CONCATENATE(BD_COMERCIAL!$K196," ",BD_COMERCIAL!$L196),'Curva Forward'!$B$5:$B$13,0),MATCH(FW$4,'Curva Forward'!$C$4:$AN$4,0))),CY196)</f>
        <v>0</v>
      </c>
      <c r="FX196" s="190">
        <f>AL196*AL$2*IF($FC196="V",1,-1)*IF($Q196="Fixo",(CZ196-INDEX('Curva Forward'!$C$5:$AN$13,MATCH(CONCATENATE(BD_COMERCIAL!$K196," ",BD_COMERCIAL!$L196),'Curva Forward'!$B$5:$B$13,0),MATCH(FX$4,'Curva Forward'!$C$4:$AN$4,0))),CZ196)</f>
        <v>0</v>
      </c>
      <c r="FY196" s="190">
        <f>AM196*AM$2*IF($FC196="V",1,-1)*IF($Q196="Fixo",(DA196-INDEX('Curva Forward'!$C$5:$AN$13,MATCH(CONCATENATE(BD_COMERCIAL!$K196," ",BD_COMERCIAL!$L196),'Curva Forward'!$B$5:$B$13,0),MATCH(FY$4,'Curva Forward'!$C$4:$AN$4,0))),DA196)</f>
        <v>0</v>
      </c>
      <c r="FZ196" s="190">
        <f>AN196*AN$2*IF($FC196="V",1,-1)*IF($Q196="Fixo",(DB196-INDEX('Curva Forward'!$C$5:$AN$13,MATCH(CONCATENATE(BD_COMERCIAL!$K196," ",BD_COMERCIAL!$L196),'Curva Forward'!$B$5:$B$13,0),MATCH(FZ$4,'Curva Forward'!$C$4:$AN$4,0))),DB196)</f>
        <v>0</v>
      </c>
      <c r="GA196" s="190">
        <f>AO196*AO$2*IF($FC196="V",1,-1)*IF($Q196="Fixo",(DC196-INDEX('Curva Forward'!$C$5:$AN$13,MATCH(CONCATENATE(BD_COMERCIAL!$K196," ",BD_COMERCIAL!$L196),'Curva Forward'!$B$5:$B$13,0),MATCH(GA$4,'Curva Forward'!$C$4:$AN$4,0))),DC196)</f>
        <v>0</v>
      </c>
      <c r="GB196" s="190">
        <f>AP196*AP$2*IF($FC196="V",1,-1)*IF($Q196="Fixo",(DD196-INDEX('Curva Forward'!$C$5:$AN$13,MATCH(CONCATENATE(BD_COMERCIAL!$K196," ",BD_COMERCIAL!$L196),'Curva Forward'!$B$5:$B$13,0),MATCH(GB$4,'Curva Forward'!$C$4:$AN$4,0))),DD196)</f>
        <v>0</v>
      </c>
      <c r="GC196" s="190">
        <f>AQ196*AQ$2*IF($FC196="V",1,-1)*IF($Q196="Fixo",(DE196-INDEX('Curva Forward'!$C$5:$AN$13,MATCH(CONCATENATE(BD_COMERCIAL!$K196," ",BD_COMERCIAL!$L196),'Curva Forward'!$B$5:$B$13,0),MATCH(GC$4,'Curva Forward'!$C$4:$AN$4,0))),DE196)</f>
        <v>0</v>
      </c>
      <c r="GD196" s="190">
        <f>AR196*AR$2*IF($FC196="V",1,-1)*IF($Q196="Fixo",(DF196-INDEX('Curva Forward'!$C$5:$AN$13,MATCH(CONCATENATE(BD_COMERCIAL!$K196," ",BD_COMERCIAL!$L196),'Curva Forward'!$B$5:$B$13,0),MATCH(GD$4,'Curva Forward'!$C$4:$AN$4,0))),DF196)</f>
        <v>0</v>
      </c>
      <c r="GE196" s="190">
        <f>AS196*AS$2*IF($FC196="V",1,-1)*IF($Q196="Fixo",(DG196-INDEX('Curva Forward'!$C$5:$AN$13,MATCH(CONCATENATE(BD_COMERCIAL!$K196," ",BD_COMERCIAL!$L196),'Curva Forward'!$B$5:$B$13,0),MATCH(GE$4,'Curva Forward'!$C$4:$AN$4,0))),DG196)</f>
        <v>0</v>
      </c>
      <c r="GF196" s="190">
        <f>AT196*AT$2*IF($FC196="V",1,-1)*IF($Q196="Fixo",(DH196-INDEX('Curva Forward'!$C$5:$AN$13,MATCH(CONCATENATE(BD_COMERCIAL!$K196," ",BD_COMERCIAL!$L196),'Curva Forward'!$B$5:$B$13,0),MATCH(GF$4,'Curva Forward'!$C$4:$AN$4,0))),DH196)</f>
        <v>0</v>
      </c>
      <c r="GG196" s="190">
        <f>AU196*AU$2*IF($FC196="V",1,-1)*IF($Q196="Fixo",(DI196-INDEX('Curva Forward'!$C$5:$AN$13,MATCH(CONCATENATE(BD_COMERCIAL!$K196," ",BD_COMERCIAL!$L196),'Curva Forward'!$B$5:$B$13,0),MATCH(GG$4,'Curva Forward'!$C$4:$AN$4,0))),DI196)</f>
        <v>0</v>
      </c>
      <c r="GH196" s="190">
        <f>AV196*AV$2*IF($FC196="V",1,-1)*IF($Q196="Fixo",(DJ196-INDEX('Curva Forward'!$C$5:$AN$13,MATCH(CONCATENATE(BD_COMERCIAL!$K196," ",BD_COMERCIAL!$L196),'Curva Forward'!$B$5:$B$13,0),MATCH(GH$4,'Curva Forward'!$C$4:$AN$4,0))),DJ196)</f>
        <v>0</v>
      </c>
      <c r="GI196" s="190">
        <f>AW196*AW$2*IF($FC196="V",1,-1)*IF($Q196="Fixo",(DK196-INDEX('Curva Forward'!$C$5:$AN$13,MATCH(CONCATENATE(BD_COMERCIAL!$K196," ",BD_COMERCIAL!$L196),'Curva Forward'!$B$5:$B$13,0),MATCH(GI$4,'Curva Forward'!$C$4:$AN$4,0))),DK196)</f>
        <v>0</v>
      </c>
      <c r="GJ196" s="190">
        <f>AX196*AX$2*IF($FC196="V",1,-1)*IF($Q196="Fixo",(DL196-INDEX('Curva Forward'!$C$5:$AN$13,MATCH(CONCATENATE(BD_COMERCIAL!$K196," ",BD_COMERCIAL!$L196),'Curva Forward'!$B$5:$B$13,0),MATCH(GJ$4,'Curva Forward'!$C$4:$AN$4,0))),DL196)</f>
        <v>0</v>
      </c>
      <c r="GK196" s="190">
        <f>AY196*AY$2*IF($FC196="V",1,-1)*IF($Q196="Fixo",(DM196-INDEX('Curva Forward'!$C$5:$AN$13,MATCH(CONCATENATE(BD_COMERCIAL!$K196," ",BD_COMERCIAL!$L196),'Curva Forward'!$B$5:$B$13,0),MATCH(GK$4,'Curva Forward'!$C$4:$AN$4,0))),DM196)</f>
        <v>0</v>
      </c>
      <c r="GL196" s="190">
        <f>IF(EZ196="",0,CL196*CL$2*IF($FC196="V",1,-1)*IF($Q196="Fixo",(EZ196-INDEX('Curva Forward'!$C$5:$AN$13,MATCH(CONCATENATE(BD_COMERCIAL!$K196," ",BD_COMERCIAL!$L196),'Curva Forward'!$B$5:$B$13,0),MATCH(GL$4,'Curva Forward'!$C$4:$AN$4,0))),EZ196))</f>
        <v>0</v>
      </c>
      <c r="GM196" s="190">
        <f>IF(FA196="",0,CM196*CM$2*IF($FC196="V",1,-1)*IF($Q196="Fixo",(FA196-INDEX('Curva Forward'!$C$5:$AN$13,MATCH(CONCATENATE(BD_COMERCIAL!$K196," ",BD_COMERCIAL!$L196),'Curva Forward'!$B$5:$B$13,0),MATCH(GM$4,'Curva Forward'!$C$4:$AN$4,0))),FA196))</f>
        <v>0</v>
      </c>
      <c r="GN196" s="190">
        <f>IF(FB196="",0,CN196*CN$2*IF($FC196="V",1,-1)*IF($Q196="Fixo",(FB196-INDEX('Curva Forward'!$C$5:$AN$13,MATCH(CONCATENATE(BD_COMERCIAL!$K196," ",BD_COMERCIAL!$L196),'Curva Forward'!$B$5:$B$13,0),MATCH(GN$4,'Curva Forward'!$C$4:$AN$4,0))),FB196))</f>
        <v>0</v>
      </c>
      <c r="GO196" s="191">
        <f t="shared" ca="1" si="25"/>
        <v>0</v>
      </c>
      <c r="GP196" s="191">
        <f t="shared" ca="1" si="26"/>
        <v>0</v>
      </c>
      <c r="GQ196" s="115"/>
      <c r="GR196" s="115"/>
      <c r="GS196"/>
      <c r="GT196" s="65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</row>
    <row r="197" spans="1:236" s="265" customFormat="1" ht="15" customHeight="1" x14ac:dyDescent="0.35">
      <c r="A197" s="251"/>
      <c r="B197" s="275"/>
      <c r="C197" s="253"/>
      <c r="D197" s="254"/>
      <c r="E197" s="254"/>
      <c r="F197" s="255"/>
      <c r="G197" s="256"/>
      <c r="H197" s="255"/>
      <c r="I197" s="254"/>
      <c r="J197" s="257"/>
      <c r="K197" s="256"/>
      <c r="L197" s="252"/>
      <c r="M197" s="258"/>
      <c r="N197" s="259"/>
      <c r="O197" s="256"/>
      <c r="P197" s="252"/>
      <c r="Q197" s="252"/>
      <c r="R197" s="256"/>
      <c r="S197" s="260"/>
      <c r="T197" s="258"/>
      <c r="U197" s="259"/>
      <c r="V197" s="261"/>
      <c r="W197" s="252"/>
      <c r="X197" s="262"/>
      <c r="Y197" s="257"/>
      <c r="Z197" s="263"/>
      <c r="AA197" s="264"/>
      <c r="AB197" s="266"/>
      <c r="AM197" s="251"/>
      <c r="AN197" s="266"/>
      <c r="AY197" s="251"/>
      <c r="AZ197" s="266"/>
      <c r="BK197" s="251"/>
      <c r="BL197" s="266"/>
      <c r="BW197" s="251"/>
      <c r="BX197" s="266"/>
      <c r="CI197" s="251"/>
      <c r="CJ197" s="267"/>
      <c r="CK197" s="267"/>
      <c r="CL197" s="267"/>
      <c r="CM197" s="267"/>
      <c r="CN197" s="267"/>
      <c r="CO197" s="268"/>
      <c r="CP197" s="266"/>
      <c r="DA197" s="251"/>
      <c r="DB197" s="266"/>
      <c r="DM197" s="251"/>
      <c r="DN197" s="266"/>
      <c r="DY197" s="251"/>
      <c r="DZ197" s="266"/>
      <c r="EK197" s="251"/>
      <c r="EL197" s="266"/>
      <c r="EW197" s="251"/>
      <c r="EX197" s="267"/>
      <c r="EY197" s="267"/>
      <c r="EZ197" s="267"/>
      <c r="FA197" s="267"/>
      <c r="FB197" s="269"/>
      <c r="FD197" s="270"/>
      <c r="FF197" s="276"/>
      <c r="FH197" s="206">
        <f t="shared" si="20"/>
        <v>0</v>
      </c>
      <c r="FI197" s="198">
        <f t="shared" si="21"/>
        <v>0</v>
      </c>
      <c r="FJ197"/>
      <c r="FK197">
        <f t="shared" si="22"/>
        <v>0</v>
      </c>
      <c r="FL197" s="191">
        <f t="shared" ca="1" si="23"/>
        <v>0</v>
      </c>
      <c r="FM197" s="191">
        <f t="shared" ca="1" si="24"/>
        <v>0</v>
      </c>
      <c r="FN197" s="190">
        <f>AB197*AB$2*IF($FC197="V",1,-1)*IF($Q197="Fixo",(CP197-INDEX('Curva Forward'!$C$5:$AN$13,MATCH(CONCATENATE(BD_COMERCIAL!$K197," ",BD_COMERCIAL!$L197),'Curva Forward'!$B$5:$B$13,0),MATCH(FN$4,'Curva Forward'!$C$4:$AN$4,0))),CP197)</f>
        <v>0</v>
      </c>
      <c r="FO197" s="190">
        <f>AC197*AC$2*IF($FC197="V",1,-1)*IF($Q197="Fixo",(CQ197-INDEX('Curva Forward'!$C$5:$AN$13,MATCH(CONCATENATE(BD_COMERCIAL!$K197," ",BD_COMERCIAL!$L197),'Curva Forward'!$B$5:$B$13,0),MATCH(FO$4,'Curva Forward'!$C$4:$AN$4,0))),CQ197)</f>
        <v>0</v>
      </c>
      <c r="FP197" s="190">
        <f>AD197*AD$2*IF($FC197="V",1,-1)*IF($Q197="Fixo",(CR197-INDEX('Curva Forward'!$C$5:$AN$13,MATCH(CONCATENATE(BD_COMERCIAL!$K197," ",BD_COMERCIAL!$L197),'Curva Forward'!$B$5:$B$13,0),MATCH(FP$4,'Curva Forward'!$C$4:$AN$4,0))),CR197)</f>
        <v>0</v>
      </c>
      <c r="FQ197" s="190">
        <f>AE197*AE$2*IF($FC197="V",1,-1)*IF($Q197="Fixo",(CS197-INDEX('Curva Forward'!$C$5:$AN$13,MATCH(CONCATENATE(BD_COMERCIAL!$K197," ",BD_COMERCIAL!$L197),'Curva Forward'!$B$5:$B$13,0),MATCH(FQ$4,'Curva Forward'!$C$4:$AN$4,0))),CS197)</f>
        <v>0</v>
      </c>
      <c r="FR197" s="190">
        <f>AF197*AF$2*IF($FC197="V",1,-1)*IF($Q197="Fixo",(CT197-INDEX('Curva Forward'!$C$5:$AN$13,MATCH(CONCATENATE(BD_COMERCIAL!$K197," ",BD_COMERCIAL!$L197),'Curva Forward'!$B$5:$B$13,0),MATCH(FR$4,'Curva Forward'!$C$4:$AN$4,0))),CT197)</f>
        <v>0</v>
      </c>
      <c r="FS197" s="190">
        <f>AG197*AG$2*IF($FC197="V",1,-1)*IF($Q197="Fixo",(CU197-INDEX('Curva Forward'!$C$5:$AN$13,MATCH(CONCATENATE(BD_COMERCIAL!$K197," ",BD_COMERCIAL!$L197),'Curva Forward'!$B$5:$B$13,0),MATCH(FS$4,'Curva Forward'!$C$4:$AN$4,0))),CU197)</f>
        <v>0</v>
      </c>
      <c r="FT197" s="190">
        <f>AH197*AH$2*IF($FC197="V",1,-1)*IF($Q197="Fixo",(CV197-INDEX('Curva Forward'!$C$5:$AN$13,MATCH(CONCATENATE(BD_COMERCIAL!$K197," ",BD_COMERCIAL!$L197),'Curva Forward'!$B$5:$B$13,0),MATCH(FT$4,'Curva Forward'!$C$4:$AN$4,0))),CV197)</f>
        <v>0</v>
      </c>
      <c r="FU197" s="190">
        <f>AI197*AI$2*IF($FC197="V",1,-1)*IF($Q197="Fixo",(CW197-INDEX('Curva Forward'!$C$5:$AN$13,MATCH(CONCATENATE(BD_COMERCIAL!$K197," ",BD_COMERCIAL!$L197),'Curva Forward'!$B$5:$B$13,0),MATCH(FU$4,'Curva Forward'!$C$4:$AN$4,0))),CW197)</f>
        <v>0</v>
      </c>
      <c r="FV197" s="190">
        <f>AJ197*AJ$2*IF($FC197="V",1,-1)*IF($Q197="Fixo",(CX197-INDEX('Curva Forward'!$C$5:$AN$13,MATCH(CONCATENATE(BD_COMERCIAL!$K197," ",BD_COMERCIAL!$L197),'Curva Forward'!$B$5:$B$13,0),MATCH(FV$4,'Curva Forward'!$C$4:$AN$4,0))),CX197)</f>
        <v>0</v>
      </c>
      <c r="FW197" s="190">
        <f>AK197*AK$2*IF($FC197="V",1,-1)*IF($Q197="Fixo",(CY197-INDEX('Curva Forward'!$C$5:$AN$13,MATCH(CONCATENATE(BD_COMERCIAL!$K197," ",BD_COMERCIAL!$L197),'Curva Forward'!$B$5:$B$13,0),MATCH(FW$4,'Curva Forward'!$C$4:$AN$4,0))),CY197)</f>
        <v>0</v>
      </c>
      <c r="FX197" s="190">
        <f>AL197*AL$2*IF($FC197="V",1,-1)*IF($Q197="Fixo",(CZ197-INDEX('Curva Forward'!$C$5:$AN$13,MATCH(CONCATENATE(BD_COMERCIAL!$K197," ",BD_COMERCIAL!$L197),'Curva Forward'!$B$5:$B$13,0),MATCH(FX$4,'Curva Forward'!$C$4:$AN$4,0))),CZ197)</f>
        <v>0</v>
      </c>
      <c r="FY197" s="190">
        <f>AM197*AM$2*IF($FC197="V",1,-1)*IF($Q197="Fixo",(DA197-INDEX('Curva Forward'!$C$5:$AN$13,MATCH(CONCATENATE(BD_COMERCIAL!$K197," ",BD_COMERCIAL!$L197),'Curva Forward'!$B$5:$B$13,0),MATCH(FY$4,'Curva Forward'!$C$4:$AN$4,0))),DA197)</f>
        <v>0</v>
      </c>
      <c r="FZ197" s="190">
        <f>AN197*AN$2*IF($FC197="V",1,-1)*IF($Q197="Fixo",(DB197-INDEX('Curva Forward'!$C$5:$AN$13,MATCH(CONCATENATE(BD_COMERCIAL!$K197," ",BD_COMERCIAL!$L197),'Curva Forward'!$B$5:$B$13,0),MATCH(FZ$4,'Curva Forward'!$C$4:$AN$4,0))),DB197)</f>
        <v>0</v>
      </c>
      <c r="GA197" s="190">
        <f>AO197*AO$2*IF($FC197="V",1,-1)*IF($Q197="Fixo",(DC197-INDEX('Curva Forward'!$C$5:$AN$13,MATCH(CONCATENATE(BD_COMERCIAL!$K197," ",BD_COMERCIAL!$L197),'Curva Forward'!$B$5:$B$13,0),MATCH(GA$4,'Curva Forward'!$C$4:$AN$4,0))),DC197)</f>
        <v>0</v>
      </c>
      <c r="GB197" s="190">
        <f>AP197*AP$2*IF($FC197="V",1,-1)*IF($Q197="Fixo",(DD197-INDEX('Curva Forward'!$C$5:$AN$13,MATCH(CONCATENATE(BD_COMERCIAL!$K197," ",BD_COMERCIAL!$L197),'Curva Forward'!$B$5:$B$13,0),MATCH(GB$4,'Curva Forward'!$C$4:$AN$4,0))),DD197)</f>
        <v>0</v>
      </c>
      <c r="GC197" s="190">
        <f>AQ197*AQ$2*IF($FC197="V",1,-1)*IF($Q197="Fixo",(DE197-INDEX('Curva Forward'!$C$5:$AN$13,MATCH(CONCATENATE(BD_COMERCIAL!$K197," ",BD_COMERCIAL!$L197),'Curva Forward'!$B$5:$B$13,0),MATCH(GC$4,'Curva Forward'!$C$4:$AN$4,0))),DE197)</f>
        <v>0</v>
      </c>
      <c r="GD197" s="190">
        <f>AR197*AR$2*IF($FC197="V",1,-1)*IF($Q197="Fixo",(DF197-INDEX('Curva Forward'!$C$5:$AN$13,MATCH(CONCATENATE(BD_COMERCIAL!$K197," ",BD_COMERCIAL!$L197),'Curva Forward'!$B$5:$B$13,0),MATCH(GD$4,'Curva Forward'!$C$4:$AN$4,0))),DF197)</f>
        <v>0</v>
      </c>
      <c r="GE197" s="190">
        <f>AS197*AS$2*IF($FC197="V",1,-1)*IF($Q197="Fixo",(DG197-INDEX('Curva Forward'!$C$5:$AN$13,MATCH(CONCATENATE(BD_COMERCIAL!$K197," ",BD_COMERCIAL!$L197),'Curva Forward'!$B$5:$B$13,0),MATCH(GE$4,'Curva Forward'!$C$4:$AN$4,0))),DG197)</f>
        <v>0</v>
      </c>
      <c r="GF197" s="190">
        <f>AT197*AT$2*IF($FC197="V",1,-1)*IF($Q197="Fixo",(DH197-INDEX('Curva Forward'!$C$5:$AN$13,MATCH(CONCATENATE(BD_COMERCIAL!$K197," ",BD_COMERCIAL!$L197),'Curva Forward'!$B$5:$B$13,0),MATCH(GF$4,'Curva Forward'!$C$4:$AN$4,0))),DH197)</f>
        <v>0</v>
      </c>
      <c r="GG197" s="190">
        <f>AU197*AU$2*IF($FC197="V",1,-1)*IF($Q197="Fixo",(DI197-INDEX('Curva Forward'!$C$5:$AN$13,MATCH(CONCATENATE(BD_COMERCIAL!$K197," ",BD_COMERCIAL!$L197),'Curva Forward'!$B$5:$B$13,0),MATCH(GG$4,'Curva Forward'!$C$4:$AN$4,0))),DI197)</f>
        <v>0</v>
      </c>
      <c r="GH197" s="190">
        <f>AV197*AV$2*IF($FC197="V",1,-1)*IF($Q197="Fixo",(DJ197-INDEX('Curva Forward'!$C$5:$AN$13,MATCH(CONCATENATE(BD_COMERCIAL!$K197," ",BD_COMERCIAL!$L197),'Curva Forward'!$B$5:$B$13,0),MATCH(GH$4,'Curva Forward'!$C$4:$AN$4,0))),DJ197)</f>
        <v>0</v>
      </c>
      <c r="GI197" s="190">
        <f>AW197*AW$2*IF($FC197="V",1,-1)*IF($Q197="Fixo",(DK197-INDEX('Curva Forward'!$C$5:$AN$13,MATCH(CONCATENATE(BD_COMERCIAL!$K197," ",BD_COMERCIAL!$L197),'Curva Forward'!$B$5:$B$13,0),MATCH(GI$4,'Curva Forward'!$C$4:$AN$4,0))),DK197)</f>
        <v>0</v>
      </c>
      <c r="GJ197" s="190">
        <f>AX197*AX$2*IF($FC197="V",1,-1)*IF($Q197="Fixo",(DL197-INDEX('Curva Forward'!$C$5:$AN$13,MATCH(CONCATENATE(BD_COMERCIAL!$K197," ",BD_COMERCIAL!$L197),'Curva Forward'!$B$5:$B$13,0),MATCH(GJ$4,'Curva Forward'!$C$4:$AN$4,0))),DL197)</f>
        <v>0</v>
      </c>
      <c r="GK197" s="190">
        <f>AY197*AY$2*IF($FC197="V",1,-1)*IF($Q197="Fixo",(DM197-INDEX('Curva Forward'!$C$5:$AN$13,MATCH(CONCATENATE(BD_COMERCIAL!$K197," ",BD_COMERCIAL!$L197),'Curva Forward'!$B$5:$B$13,0),MATCH(GK$4,'Curva Forward'!$C$4:$AN$4,0))),DM197)</f>
        <v>0</v>
      </c>
      <c r="GL197" s="190">
        <f>IF(EZ197="",0,CL197*CL$2*IF($FC197="V",1,-1)*IF($Q197="Fixo",(EZ197-INDEX('Curva Forward'!$C$5:$AN$13,MATCH(CONCATENATE(BD_COMERCIAL!$K197," ",BD_COMERCIAL!$L197),'Curva Forward'!$B$5:$B$13,0),MATCH(GL$4,'Curva Forward'!$C$4:$AN$4,0))),EZ197))</f>
        <v>0</v>
      </c>
      <c r="GM197" s="190">
        <f>IF(FA197="",0,CM197*CM$2*IF($FC197="V",1,-1)*IF($Q197="Fixo",(FA197-INDEX('Curva Forward'!$C$5:$AN$13,MATCH(CONCATENATE(BD_COMERCIAL!$K197," ",BD_COMERCIAL!$L197),'Curva Forward'!$B$5:$B$13,0),MATCH(GM$4,'Curva Forward'!$C$4:$AN$4,0))),FA197))</f>
        <v>0</v>
      </c>
      <c r="GN197" s="190">
        <f>IF(FB197="",0,CN197*CN$2*IF($FC197="V",1,-1)*IF($Q197="Fixo",(FB197-INDEX('Curva Forward'!$C$5:$AN$13,MATCH(CONCATENATE(BD_COMERCIAL!$K197," ",BD_COMERCIAL!$L197),'Curva Forward'!$B$5:$B$13,0),MATCH(GN$4,'Curva Forward'!$C$4:$AN$4,0))),FB197))</f>
        <v>0</v>
      </c>
      <c r="GO197" s="191">
        <f t="shared" ca="1" si="25"/>
        <v>0</v>
      </c>
      <c r="GP197" s="191">
        <f t="shared" ca="1" si="26"/>
        <v>0</v>
      </c>
      <c r="GQ197" s="115"/>
      <c r="GR197" s="115"/>
      <c r="GS197"/>
      <c r="GT197" s="65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</row>
    <row r="198" spans="1:236" s="265" customFormat="1" ht="15" customHeight="1" x14ac:dyDescent="0.35">
      <c r="A198" s="251"/>
      <c r="B198" s="275"/>
      <c r="C198" s="253"/>
      <c r="D198" s="254"/>
      <c r="E198" s="254"/>
      <c r="F198" s="255"/>
      <c r="G198" s="256"/>
      <c r="H198" s="255"/>
      <c r="I198" s="254"/>
      <c r="J198" s="257"/>
      <c r="K198" s="256"/>
      <c r="L198" s="252"/>
      <c r="M198" s="258"/>
      <c r="N198" s="259"/>
      <c r="O198" s="256"/>
      <c r="P198" s="252"/>
      <c r="Q198" s="252"/>
      <c r="R198" s="256"/>
      <c r="S198" s="260"/>
      <c r="T198" s="258"/>
      <c r="U198" s="259"/>
      <c r="V198" s="261"/>
      <c r="W198" s="252"/>
      <c r="X198" s="262"/>
      <c r="Y198" s="257"/>
      <c r="Z198" s="263"/>
      <c r="AA198" s="264"/>
      <c r="AB198" s="266"/>
      <c r="AM198" s="251"/>
      <c r="AN198" s="266"/>
      <c r="AY198" s="251"/>
      <c r="AZ198" s="266"/>
      <c r="BK198" s="251"/>
      <c r="BL198" s="266"/>
      <c r="BW198" s="251"/>
      <c r="BX198" s="266"/>
      <c r="CI198" s="251"/>
      <c r="CJ198" s="267"/>
      <c r="CK198" s="267"/>
      <c r="CL198" s="267"/>
      <c r="CM198" s="267"/>
      <c r="CN198" s="267"/>
      <c r="CO198" s="268"/>
      <c r="CP198" s="266"/>
      <c r="DA198" s="251"/>
      <c r="DB198" s="266"/>
      <c r="DM198" s="251"/>
      <c r="DN198" s="266"/>
      <c r="DY198" s="251"/>
      <c r="DZ198" s="266"/>
      <c r="EK198" s="251"/>
      <c r="EL198" s="266"/>
      <c r="EW198" s="251"/>
      <c r="EX198" s="267"/>
      <c r="EY198" s="267"/>
      <c r="EZ198" s="267"/>
      <c r="FA198" s="267"/>
      <c r="FB198" s="269"/>
      <c r="FD198" s="270"/>
      <c r="FF198" s="276"/>
      <c r="FH198" s="206">
        <f t="shared" ref="FH198:FH261" si="27">IF(V198="",0,V198-P198)</f>
        <v>0</v>
      </c>
      <c r="FI198" s="198">
        <f t="shared" ref="FI198:FI261" si="28">(N198-M198)/30</f>
        <v>0</v>
      </c>
      <c r="FJ198"/>
      <c r="FK198">
        <f t="shared" ref="FK198:FK261" si="29">IF($FC198="V",G198,E198)</f>
        <v>0</v>
      </c>
      <c r="FL198" s="191">
        <f t="shared" ref="FL198:FL261" ca="1" si="30">SUMIF($FN$4:$GK$4,"&lt;"&amp;EOMONTH(TODAY(),-1),FN198:GK198)</f>
        <v>0</v>
      </c>
      <c r="FM198" s="191">
        <f t="shared" ref="FM198:FM261" ca="1" si="31">SUM(FN198:GN198)-FL198</f>
        <v>0</v>
      </c>
      <c r="FN198" s="190">
        <f>AB198*AB$2*IF($FC198="V",1,-1)*IF($Q198="Fixo",(CP198-INDEX('Curva Forward'!$C$5:$AN$13,MATCH(CONCATENATE(BD_COMERCIAL!$K198," ",BD_COMERCIAL!$L198),'Curva Forward'!$B$5:$B$13,0),MATCH(FN$4,'Curva Forward'!$C$4:$AN$4,0))),CP198)</f>
        <v>0</v>
      </c>
      <c r="FO198" s="190">
        <f>AC198*AC$2*IF($FC198="V",1,-1)*IF($Q198="Fixo",(CQ198-INDEX('Curva Forward'!$C$5:$AN$13,MATCH(CONCATENATE(BD_COMERCIAL!$K198," ",BD_COMERCIAL!$L198),'Curva Forward'!$B$5:$B$13,0),MATCH(FO$4,'Curva Forward'!$C$4:$AN$4,0))),CQ198)</f>
        <v>0</v>
      </c>
      <c r="FP198" s="190">
        <f>AD198*AD$2*IF($FC198="V",1,-1)*IF($Q198="Fixo",(CR198-INDEX('Curva Forward'!$C$5:$AN$13,MATCH(CONCATENATE(BD_COMERCIAL!$K198," ",BD_COMERCIAL!$L198),'Curva Forward'!$B$5:$B$13,0),MATCH(FP$4,'Curva Forward'!$C$4:$AN$4,0))),CR198)</f>
        <v>0</v>
      </c>
      <c r="FQ198" s="190">
        <f>AE198*AE$2*IF($FC198="V",1,-1)*IF($Q198="Fixo",(CS198-INDEX('Curva Forward'!$C$5:$AN$13,MATCH(CONCATENATE(BD_COMERCIAL!$K198," ",BD_COMERCIAL!$L198),'Curva Forward'!$B$5:$B$13,0),MATCH(FQ$4,'Curva Forward'!$C$4:$AN$4,0))),CS198)</f>
        <v>0</v>
      </c>
      <c r="FR198" s="190">
        <f>AF198*AF$2*IF($FC198="V",1,-1)*IF($Q198="Fixo",(CT198-INDEX('Curva Forward'!$C$5:$AN$13,MATCH(CONCATENATE(BD_COMERCIAL!$K198," ",BD_COMERCIAL!$L198),'Curva Forward'!$B$5:$B$13,0),MATCH(FR$4,'Curva Forward'!$C$4:$AN$4,0))),CT198)</f>
        <v>0</v>
      </c>
      <c r="FS198" s="190">
        <f>AG198*AG$2*IF($FC198="V",1,-1)*IF($Q198="Fixo",(CU198-INDEX('Curva Forward'!$C$5:$AN$13,MATCH(CONCATENATE(BD_COMERCIAL!$K198," ",BD_COMERCIAL!$L198),'Curva Forward'!$B$5:$B$13,0),MATCH(FS$4,'Curva Forward'!$C$4:$AN$4,0))),CU198)</f>
        <v>0</v>
      </c>
      <c r="FT198" s="190">
        <f>AH198*AH$2*IF($FC198="V",1,-1)*IF($Q198="Fixo",(CV198-INDEX('Curva Forward'!$C$5:$AN$13,MATCH(CONCATENATE(BD_COMERCIAL!$K198," ",BD_COMERCIAL!$L198),'Curva Forward'!$B$5:$B$13,0),MATCH(FT$4,'Curva Forward'!$C$4:$AN$4,0))),CV198)</f>
        <v>0</v>
      </c>
      <c r="FU198" s="190">
        <f>AI198*AI$2*IF($FC198="V",1,-1)*IF($Q198="Fixo",(CW198-INDEX('Curva Forward'!$C$5:$AN$13,MATCH(CONCATENATE(BD_COMERCIAL!$K198," ",BD_COMERCIAL!$L198),'Curva Forward'!$B$5:$B$13,0),MATCH(FU$4,'Curva Forward'!$C$4:$AN$4,0))),CW198)</f>
        <v>0</v>
      </c>
      <c r="FV198" s="190">
        <f>AJ198*AJ$2*IF($FC198="V",1,-1)*IF($Q198="Fixo",(CX198-INDEX('Curva Forward'!$C$5:$AN$13,MATCH(CONCATENATE(BD_COMERCIAL!$K198," ",BD_COMERCIAL!$L198),'Curva Forward'!$B$5:$B$13,0),MATCH(FV$4,'Curva Forward'!$C$4:$AN$4,0))),CX198)</f>
        <v>0</v>
      </c>
      <c r="FW198" s="190">
        <f>AK198*AK$2*IF($FC198="V",1,-1)*IF($Q198="Fixo",(CY198-INDEX('Curva Forward'!$C$5:$AN$13,MATCH(CONCATENATE(BD_COMERCIAL!$K198," ",BD_COMERCIAL!$L198),'Curva Forward'!$B$5:$B$13,0),MATCH(FW$4,'Curva Forward'!$C$4:$AN$4,0))),CY198)</f>
        <v>0</v>
      </c>
      <c r="FX198" s="190">
        <f>AL198*AL$2*IF($FC198="V",1,-1)*IF($Q198="Fixo",(CZ198-INDEX('Curva Forward'!$C$5:$AN$13,MATCH(CONCATENATE(BD_COMERCIAL!$K198," ",BD_COMERCIAL!$L198),'Curva Forward'!$B$5:$B$13,0),MATCH(FX$4,'Curva Forward'!$C$4:$AN$4,0))),CZ198)</f>
        <v>0</v>
      </c>
      <c r="FY198" s="190">
        <f>AM198*AM$2*IF($FC198="V",1,-1)*IF($Q198="Fixo",(DA198-INDEX('Curva Forward'!$C$5:$AN$13,MATCH(CONCATENATE(BD_COMERCIAL!$K198," ",BD_COMERCIAL!$L198),'Curva Forward'!$B$5:$B$13,0),MATCH(FY$4,'Curva Forward'!$C$4:$AN$4,0))),DA198)</f>
        <v>0</v>
      </c>
      <c r="FZ198" s="190">
        <f>AN198*AN$2*IF($FC198="V",1,-1)*IF($Q198="Fixo",(DB198-INDEX('Curva Forward'!$C$5:$AN$13,MATCH(CONCATENATE(BD_COMERCIAL!$K198," ",BD_COMERCIAL!$L198),'Curva Forward'!$B$5:$B$13,0),MATCH(FZ$4,'Curva Forward'!$C$4:$AN$4,0))),DB198)</f>
        <v>0</v>
      </c>
      <c r="GA198" s="190">
        <f>AO198*AO$2*IF($FC198="V",1,-1)*IF($Q198="Fixo",(DC198-INDEX('Curva Forward'!$C$5:$AN$13,MATCH(CONCATENATE(BD_COMERCIAL!$K198," ",BD_COMERCIAL!$L198),'Curva Forward'!$B$5:$B$13,0),MATCH(GA$4,'Curva Forward'!$C$4:$AN$4,0))),DC198)</f>
        <v>0</v>
      </c>
      <c r="GB198" s="190">
        <f>AP198*AP$2*IF($FC198="V",1,-1)*IF($Q198="Fixo",(DD198-INDEX('Curva Forward'!$C$5:$AN$13,MATCH(CONCATENATE(BD_COMERCIAL!$K198," ",BD_COMERCIAL!$L198),'Curva Forward'!$B$5:$B$13,0),MATCH(GB$4,'Curva Forward'!$C$4:$AN$4,0))),DD198)</f>
        <v>0</v>
      </c>
      <c r="GC198" s="190">
        <f>AQ198*AQ$2*IF($FC198="V",1,-1)*IF($Q198="Fixo",(DE198-INDEX('Curva Forward'!$C$5:$AN$13,MATCH(CONCATENATE(BD_COMERCIAL!$K198," ",BD_COMERCIAL!$L198),'Curva Forward'!$B$5:$B$13,0),MATCH(GC$4,'Curva Forward'!$C$4:$AN$4,0))),DE198)</f>
        <v>0</v>
      </c>
      <c r="GD198" s="190">
        <f>AR198*AR$2*IF($FC198="V",1,-1)*IF($Q198="Fixo",(DF198-INDEX('Curva Forward'!$C$5:$AN$13,MATCH(CONCATENATE(BD_COMERCIAL!$K198," ",BD_COMERCIAL!$L198),'Curva Forward'!$B$5:$B$13,0),MATCH(GD$4,'Curva Forward'!$C$4:$AN$4,0))),DF198)</f>
        <v>0</v>
      </c>
      <c r="GE198" s="190">
        <f>AS198*AS$2*IF($FC198="V",1,-1)*IF($Q198="Fixo",(DG198-INDEX('Curva Forward'!$C$5:$AN$13,MATCH(CONCATENATE(BD_COMERCIAL!$K198," ",BD_COMERCIAL!$L198),'Curva Forward'!$B$5:$B$13,0),MATCH(GE$4,'Curva Forward'!$C$4:$AN$4,0))),DG198)</f>
        <v>0</v>
      </c>
      <c r="GF198" s="190">
        <f>AT198*AT$2*IF($FC198="V",1,-1)*IF($Q198="Fixo",(DH198-INDEX('Curva Forward'!$C$5:$AN$13,MATCH(CONCATENATE(BD_COMERCIAL!$K198," ",BD_COMERCIAL!$L198),'Curva Forward'!$B$5:$B$13,0),MATCH(GF$4,'Curva Forward'!$C$4:$AN$4,0))),DH198)</f>
        <v>0</v>
      </c>
      <c r="GG198" s="190">
        <f>AU198*AU$2*IF($FC198="V",1,-1)*IF($Q198="Fixo",(DI198-INDEX('Curva Forward'!$C$5:$AN$13,MATCH(CONCATENATE(BD_COMERCIAL!$K198," ",BD_COMERCIAL!$L198),'Curva Forward'!$B$5:$B$13,0),MATCH(GG$4,'Curva Forward'!$C$4:$AN$4,0))),DI198)</f>
        <v>0</v>
      </c>
      <c r="GH198" s="190">
        <f>AV198*AV$2*IF($FC198="V",1,-1)*IF($Q198="Fixo",(DJ198-INDEX('Curva Forward'!$C$5:$AN$13,MATCH(CONCATENATE(BD_COMERCIAL!$K198," ",BD_COMERCIAL!$L198),'Curva Forward'!$B$5:$B$13,0),MATCH(GH$4,'Curva Forward'!$C$4:$AN$4,0))),DJ198)</f>
        <v>0</v>
      </c>
      <c r="GI198" s="190">
        <f>AW198*AW$2*IF($FC198="V",1,-1)*IF($Q198="Fixo",(DK198-INDEX('Curva Forward'!$C$5:$AN$13,MATCH(CONCATENATE(BD_COMERCIAL!$K198," ",BD_COMERCIAL!$L198),'Curva Forward'!$B$5:$B$13,0),MATCH(GI$4,'Curva Forward'!$C$4:$AN$4,0))),DK198)</f>
        <v>0</v>
      </c>
      <c r="GJ198" s="190">
        <f>AX198*AX$2*IF($FC198="V",1,-1)*IF($Q198="Fixo",(DL198-INDEX('Curva Forward'!$C$5:$AN$13,MATCH(CONCATENATE(BD_COMERCIAL!$K198," ",BD_COMERCIAL!$L198),'Curva Forward'!$B$5:$B$13,0),MATCH(GJ$4,'Curva Forward'!$C$4:$AN$4,0))),DL198)</f>
        <v>0</v>
      </c>
      <c r="GK198" s="190">
        <f>AY198*AY$2*IF($FC198="V",1,-1)*IF($Q198="Fixo",(DM198-INDEX('Curva Forward'!$C$5:$AN$13,MATCH(CONCATENATE(BD_COMERCIAL!$K198," ",BD_COMERCIAL!$L198),'Curva Forward'!$B$5:$B$13,0),MATCH(GK$4,'Curva Forward'!$C$4:$AN$4,0))),DM198)</f>
        <v>0</v>
      </c>
      <c r="GL198" s="190">
        <f>IF(EZ198="",0,CL198*CL$2*IF($FC198="V",1,-1)*IF($Q198="Fixo",(EZ198-INDEX('Curva Forward'!$C$5:$AN$13,MATCH(CONCATENATE(BD_COMERCIAL!$K198," ",BD_COMERCIAL!$L198),'Curva Forward'!$B$5:$B$13,0),MATCH(GL$4,'Curva Forward'!$C$4:$AN$4,0))),EZ198))</f>
        <v>0</v>
      </c>
      <c r="GM198" s="190">
        <f>IF(FA198="",0,CM198*CM$2*IF($FC198="V",1,-1)*IF($Q198="Fixo",(FA198-INDEX('Curva Forward'!$C$5:$AN$13,MATCH(CONCATENATE(BD_COMERCIAL!$K198," ",BD_COMERCIAL!$L198),'Curva Forward'!$B$5:$B$13,0),MATCH(GM$4,'Curva Forward'!$C$4:$AN$4,0))),FA198))</f>
        <v>0</v>
      </c>
      <c r="GN198" s="190">
        <f>IF(FB198="",0,CN198*CN$2*IF($FC198="V",1,-1)*IF($Q198="Fixo",(FB198-INDEX('Curva Forward'!$C$5:$AN$13,MATCH(CONCATENATE(BD_COMERCIAL!$K198," ",BD_COMERCIAL!$L198),'Curva Forward'!$B$5:$B$13,0),MATCH(GN$4,'Curva Forward'!$C$4:$AN$4,0))),FB198))</f>
        <v>0</v>
      </c>
      <c r="GO198" s="191">
        <f t="shared" ref="GO198:GO261" ca="1" si="32">IF(FM198&gt;0,FM198,0)</f>
        <v>0</v>
      </c>
      <c r="GP198" s="191">
        <f t="shared" ref="GP198:GP261" ca="1" si="33">IF(FM198&lt;0,FM198,0)</f>
        <v>0</v>
      </c>
      <c r="GQ198" s="115"/>
      <c r="GR198" s="115"/>
      <c r="GS198"/>
      <c r="GT198" s="65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</row>
    <row r="199" spans="1:236" s="265" customFormat="1" ht="15" customHeight="1" x14ac:dyDescent="0.35">
      <c r="A199" s="251"/>
      <c r="B199" s="275"/>
      <c r="C199" s="253"/>
      <c r="D199" s="254"/>
      <c r="E199" s="254"/>
      <c r="F199" s="255"/>
      <c r="G199" s="256"/>
      <c r="H199" s="255"/>
      <c r="I199" s="254"/>
      <c r="J199" s="257"/>
      <c r="K199" s="256"/>
      <c r="L199" s="252"/>
      <c r="M199" s="258"/>
      <c r="N199" s="259"/>
      <c r="O199" s="256"/>
      <c r="P199" s="252"/>
      <c r="Q199" s="252"/>
      <c r="R199" s="256"/>
      <c r="S199" s="260"/>
      <c r="T199" s="258"/>
      <c r="U199" s="259"/>
      <c r="V199" s="261"/>
      <c r="W199" s="252"/>
      <c r="X199" s="262"/>
      <c r="Y199" s="257"/>
      <c r="Z199" s="263"/>
      <c r="AA199" s="264"/>
      <c r="AB199" s="266"/>
      <c r="AM199" s="251"/>
      <c r="AN199" s="266"/>
      <c r="AY199" s="251"/>
      <c r="AZ199" s="266"/>
      <c r="BK199" s="251"/>
      <c r="BL199" s="266"/>
      <c r="BW199" s="251"/>
      <c r="BX199" s="266"/>
      <c r="CI199" s="251"/>
      <c r="CJ199" s="267"/>
      <c r="CK199" s="267"/>
      <c r="CL199" s="267"/>
      <c r="CM199" s="267"/>
      <c r="CN199" s="267"/>
      <c r="CO199" s="268"/>
      <c r="CP199" s="266"/>
      <c r="DA199" s="251"/>
      <c r="DB199" s="266"/>
      <c r="DM199" s="251"/>
      <c r="DN199" s="266"/>
      <c r="DY199" s="251"/>
      <c r="DZ199" s="266"/>
      <c r="EK199" s="251"/>
      <c r="EL199" s="266"/>
      <c r="EW199" s="251"/>
      <c r="EX199" s="267"/>
      <c r="EY199" s="267"/>
      <c r="EZ199" s="267"/>
      <c r="FA199" s="267"/>
      <c r="FB199" s="269"/>
      <c r="FD199" s="270"/>
      <c r="FF199" s="276"/>
      <c r="FH199" s="206">
        <f t="shared" si="27"/>
        <v>0</v>
      </c>
      <c r="FI199" s="198">
        <f t="shared" si="28"/>
        <v>0</v>
      </c>
      <c r="FJ199"/>
      <c r="FK199">
        <f t="shared" si="29"/>
        <v>0</v>
      </c>
      <c r="FL199" s="191">
        <f t="shared" ca="1" si="30"/>
        <v>0</v>
      </c>
      <c r="FM199" s="191">
        <f t="shared" ca="1" si="31"/>
        <v>0</v>
      </c>
      <c r="FN199" s="190">
        <f>AB199*AB$2*IF($FC199="V",1,-1)*IF($Q199="Fixo",(CP199-INDEX('Curva Forward'!$C$5:$AN$13,MATCH(CONCATENATE(BD_COMERCIAL!$K199," ",BD_COMERCIAL!$L199),'Curva Forward'!$B$5:$B$13,0),MATCH(FN$4,'Curva Forward'!$C$4:$AN$4,0))),CP199)</f>
        <v>0</v>
      </c>
      <c r="FO199" s="190">
        <f>AC199*AC$2*IF($FC199="V",1,-1)*IF($Q199="Fixo",(CQ199-INDEX('Curva Forward'!$C$5:$AN$13,MATCH(CONCATENATE(BD_COMERCIAL!$K199," ",BD_COMERCIAL!$L199),'Curva Forward'!$B$5:$B$13,0),MATCH(FO$4,'Curva Forward'!$C$4:$AN$4,0))),CQ199)</f>
        <v>0</v>
      </c>
      <c r="FP199" s="190">
        <f>AD199*AD$2*IF($FC199="V",1,-1)*IF($Q199="Fixo",(CR199-INDEX('Curva Forward'!$C$5:$AN$13,MATCH(CONCATENATE(BD_COMERCIAL!$K199," ",BD_COMERCIAL!$L199),'Curva Forward'!$B$5:$B$13,0),MATCH(FP$4,'Curva Forward'!$C$4:$AN$4,0))),CR199)</f>
        <v>0</v>
      </c>
      <c r="FQ199" s="190">
        <f>AE199*AE$2*IF($FC199="V",1,-1)*IF($Q199="Fixo",(CS199-INDEX('Curva Forward'!$C$5:$AN$13,MATCH(CONCATENATE(BD_COMERCIAL!$K199," ",BD_COMERCIAL!$L199),'Curva Forward'!$B$5:$B$13,0),MATCH(FQ$4,'Curva Forward'!$C$4:$AN$4,0))),CS199)</f>
        <v>0</v>
      </c>
      <c r="FR199" s="190">
        <f>AF199*AF$2*IF($FC199="V",1,-1)*IF($Q199="Fixo",(CT199-INDEX('Curva Forward'!$C$5:$AN$13,MATCH(CONCATENATE(BD_COMERCIAL!$K199," ",BD_COMERCIAL!$L199),'Curva Forward'!$B$5:$B$13,0),MATCH(FR$4,'Curva Forward'!$C$4:$AN$4,0))),CT199)</f>
        <v>0</v>
      </c>
      <c r="FS199" s="190">
        <f>AG199*AG$2*IF($FC199="V",1,-1)*IF($Q199="Fixo",(CU199-INDEX('Curva Forward'!$C$5:$AN$13,MATCH(CONCATENATE(BD_COMERCIAL!$K199," ",BD_COMERCIAL!$L199),'Curva Forward'!$B$5:$B$13,0),MATCH(FS$4,'Curva Forward'!$C$4:$AN$4,0))),CU199)</f>
        <v>0</v>
      </c>
      <c r="FT199" s="190">
        <f>AH199*AH$2*IF($FC199="V",1,-1)*IF($Q199="Fixo",(CV199-INDEX('Curva Forward'!$C$5:$AN$13,MATCH(CONCATENATE(BD_COMERCIAL!$K199," ",BD_COMERCIAL!$L199),'Curva Forward'!$B$5:$B$13,0),MATCH(FT$4,'Curva Forward'!$C$4:$AN$4,0))),CV199)</f>
        <v>0</v>
      </c>
      <c r="FU199" s="190">
        <f>AI199*AI$2*IF($FC199="V",1,-1)*IF($Q199="Fixo",(CW199-INDEX('Curva Forward'!$C$5:$AN$13,MATCH(CONCATENATE(BD_COMERCIAL!$K199," ",BD_COMERCIAL!$L199),'Curva Forward'!$B$5:$B$13,0),MATCH(FU$4,'Curva Forward'!$C$4:$AN$4,0))),CW199)</f>
        <v>0</v>
      </c>
      <c r="FV199" s="190">
        <f>AJ199*AJ$2*IF($FC199="V",1,-1)*IF($Q199="Fixo",(CX199-INDEX('Curva Forward'!$C$5:$AN$13,MATCH(CONCATENATE(BD_COMERCIAL!$K199," ",BD_COMERCIAL!$L199),'Curva Forward'!$B$5:$B$13,0),MATCH(FV$4,'Curva Forward'!$C$4:$AN$4,0))),CX199)</f>
        <v>0</v>
      </c>
      <c r="FW199" s="190">
        <f>AK199*AK$2*IF($FC199="V",1,-1)*IF($Q199="Fixo",(CY199-INDEX('Curva Forward'!$C$5:$AN$13,MATCH(CONCATENATE(BD_COMERCIAL!$K199," ",BD_COMERCIAL!$L199),'Curva Forward'!$B$5:$B$13,0),MATCH(FW$4,'Curva Forward'!$C$4:$AN$4,0))),CY199)</f>
        <v>0</v>
      </c>
      <c r="FX199" s="190">
        <f>AL199*AL$2*IF($FC199="V",1,-1)*IF($Q199="Fixo",(CZ199-INDEX('Curva Forward'!$C$5:$AN$13,MATCH(CONCATENATE(BD_COMERCIAL!$K199," ",BD_COMERCIAL!$L199),'Curva Forward'!$B$5:$B$13,0),MATCH(FX$4,'Curva Forward'!$C$4:$AN$4,0))),CZ199)</f>
        <v>0</v>
      </c>
      <c r="FY199" s="190">
        <f>AM199*AM$2*IF($FC199="V",1,-1)*IF($Q199="Fixo",(DA199-INDEX('Curva Forward'!$C$5:$AN$13,MATCH(CONCATENATE(BD_COMERCIAL!$K199," ",BD_COMERCIAL!$L199),'Curva Forward'!$B$5:$B$13,0),MATCH(FY$4,'Curva Forward'!$C$4:$AN$4,0))),DA199)</f>
        <v>0</v>
      </c>
      <c r="FZ199" s="190">
        <f>AN199*AN$2*IF($FC199="V",1,-1)*IF($Q199="Fixo",(DB199-INDEX('Curva Forward'!$C$5:$AN$13,MATCH(CONCATENATE(BD_COMERCIAL!$K199," ",BD_COMERCIAL!$L199),'Curva Forward'!$B$5:$B$13,0),MATCH(FZ$4,'Curva Forward'!$C$4:$AN$4,0))),DB199)</f>
        <v>0</v>
      </c>
      <c r="GA199" s="190">
        <f>AO199*AO$2*IF($FC199="V",1,-1)*IF($Q199="Fixo",(DC199-INDEX('Curva Forward'!$C$5:$AN$13,MATCH(CONCATENATE(BD_COMERCIAL!$K199," ",BD_COMERCIAL!$L199),'Curva Forward'!$B$5:$B$13,0),MATCH(GA$4,'Curva Forward'!$C$4:$AN$4,0))),DC199)</f>
        <v>0</v>
      </c>
      <c r="GB199" s="190">
        <f>AP199*AP$2*IF($FC199="V",1,-1)*IF($Q199="Fixo",(DD199-INDEX('Curva Forward'!$C$5:$AN$13,MATCH(CONCATENATE(BD_COMERCIAL!$K199," ",BD_COMERCIAL!$L199),'Curva Forward'!$B$5:$B$13,0),MATCH(GB$4,'Curva Forward'!$C$4:$AN$4,0))),DD199)</f>
        <v>0</v>
      </c>
      <c r="GC199" s="190">
        <f>AQ199*AQ$2*IF($FC199="V",1,-1)*IF($Q199="Fixo",(DE199-INDEX('Curva Forward'!$C$5:$AN$13,MATCH(CONCATENATE(BD_COMERCIAL!$K199," ",BD_COMERCIAL!$L199),'Curva Forward'!$B$5:$B$13,0),MATCH(GC$4,'Curva Forward'!$C$4:$AN$4,0))),DE199)</f>
        <v>0</v>
      </c>
      <c r="GD199" s="190">
        <f>AR199*AR$2*IF($FC199="V",1,-1)*IF($Q199="Fixo",(DF199-INDEX('Curva Forward'!$C$5:$AN$13,MATCH(CONCATENATE(BD_COMERCIAL!$K199," ",BD_COMERCIAL!$L199),'Curva Forward'!$B$5:$B$13,0),MATCH(GD$4,'Curva Forward'!$C$4:$AN$4,0))),DF199)</f>
        <v>0</v>
      </c>
      <c r="GE199" s="190">
        <f>AS199*AS$2*IF($FC199="V",1,-1)*IF($Q199="Fixo",(DG199-INDEX('Curva Forward'!$C$5:$AN$13,MATCH(CONCATENATE(BD_COMERCIAL!$K199," ",BD_COMERCIAL!$L199),'Curva Forward'!$B$5:$B$13,0),MATCH(GE$4,'Curva Forward'!$C$4:$AN$4,0))),DG199)</f>
        <v>0</v>
      </c>
      <c r="GF199" s="190">
        <f>AT199*AT$2*IF($FC199="V",1,-1)*IF($Q199="Fixo",(DH199-INDEX('Curva Forward'!$C$5:$AN$13,MATCH(CONCATENATE(BD_COMERCIAL!$K199," ",BD_COMERCIAL!$L199),'Curva Forward'!$B$5:$B$13,0),MATCH(GF$4,'Curva Forward'!$C$4:$AN$4,0))),DH199)</f>
        <v>0</v>
      </c>
      <c r="GG199" s="190">
        <f>AU199*AU$2*IF($FC199="V",1,-1)*IF($Q199="Fixo",(DI199-INDEX('Curva Forward'!$C$5:$AN$13,MATCH(CONCATENATE(BD_COMERCIAL!$K199," ",BD_COMERCIAL!$L199),'Curva Forward'!$B$5:$B$13,0),MATCH(GG$4,'Curva Forward'!$C$4:$AN$4,0))),DI199)</f>
        <v>0</v>
      </c>
      <c r="GH199" s="190">
        <f>AV199*AV$2*IF($FC199="V",1,-1)*IF($Q199="Fixo",(DJ199-INDEX('Curva Forward'!$C$5:$AN$13,MATCH(CONCATENATE(BD_COMERCIAL!$K199," ",BD_COMERCIAL!$L199),'Curva Forward'!$B$5:$B$13,0),MATCH(GH$4,'Curva Forward'!$C$4:$AN$4,0))),DJ199)</f>
        <v>0</v>
      </c>
      <c r="GI199" s="190">
        <f>AW199*AW$2*IF($FC199="V",1,-1)*IF($Q199="Fixo",(DK199-INDEX('Curva Forward'!$C$5:$AN$13,MATCH(CONCATENATE(BD_COMERCIAL!$K199," ",BD_COMERCIAL!$L199),'Curva Forward'!$B$5:$B$13,0),MATCH(GI$4,'Curva Forward'!$C$4:$AN$4,0))),DK199)</f>
        <v>0</v>
      </c>
      <c r="GJ199" s="190">
        <f>AX199*AX$2*IF($FC199="V",1,-1)*IF($Q199="Fixo",(DL199-INDEX('Curva Forward'!$C$5:$AN$13,MATCH(CONCATENATE(BD_COMERCIAL!$K199," ",BD_COMERCIAL!$L199),'Curva Forward'!$B$5:$B$13,0),MATCH(GJ$4,'Curva Forward'!$C$4:$AN$4,0))),DL199)</f>
        <v>0</v>
      </c>
      <c r="GK199" s="190">
        <f>AY199*AY$2*IF($FC199="V",1,-1)*IF($Q199="Fixo",(DM199-INDEX('Curva Forward'!$C$5:$AN$13,MATCH(CONCATENATE(BD_COMERCIAL!$K199," ",BD_COMERCIAL!$L199),'Curva Forward'!$B$5:$B$13,0),MATCH(GK$4,'Curva Forward'!$C$4:$AN$4,0))),DM199)</f>
        <v>0</v>
      </c>
      <c r="GL199" s="190">
        <f>IF(EZ199="",0,CL199*CL$2*IF($FC199="V",1,-1)*IF($Q199="Fixo",(EZ199-INDEX('Curva Forward'!$C$5:$AN$13,MATCH(CONCATENATE(BD_COMERCIAL!$K199," ",BD_COMERCIAL!$L199),'Curva Forward'!$B$5:$B$13,0),MATCH(GL$4,'Curva Forward'!$C$4:$AN$4,0))),EZ199))</f>
        <v>0</v>
      </c>
      <c r="GM199" s="190">
        <f>IF(FA199="",0,CM199*CM$2*IF($FC199="V",1,-1)*IF($Q199="Fixo",(FA199-INDEX('Curva Forward'!$C$5:$AN$13,MATCH(CONCATENATE(BD_COMERCIAL!$K199," ",BD_COMERCIAL!$L199),'Curva Forward'!$B$5:$B$13,0),MATCH(GM$4,'Curva Forward'!$C$4:$AN$4,0))),FA199))</f>
        <v>0</v>
      </c>
      <c r="GN199" s="190">
        <f>IF(FB199="",0,CN199*CN$2*IF($FC199="V",1,-1)*IF($Q199="Fixo",(FB199-INDEX('Curva Forward'!$C$5:$AN$13,MATCH(CONCATENATE(BD_COMERCIAL!$K199," ",BD_COMERCIAL!$L199),'Curva Forward'!$B$5:$B$13,0),MATCH(GN$4,'Curva Forward'!$C$4:$AN$4,0))),FB199))</f>
        <v>0</v>
      </c>
      <c r="GO199" s="191">
        <f t="shared" ca="1" si="32"/>
        <v>0</v>
      </c>
      <c r="GP199" s="191">
        <f t="shared" ca="1" si="33"/>
        <v>0</v>
      </c>
      <c r="GQ199" s="115"/>
      <c r="GR199" s="115"/>
      <c r="GS199"/>
      <c r="GT199" s="65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</row>
    <row r="200" spans="1:236" s="265" customFormat="1" ht="15" customHeight="1" x14ac:dyDescent="0.35">
      <c r="A200" s="251"/>
      <c r="B200" s="275"/>
      <c r="C200" s="253"/>
      <c r="D200" s="254"/>
      <c r="E200" s="254"/>
      <c r="F200" s="255"/>
      <c r="G200" s="256"/>
      <c r="H200" s="255"/>
      <c r="I200" s="254"/>
      <c r="J200" s="257"/>
      <c r="K200" s="256"/>
      <c r="L200" s="252"/>
      <c r="M200" s="258"/>
      <c r="N200" s="259"/>
      <c r="O200" s="256"/>
      <c r="P200" s="252"/>
      <c r="Q200" s="252"/>
      <c r="R200" s="256"/>
      <c r="S200" s="260"/>
      <c r="T200" s="258"/>
      <c r="U200" s="259"/>
      <c r="V200" s="261"/>
      <c r="W200" s="252"/>
      <c r="X200" s="262"/>
      <c r="Y200" s="257"/>
      <c r="Z200" s="263"/>
      <c r="AA200" s="264"/>
      <c r="AB200" s="266"/>
      <c r="AM200" s="251"/>
      <c r="AN200" s="266"/>
      <c r="AY200" s="251"/>
      <c r="AZ200" s="266"/>
      <c r="BK200" s="251"/>
      <c r="BL200" s="266"/>
      <c r="BW200" s="251"/>
      <c r="BX200" s="266"/>
      <c r="CI200" s="251"/>
      <c r="CJ200" s="267"/>
      <c r="CK200" s="267"/>
      <c r="CL200" s="267"/>
      <c r="CM200" s="267"/>
      <c r="CN200" s="267"/>
      <c r="CO200" s="268"/>
      <c r="CP200" s="266"/>
      <c r="DA200" s="251"/>
      <c r="DB200" s="266"/>
      <c r="DM200" s="251"/>
      <c r="DN200" s="266"/>
      <c r="DY200" s="251"/>
      <c r="DZ200" s="266"/>
      <c r="EK200" s="251"/>
      <c r="EL200" s="266"/>
      <c r="EW200" s="251"/>
      <c r="EX200" s="267"/>
      <c r="EY200" s="267"/>
      <c r="EZ200" s="267"/>
      <c r="FA200" s="267"/>
      <c r="FB200" s="269"/>
      <c r="FD200" s="270"/>
      <c r="FF200" s="276"/>
      <c r="FH200" s="206">
        <f t="shared" si="27"/>
        <v>0</v>
      </c>
      <c r="FI200" s="198">
        <f t="shared" si="28"/>
        <v>0</v>
      </c>
      <c r="FJ200"/>
      <c r="FK200">
        <f t="shared" si="29"/>
        <v>0</v>
      </c>
      <c r="FL200" s="191">
        <f t="shared" ca="1" si="30"/>
        <v>0</v>
      </c>
      <c r="FM200" s="191">
        <f t="shared" ca="1" si="31"/>
        <v>0</v>
      </c>
      <c r="FN200" s="190">
        <f>AB200*AB$2*IF($FC200="V",1,-1)*IF($Q200="Fixo",(CP200-INDEX('Curva Forward'!$C$5:$AN$13,MATCH(CONCATENATE(BD_COMERCIAL!$K200," ",BD_COMERCIAL!$L200),'Curva Forward'!$B$5:$B$13,0),MATCH(FN$4,'Curva Forward'!$C$4:$AN$4,0))),CP200)</f>
        <v>0</v>
      </c>
      <c r="FO200" s="190">
        <f>AC200*AC$2*IF($FC200="V",1,-1)*IF($Q200="Fixo",(CQ200-INDEX('Curva Forward'!$C$5:$AN$13,MATCH(CONCATENATE(BD_COMERCIAL!$K200," ",BD_COMERCIAL!$L200),'Curva Forward'!$B$5:$B$13,0),MATCH(FO$4,'Curva Forward'!$C$4:$AN$4,0))),CQ200)</f>
        <v>0</v>
      </c>
      <c r="FP200" s="190">
        <f>AD200*AD$2*IF($FC200="V",1,-1)*IF($Q200="Fixo",(CR200-INDEX('Curva Forward'!$C$5:$AN$13,MATCH(CONCATENATE(BD_COMERCIAL!$K200," ",BD_COMERCIAL!$L200),'Curva Forward'!$B$5:$B$13,0),MATCH(FP$4,'Curva Forward'!$C$4:$AN$4,0))),CR200)</f>
        <v>0</v>
      </c>
      <c r="FQ200" s="190">
        <f>AE200*AE$2*IF($FC200="V",1,-1)*IF($Q200="Fixo",(CS200-INDEX('Curva Forward'!$C$5:$AN$13,MATCH(CONCATENATE(BD_COMERCIAL!$K200," ",BD_COMERCIAL!$L200),'Curva Forward'!$B$5:$B$13,0),MATCH(FQ$4,'Curva Forward'!$C$4:$AN$4,0))),CS200)</f>
        <v>0</v>
      </c>
      <c r="FR200" s="190">
        <f>AF200*AF$2*IF($FC200="V",1,-1)*IF($Q200="Fixo",(CT200-INDEX('Curva Forward'!$C$5:$AN$13,MATCH(CONCATENATE(BD_COMERCIAL!$K200," ",BD_COMERCIAL!$L200),'Curva Forward'!$B$5:$B$13,0),MATCH(FR$4,'Curva Forward'!$C$4:$AN$4,0))),CT200)</f>
        <v>0</v>
      </c>
      <c r="FS200" s="190">
        <f>AG200*AG$2*IF($FC200="V",1,-1)*IF($Q200="Fixo",(CU200-INDEX('Curva Forward'!$C$5:$AN$13,MATCH(CONCATENATE(BD_COMERCIAL!$K200," ",BD_COMERCIAL!$L200),'Curva Forward'!$B$5:$B$13,0),MATCH(FS$4,'Curva Forward'!$C$4:$AN$4,0))),CU200)</f>
        <v>0</v>
      </c>
      <c r="FT200" s="190">
        <f>AH200*AH$2*IF($FC200="V",1,-1)*IF($Q200="Fixo",(CV200-INDEX('Curva Forward'!$C$5:$AN$13,MATCH(CONCATENATE(BD_COMERCIAL!$K200," ",BD_COMERCIAL!$L200),'Curva Forward'!$B$5:$B$13,0),MATCH(FT$4,'Curva Forward'!$C$4:$AN$4,0))),CV200)</f>
        <v>0</v>
      </c>
      <c r="FU200" s="190">
        <f>AI200*AI$2*IF($FC200="V",1,-1)*IF($Q200="Fixo",(CW200-INDEX('Curva Forward'!$C$5:$AN$13,MATCH(CONCATENATE(BD_COMERCIAL!$K200," ",BD_COMERCIAL!$L200),'Curva Forward'!$B$5:$B$13,0),MATCH(FU$4,'Curva Forward'!$C$4:$AN$4,0))),CW200)</f>
        <v>0</v>
      </c>
      <c r="FV200" s="190">
        <f>AJ200*AJ$2*IF($FC200="V",1,-1)*IF($Q200="Fixo",(CX200-INDEX('Curva Forward'!$C$5:$AN$13,MATCH(CONCATENATE(BD_COMERCIAL!$K200," ",BD_COMERCIAL!$L200),'Curva Forward'!$B$5:$B$13,0),MATCH(FV$4,'Curva Forward'!$C$4:$AN$4,0))),CX200)</f>
        <v>0</v>
      </c>
      <c r="FW200" s="190">
        <f>AK200*AK$2*IF($FC200="V",1,-1)*IF($Q200="Fixo",(CY200-INDEX('Curva Forward'!$C$5:$AN$13,MATCH(CONCATENATE(BD_COMERCIAL!$K200," ",BD_COMERCIAL!$L200),'Curva Forward'!$B$5:$B$13,0),MATCH(FW$4,'Curva Forward'!$C$4:$AN$4,0))),CY200)</f>
        <v>0</v>
      </c>
      <c r="FX200" s="190">
        <f>AL200*AL$2*IF($FC200="V",1,-1)*IF($Q200="Fixo",(CZ200-INDEX('Curva Forward'!$C$5:$AN$13,MATCH(CONCATENATE(BD_COMERCIAL!$K200," ",BD_COMERCIAL!$L200),'Curva Forward'!$B$5:$B$13,0),MATCH(FX$4,'Curva Forward'!$C$4:$AN$4,0))),CZ200)</f>
        <v>0</v>
      </c>
      <c r="FY200" s="190">
        <f>AM200*AM$2*IF($FC200="V",1,-1)*IF($Q200="Fixo",(DA200-INDEX('Curva Forward'!$C$5:$AN$13,MATCH(CONCATENATE(BD_COMERCIAL!$K200," ",BD_COMERCIAL!$L200),'Curva Forward'!$B$5:$B$13,0),MATCH(FY$4,'Curva Forward'!$C$4:$AN$4,0))),DA200)</f>
        <v>0</v>
      </c>
      <c r="FZ200" s="190">
        <f>AN200*AN$2*IF($FC200="V",1,-1)*IF($Q200="Fixo",(DB200-INDEX('Curva Forward'!$C$5:$AN$13,MATCH(CONCATENATE(BD_COMERCIAL!$K200," ",BD_COMERCIAL!$L200),'Curva Forward'!$B$5:$B$13,0),MATCH(FZ$4,'Curva Forward'!$C$4:$AN$4,0))),DB200)</f>
        <v>0</v>
      </c>
      <c r="GA200" s="190">
        <f>AO200*AO$2*IF($FC200="V",1,-1)*IF($Q200="Fixo",(DC200-INDEX('Curva Forward'!$C$5:$AN$13,MATCH(CONCATENATE(BD_COMERCIAL!$K200," ",BD_COMERCIAL!$L200),'Curva Forward'!$B$5:$B$13,0),MATCH(GA$4,'Curva Forward'!$C$4:$AN$4,0))),DC200)</f>
        <v>0</v>
      </c>
      <c r="GB200" s="190">
        <f>AP200*AP$2*IF($FC200="V",1,-1)*IF($Q200="Fixo",(DD200-INDEX('Curva Forward'!$C$5:$AN$13,MATCH(CONCATENATE(BD_COMERCIAL!$K200," ",BD_COMERCIAL!$L200),'Curva Forward'!$B$5:$B$13,0),MATCH(GB$4,'Curva Forward'!$C$4:$AN$4,0))),DD200)</f>
        <v>0</v>
      </c>
      <c r="GC200" s="190">
        <f>AQ200*AQ$2*IF($FC200="V",1,-1)*IF($Q200="Fixo",(DE200-INDEX('Curva Forward'!$C$5:$AN$13,MATCH(CONCATENATE(BD_COMERCIAL!$K200," ",BD_COMERCIAL!$L200),'Curva Forward'!$B$5:$B$13,0),MATCH(GC$4,'Curva Forward'!$C$4:$AN$4,0))),DE200)</f>
        <v>0</v>
      </c>
      <c r="GD200" s="190">
        <f>AR200*AR$2*IF($FC200="V",1,-1)*IF($Q200="Fixo",(DF200-INDEX('Curva Forward'!$C$5:$AN$13,MATCH(CONCATENATE(BD_COMERCIAL!$K200," ",BD_COMERCIAL!$L200),'Curva Forward'!$B$5:$B$13,0),MATCH(GD$4,'Curva Forward'!$C$4:$AN$4,0))),DF200)</f>
        <v>0</v>
      </c>
      <c r="GE200" s="190">
        <f>AS200*AS$2*IF($FC200="V",1,-1)*IF($Q200="Fixo",(DG200-INDEX('Curva Forward'!$C$5:$AN$13,MATCH(CONCATENATE(BD_COMERCIAL!$K200," ",BD_COMERCIAL!$L200),'Curva Forward'!$B$5:$B$13,0),MATCH(GE$4,'Curva Forward'!$C$4:$AN$4,0))),DG200)</f>
        <v>0</v>
      </c>
      <c r="GF200" s="190">
        <f>AT200*AT$2*IF($FC200="V",1,-1)*IF($Q200="Fixo",(DH200-INDEX('Curva Forward'!$C$5:$AN$13,MATCH(CONCATENATE(BD_COMERCIAL!$K200," ",BD_COMERCIAL!$L200),'Curva Forward'!$B$5:$B$13,0),MATCH(GF$4,'Curva Forward'!$C$4:$AN$4,0))),DH200)</f>
        <v>0</v>
      </c>
      <c r="GG200" s="190">
        <f>AU200*AU$2*IF($FC200="V",1,-1)*IF($Q200="Fixo",(DI200-INDEX('Curva Forward'!$C$5:$AN$13,MATCH(CONCATENATE(BD_COMERCIAL!$K200," ",BD_COMERCIAL!$L200),'Curva Forward'!$B$5:$B$13,0),MATCH(GG$4,'Curva Forward'!$C$4:$AN$4,0))),DI200)</f>
        <v>0</v>
      </c>
      <c r="GH200" s="190">
        <f>AV200*AV$2*IF($FC200="V",1,-1)*IF($Q200="Fixo",(DJ200-INDEX('Curva Forward'!$C$5:$AN$13,MATCH(CONCATENATE(BD_COMERCIAL!$K200," ",BD_COMERCIAL!$L200),'Curva Forward'!$B$5:$B$13,0),MATCH(GH$4,'Curva Forward'!$C$4:$AN$4,0))),DJ200)</f>
        <v>0</v>
      </c>
      <c r="GI200" s="190">
        <f>AW200*AW$2*IF($FC200="V",1,-1)*IF($Q200="Fixo",(DK200-INDEX('Curva Forward'!$C$5:$AN$13,MATCH(CONCATENATE(BD_COMERCIAL!$K200," ",BD_COMERCIAL!$L200),'Curva Forward'!$B$5:$B$13,0),MATCH(GI$4,'Curva Forward'!$C$4:$AN$4,0))),DK200)</f>
        <v>0</v>
      </c>
      <c r="GJ200" s="190">
        <f>AX200*AX$2*IF($FC200="V",1,-1)*IF($Q200="Fixo",(DL200-INDEX('Curva Forward'!$C$5:$AN$13,MATCH(CONCATENATE(BD_COMERCIAL!$K200," ",BD_COMERCIAL!$L200),'Curva Forward'!$B$5:$B$13,0),MATCH(GJ$4,'Curva Forward'!$C$4:$AN$4,0))),DL200)</f>
        <v>0</v>
      </c>
      <c r="GK200" s="190">
        <f>AY200*AY$2*IF($FC200="V",1,-1)*IF($Q200="Fixo",(DM200-INDEX('Curva Forward'!$C$5:$AN$13,MATCH(CONCATENATE(BD_COMERCIAL!$K200," ",BD_COMERCIAL!$L200),'Curva Forward'!$B$5:$B$13,0),MATCH(GK$4,'Curva Forward'!$C$4:$AN$4,0))),DM200)</f>
        <v>0</v>
      </c>
      <c r="GL200" s="190">
        <f>IF(EZ200="",0,CL200*CL$2*IF($FC200="V",1,-1)*IF($Q200="Fixo",(EZ200-INDEX('Curva Forward'!$C$5:$AN$13,MATCH(CONCATENATE(BD_COMERCIAL!$K200," ",BD_COMERCIAL!$L200),'Curva Forward'!$B$5:$B$13,0),MATCH(GL$4,'Curva Forward'!$C$4:$AN$4,0))),EZ200))</f>
        <v>0</v>
      </c>
      <c r="GM200" s="190">
        <f>IF(FA200="",0,CM200*CM$2*IF($FC200="V",1,-1)*IF($Q200="Fixo",(FA200-INDEX('Curva Forward'!$C$5:$AN$13,MATCH(CONCATENATE(BD_COMERCIAL!$K200," ",BD_COMERCIAL!$L200),'Curva Forward'!$B$5:$B$13,0),MATCH(GM$4,'Curva Forward'!$C$4:$AN$4,0))),FA200))</f>
        <v>0</v>
      </c>
      <c r="GN200" s="190">
        <f>IF(FB200="",0,CN200*CN$2*IF($FC200="V",1,-1)*IF($Q200="Fixo",(FB200-INDEX('Curva Forward'!$C$5:$AN$13,MATCH(CONCATENATE(BD_COMERCIAL!$K200," ",BD_COMERCIAL!$L200),'Curva Forward'!$B$5:$B$13,0),MATCH(GN$4,'Curva Forward'!$C$4:$AN$4,0))),FB200))</f>
        <v>0</v>
      </c>
      <c r="GO200" s="191">
        <f t="shared" ca="1" si="32"/>
        <v>0</v>
      </c>
      <c r="GP200" s="191">
        <f t="shared" ca="1" si="33"/>
        <v>0</v>
      </c>
      <c r="GQ200" s="115"/>
      <c r="GR200" s="115"/>
      <c r="GS200"/>
      <c r="GT200" s="65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</row>
    <row r="201" spans="1:236" s="265" customFormat="1" ht="15" customHeight="1" x14ac:dyDescent="0.35">
      <c r="A201" s="251"/>
      <c r="B201" s="275"/>
      <c r="C201" s="253"/>
      <c r="D201" s="254"/>
      <c r="E201" s="254"/>
      <c r="F201" s="255"/>
      <c r="G201" s="256"/>
      <c r="H201" s="255"/>
      <c r="I201" s="254"/>
      <c r="J201" s="257"/>
      <c r="K201" s="256"/>
      <c r="L201" s="252"/>
      <c r="M201" s="258"/>
      <c r="N201" s="259"/>
      <c r="O201" s="256"/>
      <c r="P201" s="252"/>
      <c r="Q201" s="252"/>
      <c r="R201" s="256"/>
      <c r="S201" s="260"/>
      <c r="T201" s="258"/>
      <c r="U201" s="259"/>
      <c r="V201" s="261"/>
      <c r="W201" s="252"/>
      <c r="X201" s="262"/>
      <c r="Y201" s="257"/>
      <c r="Z201" s="263"/>
      <c r="AA201" s="264"/>
      <c r="AB201" s="266"/>
      <c r="AM201" s="251"/>
      <c r="AN201" s="266"/>
      <c r="AY201" s="251"/>
      <c r="AZ201" s="266"/>
      <c r="BK201" s="251"/>
      <c r="BL201" s="266"/>
      <c r="BW201" s="251"/>
      <c r="BX201" s="266"/>
      <c r="CI201" s="251"/>
      <c r="CJ201" s="267"/>
      <c r="CK201" s="267"/>
      <c r="CL201" s="267"/>
      <c r="CM201" s="267"/>
      <c r="CN201" s="267"/>
      <c r="CO201" s="268"/>
      <c r="CP201" s="266"/>
      <c r="DA201" s="251"/>
      <c r="DB201" s="266"/>
      <c r="DM201" s="251"/>
      <c r="DN201" s="266"/>
      <c r="DY201" s="251"/>
      <c r="DZ201" s="266"/>
      <c r="EK201" s="251"/>
      <c r="EL201" s="266"/>
      <c r="EW201" s="251"/>
      <c r="EX201" s="267"/>
      <c r="EY201" s="267"/>
      <c r="EZ201" s="267"/>
      <c r="FA201" s="267"/>
      <c r="FB201" s="269"/>
      <c r="FD201" s="270"/>
      <c r="FF201" s="276"/>
      <c r="FH201" s="206">
        <f t="shared" si="27"/>
        <v>0</v>
      </c>
      <c r="FI201" s="198">
        <f t="shared" si="28"/>
        <v>0</v>
      </c>
      <c r="FJ201"/>
      <c r="FK201">
        <f t="shared" si="29"/>
        <v>0</v>
      </c>
      <c r="FL201" s="191">
        <f t="shared" ca="1" si="30"/>
        <v>0</v>
      </c>
      <c r="FM201" s="191">
        <f t="shared" ca="1" si="31"/>
        <v>0</v>
      </c>
      <c r="FN201" s="190">
        <f>AB201*AB$2*IF($FC201="V",1,-1)*IF($Q201="Fixo",(CP201-INDEX('Curva Forward'!$C$5:$AN$13,MATCH(CONCATENATE(BD_COMERCIAL!$K201," ",BD_COMERCIAL!$L201),'Curva Forward'!$B$5:$B$13,0),MATCH(FN$4,'Curva Forward'!$C$4:$AN$4,0))),CP201)</f>
        <v>0</v>
      </c>
      <c r="FO201" s="190">
        <f>AC201*AC$2*IF($FC201="V",1,-1)*IF($Q201="Fixo",(CQ201-INDEX('Curva Forward'!$C$5:$AN$13,MATCH(CONCATENATE(BD_COMERCIAL!$K201," ",BD_COMERCIAL!$L201),'Curva Forward'!$B$5:$B$13,0),MATCH(FO$4,'Curva Forward'!$C$4:$AN$4,0))),CQ201)</f>
        <v>0</v>
      </c>
      <c r="FP201" s="190">
        <f>AD201*AD$2*IF($FC201="V",1,-1)*IF($Q201="Fixo",(CR201-INDEX('Curva Forward'!$C$5:$AN$13,MATCH(CONCATENATE(BD_COMERCIAL!$K201," ",BD_COMERCIAL!$L201),'Curva Forward'!$B$5:$B$13,0),MATCH(FP$4,'Curva Forward'!$C$4:$AN$4,0))),CR201)</f>
        <v>0</v>
      </c>
      <c r="FQ201" s="190">
        <f>AE201*AE$2*IF($FC201="V",1,-1)*IF($Q201="Fixo",(CS201-INDEX('Curva Forward'!$C$5:$AN$13,MATCH(CONCATENATE(BD_COMERCIAL!$K201," ",BD_COMERCIAL!$L201),'Curva Forward'!$B$5:$B$13,0),MATCH(FQ$4,'Curva Forward'!$C$4:$AN$4,0))),CS201)</f>
        <v>0</v>
      </c>
      <c r="FR201" s="190">
        <f>AF201*AF$2*IF($FC201="V",1,-1)*IF($Q201="Fixo",(CT201-INDEX('Curva Forward'!$C$5:$AN$13,MATCH(CONCATENATE(BD_COMERCIAL!$K201," ",BD_COMERCIAL!$L201),'Curva Forward'!$B$5:$B$13,0),MATCH(FR$4,'Curva Forward'!$C$4:$AN$4,0))),CT201)</f>
        <v>0</v>
      </c>
      <c r="FS201" s="190">
        <f>AG201*AG$2*IF($FC201="V",1,-1)*IF($Q201="Fixo",(CU201-INDEX('Curva Forward'!$C$5:$AN$13,MATCH(CONCATENATE(BD_COMERCIAL!$K201," ",BD_COMERCIAL!$L201),'Curva Forward'!$B$5:$B$13,0),MATCH(FS$4,'Curva Forward'!$C$4:$AN$4,0))),CU201)</f>
        <v>0</v>
      </c>
      <c r="FT201" s="190">
        <f>AH201*AH$2*IF($FC201="V",1,-1)*IF($Q201="Fixo",(CV201-INDEX('Curva Forward'!$C$5:$AN$13,MATCH(CONCATENATE(BD_COMERCIAL!$K201," ",BD_COMERCIAL!$L201),'Curva Forward'!$B$5:$B$13,0),MATCH(FT$4,'Curva Forward'!$C$4:$AN$4,0))),CV201)</f>
        <v>0</v>
      </c>
      <c r="FU201" s="190">
        <f>AI201*AI$2*IF($FC201="V",1,-1)*IF($Q201="Fixo",(CW201-INDEX('Curva Forward'!$C$5:$AN$13,MATCH(CONCATENATE(BD_COMERCIAL!$K201," ",BD_COMERCIAL!$L201),'Curva Forward'!$B$5:$B$13,0),MATCH(FU$4,'Curva Forward'!$C$4:$AN$4,0))),CW201)</f>
        <v>0</v>
      </c>
      <c r="FV201" s="190">
        <f>AJ201*AJ$2*IF($FC201="V",1,-1)*IF($Q201="Fixo",(CX201-INDEX('Curva Forward'!$C$5:$AN$13,MATCH(CONCATENATE(BD_COMERCIAL!$K201," ",BD_COMERCIAL!$L201),'Curva Forward'!$B$5:$B$13,0),MATCH(FV$4,'Curva Forward'!$C$4:$AN$4,0))),CX201)</f>
        <v>0</v>
      </c>
      <c r="FW201" s="190">
        <f>AK201*AK$2*IF($FC201="V",1,-1)*IF($Q201="Fixo",(CY201-INDEX('Curva Forward'!$C$5:$AN$13,MATCH(CONCATENATE(BD_COMERCIAL!$K201," ",BD_COMERCIAL!$L201),'Curva Forward'!$B$5:$B$13,0),MATCH(FW$4,'Curva Forward'!$C$4:$AN$4,0))),CY201)</f>
        <v>0</v>
      </c>
      <c r="FX201" s="190">
        <f>AL201*AL$2*IF($FC201="V",1,-1)*IF($Q201="Fixo",(CZ201-INDEX('Curva Forward'!$C$5:$AN$13,MATCH(CONCATENATE(BD_COMERCIAL!$K201," ",BD_COMERCIAL!$L201),'Curva Forward'!$B$5:$B$13,0),MATCH(FX$4,'Curva Forward'!$C$4:$AN$4,0))),CZ201)</f>
        <v>0</v>
      </c>
      <c r="FY201" s="190">
        <f>AM201*AM$2*IF($FC201="V",1,-1)*IF($Q201="Fixo",(DA201-INDEX('Curva Forward'!$C$5:$AN$13,MATCH(CONCATENATE(BD_COMERCIAL!$K201," ",BD_COMERCIAL!$L201),'Curva Forward'!$B$5:$B$13,0),MATCH(FY$4,'Curva Forward'!$C$4:$AN$4,0))),DA201)</f>
        <v>0</v>
      </c>
      <c r="FZ201" s="190">
        <f>AN201*AN$2*IF($FC201="V",1,-1)*IF($Q201="Fixo",(DB201-INDEX('Curva Forward'!$C$5:$AN$13,MATCH(CONCATENATE(BD_COMERCIAL!$K201," ",BD_COMERCIAL!$L201),'Curva Forward'!$B$5:$B$13,0),MATCH(FZ$4,'Curva Forward'!$C$4:$AN$4,0))),DB201)</f>
        <v>0</v>
      </c>
      <c r="GA201" s="190">
        <f>AO201*AO$2*IF($FC201="V",1,-1)*IF($Q201="Fixo",(DC201-INDEX('Curva Forward'!$C$5:$AN$13,MATCH(CONCATENATE(BD_COMERCIAL!$K201," ",BD_COMERCIAL!$L201),'Curva Forward'!$B$5:$B$13,0),MATCH(GA$4,'Curva Forward'!$C$4:$AN$4,0))),DC201)</f>
        <v>0</v>
      </c>
      <c r="GB201" s="190">
        <f>AP201*AP$2*IF($FC201="V",1,-1)*IF($Q201="Fixo",(DD201-INDEX('Curva Forward'!$C$5:$AN$13,MATCH(CONCATENATE(BD_COMERCIAL!$K201," ",BD_COMERCIAL!$L201),'Curva Forward'!$B$5:$B$13,0),MATCH(GB$4,'Curva Forward'!$C$4:$AN$4,0))),DD201)</f>
        <v>0</v>
      </c>
      <c r="GC201" s="190">
        <f>AQ201*AQ$2*IF($FC201="V",1,-1)*IF($Q201="Fixo",(DE201-INDEX('Curva Forward'!$C$5:$AN$13,MATCH(CONCATENATE(BD_COMERCIAL!$K201," ",BD_COMERCIAL!$L201),'Curva Forward'!$B$5:$B$13,0),MATCH(GC$4,'Curva Forward'!$C$4:$AN$4,0))),DE201)</f>
        <v>0</v>
      </c>
      <c r="GD201" s="190">
        <f>AR201*AR$2*IF($FC201="V",1,-1)*IF($Q201="Fixo",(DF201-INDEX('Curva Forward'!$C$5:$AN$13,MATCH(CONCATENATE(BD_COMERCIAL!$K201," ",BD_COMERCIAL!$L201),'Curva Forward'!$B$5:$B$13,0),MATCH(GD$4,'Curva Forward'!$C$4:$AN$4,0))),DF201)</f>
        <v>0</v>
      </c>
      <c r="GE201" s="190">
        <f>AS201*AS$2*IF($FC201="V",1,-1)*IF($Q201="Fixo",(DG201-INDEX('Curva Forward'!$C$5:$AN$13,MATCH(CONCATENATE(BD_COMERCIAL!$K201," ",BD_COMERCIAL!$L201),'Curva Forward'!$B$5:$B$13,0),MATCH(GE$4,'Curva Forward'!$C$4:$AN$4,0))),DG201)</f>
        <v>0</v>
      </c>
      <c r="GF201" s="190">
        <f>AT201*AT$2*IF($FC201="V",1,-1)*IF($Q201="Fixo",(DH201-INDEX('Curva Forward'!$C$5:$AN$13,MATCH(CONCATENATE(BD_COMERCIAL!$K201," ",BD_COMERCIAL!$L201),'Curva Forward'!$B$5:$B$13,0),MATCH(GF$4,'Curva Forward'!$C$4:$AN$4,0))),DH201)</f>
        <v>0</v>
      </c>
      <c r="GG201" s="190">
        <f>AU201*AU$2*IF($FC201="V",1,-1)*IF($Q201="Fixo",(DI201-INDEX('Curva Forward'!$C$5:$AN$13,MATCH(CONCATENATE(BD_COMERCIAL!$K201," ",BD_COMERCIAL!$L201),'Curva Forward'!$B$5:$B$13,0),MATCH(GG$4,'Curva Forward'!$C$4:$AN$4,0))),DI201)</f>
        <v>0</v>
      </c>
      <c r="GH201" s="190">
        <f>AV201*AV$2*IF($FC201="V",1,-1)*IF($Q201="Fixo",(DJ201-INDEX('Curva Forward'!$C$5:$AN$13,MATCH(CONCATENATE(BD_COMERCIAL!$K201," ",BD_COMERCIAL!$L201),'Curva Forward'!$B$5:$B$13,0),MATCH(GH$4,'Curva Forward'!$C$4:$AN$4,0))),DJ201)</f>
        <v>0</v>
      </c>
      <c r="GI201" s="190">
        <f>AW201*AW$2*IF($FC201="V",1,-1)*IF($Q201="Fixo",(DK201-INDEX('Curva Forward'!$C$5:$AN$13,MATCH(CONCATENATE(BD_COMERCIAL!$K201," ",BD_COMERCIAL!$L201),'Curva Forward'!$B$5:$B$13,0),MATCH(GI$4,'Curva Forward'!$C$4:$AN$4,0))),DK201)</f>
        <v>0</v>
      </c>
      <c r="GJ201" s="190">
        <f>AX201*AX$2*IF($FC201="V",1,-1)*IF($Q201="Fixo",(DL201-INDEX('Curva Forward'!$C$5:$AN$13,MATCH(CONCATENATE(BD_COMERCIAL!$K201," ",BD_COMERCIAL!$L201),'Curva Forward'!$B$5:$B$13,0),MATCH(GJ$4,'Curva Forward'!$C$4:$AN$4,0))),DL201)</f>
        <v>0</v>
      </c>
      <c r="GK201" s="190">
        <f>AY201*AY$2*IF($FC201="V",1,-1)*IF($Q201="Fixo",(DM201-INDEX('Curva Forward'!$C$5:$AN$13,MATCH(CONCATENATE(BD_COMERCIAL!$K201," ",BD_COMERCIAL!$L201),'Curva Forward'!$B$5:$B$13,0),MATCH(GK$4,'Curva Forward'!$C$4:$AN$4,0))),DM201)</f>
        <v>0</v>
      </c>
      <c r="GL201" s="190">
        <f>IF(EZ201="",0,CL201*CL$2*IF($FC201="V",1,-1)*IF($Q201="Fixo",(EZ201-INDEX('Curva Forward'!$C$5:$AN$13,MATCH(CONCATENATE(BD_COMERCIAL!$K201," ",BD_COMERCIAL!$L201),'Curva Forward'!$B$5:$B$13,0),MATCH(GL$4,'Curva Forward'!$C$4:$AN$4,0))),EZ201))</f>
        <v>0</v>
      </c>
      <c r="GM201" s="190">
        <f>IF(FA201="",0,CM201*CM$2*IF($FC201="V",1,-1)*IF($Q201="Fixo",(FA201-INDEX('Curva Forward'!$C$5:$AN$13,MATCH(CONCATENATE(BD_COMERCIAL!$K201," ",BD_COMERCIAL!$L201),'Curva Forward'!$B$5:$B$13,0),MATCH(GM$4,'Curva Forward'!$C$4:$AN$4,0))),FA201))</f>
        <v>0</v>
      </c>
      <c r="GN201" s="190">
        <f>IF(FB201="",0,CN201*CN$2*IF($FC201="V",1,-1)*IF($Q201="Fixo",(FB201-INDEX('Curva Forward'!$C$5:$AN$13,MATCH(CONCATENATE(BD_COMERCIAL!$K201," ",BD_COMERCIAL!$L201),'Curva Forward'!$B$5:$B$13,0),MATCH(GN$4,'Curva Forward'!$C$4:$AN$4,0))),FB201))</f>
        <v>0</v>
      </c>
      <c r="GO201" s="191">
        <f t="shared" ca="1" si="32"/>
        <v>0</v>
      </c>
      <c r="GP201" s="191">
        <f t="shared" ca="1" si="33"/>
        <v>0</v>
      </c>
      <c r="GQ201" s="115"/>
      <c r="GR201" s="115"/>
      <c r="GS201"/>
      <c r="GT201" s="65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</row>
    <row r="202" spans="1:236" s="265" customFormat="1" ht="15" customHeight="1" x14ac:dyDescent="0.35">
      <c r="A202" s="251"/>
      <c r="B202" s="275"/>
      <c r="C202" s="253"/>
      <c r="D202" s="254"/>
      <c r="E202" s="254"/>
      <c r="F202" s="255"/>
      <c r="G202" s="256"/>
      <c r="H202" s="255"/>
      <c r="I202" s="254"/>
      <c r="J202" s="257"/>
      <c r="K202" s="256"/>
      <c r="L202" s="252"/>
      <c r="M202" s="258"/>
      <c r="N202" s="259"/>
      <c r="O202" s="256"/>
      <c r="P202" s="252"/>
      <c r="Q202" s="252"/>
      <c r="R202" s="256"/>
      <c r="S202" s="260"/>
      <c r="T202" s="258"/>
      <c r="U202" s="259"/>
      <c r="V202" s="261"/>
      <c r="W202" s="252"/>
      <c r="X202" s="262"/>
      <c r="Y202" s="257"/>
      <c r="Z202" s="263"/>
      <c r="AA202" s="264"/>
      <c r="AB202" s="266"/>
      <c r="AM202" s="251"/>
      <c r="AN202" s="266"/>
      <c r="AY202" s="251"/>
      <c r="AZ202" s="266"/>
      <c r="BK202" s="251"/>
      <c r="BL202" s="266"/>
      <c r="BW202" s="251"/>
      <c r="BX202" s="266"/>
      <c r="CI202" s="251"/>
      <c r="CJ202" s="267"/>
      <c r="CK202" s="267"/>
      <c r="CL202" s="267"/>
      <c r="CM202" s="267"/>
      <c r="CN202" s="267"/>
      <c r="CO202" s="268"/>
      <c r="CP202" s="266"/>
      <c r="DA202" s="251"/>
      <c r="DB202" s="266"/>
      <c r="DM202" s="251"/>
      <c r="DN202" s="266"/>
      <c r="DY202" s="251"/>
      <c r="DZ202" s="266"/>
      <c r="EK202" s="251"/>
      <c r="EL202" s="266"/>
      <c r="EW202" s="251"/>
      <c r="EX202" s="267"/>
      <c r="EY202" s="267"/>
      <c r="EZ202" s="267"/>
      <c r="FA202" s="267"/>
      <c r="FB202" s="269"/>
      <c r="FD202" s="270"/>
      <c r="FF202" s="276"/>
      <c r="FH202" s="206">
        <f t="shared" si="27"/>
        <v>0</v>
      </c>
      <c r="FI202" s="198">
        <f t="shared" si="28"/>
        <v>0</v>
      </c>
      <c r="FJ202"/>
      <c r="FK202">
        <f t="shared" si="29"/>
        <v>0</v>
      </c>
      <c r="FL202" s="191">
        <f t="shared" ca="1" si="30"/>
        <v>0</v>
      </c>
      <c r="FM202" s="191">
        <f t="shared" ca="1" si="31"/>
        <v>0</v>
      </c>
      <c r="FN202" s="190">
        <f>AB202*AB$2*IF($FC202="V",1,-1)*IF($Q202="Fixo",(CP202-INDEX('Curva Forward'!$C$5:$AN$13,MATCH(CONCATENATE(BD_COMERCIAL!$K202," ",BD_COMERCIAL!$L202),'Curva Forward'!$B$5:$B$13,0),MATCH(FN$4,'Curva Forward'!$C$4:$AN$4,0))),CP202)</f>
        <v>0</v>
      </c>
      <c r="FO202" s="190">
        <f>AC202*AC$2*IF($FC202="V",1,-1)*IF($Q202="Fixo",(CQ202-INDEX('Curva Forward'!$C$5:$AN$13,MATCH(CONCATENATE(BD_COMERCIAL!$K202," ",BD_COMERCIAL!$L202),'Curva Forward'!$B$5:$B$13,0),MATCH(FO$4,'Curva Forward'!$C$4:$AN$4,0))),CQ202)</f>
        <v>0</v>
      </c>
      <c r="FP202" s="190">
        <f>AD202*AD$2*IF($FC202="V",1,-1)*IF($Q202="Fixo",(CR202-INDEX('Curva Forward'!$C$5:$AN$13,MATCH(CONCATENATE(BD_COMERCIAL!$K202," ",BD_COMERCIAL!$L202),'Curva Forward'!$B$5:$B$13,0),MATCH(FP$4,'Curva Forward'!$C$4:$AN$4,0))),CR202)</f>
        <v>0</v>
      </c>
      <c r="FQ202" s="190">
        <f>AE202*AE$2*IF($FC202="V",1,-1)*IF($Q202="Fixo",(CS202-INDEX('Curva Forward'!$C$5:$AN$13,MATCH(CONCATENATE(BD_COMERCIAL!$K202," ",BD_COMERCIAL!$L202),'Curva Forward'!$B$5:$B$13,0),MATCH(FQ$4,'Curva Forward'!$C$4:$AN$4,0))),CS202)</f>
        <v>0</v>
      </c>
      <c r="FR202" s="190">
        <f>AF202*AF$2*IF($FC202="V",1,-1)*IF($Q202="Fixo",(CT202-INDEX('Curva Forward'!$C$5:$AN$13,MATCH(CONCATENATE(BD_COMERCIAL!$K202," ",BD_COMERCIAL!$L202),'Curva Forward'!$B$5:$B$13,0),MATCH(FR$4,'Curva Forward'!$C$4:$AN$4,0))),CT202)</f>
        <v>0</v>
      </c>
      <c r="FS202" s="190">
        <f>AG202*AG$2*IF($FC202="V",1,-1)*IF($Q202="Fixo",(CU202-INDEX('Curva Forward'!$C$5:$AN$13,MATCH(CONCATENATE(BD_COMERCIAL!$K202," ",BD_COMERCIAL!$L202),'Curva Forward'!$B$5:$B$13,0),MATCH(FS$4,'Curva Forward'!$C$4:$AN$4,0))),CU202)</f>
        <v>0</v>
      </c>
      <c r="FT202" s="190">
        <f>AH202*AH$2*IF($FC202="V",1,-1)*IF($Q202="Fixo",(CV202-INDEX('Curva Forward'!$C$5:$AN$13,MATCH(CONCATENATE(BD_COMERCIAL!$K202," ",BD_COMERCIAL!$L202),'Curva Forward'!$B$5:$B$13,0),MATCH(FT$4,'Curva Forward'!$C$4:$AN$4,0))),CV202)</f>
        <v>0</v>
      </c>
      <c r="FU202" s="190">
        <f>AI202*AI$2*IF($FC202="V",1,-1)*IF($Q202="Fixo",(CW202-INDEX('Curva Forward'!$C$5:$AN$13,MATCH(CONCATENATE(BD_COMERCIAL!$K202," ",BD_COMERCIAL!$L202),'Curva Forward'!$B$5:$B$13,0),MATCH(FU$4,'Curva Forward'!$C$4:$AN$4,0))),CW202)</f>
        <v>0</v>
      </c>
      <c r="FV202" s="190">
        <f>AJ202*AJ$2*IF($FC202="V",1,-1)*IF($Q202="Fixo",(CX202-INDEX('Curva Forward'!$C$5:$AN$13,MATCH(CONCATENATE(BD_COMERCIAL!$K202," ",BD_COMERCIAL!$L202),'Curva Forward'!$B$5:$B$13,0),MATCH(FV$4,'Curva Forward'!$C$4:$AN$4,0))),CX202)</f>
        <v>0</v>
      </c>
      <c r="FW202" s="190">
        <f>AK202*AK$2*IF($FC202="V",1,-1)*IF($Q202="Fixo",(CY202-INDEX('Curva Forward'!$C$5:$AN$13,MATCH(CONCATENATE(BD_COMERCIAL!$K202," ",BD_COMERCIAL!$L202),'Curva Forward'!$B$5:$B$13,0),MATCH(FW$4,'Curva Forward'!$C$4:$AN$4,0))),CY202)</f>
        <v>0</v>
      </c>
      <c r="FX202" s="190">
        <f>AL202*AL$2*IF($FC202="V",1,-1)*IF($Q202="Fixo",(CZ202-INDEX('Curva Forward'!$C$5:$AN$13,MATCH(CONCATENATE(BD_COMERCIAL!$K202," ",BD_COMERCIAL!$L202),'Curva Forward'!$B$5:$B$13,0),MATCH(FX$4,'Curva Forward'!$C$4:$AN$4,0))),CZ202)</f>
        <v>0</v>
      </c>
      <c r="FY202" s="190">
        <f>AM202*AM$2*IF($FC202="V",1,-1)*IF($Q202="Fixo",(DA202-INDEX('Curva Forward'!$C$5:$AN$13,MATCH(CONCATENATE(BD_COMERCIAL!$K202," ",BD_COMERCIAL!$L202),'Curva Forward'!$B$5:$B$13,0),MATCH(FY$4,'Curva Forward'!$C$4:$AN$4,0))),DA202)</f>
        <v>0</v>
      </c>
      <c r="FZ202" s="190">
        <f>AN202*AN$2*IF($FC202="V",1,-1)*IF($Q202="Fixo",(DB202-INDEX('Curva Forward'!$C$5:$AN$13,MATCH(CONCATENATE(BD_COMERCIAL!$K202," ",BD_COMERCIAL!$L202),'Curva Forward'!$B$5:$B$13,0),MATCH(FZ$4,'Curva Forward'!$C$4:$AN$4,0))),DB202)</f>
        <v>0</v>
      </c>
      <c r="GA202" s="190">
        <f>AO202*AO$2*IF($FC202="V",1,-1)*IF($Q202="Fixo",(DC202-INDEX('Curva Forward'!$C$5:$AN$13,MATCH(CONCATENATE(BD_COMERCIAL!$K202," ",BD_COMERCIAL!$L202),'Curva Forward'!$B$5:$B$13,0),MATCH(GA$4,'Curva Forward'!$C$4:$AN$4,0))),DC202)</f>
        <v>0</v>
      </c>
      <c r="GB202" s="190">
        <f>AP202*AP$2*IF($FC202="V",1,-1)*IF($Q202="Fixo",(DD202-INDEX('Curva Forward'!$C$5:$AN$13,MATCH(CONCATENATE(BD_COMERCIAL!$K202," ",BD_COMERCIAL!$L202),'Curva Forward'!$B$5:$B$13,0),MATCH(GB$4,'Curva Forward'!$C$4:$AN$4,0))),DD202)</f>
        <v>0</v>
      </c>
      <c r="GC202" s="190">
        <f>AQ202*AQ$2*IF($FC202="V",1,-1)*IF($Q202="Fixo",(DE202-INDEX('Curva Forward'!$C$5:$AN$13,MATCH(CONCATENATE(BD_COMERCIAL!$K202," ",BD_COMERCIAL!$L202),'Curva Forward'!$B$5:$B$13,0),MATCH(GC$4,'Curva Forward'!$C$4:$AN$4,0))),DE202)</f>
        <v>0</v>
      </c>
      <c r="GD202" s="190">
        <f>AR202*AR$2*IF($FC202="V",1,-1)*IF($Q202="Fixo",(DF202-INDEX('Curva Forward'!$C$5:$AN$13,MATCH(CONCATENATE(BD_COMERCIAL!$K202," ",BD_COMERCIAL!$L202),'Curva Forward'!$B$5:$B$13,0),MATCH(GD$4,'Curva Forward'!$C$4:$AN$4,0))),DF202)</f>
        <v>0</v>
      </c>
      <c r="GE202" s="190">
        <f>AS202*AS$2*IF($FC202="V",1,-1)*IF($Q202="Fixo",(DG202-INDEX('Curva Forward'!$C$5:$AN$13,MATCH(CONCATENATE(BD_COMERCIAL!$K202," ",BD_COMERCIAL!$L202),'Curva Forward'!$B$5:$B$13,0),MATCH(GE$4,'Curva Forward'!$C$4:$AN$4,0))),DG202)</f>
        <v>0</v>
      </c>
      <c r="GF202" s="190">
        <f>AT202*AT$2*IF($FC202="V",1,-1)*IF($Q202="Fixo",(DH202-INDEX('Curva Forward'!$C$5:$AN$13,MATCH(CONCATENATE(BD_COMERCIAL!$K202," ",BD_COMERCIAL!$L202),'Curva Forward'!$B$5:$B$13,0),MATCH(GF$4,'Curva Forward'!$C$4:$AN$4,0))),DH202)</f>
        <v>0</v>
      </c>
      <c r="GG202" s="190">
        <f>AU202*AU$2*IF($FC202="V",1,-1)*IF($Q202="Fixo",(DI202-INDEX('Curva Forward'!$C$5:$AN$13,MATCH(CONCATENATE(BD_COMERCIAL!$K202," ",BD_COMERCIAL!$L202),'Curva Forward'!$B$5:$B$13,0),MATCH(GG$4,'Curva Forward'!$C$4:$AN$4,0))),DI202)</f>
        <v>0</v>
      </c>
      <c r="GH202" s="190">
        <f>AV202*AV$2*IF($FC202="V",1,-1)*IF($Q202="Fixo",(DJ202-INDEX('Curva Forward'!$C$5:$AN$13,MATCH(CONCATENATE(BD_COMERCIAL!$K202," ",BD_COMERCIAL!$L202),'Curva Forward'!$B$5:$B$13,0),MATCH(GH$4,'Curva Forward'!$C$4:$AN$4,0))),DJ202)</f>
        <v>0</v>
      </c>
      <c r="GI202" s="190">
        <f>AW202*AW$2*IF($FC202="V",1,-1)*IF($Q202="Fixo",(DK202-INDEX('Curva Forward'!$C$5:$AN$13,MATCH(CONCATENATE(BD_COMERCIAL!$K202," ",BD_COMERCIAL!$L202),'Curva Forward'!$B$5:$B$13,0),MATCH(GI$4,'Curva Forward'!$C$4:$AN$4,0))),DK202)</f>
        <v>0</v>
      </c>
      <c r="GJ202" s="190">
        <f>AX202*AX$2*IF($FC202="V",1,-1)*IF($Q202="Fixo",(DL202-INDEX('Curva Forward'!$C$5:$AN$13,MATCH(CONCATENATE(BD_COMERCIAL!$K202," ",BD_COMERCIAL!$L202),'Curva Forward'!$B$5:$B$13,0),MATCH(GJ$4,'Curva Forward'!$C$4:$AN$4,0))),DL202)</f>
        <v>0</v>
      </c>
      <c r="GK202" s="190">
        <f>AY202*AY$2*IF($FC202="V",1,-1)*IF($Q202="Fixo",(DM202-INDEX('Curva Forward'!$C$5:$AN$13,MATCH(CONCATENATE(BD_COMERCIAL!$K202," ",BD_COMERCIAL!$L202),'Curva Forward'!$B$5:$B$13,0),MATCH(GK$4,'Curva Forward'!$C$4:$AN$4,0))),DM202)</f>
        <v>0</v>
      </c>
      <c r="GL202" s="190">
        <f>IF(EZ202="",0,CL202*CL$2*IF($FC202="V",1,-1)*IF($Q202="Fixo",(EZ202-INDEX('Curva Forward'!$C$5:$AN$13,MATCH(CONCATENATE(BD_COMERCIAL!$K202," ",BD_COMERCIAL!$L202),'Curva Forward'!$B$5:$B$13,0),MATCH(GL$4,'Curva Forward'!$C$4:$AN$4,0))),EZ202))</f>
        <v>0</v>
      </c>
      <c r="GM202" s="190">
        <f>IF(FA202="",0,CM202*CM$2*IF($FC202="V",1,-1)*IF($Q202="Fixo",(FA202-INDEX('Curva Forward'!$C$5:$AN$13,MATCH(CONCATENATE(BD_COMERCIAL!$K202," ",BD_COMERCIAL!$L202),'Curva Forward'!$B$5:$B$13,0),MATCH(GM$4,'Curva Forward'!$C$4:$AN$4,0))),FA202))</f>
        <v>0</v>
      </c>
      <c r="GN202" s="190">
        <f>IF(FB202="",0,CN202*CN$2*IF($FC202="V",1,-1)*IF($Q202="Fixo",(FB202-INDEX('Curva Forward'!$C$5:$AN$13,MATCH(CONCATENATE(BD_COMERCIAL!$K202," ",BD_COMERCIAL!$L202),'Curva Forward'!$B$5:$B$13,0),MATCH(GN$4,'Curva Forward'!$C$4:$AN$4,0))),FB202))</f>
        <v>0</v>
      </c>
      <c r="GO202" s="191">
        <f t="shared" ca="1" si="32"/>
        <v>0</v>
      </c>
      <c r="GP202" s="191">
        <f t="shared" ca="1" si="33"/>
        <v>0</v>
      </c>
      <c r="GQ202" s="115"/>
      <c r="GR202" s="115"/>
      <c r="GS202"/>
      <c r="GT202" s="65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</row>
    <row r="203" spans="1:236" s="265" customFormat="1" ht="15" customHeight="1" x14ac:dyDescent="0.35">
      <c r="A203" s="251"/>
      <c r="B203" s="275"/>
      <c r="C203" s="253"/>
      <c r="D203" s="254"/>
      <c r="E203" s="254"/>
      <c r="F203" s="255"/>
      <c r="G203" s="256"/>
      <c r="H203" s="255"/>
      <c r="I203" s="254"/>
      <c r="J203" s="257"/>
      <c r="K203" s="256"/>
      <c r="L203" s="252"/>
      <c r="M203" s="258"/>
      <c r="N203" s="259"/>
      <c r="O203" s="256"/>
      <c r="P203" s="252"/>
      <c r="Q203" s="252"/>
      <c r="R203" s="256"/>
      <c r="S203" s="260"/>
      <c r="T203" s="258"/>
      <c r="U203" s="259"/>
      <c r="V203" s="261"/>
      <c r="W203" s="252"/>
      <c r="X203" s="262"/>
      <c r="Y203" s="257"/>
      <c r="Z203" s="263"/>
      <c r="AA203" s="264"/>
      <c r="AB203" s="266"/>
      <c r="AM203" s="251"/>
      <c r="AN203" s="266"/>
      <c r="AY203" s="251"/>
      <c r="AZ203" s="266"/>
      <c r="BK203" s="251"/>
      <c r="BL203" s="266"/>
      <c r="BW203" s="251"/>
      <c r="BX203" s="266"/>
      <c r="CI203" s="251"/>
      <c r="CJ203" s="267"/>
      <c r="CK203" s="267"/>
      <c r="CL203" s="267"/>
      <c r="CM203" s="267"/>
      <c r="CN203" s="267"/>
      <c r="CO203" s="268"/>
      <c r="CP203" s="266"/>
      <c r="DA203" s="251"/>
      <c r="DB203" s="266"/>
      <c r="DM203" s="251"/>
      <c r="DN203" s="266"/>
      <c r="DY203" s="251"/>
      <c r="DZ203" s="266"/>
      <c r="EK203" s="251"/>
      <c r="EL203" s="266"/>
      <c r="EW203" s="251"/>
      <c r="EX203" s="267"/>
      <c r="EY203" s="267"/>
      <c r="EZ203" s="267"/>
      <c r="FA203" s="267"/>
      <c r="FB203" s="269"/>
      <c r="FD203" s="270"/>
      <c r="FF203" s="276"/>
      <c r="FH203" s="206">
        <f t="shared" si="27"/>
        <v>0</v>
      </c>
      <c r="FI203" s="198">
        <f t="shared" si="28"/>
        <v>0</v>
      </c>
      <c r="FJ203"/>
      <c r="FK203">
        <f t="shared" si="29"/>
        <v>0</v>
      </c>
      <c r="FL203" s="191">
        <f t="shared" ca="1" si="30"/>
        <v>0</v>
      </c>
      <c r="FM203" s="191">
        <f t="shared" ca="1" si="31"/>
        <v>0</v>
      </c>
      <c r="FN203" s="190">
        <f>AB203*AB$2*IF($FC203="V",1,-1)*IF($Q203="Fixo",(CP203-INDEX('Curva Forward'!$C$5:$AN$13,MATCH(CONCATENATE(BD_COMERCIAL!$K203," ",BD_COMERCIAL!$L203),'Curva Forward'!$B$5:$B$13,0),MATCH(FN$4,'Curva Forward'!$C$4:$AN$4,0))),CP203)</f>
        <v>0</v>
      </c>
      <c r="FO203" s="190">
        <f>AC203*AC$2*IF($FC203="V",1,-1)*IF($Q203="Fixo",(CQ203-INDEX('Curva Forward'!$C$5:$AN$13,MATCH(CONCATENATE(BD_COMERCIAL!$K203," ",BD_COMERCIAL!$L203),'Curva Forward'!$B$5:$B$13,0),MATCH(FO$4,'Curva Forward'!$C$4:$AN$4,0))),CQ203)</f>
        <v>0</v>
      </c>
      <c r="FP203" s="190">
        <f>AD203*AD$2*IF($FC203="V",1,-1)*IF($Q203="Fixo",(CR203-INDEX('Curva Forward'!$C$5:$AN$13,MATCH(CONCATENATE(BD_COMERCIAL!$K203," ",BD_COMERCIAL!$L203),'Curva Forward'!$B$5:$B$13,0),MATCH(FP$4,'Curva Forward'!$C$4:$AN$4,0))),CR203)</f>
        <v>0</v>
      </c>
      <c r="FQ203" s="190">
        <f>AE203*AE$2*IF($FC203="V",1,-1)*IF($Q203="Fixo",(CS203-INDEX('Curva Forward'!$C$5:$AN$13,MATCH(CONCATENATE(BD_COMERCIAL!$K203," ",BD_COMERCIAL!$L203),'Curva Forward'!$B$5:$B$13,0),MATCH(FQ$4,'Curva Forward'!$C$4:$AN$4,0))),CS203)</f>
        <v>0</v>
      </c>
      <c r="FR203" s="190">
        <f>AF203*AF$2*IF($FC203="V",1,-1)*IF($Q203="Fixo",(CT203-INDEX('Curva Forward'!$C$5:$AN$13,MATCH(CONCATENATE(BD_COMERCIAL!$K203," ",BD_COMERCIAL!$L203),'Curva Forward'!$B$5:$B$13,0),MATCH(FR$4,'Curva Forward'!$C$4:$AN$4,0))),CT203)</f>
        <v>0</v>
      </c>
      <c r="FS203" s="190">
        <f>AG203*AG$2*IF($FC203="V",1,-1)*IF($Q203="Fixo",(CU203-INDEX('Curva Forward'!$C$5:$AN$13,MATCH(CONCATENATE(BD_COMERCIAL!$K203," ",BD_COMERCIAL!$L203),'Curva Forward'!$B$5:$B$13,0),MATCH(FS$4,'Curva Forward'!$C$4:$AN$4,0))),CU203)</f>
        <v>0</v>
      </c>
      <c r="FT203" s="190">
        <f>AH203*AH$2*IF($FC203="V",1,-1)*IF($Q203="Fixo",(CV203-INDEX('Curva Forward'!$C$5:$AN$13,MATCH(CONCATENATE(BD_COMERCIAL!$K203," ",BD_COMERCIAL!$L203),'Curva Forward'!$B$5:$B$13,0),MATCH(FT$4,'Curva Forward'!$C$4:$AN$4,0))),CV203)</f>
        <v>0</v>
      </c>
      <c r="FU203" s="190">
        <f>AI203*AI$2*IF($FC203="V",1,-1)*IF($Q203="Fixo",(CW203-INDEX('Curva Forward'!$C$5:$AN$13,MATCH(CONCATENATE(BD_COMERCIAL!$K203," ",BD_COMERCIAL!$L203),'Curva Forward'!$B$5:$B$13,0),MATCH(FU$4,'Curva Forward'!$C$4:$AN$4,0))),CW203)</f>
        <v>0</v>
      </c>
      <c r="FV203" s="190">
        <f>AJ203*AJ$2*IF($FC203="V",1,-1)*IF($Q203="Fixo",(CX203-INDEX('Curva Forward'!$C$5:$AN$13,MATCH(CONCATENATE(BD_COMERCIAL!$K203," ",BD_COMERCIAL!$L203),'Curva Forward'!$B$5:$B$13,0),MATCH(FV$4,'Curva Forward'!$C$4:$AN$4,0))),CX203)</f>
        <v>0</v>
      </c>
      <c r="FW203" s="190">
        <f>AK203*AK$2*IF($FC203="V",1,-1)*IF($Q203="Fixo",(CY203-INDEX('Curva Forward'!$C$5:$AN$13,MATCH(CONCATENATE(BD_COMERCIAL!$K203," ",BD_COMERCIAL!$L203),'Curva Forward'!$B$5:$B$13,0),MATCH(FW$4,'Curva Forward'!$C$4:$AN$4,0))),CY203)</f>
        <v>0</v>
      </c>
      <c r="FX203" s="190">
        <f>AL203*AL$2*IF($FC203="V",1,-1)*IF($Q203="Fixo",(CZ203-INDEX('Curva Forward'!$C$5:$AN$13,MATCH(CONCATENATE(BD_COMERCIAL!$K203," ",BD_COMERCIAL!$L203),'Curva Forward'!$B$5:$B$13,0),MATCH(FX$4,'Curva Forward'!$C$4:$AN$4,0))),CZ203)</f>
        <v>0</v>
      </c>
      <c r="FY203" s="190">
        <f>AM203*AM$2*IF($FC203="V",1,-1)*IF($Q203="Fixo",(DA203-INDEX('Curva Forward'!$C$5:$AN$13,MATCH(CONCATENATE(BD_COMERCIAL!$K203," ",BD_COMERCIAL!$L203),'Curva Forward'!$B$5:$B$13,0),MATCH(FY$4,'Curva Forward'!$C$4:$AN$4,0))),DA203)</f>
        <v>0</v>
      </c>
      <c r="FZ203" s="190">
        <f>AN203*AN$2*IF($FC203="V",1,-1)*IF($Q203="Fixo",(DB203-INDEX('Curva Forward'!$C$5:$AN$13,MATCH(CONCATENATE(BD_COMERCIAL!$K203," ",BD_COMERCIAL!$L203),'Curva Forward'!$B$5:$B$13,0),MATCH(FZ$4,'Curva Forward'!$C$4:$AN$4,0))),DB203)</f>
        <v>0</v>
      </c>
      <c r="GA203" s="190">
        <f>AO203*AO$2*IF($FC203="V",1,-1)*IF($Q203="Fixo",(DC203-INDEX('Curva Forward'!$C$5:$AN$13,MATCH(CONCATENATE(BD_COMERCIAL!$K203," ",BD_COMERCIAL!$L203),'Curva Forward'!$B$5:$B$13,0),MATCH(GA$4,'Curva Forward'!$C$4:$AN$4,0))),DC203)</f>
        <v>0</v>
      </c>
      <c r="GB203" s="190">
        <f>AP203*AP$2*IF($FC203="V",1,-1)*IF($Q203="Fixo",(DD203-INDEX('Curva Forward'!$C$5:$AN$13,MATCH(CONCATENATE(BD_COMERCIAL!$K203," ",BD_COMERCIAL!$L203),'Curva Forward'!$B$5:$B$13,0),MATCH(GB$4,'Curva Forward'!$C$4:$AN$4,0))),DD203)</f>
        <v>0</v>
      </c>
      <c r="GC203" s="190">
        <f>AQ203*AQ$2*IF($FC203="V",1,-1)*IF($Q203="Fixo",(DE203-INDEX('Curva Forward'!$C$5:$AN$13,MATCH(CONCATENATE(BD_COMERCIAL!$K203," ",BD_COMERCIAL!$L203),'Curva Forward'!$B$5:$B$13,0),MATCH(GC$4,'Curva Forward'!$C$4:$AN$4,0))),DE203)</f>
        <v>0</v>
      </c>
      <c r="GD203" s="190">
        <f>AR203*AR$2*IF($FC203="V",1,-1)*IF($Q203="Fixo",(DF203-INDEX('Curva Forward'!$C$5:$AN$13,MATCH(CONCATENATE(BD_COMERCIAL!$K203," ",BD_COMERCIAL!$L203),'Curva Forward'!$B$5:$B$13,0),MATCH(GD$4,'Curva Forward'!$C$4:$AN$4,0))),DF203)</f>
        <v>0</v>
      </c>
      <c r="GE203" s="190">
        <f>AS203*AS$2*IF($FC203="V",1,-1)*IF($Q203="Fixo",(DG203-INDEX('Curva Forward'!$C$5:$AN$13,MATCH(CONCATENATE(BD_COMERCIAL!$K203," ",BD_COMERCIAL!$L203),'Curva Forward'!$B$5:$B$13,0),MATCH(GE$4,'Curva Forward'!$C$4:$AN$4,0))),DG203)</f>
        <v>0</v>
      </c>
      <c r="GF203" s="190">
        <f>AT203*AT$2*IF($FC203="V",1,-1)*IF($Q203="Fixo",(DH203-INDEX('Curva Forward'!$C$5:$AN$13,MATCH(CONCATENATE(BD_COMERCIAL!$K203," ",BD_COMERCIAL!$L203),'Curva Forward'!$B$5:$B$13,0),MATCH(GF$4,'Curva Forward'!$C$4:$AN$4,0))),DH203)</f>
        <v>0</v>
      </c>
      <c r="GG203" s="190">
        <f>AU203*AU$2*IF($FC203="V",1,-1)*IF($Q203="Fixo",(DI203-INDEX('Curva Forward'!$C$5:$AN$13,MATCH(CONCATENATE(BD_COMERCIAL!$K203," ",BD_COMERCIAL!$L203),'Curva Forward'!$B$5:$B$13,0),MATCH(GG$4,'Curva Forward'!$C$4:$AN$4,0))),DI203)</f>
        <v>0</v>
      </c>
      <c r="GH203" s="190">
        <f>AV203*AV$2*IF($FC203="V",1,-1)*IF($Q203="Fixo",(DJ203-INDEX('Curva Forward'!$C$5:$AN$13,MATCH(CONCATENATE(BD_COMERCIAL!$K203," ",BD_COMERCIAL!$L203),'Curva Forward'!$B$5:$B$13,0),MATCH(GH$4,'Curva Forward'!$C$4:$AN$4,0))),DJ203)</f>
        <v>0</v>
      </c>
      <c r="GI203" s="190">
        <f>AW203*AW$2*IF($FC203="V",1,-1)*IF($Q203="Fixo",(DK203-INDEX('Curva Forward'!$C$5:$AN$13,MATCH(CONCATENATE(BD_COMERCIAL!$K203," ",BD_COMERCIAL!$L203),'Curva Forward'!$B$5:$B$13,0),MATCH(GI$4,'Curva Forward'!$C$4:$AN$4,0))),DK203)</f>
        <v>0</v>
      </c>
      <c r="GJ203" s="190">
        <f>AX203*AX$2*IF($FC203="V",1,-1)*IF($Q203="Fixo",(DL203-INDEX('Curva Forward'!$C$5:$AN$13,MATCH(CONCATENATE(BD_COMERCIAL!$K203," ",BD_COMERCIAL!$L203),'Curva Forward'!$B$5:$B$13,0),MATCH(GJ$4,'Curva Forward'!$C$4:$AN$4,0))),DL203)</f>
        <v>0</v>
      </c>
      <c r="GK203" s="190">
        <f>AY203*AY$2*IF($FC203="V",1,-1)*IF($Q203="Fixo",(DM203-INDEX('Curva Forward'!$C$5:$AN$13,MATCH(CONCATENATE(BD_COMERCIAL!$K203," ",BD_COMERCIAL!$L203),'Curva Forward'!$B$5:$B$13,0),MATCH(GK$4,'Curva Forward'!$C$4:$AN$4,0))),DM203)</f>
        <v>0</v>
      </c>
      <c r="GL203" s="190">
        <f>IF(EZ203="",0,CL203*CL$2*IF($FC203="V",1,-1)*IF($Q203="Fixo",(EZ203-INDEX('Curva Forward'!$C$5:$AN$13,MATCH(CONCATENATE(BD_COMERCIAL!$K203," ",BD_COMERCIAL!$L203),'Curva Forward'!$B$5:$B$13,0),MATCH(GL$4,'Curva Forward'!$C$4:$AN$4,0))),EZ203))</f>
        <v>0</v>
      </c>
      <c r="GM203" s="190">
        <f>IF(FA203="",0,CM203*CM$2*IF($FC203="V",1,-1)*IF($Q203="Fixo",(FA203-INDEX('Curva Forward'!$C$5:$AN$13,MATCH(CONCATENATE(BD_COMERCIAL!$K203," ",BD_COMERCIAL!$L203),'Curva Forward'!$B$5:$B$13,0),MATCH(GM$4,'Curva Forward'!$C$4:$AN$4,0))),FA203))</f>
        <v>0</v>
      </c>
      <c r="GN203" s="190">
        <f>IF(FB203="",0,CN203*CN$2*IF($FC203="V",1,-1)*IF($Q203="Fixo",(FB203-INDEX('Curva Forward'!$C$5:$AN$13,MATCH(CONCATENATE(BD_COMERCIAL!$K203," ",BD_COMERCIAL!$L203),'Curva Forward'!$B$5:$B$13,0),MATCH(GN$4,'Curva Forward'!$C$4:$AN$4,0))),FB203))</f>
        <v>0</v>
      </c>
      <c r="GO203" s="191">
        <f t="shared" ca="1" si="32"/>
        <v>0</v>
      </c>
      <c r="GP203" s="191">
        <f t="shared" ca="1" si="33"/>
        <v>0</v>
      </c>
      <c r="GQ203" s="115"/>
      <c r="GR203" s="115"/>
      <c r="GS203"/>
      <c r="GT203" s="65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</row>
    <row r="204" spans="1:236" s="265" customFormat="1" ht="15" customHeight="1" x14ac:dyDescent="0.35">
      <c r="A204" s="251"/>
      <c r="B204" s="275"/>
      <c r="C204" s="253"/>
      <c r="D204" s="254"/>
      <c r="E204" s="254"/>
      <c r="F204" s="255"/>
      <c r="G204" s="256"/>
      <c r="H204" s="255"/>
      <c r="I204" s="254"/>
      <c r="J204" s="257"/>
      <c r="K204" s="256"/>
      <c r="L204" s="252"/>
      <c r="M204" s="258"/>
      <c r="N204" s="259"/>
      <c r="O204" s="256"/>
      <c r="P204" s="252"/>
      <c r="Q204" s="252"/>
      <c r="R204" s="256"/>
      <c r="S204" s="260"/>
      <c r="T204" s="258"/>
      <c r="U204" s="259"/>
      <c r="V204" s="261"/>
      <c r="W204" s="252"/>
      <c r="X204" s="262"/>
      <c r="Y204" s="257"/>
      <c r="Z204" s="263"/>
      <c r="AA204" s="264"/>
      <c r="AB204" s="266"/>
      <c r="AM204" s="251"/>
      <c r="AN204" s="266"/>
      <c r="AY204" s="251"/>
      <c r="AZ204" s="266"/>
      <c r="BK204" s="251"/>
      <c r="BL204" s="266"/>
      <c r="BW204" s="251"/>
      <c r="BX204" s="266"/>
      <c r="CI204" s="251"/>
      <c r="CJ204" s="267"/>
      <c r="CK204" s="267"/>
      <c r="CL204" s="267"/>
      <c r="CM204" s="267"/>
      <c r="CN204" s="267"/>
      <c r="CO204" s="268"/>
      <c r="CP204" s="266"/>
      <c r="DA204" s="251"/>
      <c r="DB204" s="266"/>
      <c r="DM204" s="251"/>
      <c r="DN204" s="266"/>
      <c r="DY204" s="251"/>
      <c r="DZ204" s="266"/>
      <c r="EK204" s="251"/>
      <c r="EL204" s="266"/>
      <c r="EW204" s="251"/>
      <c r="EX204" s="267"/>
      <c r="EY204" s="267"/>
      <c r="EZ204" s="267"/>
      <c r="FA204" s="267"/>
      <c r="FB204" s="269"/>
      <c r="FD204" s="270"/>
      <c r="FF204" s="276"/>
      <c r="FH204" s="206">
        <f t="shared" si="27"/>
        <v>0</v>
      </c>
      <c r="FI204" s="198">
        <f t="shared" si="28"/>
        <v>0</v>
      </c>
      <c r="FJ204"/>
      <c r="FK204">
        <f t="shared" si="29"/>
        <v>0</v>
      </c>
      <c r="FL204" s="191">
        <f t="shared" ca="1" si="30"/>
        <v>0</v>
      </c>
      <c r="FM204" s="191">
        <f t="shared" ca="1" si="31"/>
        <v>0</v>
      </c>
      <c r="FN204" s="190">
        <f>AB204*AB$2*IF($FC204="V",1,-1)*IF($Q204="Fixo",(CP204-INDEX('Curva Forward'!$C$5:$AN$13,MATCH(CONCATENATE(BD_COMERCIAL!$K204," ",BD_COMERCIAL!$L204),'Curva Forward'!$B$5:$B$13,0),MATCH(FN$4,'Curva Forward'!$C$4:$AN$4,0))),CP204)</f>
        <v>0</v>
      </c>
      <c r="FO204" s="190">
        <f>AC204*AC$2*IF($FC204="V",1,-1)*IF($Q204="Fixo",(CQ204-INDEX('Curva Forward'!$C$5:$AN$13,MATCH(CONCATENATE(BD_COMERCIAL!$K204," ",BD_COMERCIAL!$L204),'Curva Forward'!$B$5:$B$13,0),MATCH(FO$4,'Curva Forward'!$C$4:$AN$4,0))),CQ204)</f>
        <v>0</v>
      </c>
      <c r="FP204" s="190">
        <f>AD204*AD$2*IF($FC204="V",1,-1)*IF($Q204="Fixo",(CR204-INDEX('Curva Forward'!$C$5:$AN$13,MATCH(CONCATENATE(BD_COMERCIAL!$K204," ",BD_COMERCIAL!$L204),'Curva Forward'!$B$5:$B$13,0),MATCH(FP$4,'Curva Forward'!$C$4:$AN$4,0))),CR204)</f>
        <v>0</v>
      </c>
      <c r="FQ204" s="190">
        <f>AE204*AE$2*IF($FC204="V",1,-1)*IF($Q204="Fixo",(CS204-INDEX('Curva Forward'!$C$5:$AN$13,MATCH(CONCATENATE(BD_COMERCIAL!$K204," ",BD_COMERCIAL!$L204),'Curva Forward'!$B$5:$B$13,0),MATCH(FQ$4,'Curva Forward'!$C$4:$AN$4,0))),CS204)</f>
        <v>0</v>
      </c>
      <c r="FR204" s="190">
        <f>AF204*AF$2*IF($FC204="V",1,-1)*IF($Q204="Fixo",(CT204-INDEX('Curva Forward'!$C$5:$AN$13,MATCH(CONCATENATE(BD_COMERCIAL!$K204," ",BD_COMERCIAL!$L204),'Curva Forward'!$B$5:$B$13,0),MATCH(FR$4,'Curva Forward'!$C$4:$AN$4,0))),CT204)</f>
        <v>0</v>
      </c>
      <c r="FS204" s="190">
        <f>AG204*AG$2*IF($FC204="V",1,-1)*IF($Q204="Fixo",(CU204-INDEX('Curva Forward'!$C$5:$AN$13,MATCH(CONCATENATE(BD_COMERCIAL!$K204," ",BD_COMERCIAL!$L204),'Curva Forward'!$B$5:$B$13,0),MATCH(FS$4,'Curva Forward'!$C$4:$AN$4,0))),CU204)</f>
        <v>0</v>
      </c>
      <c r="FT204" s="190">
        <f>AH204*AH$2*IF($FC204="V",1,-1)*IF($Q204="Fixo",(CV204-INDEX('Curva Forward'!$C$5:$AN$13,MATCH(CONCATENATE(BD_COMERCIAL!$K204," ",BD_COMERCIAL!$L204),'Curva Forward'!$B$5:$B$13,0),MATCH(FT$4,'Curva Forward'!$C$4:$AN$4,0))),CV204)</f>
        <v>0</v>
      </c>
      <c r="FU204" s="190">
        <f>AI204*AI$2*IF($FC204="V",1,-1)*IF($Q204="Fixo",(CW204-INDEX('Curva Forward'!$C$5:$AN$13,MATCH(CONCATENATE(BD_COMERCIAL!$K204," ",BD_COMERCIAL!$L204),'Curva Forward'!$B$5:$B$13,0),MATCH(FU$4,'Curva Forward'!$C$4:$AN$4,0))),CW204)</f>
        <v>0</v>
      </c>
      <c r="FV204" s="190">
        <f>AJ204*AJ$2*IF($FC204="V",1,-1)*IF($Q204="Fixo",(CX204-INDEX('Curva Forward'!$C$5:$AN$13,MATCH(CONCATENATE(BD_COMERCIAL!$K204," ",BD_COMERCIAL!$L204),'Curva Forward'!$B$5:$B$13,0),MATCH(FV$4,'Curva Forward'!$C$4:$AN$4,0))),CX204)</f>
        <v>0</v>
      </c>
      <c r="FW204" s="190">
        <f>AK204*AK$2*IF($FC204="V",1,-1)*IF($Q204="Fixo",(CY204-INDEX('Curva Forward'!$C$5:$AN$13,MATCH(CONCATENATE(BD_COMERCIAL!$K204," ",BD_COMERCIAL!$L204),'Curva Forward'!$B$5:$B$13,0),MATCH(FW$4,'Curva Forward'!$C$4:$AN$4,0))),CY204)</f>
        <v>0</v>
      </c>
      <c r="FX204" s="190">
        <f>AL204*AL$2*IF($FC204="V",1,-1)*IF($Q204="Fixo",(CZ204-INDEX('Curva Forward'!$C$5:$AN$13,MATCH(CONCATENATE(BD_COMERCIAL!$K204," ",BD_COMERCIAL!$L204),'Curva Forward'!$B$5:$B$13,0),MATCH(FX$4,'Curva Forward'!$C$4:$AN$4,0))),CZ204)</f>
        <v>0</v>
      </c>
      <c r="FY204" s="190">
        <f>AM204*AM$2*IF($FC204="V",1,-1)*IF($Q204="Fixo",(DA204-INDEX('Curva Forward'!$C$5:$AN$13,MATCH(CONCATENATE(BD_COMERCIAL!$K204," ",BD_COMERCIAL!$L204),'Curva Forward'!$B$5:$B$13,0),MATCH(FY$4,'Curva Forward'!$C$4:$AN$4,0))),DA204)</f>
        <v>0</v>
      </c>
      <c r="FZ204" s="190">
        <f>AN204*AN$2*IF($FC204="V",1,-1)*IF($Q204="Fixo",(DB204-INDEX('Curva Forward'!$C$5:$AN$13,MATCH(CONCATENATE(BD_COMERCIAL!$K204," ",BD_COMERCIAL!$L204),'Curva Forward'!$B$5:$B$13,0),MATCH(FZ$4,'Curva Forward'!$C$4:$AN$4,0))),DB204)</f>
        <v>0</v>
      </c>
      <c r="GA204" s="190">
        <f>AO204*AO$2*IF($FC204="V",1,-1)*IF($Q204="Fixo",(DC204-INDEX('Curva Forward'!$C$5:$AN$13,MATCH(CONCATENATE(BD_COMERCIAL!$K204," ",BD_COMERCIAL!$L204),'Curva Forward'!$B$5:$B$13,0),MATCH(GA$4,'Curva Forward'!$C$4:$AN$4,0))),DC204)</f>
        <v>0</v>
      </c>
      <c r="GB204" s="190">
        <f>AP204*AP$2*IF($FC204="V",1,-1)*IF($Q204="Fixo",(DD204-INDEX('Curva Forward'!$C$5:$AN$13,MATCH(CONCATENATE(BD_COMERCIAL!$K204," ",BD_COMERCIAL!$L204),'Curva Forward'!$B$5:$B$13,0),MATCH(GB$4,'Curva Forward'!$C$4:$AN$4,0))),DD204)</f>
        <v>0</v>
      </c>
      <c r="GC204" s="190">
        <f>AQ204*AQ$2*IF($FC204="V",1,-1)*IF($Q204="Fixo",(DE204-INDEX('Curva Forward'!$C$5:$AN$13,MATCH(CONCATENATE(BD_COMERCIAL!$K204," ",BD_COMERCIAL!$L204),'Curva Forward'!$B$5:$B$13,0),MATCH(GC$4,'Curva Forward'!$C$4:$AN$4,0))),DE204)</f>
        <v>0</v>
      </c>
      <c r="GD204" s="190">
        <f>AR204*AR$2*IF($FC204="V",1,-1)*IF($Q204="Fixo",(DF204-INDEX('Curva Forward'!$C$5:$AN$13,MATCH(CONCATENATE(BD_COMERCIAL!$K204," ",BD_COMERCIAL!$L204),'Curva Forward'!$B$5:$B$13,0),MATCH(GD$4,'Curva Forward'!$C$4:$AN$4,0))),DF204)</f>
        <v>0</v>
      </c>
      <c r="GE204" s="190">
        <f>AS204*AS$2*IF($FC204="V",1,-1)*IF($Q204="Fixo",(DG204-INDEX('Curva Forward'!$C$5:$AN$13,MATCH(CONCATENATE(BD_COMERCIAL!$K204," ",BD_COMERCIAL!$L204),'Curva Forward'!$B$5:$B$13,0),MATCH(GE$4,'Curva Forward'!$C$4:$AN$4,0))),DG204)</f>
        <v>0</v>
      </c>
      <c r="GF204" s="190">
        <f>AT204*AT$2*IF($FC204="V",1,-1)*IF($Q204="Fixo",(DH204-INDEX('Curva Forward'!$C$5:$AN$13,MATCH(CONCATENATE(BD_COMERCIAL!$K204," ",BD_COMERCIAL!$L204),'Curva Forward'!$B$5:$B$13,0),MATCH(GF$4,'Curva Forward'!$C$4:$AN$4,0))),DH204)</f>
        <v>0</v>
      </c>
      <c r="GG204" s="190">
        <f>AU204*AU$2*IF($FC204="V",1,-1)*IF($Q204="Fixo",(DI204-INDEX('Curva Forward'!$C$5:$AN$13,MATCH(CONCATENATE(BD_COMERCIAL!$K204," ",BD_COMERCIAL!$L204),'Curva Forward'!$B$5:$B$13,0),MATCH(GG$4,'Curva Forward'!$C$4:$AN$4,0))),DI204)</f>
        <v>0</v>
      </c>
      <c r="GH204" s="190">
        <f>AV204*AV$2*IF($FC204="V",1,-1)*IF($Q204="Fixo",(DJ204-INDEX('Curva Forward'!$C$5:$AN$13,MATCH(CONCATENATE(BD_COMERCIAL!$K204," ",BD_COMERCIAL!$L204),'Curva Forward'!$B$5:$B$13,0),MATCH(GH$4,'Curva Forward'!$C$4:$AN$4,0))),DJ204)</f>
        <v>0</v>
      </c>
      <c r="GI204" s="190">
        <f>AW204*AW$2*IF($FC204="V",1,-1)*IF($Q204="Fixo",(DK204-INDEX('Curva Forward'!$C$5:$AN$13,MATCH(CONCATENATE(BD_COMERCIAL!$K204," ",BD_COMERCIAL!$L204),'Curva Forward'!$B$5:$B$13,0),MATCH(GI$4,'Curva Forward'!$C$4:$AN$4,0))),DK204)</f>
        <v>0</v>
      </c>
      <c r="GJ204" s="190">
        <f>AX204*AX$2*IF($FC204="V",1,-1)*IF($Q204="Fixo",(DL204-INDEX('Curva Forward'!$C$5:$AN$13,MATCH(CONCATENATE(BD_COMERCIAL!$K204," ",BD_COMERCIAL!$L204),'Curva Forward'!$B$5:$B$13,0),MATCH(GJ$4,'Curva Forward'!$C$4:$AN$4,0))),DL204)</f>
        <v>0</v>
      </c>
      <c r="GK204" s="190">
        <f>AY204*AY$2*IF($FC204="V",1,-1)*IF($Q204="Fixo",(DM204-INDEX('Curva Forward'!$C$5:$AN$13,MATCH(CONCATENATE(BD_COMERCIAL!$K204," ",BD_COMERCIAL!$L204),'Curva Forward'!$B$5:$B$13,0),MATCH(GK$4,'Curva Forward'!$C$4:$AN$4,0))),DM204)</f>
        <v>0</v>
      </c>
      <c r="GL204" s="190">
        <f>IF(EZ204="",0,CL204*CL$2*IF($FC204="V",1,-1)*IF($Q204="Fixo",(EZ204-INDEX('Curva Forward'!$C$5:$AN$13,MATCH(CONCATENATE(BD_COMERCIAL!$K204," ",BD_COMERCIAL!$L204),'Curva Forward'!$B$5:$B$13,0),MATCH(GL$4,'Curva Forward'!$C$4:$AN$4,0))),EZ204))</f>
        <v>0</v>
      </c>
      <c r="GM204" s="190">
        <f>IF(FA204="",0,CM204*CM$2*IF($FC204="V",1,-1)*IF($Q204="Fixo",(FA204-INDEX('Curva Forward'!$C$5:$AN$13,MATCH(CONCATENATE(BD_COMERCIAL!$K204," ",BD_COMERCIAL!$L204),'Curva Forward'!$B$5:$B$13,0),MATCH(GM$4,'Curva Forward'!$C$4:$AN$4,0))),FA204))</f>
        <v>0</v>
      </c>
      <c r="GN204" s="190">
        <f>IF(FB204="",0,CN204*CN$2*IF($FC204="V",1,-1)*IF($Q204="Fixo",(FB204-INDEX('Curva Forward'!$C$5:$AN$13,MATCH(CONCATENATE(BD_COMERCIAL!$K204," ",BD_COMERCIAL!$L204),'Curva Forward'!$B$5:$B$13,0),MATCH(GN$4,'Curva Forward'!$C$4:$AN$4,0))),FB204))</f>
        <v>0</v>
      </c>
      <c r="GO204" s="191">
        <f t="shared" ca="1" si="32"/>
        <v>0</v>
      </c>
      <c r="GP204" s="191">
        <f t="shared" ca="1" si="33"/>
        <v>0</v>
      </c>
      <c r="GQ204" s="115"/>
      <c r="GR204" s="115"/>
      <c r="GS204"/>
      <c r="GT204" s="65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</row>
    <row r="205" spans="1:236" s="265" customFormat="1" ht="15" customHeight="1" x14ac:dyDescent="0.35">
      <c r="A205" s="251"/>
      <c r="B205" s="275"/>
      <c r="C205" s="253"/>
      <c r="D205" s="254"/>
      <c r="E205" s="254"/>
      <c r="F205" s="255"/>
      <c r="G205" s="256"/>
      <c r="H205" s="255"/>
      <c r="I205" s="254"/>
      <c r="J205" s="257"/>
      <c r="K205" s="256"/>
      <c r="L205" s="252"/>
      <c r="M205" s="258"/>
      <c r="N205" s="259"/>
      <c r="O205" s="256"/>
      <c r="P205" s="252"/>
      <c r="Q205" s="252"/>
      <c r="R205" s="256"/>
      <c r="S205" s="260"/>
      <c r="T205" s="258"/>
      <c r="U205" s="259"/>
      <c r="V205" s="261"/>
      <c r="W205" s="252"/>
      <c r="X205" s="262"/>
      <c r="Y205" s="257"/>
      <c r="Z205" s="263"/>
      <c r="AA205" s="264"/>
      <c r="AB205" s="266"/>
      <c r="AM205" s="251"/>
      <c r="AN205" s="266"/>
      <c r="AY205" s="251"/>
      <c r="AZ205" s="266"/>
      <c r="BK205" s="251"/>
      <c r="BL205" s="266"/>
      <c r="BW205" s="251"/>
      <c r="BX205" s="266"/>
      <c r="CI205" s="251"/>
      <c r="CJ205" s="267"/>
      <c r="CK205" s="267"/>
      <c r="CL205" s="267"/>
      <c r="CM205" s="267"/>
      <c r="CN205" s="267"/>
      <c r="CO205" s="268"/>
      <c r="CP205" s="266"/>
      <c r="DA205" s="251"/>
      <c r="DB205" s="266"/>
      <c r="DM205" s="251"/>
      <c r="DN205" s="266"/>
      <c r="DY205" s="251"/>
      <c r="DZ205" s="266"/>
      <c r="EK205" s="251"/>
      <c r="EL205" s="266"/>
      <c r="EW205" s="251"/>
      <c r="EX205" s="267"/>
      <c r="EY205" s="267"/>
      <c r="EZ205" s="267"/>
      <c r="FA205" s="267"/>
      <c r="FB205" s="269"/>
      <c r="FD205" s="270"/>
      <c r="FF205" s="276"/>
      <c r="FH205" s="206">
        <f t="shared" si="27"/>
        <v>0</v>
      </c>
      <c r="FI205" s="198">
        <f t="shared" si="28"/>
        <v>0</v>
      </c>
      <c r="FJ205"/>
      <c r="FK205">
        <f t="shared" si="29"/>
        <v>0</v>
      </c>
      <c r="FL205" s="191">
        <f t="shared" ca="1" si="30"/>
        <v>0</v>
      </c>
      <c r="FM205" s="191">
        <f t="shared" ca="1" si="31"/>
        <v>0</v>
      </c>
      <c r="FN205" s="190">
        <f>AB205*AB$2*IF($FC205="V",1,-1)*IF($Q205="Fixo",(CP205-INDEX('Curva Forward'!$C$5:$AN$13,MATCH(CONCATENATE(BD_COMERCIAL!$K205," ",BD_COMERCIAL!$L205),'Curva Forward'!$B$5:$B$13,0),MATCH(FN$4,'Curva Forward'!$C$4:$AN$4,0))),CP205)</f>
        <v>0</v>
      </c>
      <c r="FO205" s="190">
        <f>AC205*AC$2*IF($FC205="V",1,-1)*IF($Q205="Fixo",(CQ205-INDEX('Curva Forward'!$C$5:$AN$13,MATCH(CONCATENATE(BD_COMERCIAL!$K205," ",BD_COMERCIAL!$L205),'Curva Forward'!$B$5:$B$13,0),MATCH(FO$4,'Curva Forward'!$C$4:$AN$4,0))),CQ205)</f>
        <v>0</v>
      </c>
      <c r="FP205" s="190">
        <f>AD205*AD$2*IF($FC205="V",1,-1)*IF($Q205="Fixo",(CR205-INDEX('Curva Forward'!$C$5:$AN$13,MATCH(CONCATENATE(BD_COMERCIAL!$K205," ",BD_COMERCIAL!$L205),'Curva Forward'!$B$5:$B$13,0),MATCH(FP$4,'Curva Forward'!$C$4:$AN$4,0))),CR205)</f>
        <v>0</v>
      </c>
      <c r="FQ205" s="190">
        <f>AE205*AE$2*IF($FC205="V",1,-1)*IF($Q205="Fixo",(CS205-INDEX('Curva Forward'!$C$5:$AN$13,MATCH(CONCATENATE(BD_COMERCIAL!$K205," ",BD_COMERCIAL!$L205),'Curva Forward'!$B$5:$B$13,0),MATCH(FQ$4,'Curva Forward'!$C$4:$AN$4,0))),CS205)</f>
        <v>0</v>
      </c>
      <c r="FR205" s="190">
        <f>AF205*AF$2*IF($FC205="V",1,-1)*IF($Q205="Fixo",(CT205-INDEX('Curva Forward'!$C$5:$AN$13,MATCH(CONCATENATE(BD_COMERCIAL!$K205," ",BD_COMERCIAL!$L205),'Curva Forward'!$B$5:$B$13,0),MATCH(FR$4,'Curva Forward'!$C$4:$AN$4,0))),CT205)</f>
        <v>0</v>
      </c>
      <c r="FS205" s="190">
        <f>AG205*AG$2*IF($FC205="V",1,-1)*IF($Q205="Fixo",(CU205-INDEX('Curva Forward'!$C$5:$AN$13,MATCH(CONCATENATE(BD_COMERCIAL!$K205," ",BD_COMERCIAL!$L205),'Curva Forward'!$B$5:$B$13,0),MATCH(FS$4,'Curva Forward'!$C$4:$AN$4,0))),CU205)</f>
        <v>0</v>
      </c>
      <c r="FT205" s="190">
        <f>AH205*AH$2*IF($FC205="V",1,-1)*IF($Q205="Fixo",(CV205-INDEX('Curva Forward'!$C$5:$AN$13,MATCH(CONCATENATE(BD_COMERCIAL!$K205," ",BD_COMERCIAL!$L205),'Curva Forward'!$B$5:$B$13,0),MATCH(FT$4,'Curva Forward'!$C$4:$AN$4,0))),CV205)</f>
        <v>0</v>
      </c>
      <c r="FU205" s="190">
        <f>AI205*AI$2*IF($FC205="V",1,-1)*IF($Q205="Fixo",(CW205-INDEX('Curva Forward'!$C$5:$AN$13,MATCH(CONCATENATE(BD_COMERCIAL!$K205," ",BD_COMERCIAL!$L205),'Curva Forward'!$B$5:$B$13,0),MATCH(FU$4,'Curva Forward'!$C$4:$AN$4,0))),CW205)</f>
        <v>0</v>
      </c>
      <c r="FV205" s="190">
        <f>AJ205*AJ$2*IF($FC205="V",1,-1)*IF($Q205="Fixo",(CX205-INDEX('Curva Forward'!$C$5:$AN$13,MATCH(CONCATENATE(BD_COMERCIAL!$K205," ",BD_COMERCIAL!$L205),'Curva Forward'!$B$5:$B$13,0),MATCH(FV$4,'Curva Forward'!$C$4:$AN$4,0))),CX205)</f>
        <v>0</v>
      </c>
      <c r="FW205" s="190">
        <f>AK205*AK$2*IF($FC205="V",1,-1)*IF($Q205="Fixo",(CY205-INDEX('Curva Forward'!$C$5:$AN$13,MATCH(CONCATENATE(BD_COMERCIAL!$K205," ",BD_COMERCIAL!$L205),'Curva Forward'!$B$5:$B$13,0),MATCH(FW$4,'Curva Forward'!$C$4:$AN$4,0))),CY205)</f>
        <v>0</v>
      </c>
      <c r="FX205" s="190">
        <f>AL205*AL$2*IF($FC205="V",1,-1)*IF($Q205="Fixo",(CZ205-INDEX('Curva Forward'!$C$5:$AN$13,MATCH(CONCATENATE(BD_COMERCIAL!$K205," ",BD_COMERCIAL!$L205),'Curva Forward'!$B$5:$B$13,0),MATCH(FX$4,'Curva Forward'!$C$4:$AN$4,0))),CZ205)</f>
        <v>0</v>
      </c>
      <c r="FY205" s="190">
        <f>AM205*AM$2*IF($FC205="V",1,-1)*IF($Q205="Fixo",(DA205-INDEX('Curva Forward'!$C$5:$AN$13,MATCH(CONCATENATE(BD_COMERCIAL!$K205," ",BD_COMERCIAL!$L205),'Curva Forward'!$B$5:$B$13,0),MATCH(FY$4,'Curva Forward'!$C$4:$AN$4,0))),DA205)</f>
        <v>0</v>
      </c>
      <c r="FZ205" s="190">
        <f>AN205*AN$2*IF($FC205="V",1,-1)*IF($Q205="Fixo",(DB205-INDEX('Curva Forward'!$C$5:$AN$13,MATCH(CONCATENATE(BD_COMERCIAL!$K205," ",BD_COMERCIAL!$L205),'Curva Forward'!$B$5:$B$13,0),MATCH(FZ$4,'Curva Forward'!$C$4:$AN$4,0))),DB205)</f>
        <v>0</v>
      </c>
      <c r="GA205" s="190">
        <f>AO205*AO$2*IF($FC205="V",1,-1)*IF($Q205="Fixo",(DC205-INDEX('Curva Forward'!$C$5:$AN$13,MATCH(CONCATENATE(BD_COMERCIAL!$K205," ",BD_COMERCIAL!$L205),'Curva Forward'!$B$5:$B$13,0),MATCH(GA$4,'Curva Forward'!$C$4:$AN$4,0))),DC205)</f>
        <v>0</v>
      </c>
      <c r="GB205" s="190">
        <f>AP205*AP$2*IF($FC205="V",1,-1)*IF($Q205="Fixo",(DD205-INDEX('Curva Forward'!$C$5:$AN$13,MATCH(CONCATENATE(BD_COMERCIAL!$K205," ",BD_COMERCIAL!$L205),'Curva Forward'!$B$5:$B$13,0),MATCH(GB$4,'Curva Forward'!$C$4:$AN$4,0))),DD205)</f>
        <v>0</v>
      </c>
      <c r="GC205" s="190">
        <f>AQ205*AQ$2*IF($FC205="V",1,-1)*IF($Q205="Fixo",(DE205-INDEX('Curva Forward'!$C$5:$AN$13,MATCH(CONCATENATE(BD_COMERCIAL!$K205," ",BD_COMERCIAL!$L205),'Curva Forward'!$B$5:$B$13,0),MATCH(GC$4,'Curva Forward'!$C$4:$AN$4,0))),DE205)</f>
        <v>0</v>
      </c>
      <c r="GD205" s="190">
        <f>AR205*AR$2*IF($FC205="V",1,-1)*IF($Q205="Fixo",(DF205-INDEX('Curva Forward'!$C$5:$AN$13,MATCH(CONCATENATE(BD_COMERCIAL!$K205," ",BD_COMERCIAL!$L205),'Curva Forward'!$B$5:$B$13,0),MATCH(GD$4,'Curva Forward'!$C$4:$AN$4,0))),DF205)</f>
        <v>0</v>
      </c>
      <c r="GE205" s="190">
        <f>AS205*AS$2*IF($FC205="V",1,-1)*IF($Q205="Fixo",(DG205-INDEX('Curva Forward'!$C$5:$AN$13,MATCH(CONCATENATE(BD_COMERCIAL!$K205," ",BD_COMERCIAL!$L205),'Curva Forward'!$B$5:$B$13,0),MATCH(GE$4,'Curva Forward'!$C$4:$AN$4,0))),DG205)</f>
        <v>0</v>
      </c>
      <c r="GF205" s="190">
        <f>AT205*AT$2*IF($FC205="V",1,-1)*IF($Q205="Fixo",(DH205-INDEX('Curva Forward'!$C$5:$AN$13,MATCH(CONCATENATE(BD_COMERCIAL!$K205," ",BD_COMERCIAL!$L205),'Curva Forward'!$B$5:$B$13,0),MATCH(GF$4,'Curva Forward'!$C$4:$AN$4,0))),DH205)</f>
        <v>0</v>
      </c>
      <c r="GG205" s="190">
        <f>AU205*AU$2*IF($FC205="V",1,-1)*IF($Q205="Fixo",(DI205-INDEX('Curva Forward'!$C$5:$AN$13,MATCH(CONCATENATE(BD_COMERCIAL!$K205," ",BD_COMERCIAL!$L205),'Curva Forward'!$B$5:$B$13,0),MATCH(GG$4,'Curva Forward'!$C$4:$AN$4,0))),DI205)</f>
        <v>0</v>
      </c>
      <c r="GH205" s="190">
        <f>AV205*AV$2*IF($FC205="V",1,-1)*IF($Q205="Fixo",(DJ205-INDEX('Curva Forward'!$C$5:$AN$13,MATCH(CONCATENATE(BD_COMERCIAL!$K205," ",BD_COMERCIAL!$L205),'Curva Forward'!$B$5:$B$13,0),MATCH(GH$4,'Curva Forward'!$C$4:$AN$4,0))),DJ205)</f>
        <v>0</v>
      </c>
      <c r="GI205" s="190">
        <f>AW205*AW$2*IF($FC205="V",1,-1)*IF($Q205="Fixo",(DK205-INDEX('Curva Forward'!$C$5:$AN$13,MATCH(CONCATENATE(BD_COMERCIAL!$K205," ",BD_COMERCIAL!$L205),'Curva Forward'!$B$5:$B$13,0),MATCH(GI$4,'Curva Forward'!$C$4:$AN$4,0))),DK205)</f>
        <v>0</v>
      </c>
      <c r="GJ205" s="190">
        <f>AX205*AX$2*IF($FC205="V",1,-1)*IF($Q205="Fixo",(DL205-INDEX('Curva Forward'!$C$5:$AN$13,MATCH(CONCATENATE(BD_COMERCIAL!$K205," ",BD_COMERCIAL!$L205),'Curva Forward'!$B$5:$B$13,0),MATCH(GJ$4,'Curva Forward'!$C$4:$AN$4,0))),DL205)</f>
        <v>0</v>
      </c>
      <c r="GK205" s="190">
        <f>AY205*AY$2*IF($FC205="V",1,-1)*IF($Q205="Fixo",(DM205-INDEX('Curva Forward'!$C$5:$AN$13,MATCH(CONCATENATE(BD_COMERCIAL!$K205," ",BD_COMERCIAL!$L205),'Curva Forward'!$B$5:$B$13,0),MATCH(GK$4,'Curva Forward'!$C$4:$AN$4,0))),DM205)</f>
        <v>0</v>
      </c>
      <c r="GL205" s="190">
        <f>IF(EZ205="",0,CL205*CL$2*IF($FC205="V",1,-1)*IF($Q205="Fixo",(EZ205-INDEX('Curva Forward'!$C$5:$AN$13,MATCH(CONCATENATE(BD_COMERCIAL!$K205," ",BD_COMERCIAL!$L205),'Curva Forward'!$B$5:$B$13,0),MATCH(GL$4,'Curva Forward'!$C$4:$AN$4,0))),EZ205))</f>
        <v>0</v>
      </c>
      <c r="GM205" s="190">
        <f>IF(FA205="",0,CM205*CM$2*IF($FC205="V",1,-1)*IF($Q205="Fixo",(FA205-INDEX('Curva Forward'!$C$5:$AN$13,MATCH(CONCATENATE(BD_COMERCIAL!$K205," ",BD_COMERCIAL!$L205),'Curva Forward'!$B$5:$B$13,0),MATCH(GM$4,'Curva Forward'!$C$4:$AN$4,0))),FA205))</f>
        <v>0</v>
      </c>
      <c r="GN205" s="190">
        <f>IF(FB205="",0,CN205*CN$2*IF($FC205="V",1,-1)*IF($Q205="Fixo",(FB205-INDEX('Curva Forward'!$C$5:$AN$13,MATCH(CONCATENATE(BD_COMERCIAL!$K205," ",BD_COMERCIAL!$L205),'Curva Forward'!$B$5:$B$13,0),MATCH(GN$4,'Curva Forward'!$C$4:$AN$4,0))),FB205))</f>
        <v>0</v>
      </c>
      <c r="GO205" s="191">
        <f t="shared" ca="1" si="32"/>
        <v>0</v>
      </c>
      <c r="GP205" s="191">
        <f t="shared" ca="1" si="33"/>
        <v>0</v>
      </c>
      <c r="GQ205" s="115"/>
      <c r="GR205" s="115"/>
      <c r="GS205"/>
      <c r="GT205" s="6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</row>
    <row r="206" spans="1:236" s="265" customFormat="1" ht="15" customHeight="1" x14ac:dyDescent="0.35">
      <c r="A206" s="251"/>
      <c r="B206" s="275"/>
      <c r="C206" s="253"/>
      <c r="D206" s="254"/>
      <c r="E206" s="254"/>
      <c r="F206" s="255"/>
      <c r="G206" s="256"/>
      <c r="H206" s="255"/>
      <c r="I206" s="254"/>
      <c r="J206" s="257"/>
      <c r="K206" s="256"/>
      <c r="L206" s="252"/>
      <c r="M206" s="258"/>
      <c r="N206" s="259"/>
      <c r="O206" s="256"/>
      <c r="P206" s="252"/>
      <c r="Q206" s="252"/>
      <c r="R206" s="256"/>
      <c r="S206" s="260"/>
      <c r="T206" s="258"/>
      <c r="U206" s="259"/>
      <c r="V206" s="261"/>
      <c r="W206" s="252"/>
      <c r="X206" s="262"/>
      <c r="Y206" s="257"/>
      <c r="Z206" s="263"/>
      <c r="AA206" s="264"/>
      <c r="AB206" s="266"/>
      <c r="AM206" s="251"/>
      <c r="AN206" s="266"/>
      <c r="AY206" s="251"/>
      <c r="AZ206" s="266"/>
      <c r="BK206" s="251"/>
      <c r="BL206" s="266"/>
      <c r="BW206" s="251"/>
      <c r="BX206" s="266"/>
      <c r="CI206" s="251"/>
      <c r="CJ206" s="267"/>
      <c r="CK206" s="267"/>
      <c r="CL206" s="267"/>
      <c r="CM206" s="267"/>
      <c r="CN206" s="267"/>
      <c r="CO206" s="268"/>
      <c r="CP206" s="266"/>
      <c r="DA206" s="251"/>
      <c r="DB206" s="266"/>
      <c r="DM206" s="251"/>
      <c r="DN206" s="266"/>
      <c r="DY206" s="251"/>
      <c r="DZ206" s="266"/>
      <c r="EK206" s="251"/>
      <c r="EL206" s="266"/>
      <c r="EW206" s="251"/>
      <c r="EX206" s="267"/>
      <c r="EY206" s="267"/>
      <c r="EZ206" s="267"/>
      <c r="FA206" s="267"/>
      <c r="FB206" s="269"/>
      <c r="FD206" s="270"/>
      <c r="FF206" s="276"/>
      <c r="FH206" s="206">
        <f t="shared" si="27"/>
        <v>0</v>
      </c>
      <c r="FI206" s="198">
        <f t="shared" si="28"/>
        <v>0</v>
      </c>
      <c r="FJ206"/>
      <c r="FK206">
        <f t="shared" si="29"/>
        <v>0</v>
      </c>
      <c r="FL206" s="191">
        <f t="shared" ca="1" si="30"/>
        <v>0</v>
      </c>
      <c r="FM206" s="191">
        <f t="shared" ca="1" si="31"/>
        <v>0</v>
      </c>
      <c r="FN206" s="190">
        <f>AB206*AB$2*IF($FC206="V",1,-1)*IF($Q206="Fixo",(CP206-INDEX('Curva Forward'!$C$5:$AN$13,MATCH(CONCATENATE(BD_COMERCIAL!$K206," ",BD_COMERCIAL!$L206),'Curva Forward'!$B$5:$B$13,0),MATCH(FN$4,'Curva Forward'!$C$4:$AN$4,0))),CP206)</f>
        <v>0</v>
      </c>
      <c r="FO206" s="190">
        <f>AC206*AC$2*IF($FC206="V",1,-1)*IF($Q206="Fixo",(CQ206-INDEX('Curva Forward'!$C$5:$AN$13,MATCH(CONCATENATE(BD_COMERCIAL!$K206," ",BD_COMERCIAL!$L206),'Curva Forward'!$B$5:$B$13,0),MATCH(FO$4,'Curva Forward'!$C$4:$AN$4,0))),CQ206)</f>
        <v>0</v>
      </c>
      <c r="FP206" s="190">
        <f>AD206*AD$2*IF($FC206="V",1,-1)*IF($Q206="Fixo",(CR206-INDEX('Curva Forward'!$C$5:$AN$13,MATCH(CONCATENATE(BD_COMERCIAL!$K206," ",BD_COMERCIAL!$L206),'Curva Forward'!$B$5:$B$13,0),MATCH(FP$4,'Curva Forward'!$C$4:$AN$4,0))),CR206)</f>
        <v>0</v>
      </c>
      <c r="FQ206" s="190">
        <f>AE206*AE$2*IF($FC206="V",1,-1)*IF($Q206="Fixo",(CS206-INDEX('Curva Forward'!$C$5:$AN$13,MATCH(CONCATENATE(BD_COMERCIAL!$K206," ",BD_COMERCIAL!$L206),'Curva Forward'!$B$5:$B$13,0),MATCH(FQ$4,'Curva Forward'!$C$4:$AN$4,0))),CS206)</f>
        <v>0</v>
      </c>
      <c r="FR206" s="190">
        <f>AF206*AF$2*IF($FC206="V",1,-1)*IF($Q206="Fixo",(CT206-INDEX('Curva Forward'!$C$5:$AN$13,MATCH(CONCATENATE(BD_COMERCIAL!$K206," ",BD_COMERCIAL!$L206),'Curva Forward'!$B$5:$B$13,0),MATCH(FR$4,'Curva Forward'!$C$4:$AN$4,0))),CT206)</f>
        <v>0</v>
      </c>
      <c r="FS206" s="190">
        <f>AG206*AG$2*IF($FC206="V",1,-1)*IF($Q206="Fixo",(CU206-INDEX('Curva Forward'!$C$5:$AN$13,MATCH(CONCATENATE(BD_COMERCIAL!$K206," ",BD_COMERCIAL!$L206),'Curva Forward'!$B$5:$B$13,0),MATCH(FS$4,'Curva Forward'!$C$4:$AN$4,0))),CU206)</f>
        <v>0</v>
      </c>
      <c r="FT206" s="190">
        <f>AH206*AH$2*IF($FC206="V",1,-1)*IF($Q206="Fixo",(CV206-INDEX('Curva Forward'!$C$5:$AN$13,MATCH(CONCATENATE(BD_COMERCIAL!$K206," ",BD_COMERCIAL!$L206),'Curva Forward'!$B$5:$B$13,0),MATCH(FT$4,'Curva Forward'!$C$4:$AN$4,0))),CV206)</f>
        <v>0</v>
      </c>
      <c r="FU206" s="190">
        <f>AI206*AI$2*IF($FC206="V",1,-1)*IF($Q206="Fixo",(CW206-INDEX('Curva Forward'!$C$5:$AN$13,MATCH(CONCATENATE(BD_COMERCIAL!$K206," ",BD_COMERCIAL!$L206),'Curva Forward'!$B$5:$B$13,0),MATCH(FU$4,'Curva Forward'!$C$4:$AN$4,0))),CW206)</f>
        <v>0</v>
      </c>
      <c r="FV206" s="190">
        <f>AJ206*AJ$2*IF($FC206="V",1,-1)*IF($Q206="Fixo",(CX206-INDEX('Curva Forward'!$C$5:$AN$13,MATCH(CONCATENATE(BD_COMERCIAL!$K206," ",BD_COMERCIAL!$L206),'Curva Forward'!$B$5:$B$13,0),MATCH(FV$4,'Curva Forward'!$C$4:$AN$4,0))),CX206)</f>
        <v>0</v>
      </c>
      <c r="FW206" s="190">
        <f>AK206*AK$2*IF($FC206="V",1,-1)*IF($Q206="Fixo",(CY206-INDEX('Curva Forward'!$C$5:$AN$13,MATCH(CONCATENATE(BD_COMERCIAL!$K206," ",BD_COMERCIAL!$L206),'Curva Forward'!$B$5:$B$13,0),MATCH(FW$4,'Curva Forward'!$C$4:$AN$4,0))),CY206)</f>
        <v>0</v>
      </c>
      <c r="FX206" s="190">
        <f>AL206*AL$2*IF($FC206="V",1,-1)*IF($Q206="Fixo",(CZ206-INDEX('Curva Forward'!$C$5:$AN$13,MATCH(CONCATENATE(BD_COMERCIAL!$K206," ",BD_COMERCIAL!$L206),'Curva Forward'!$B$5:$B$13,0),MATCH(FX$4,'Curva Forward'!$C$4:$AN$4,0))),CZ206)</f>
        <v>0</v>
      </c>
      <c r="FY206" s="190">
        <f>AM206*AM$2*IF($FC206="V",1,-1)*IF($Q206="Fixo",(DA206-INDEX('Curva Forward'!$C$5:$AN$13,MATCH(CONCATENATE(BD_COMERCIAL!$K206," ",BD_COMERCIAL!$L206),'Curva Forward'!$B$5:$B$13,0),MATCH(FY$4,'Curva Forward'!$C$4:$AN$4,0))),DA206)</f>
        <v>0</v>
      </c>
      <c r="FZ206" s="190">
        <f>AN206*AN$2*IF($FC206="V",1,-1)*IF($Q206="Fixo",(DB206-INDEX('Curva Forward'!$C$5:$AN$13,MATCH(CONCATENATE(BD_COMERCIAL!$K206," ",BD_COMERCIAL!$L206),'Curva Forward'!$B$5:$B$13,0),MATCH(FZ$4,'Curva Forward'!$C$4:$AN$4,0))),DB206)</f>
        <v>0</v>
      </c>
      <c r="GA206" s="190">
        <f>AO206*AO$2*IF($FC206="V",1,-1)*IF($Q206="Fixo",(DC206-INDEX('Curva Forward'!$C$5:$AN$13,MATCH(CONCATENATE(BD_COMERCIAL!$K206," ",BD_COMERCIAL!$L206),'Curva Forward'!$B$5:$B$13,0),MATCH(GA$4,'Curva Forward'!$C$4:$AN$4,0))),DC206)</f>
        <v>0</v>
      </c>
      <c r="GB206" s="190">
        <f>AP206*AP$2*IF($FC206="V",1,-1)*IF($Q206="Fixo",(DD206-INDEX('Curva Forward'!$C$5:$AN$13,MATCH(CONCATENATE(BD_COMERCIAL!$K206," ",BD_COMERCIAL!$L206),'Curva Forward'!$B$5:$B$13,0),MATCH(GB$4,'Curva Forward'!$C$4:$AN$4,0))),DD206)</f>
        <v>0</v>
      </c>
      <c r="GC206" s="190">
        <f>AQ206*AQ$2*IF($FC206="V",1,-1)*IF($Q206="Fixo",(DE206-INDEX('Curva Forward'!$C$5:$AN$13,MATCH(CONCATENATE(BD_COMERCIAL!$K206," ",BD_COMERCIAL!$L206),'Curva Forward'!$B$5:$B$13,0),MATCH(GC$4,'Curva Forward'!$C$4:$AN$4,0))),DE206)</f>
        <v>0</v>
      </c>
      <c r="GD206" s="190">
        <f>AR206*AR$2*IF($FC206="V",1,-1)*IF($Q206="Fixo",(DF206-INDEX('Curva Forward'!$C$5:$AN$13,MATCH(CONCATENATE(BD_COMERCIAL!$K206," ",BD_COMERCIAL!$L206),'Curva Forward'!$B$5:$B$13,0),MATCH(GD$4,'Curva Forward'!$C$4:$AN$4,0))),DF206)</f>
        <v>0</v>
      </c>
      <c r="GE206" s="190">
        <f>AS206*AS$2*IF($FC206="V",1,-1)*IF($Q206="Fixo",(DG206-INDEX('Curva Forward'!$C$5:$AN$13,MATCH(CONCATENATE(BD_COMERCIAL!$K206," ",BD_COMERCIAL!$L206),'Curva Forward'!$B$5:$B$13,0),MATCH(GE$4,'Curva Forward'!$C$4:$AN$4,0))),DG206)</f>
        <v>0</v>
      </c>
      <c r="GF206" s="190">
        <f>AT206*AT$2*IF($FC206="V",1,-1)*IF($Q206="Fixo",(DH206-INDEX('Curva Forward'!$C$5:$AN$13,MATCH(CONCATENATE(BD_COMERCIAL!$K206," ",BD_COMERCIAL!$L206),'Curva Forward'!$B$5:$B$13,0),MATCH(GF$4,'Curva Forward'!$C$4:$AN$4,0))),DH206)</f>
        <v>0</v>
      </c>
      <c r="GG206" s="190">
        <f>AU206*AU$2*IF($FC206="V",1,-1)*IF($Q206="Fixo",(DI206-INDEX('Curva Forward'!$C$5:$AN$13,MATCH(CONCATENATE(BD_COMERCIAL!$K206," ",BD_COMERCIAL!$L206),'Curva Forward'!$B$5:$B$13,0),MATCH(GG$4,'Curva Forward'!$C$4:$AN$4,0))),DI206)</f>
        <v>0</v>
      </c>
      <c r="GH206" s="190">
        <f>AV206*AV$2*IF($FC206="V",1,-1)*IF($Q206="Fixo",(DJ206-INDEX('Curva Forward'!$C$5:$AN$13,MATCH(CONCATENATE(BD_COMERCIAL!$K206," ",BD_COMERCIAL!$L206),'Curva Forward'!$B$5:$B$13,0),MATCH(GH$4,'Curva Forward'!$C$4:$AN$4,0))),DJ206)</f>
        <v>0</v>
      </c>
      <c r="GI206" s="190">
        <f>AW206*AW$2*IF($FC206="V",1,-1)*IF($Q206="Fixo",(DK206-INDEX('Curva Forward'!$C$5:$AN$13,MATCH(CONCATENATE(BD_COMERCIAL!$K206," ",BD_COMERCIAL!$L206),'Curva Forward'!$B$5:$B$13,0),MATCH(GI$4,'Curva Forward'!$C$4:$AN$4,0))),DK206)</f>
        <v>0</v>
      </c>
      <c r="GJ206" s="190">
        <f>AX206*AX$2*IF($FC206="V",1,-1)*IF($Q206="Fixo",(DL206-INDEX('Curva Forward'!$C$5:$AN$13,MATCH(CONCATENATE(BD_COMERCIAL!$K206," ",BD_COMERCIAL!$L206),'Curva Forward'!$B$5:$B$13,0),MATCH(GJ$4,'Curva Forward'!$C$4:$AN$4,0))),DL206)</f>
        <v>0</v>
      </c>
      <c r="GK206" s="190">
        <f>AY206*AY$2*IF($FC206="V",1,-1)*IF($Q206="Fixo",(DM206-INDEX('Curva Forward'!$C$5:$AN$13,MATCH(CONCATENATE(BD_COMERCIAL!$K206," ",BD_COMERCIAL!$L206),'Curva Forward'!$B$5:$B$13,0),MATCH(GK$4,'Curva Forward'!$C$4:$AN$4,0))),DM206)</f>
        <v>0</v>
      </c>
      <c r="GL206" s="190">
        <f>IF(EZ206="",0,CL206*CL$2*IF($FC206="V",1,-1)*IF($Q206="Fixo",(EZ206-INDEX('Curva Forward'!$C$5:$AN$13,MATCH(CONCATENATE(BD_COMERCIAL!$K206," ",BD_COMERCIAL!$L206),'Curva Forward'!$B$5:$B$13,0),MATCH(GL$4,'Curva Forward'!$C$4:$AN$4,0))),EZ206))</f>
        <v>0</v>
      </c>
      <c r="GM206" s="190">
        <f>IF(FA206="",0,CM206*CM$2*IF($FC206="V",1,-1)*IF($Q206="Fixo",(FA206-INDEX('Curva Forward'!$C$5:$AN$13,MATCH(CONCATENATE(BD_COMERCIAL!$K206," ",BD_COMERCIAL!$L206),'Curva Forward'!$B$5:$B$13,0),MATCH(GM$4,'Curva Forward'!$C$4:$AN$4,0))),FA206))</f>
        <v>0</v>
      </c>
      <c r="GN206" s="190">
        <f>IF(FB206="",0,CN206*CN$2*IF($FC206="V",1,-1)*IF($Q206="Fixo",(FB206-INDEX('Curva Forward'!$C$5:$AN$13,MATCH(CONCATENATE(BD_COMERCIAL!$K206," ",BD_COMERCIAL!$L206),'Curva Forward'!$B$5:$B$13,0),MATCH(GN$4,'Curva Forward'!$C$4:$AN$4,0))),FB206))</f>
        <v>0</v>
      </c>
      <c r="GO206" s="191">
        <f t="shared" ca="1" si="32"/>
        <v>0</v>
      </c>
      <c r="GP206" s="191">
        <f t="shared" ca="1" si="33"/>
        <v>0</v>
      </c>
      <c r="GQ206" s="115"/>
      <c r="GR206" s="115"/>
      <c r="GS206"/>
      <c r="GT206" s="65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</row>
    <row r="207" spans="1:236" s="265" customFormat="1" ht="15" customHeight="1" x14ac:dyDescent="0.35">
      <c r="A207" s="251"/>
      <c r="B207" s="275"/>
      <c r="C207" s="253"/>
      <c r="D207" s="254"/>
      <c r="E207" s="254"/>
      <c r="F207" s="255"/>
      <c r="G207" s="256"/>
      <c r="H207" s="255"/>
      <c r="I207" s="254"/>
      <c r="J207" s="257"/>
      <c r="K207" s="256"/>
      <c r="L207" s="252"/>
      <c r="M207" s="258"/>
      <c r="N207" s="259"/>
      <c r="O207" s="256"/>
      <c r="P207" s="252"/>
      <c r="Q207" s="252"/>
      <c r="R207" s="256"/>
      <c r="S207" s="260"/>
      <c r="T207" s="258"/>
      <c r="U207" s="259"/>
      <c r="V207" s="261"/>
      <c r="W207" s="252"/>
      <c r="X207" s="262"/>
      <c r="Y207" s="257"/>
      <c r="Z207" s="263"/>
      <c r="AA207" s="264"/>
      <c r="AB207" s="266"/>
      <c r="AM207" s="251"/>
      <c r="AN207" s="266"/>
      <c r="AY207" s="251"/>
      <c r="AZ207" s="266"/>
      <c r="BK207" s="251"/>
      <c r="BL207" s="266"/>
      <c r="BW207" s="251"/>
      <c r="BX207" s="266"/>
      <c r="CI207" s="251"/>
      <c r="CJ207" s="267"/>
      <c r="CK207" s="267"/>
      <c r="CL207" s="267"/>
      <c r="CM207" s="267"/>
      <c r="CN207" s="267"/>
      <c r="CO207" s="268"/>
      <c r="CP207" s="266"/>
      <c r="DA207" s="251"/>
      <c r="DB207" s="266"/>
      <c r="DM207" s="251"/>
      <c r="DN207" s="266"/>
      <c r="DY207" s="251"/>
      <c r="DZ207" s="266"/>
      <c r="EK207" s="251"/>
      <c r="EL207" s="266"/>
      <c r="EW207" s="251"/>
      <c r="EX207" s="267"/>
      <c r="EY207" s="267"/>
      <c r="EZ207" s="267"/>
      <c r="FA207" s="267"/>
      <c r="FB207" s="269"/>
      <c r="FD207" s="270"/>
      <c r="FF207" s="276"/>
      <c r="FH207" s="206">
        <f t="shared" si="27"/>
        <v>0</v>
      </c>
      <c r="FI207" s="198">
        <f t="shared" si="28"/>
        <v>0</v>
      </c>
      <c r="FJ207"/>
      <c r="FK207">
        <f t="shared" si="29"/>
        <v>0</v>
      </c>
      <c r="FL207" s="191">
        <f t="shared" ca="1" si="30"/>
        <v>0</v>
      </c>
      <c r="FM207" s="191">
        <f t="shared" ca="1" si="31"/>
        <v>0</v>
      </c>
      <c r="FN207" s="190">
        <f>AB207*AB$2*IF($FC207="V",1,-1)*IF($Q207="Fixo",(CP207-INDEX('Curva Forward'!$C$5:$AN$13,MATCH(CONCATENATE(BD_COMERCIAL!$K207," ",BD_COMERCIAL!$L207),'Curva Forward'!$B$5:$B$13,0),MATCH(FN$4,'Curva Forward'!$C$4:$AN$4,0))),CP207)</f>
        <v>0</v>
      </c>
      <c r="FO207" s="190">
        <f>AC207*AC$2*IF($FC207="V",1,-1)*IF($Q207="Fixo",(CQ207-INDEX('Curva Forward'!$C$5:$AN$13,MATCH(CONCATENATE(BD_COMERCIAL!$K207," ",BD_COMERCIAL!$L207),'Curva Forward'!$B$5:$B$13,0),MATCH(FO$4,'Curva Forward'!$C$4:$AN$4,0))),CQ207)</f>
        <v>0</v>
      </c>
      <c r="FP207" s="190">
        <f>AD207*AD$2*IF($FC207="V",1,-1)*IF($Q207="Fixo",(CR207-INDEX('Curva Forward'!$C$5:$AN$13,MATCH(CONCATENATE(BD_COMERCIAL!$K207," ",BD_COMERCIAL!$L207),'Curva Forward'!$B$5:$B$13,0),MATCH(FP$4,'Curva Forward'!$C$4:$AN$4,0))),CR207)</f>
        <v>0</v>
      </c>
      <c r="FQ207" s="190">
        <f>AE207*AE$2*IF($FC207="V",1,-1)*IF($Q207="Fixo",(CS207-INDEX('Curva Forward'!$C$5:$AN$13,MATCH(CONCATENATE(BD_COMERCIAL!$K207," ",BD_COMERCIAL!$L207),'Curva Forward'!$B$5:$B$13,0),MATCH(FQ$4,'Curva Forward'!$C$4:$AN$4,0))),CS207)</f>
        <v>0</v>
      </c>
      <c r="FR207" s="190">
        <f>AF207*AF$2*IF($FC207="V",1,-1)*IF($Q207="Fixo",(CT207-INDEX('Curva Forward'!$C$5:$AN$13,MATCH(CONCATENATE(BD_COMERCIAL!$K207," ",BD_COMERCIAL!$L207),'Curva Forward'!$B$5:$B$13,0),MATCH(FR$4,'Curva Forward'!$C$4:$AN$4,0))),CT207)</f>
        <v>0</v>
      </c>
      <c r="FS207" s="190">
        <f>AG207*AG$2*IF($FC207="V",1,-1)*IF($Q207="Fixo",(CU207-INDEX('Curva Forward'!$C$5:$AN$13,MATCH(CONCATENATE(BD_COMERCIAL!$K207," ",BD_COMERCIAL!$L207),'Curva Forward'!$B$5:$B$13,0),MATCH(FS$4,'Curva Forward'!$C$4:$AN$4,0))),CU207)</f>
        <v>0</v>
      </c>
      <c r="FT207" s="190">
        <f>AH207*AH$2*IF($FC207="V",1,-1)*IF($Q207="Fixo",(CV207-INDEX('Curva Forward'!$C$5:$AN$13,MATCH(CONCATENATE(BD_COMERCIAL!$K207," ",BD_COMERCIAL!$L207),'Curva Forward'!$B$5:$B$13,0),MATCH(FT$4,'Curva Forward'!$C$4:$AN$4,0))),CV207)</f>
        <v>0</v>
      </c>
      <c r="FU207" s="190">
        <f>AI207*AI$2*IF($FC207="V",1,-1)*IF($Q207="Fixo",(CW207-INDEX('Curva Forward'!$C$5:$AN$13,MATCH(CONCATENATE(BD_COMERCIAL!$K207," ",BD_COMERCIAL!$L207),'Curva Forward'!$B$5:$B$13,0),MATCH(FU$4,'Curva Forward'!$C$4:$AN$4,0))),CW207)</f>
        <v>0</v>
      </c>
      <c r="FV207" s="190">
        <f>AJ207*AJ$2*IF($FC207="V",1,-1)*IF($Q207="Fixo",(CX207-INDEX('Curva Forward'!$C$5:$AN$13,MATCH(CONCATENATE(BD_COMERCIAL!$K207," ",BD_COMERCIAL!$L207),'Curva Forward'!$B$5:$B$13,0),MATCH(FV$4,'Curva Forward'!$C$4:$AN$4,0))),CX207)</f>
        <v>0</v>
      </c>
      <c r="FW207" s="190">
        <f>AK207*AK$2*IF($FC207="V",1,-1)*IF($Q207="Fixo",(CY207-INDEX('Curva Forward'!$C$5:$AN$13,MATCH(CONCATENATE(BD_COMERCIAL!$K207," ",BD_COMERCIAL!$L207),'Curva Forward'!$B$5:$B$13,0),MATCH(FW$4,'Curva Forward'!$C$4:$AN$4,0))),CY207)</f>
        <v>0</v>
      </c>
      <c r="FX207" s="190">
        <f>AL207*AL$2*IF($FC207="V",1,-1)*IF($Q207="Fixo",(CZ207-INDEX('Curva Forward'!$C$5:$AN$13,MATCH(CONCATENATE(BD_COMERCIAL!$K207," ",BD_COMERCIAL!$L207),'Curva Forward'!$B$5:$B$13,0),MATCH(FX$4,'Curva Forward'!$C$4:$AN$4,0))),CZ207)</f>
        <v>0</v>
      </c>
      <c r="FY207" s="190">
        <f>AM207*AM$2*IF($FC207="V",1,-1)*IF($Q207="Fixo",(DA207-INDEX('Curva Forward'!$C$5:$AN$13,MATCH(CONCATENATE(BD_COMERCIAL!$K207," ",BD_COMERCIAL!$L207),'Curva Forward'!$B$5:$B$13,0),MATCH(FY$4,'Curva Forward'!$C$4:$AN$4,0))),DA207)</f>
        <v>0</v>
      </c>
      <c r="FZ207" s="190">
        <f>AN207*AN$2*IF($FC207="V",1,-1)*IF($Q207="Fixo",(DB207-INDEX('Curva Forward'!$C$5:$AN$13,MATCH(CONCATENATE(BD_COMERCIAL!$K207," ",BD_COMERCIAL!$L207),'Curva Forward'!$B$5:$B$13,0),MATCH(FZ$4,'Curva Forward'!$C$4:$AN$4,0))),DB207)</f>
        <v>0</v>
      </c>
      <c r="GA207" s="190">
        <f>AO207*AO$2*IF($FC207="V",1,-1)*IF($Q207="Fixo",(DC207-INDEX('Curva Forward'!$C$5:$AN$13,MATCH(CONCATENATE(BD_COMERCIAL!$K207," ",BD_COMERCIAL!$L207),'Curva Forward'!$B$5:$B$13,0),MATCH(GA$4,'Curva Forward'!$C$4:$AN$4,0))),DC207)</f>
        <v>0</v>
      </c>
      <c r="GB207" s="190">
        <f>AP207*AP$2*IF($FC207="V",1,-1)*IF($Q207="Fixo",(DD207-INDEX('Curva Forward'!$C$5:$AN$13,MATCH(CONCATENATE(BD_COMERCIAL!$K207," ",BD_COMERCIAL!$L207),'Curva Forward'!$B$5:$B$13,0),MATCH(GB$4,'Curva Forward'!$C$4:$AN$4,0))),DD207)</f>
        <v>0</v>
      </c>
      <c r="GC207" s="190">
        <f>AQ207*AQ$2*IF($FC207="V",1,-1)*IF($Q207="Fixo",(DE207-INDEX('Curva Forward'!$C$5:$AN$13,MATCH(CONCATENATE(BD_COMERCIAL!$K207," ",BD_COMERCIAL!$L207),'Curva Forward'!$B$5:$B$13,0),MATCH(GC$4,'Curva Forward'!$C$4:$AN$4,0))),DE207)</f>
        <v>0</v>
      </c>
      <c r="GD207" s="190">
        <f>AR207*AR$2*IF($FC207="V",1,-1)*IF($Q207="Fixo",(DF207-INDEX('Curva Forward'!$C$5:$AN$13,MATCH(CONCATENATE(BD_COMERCIAL!$K207," ",BD_COMERCIAL!$L207),'Curva Forward'!$B$5:$B$13,0),MATCH(GD$4,'Curva Forward'!$C$4:$AN$4,0))),DF207)</f>
        <v>0</v>
      </c>
      <c r="GE207" s="190">
        <f>AS207*AS$2*IF($FC207="V",1,-1)*IF($Q207="Fixo",(DG207-INDEX('Curva Forward'!$C$5:$AN$13,MATCH(CONCATENATE(BD_COMERCIAL!$K207," ",BD_COMERCIAL!$L207),'Curva Forward'!$B$5:$B$13,0),MATCH(GE$4,'Curva Forward'!$C$4:$AN$4,0))),DG207)</f>
        <v>0</v>
      </c>
      <c r="GF207" s="190">
        <f>AT207*AT$2*IF($FC207="V",1,-1)*IF($Q207="Fixo",(DH207-INDEX('Curva Forward'!$C$5:$AN$13,MATCH(CONCATENATE(BD_COMERCIAL!$K207," ",BD_COMERCIAL!$L207),'Curva Forward'!$B$5:$B$13,0),MATCH(GF$4,'Curva Forward'!$C$4:$AN$4,0))),DH207)</f>
        <v>0</v>
      </c>
      <c r="GG207" s="190">
        <f>AU207*AU$2*IF($FC207="V",1,-1)*IF($Q207="Fixo",(DI207-INDEX('Curva Forward'!$C$5:$AN$13,MATCH(CONCATENATE(BD_COMERCIAL!$K207," ",BD_COMERCIAL!$L207),'Curva Forward'!$B$5:$B$13,0),MATCH(GG$4,'Curva Forward'!$C$4:$AN$4,0))),DI207)</f>
        <v>0</v>
      </c>
      <c r="GH207" s="190">
        <f>AV207*AV$2*IF($FC207="V",1,-1)*IF($Q207="Fixo",(DJ207-INDEX('Curva Forward'!$C$5:$AN$13,MATCH(CONCATENATE(BD_COMERCIAL!$K207," ",BD_COMERCIAL!$L207),'Curva Forward'!$B$5:$B$13,0),MATCH(GH$4,'Curva Forward'!$C$4:$AN$4,0))),DJ207)</f>
        <v>0</v>
      </c>
      <c r="GI207" s="190">
        <f>AW207*AW$2*IF($FC207="V",1,-1)*IF($Q207="Fixo",(DK207-INDEX('Curva Forward'!$C$5:$AN$13,MATCH(CONCATENATE(BD_COMERCIAL!$K207," ",BD_COMERCIAL!$L207),'Curva Forward'!$B$5:$B$13,0),MATCH(GI$4,'Curva Forward'!$C$4:$AN$4,0))),DK207)</f>
        <v>0</v>
      </c>
      <c r="GJ207" s="190">
        <f>AX207*AX$2*IF($FC207="V",1,-1)*IF($Q207="Fixo",(DL207-INDEX('Curva Forward'!$C$5:$AN$13,MATCH(CONCATENATE(BD_COMERCIAL!$K207," ",BD_COMERCIAL!$L207),'Curva Forward'!$B$5:$B$13,0),MATCH(GJ$4,'Curva Forward'!$C$4:$AN$4,0))),DL207)</f>
        <v>0</v>
      </c>
      <c r="GK207" s="190">
        <f>AY207*AY$2*IF($FC207="V",1,-1)*IF($Q207="Fixo",(DM207-INDEX('Curva Forward'!$C$5:$AN$13,MATCH(CONCATENATE(BD_COMERCIAL!$K207," ",BD_COMERCIAL!$L207),'Curva Forward'!$B$5:$B$13,0),MATCH(GK$4,'Curva Forward'!$C$4:$AN$4,0))),DM207)</f>
        <v>0</v>
      </c>
      <c r="GL207" s="190">
        <f>IF(EZ207="",0,CL207*CL$2*IF($FC207="V",1,-1)*IF($Q207="Fixo",(EZ207-INDEX('Curva Forward'!$C$5:$AN$13,MATCH(CONCATENATE(BD_COMERCIAL!$K207," ",BD_COMERCIAL!$L207),'Curva Forward'!$B$5:$B$13,0),MATCH(GL$4,'Curva Forward'!$C$4:$AN$4,0))),EZ207))</f>
        <v>0</v>
      </c>
      <c r="GM207" s="190">
        <f>IF(FA207="",0,CM207*CM$2*IF($FC207="V",1,-1)*IF($Q207="Fixo",(FA207-INDEX('Curva Forward'!$C$5:$AN$13,MATCH(CONCATENATE(BD_COMERCIAL!$K207," ",BD_COMERCIAL!$L207),'Curva Forward'!$B$5:$B$13,0),MATCH(GM$4,'Curva Forward'!$C$4:$AN$4,0))),FA207))</f>
        <v>0</v>
      </c>
      <c r="GN207" s="190">
        <f>IF(FB207="",0,CN207*CN$2*IF($FC207="V",1,-1)*IF($Q207="Fixo",(FB207-INDEX('Curva Forward'!$C$5:$AN$13,MATCH(CONCATENATE(BD_COMERCIAL!$K207," ",BD_COMERCIAL!$L207),'Curva Forward'!$B$5:$B$13,0),MATCH(GN$4,'Curva Forward'!$C$4:$AN$4,0))),FB207))</f>
        <v>0</v>
      </c>
      <c r="GO207" s="191">
        <f t="shared" ca="1" si="32"/>
        <v>0</v>
      </c>
      <c r="GP207" s="191">
        <f t="shared" ca="1" si="33"/>
        <v>0</v>
      </c>
      <c r="GQ207" s="115"/>
      <c r="GR207" s="115"/>
      <c r="GS207"/>
      <c r="GT207" s="65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</row>
    <row r="208" spans="1:236" s="265" customFormat="1" ht="15" customHeight="1" x14ac:dyDescent="0.35">
      <c r="A208" s="251"/>
      <c r="B208" s="275"/>
      <c r="C208" s="253"/>
      <c r="D208" s="254"/>
      <c r="E208" s="254"/>
      <c r="F208" s="255"/>
      <c r="G208" s="256"/>
      <c r="H208" s="255"/>
      <c r="I208" s="254"/>
      <c r="J208" s="257"/>
      <c r="K208" s="256"/>
      <c r="L208" s="252"/>
      <c r="M208" s="258"/>
      <c r="N208" s="259"/>
      <c r="O208" s="256"/>
      <c r="P208" s="252"/>
      <c r="Q208" s="252"/>
      <c r="R208" s="256"/>
      <c r="S208" s="260"/>
      <c r="T208" s="258"/>
      <c r="U208" s="259"/>
      <c r="V208" s="261"/>
      <c r="W208" s="252"/>
      <c r="X208" s="262"/>
      <c r="Y208" s="257"/>
      <c r="Z208" s="263"/>
      <c r="AA208" s="264"/>
      <c r="AB208" s="266"/>
      <c r="AM208" s="251"/>
      <c r="AN208" s="266"/>
      <c r="AY208" s="251"/>
      <c r="AZ208" s="266"/>
      <c r="BK208" s="251"/>
      <c r="BL208" s="266"/>
      <c r="BW208" s="251"/>
      <c r="BX208" s="266"/>
      <c r="CI208" s="251"/>
      <c r="CJ208" s="267"/>
      <c r="CK208" s="267"/>
      <c r="CL208" s="267"/>
      <c r="CM208" s="267"/>
      <c r="CN208" s="267"/>
      <c r="CO208" s="268"/>
      <c r="CP208" s="266"/>
      <c r="DA208" s="251"/>
      <c r="DB208" s="266"/>
      <c r="DM208" s="251"/>
      <c r="DN208" s="266"/>
      <c r="DY208" s="251"/>
      <c r="DZ208" s="266"/>
      <c r="EK208" s="251"/>
      <c r="EL208" s="266"/>
      <c r="EW208" s="251"/>
      <c r="EX208" s="267"/>
      <c r="EY208" s="267"/>
      <c r="EZ208" s="267"/>
      <c r="FA208" s="267"/>
      <c r="FB208" s="269"/>
      <c r="FD208" s="270"/>
      <c r="FF208" s="276"/>
      <c r="FH208" s="206">
        <f t="shared" si="27"/>
        <v>0</v>
      </c>
      <c r="FI208" s="198">
        <f t="shared" si="28"/>
        <v>0</v>
      </c>
      <c r="FJ208"/>
      <c r="FK208">
        <f t="shared" si="29"/>
        <v>0</v>
      </c>
      <c r="FL208" s="191">
        <f t="shared" ca="1" si="30"/>
        <v>0</v>
      </c>
      <c r="FM208" s="191">
        <f t="shared" ca="1" si="31"/>
        <v>0</v>
      </c>
      <c r="FN208" s="190">
        <f>AB208*AB$2*IF($FC208="V",1,-1)*IF($Q208="Fixo",(CP208-INDEX('Curva Forward'!$C$5:$AN$13,MATCH(CONCATENATE(BD_COMERCIAL!$K208," ",BD_COMERCIAL!$L208),'Curva Forward'!$B$5:$B$13,0),MATCH(FN$4,'Curva Forward'!$C$4:$AN$4,0))),CP208)</f>
        <v>0</v>
      </c>
      <c r="FO208" s="190">
        <f>AC208*AC$2*IF($FC208="V",1,-1)*IF($Q208="Fixo",(CQ208-INDEX('Curva Forward'!$C$5:$AN$13,MATCH(CONCATENATE(BD_COMERCIAL!$K208," ",BD_COMERCIAL!$L208),'Curva Forward'!$B$5:$B$13,0),MATCH(FO$4,'Curva Forward'!$C$4:$AN$4,0))),CQ208)</f>
        <v>0</v>
      </c>
      <c r="FP208" s="190">
        <f>AD208*AD$2*IF($FC208="V",1,-1)*IF($Q208="Fixo",(CR208-INDEX('Curva Forward'!$C$5:$AN$13,MATCH(CONCATENATE(BD_COMERCIAL!$K208," ",BD_COMERCIAL!$L208),'Curva Forward'!$B$5:$B$13,0),MATCH(FP$4,'Curva Forward'!$C$4:$AN$4,0))),CR208)</f>
        <v>0</v>
      </c>
      <c r="FQ208" s="190">
        <f>AE208*AE$2*IF($FC208="V",1,-1)*IF($Q208="Fixo",(CS208-INDEX('Curva Forward'!$C$5:$AN$13,MATCH(CONCATENATE(BD_COMERCIAL!$K208," ",BD_COMERCIAL!$L208),'Curva Forward'!$B$5:$B$13,0),MATCH(FQ$4,'Curva Forward'!$C$4:$AN$4,0))),CS208)</f>
        <v>0</v>
      </c>
      <c r="FR208" s="190">
        <f>AF208*AF$2*IF($FC208="V",1,-1)*IF($Q208="Fixo",(CT208-INDEX('Curva Forward'!$C$5:$AN$13,MATCH(CONCATENATE(BD_COMERCIAL!$K208," ",BD_COMERCIAL!$L208),'Curva Forward'!$B$5:$B$13,0),MATCH(FR$4,'Curva Forward'!$C$4:$AN$4,0))),CT208)</f>
        <v>0</v>
      </c>
      <c r="FS208" s="190">
        <f>AG208*AG$2*IF($FC208="V",1,-1)*IF($Q208="Fixo",(CU208-INDEX('Curva Forward'!$C$5:$AN$13,MATCH(CONCATENATE(BD_COMERCIAL!$K208," ",BD_COMERCIAL!$L208),'Curva Forward'!$B$5:$B$13,0),MATCH(FS$4,'Curva Forward'!$C$4:$AN$4,0))),CU208)</f>
        <v>0</v>
      </c>
      <c r="FT208" s="190">
        <f>AH208*AH$2*IF($FC208="V",1,-1)*IF($Q208="Fixo",(CV208-INDEX('Curva Forward'!$C$5:$AN$13,MATCH(CONCATENATE(BD_COMERCIAL!$K208," ",BD_COMERCIAL!$L208),'Curva Forward'!$B$5:$B$13,0),MATCH(FT$4,'Curva Forward'!$C$4:$AN$4,0))),CV208)</f>
        <v>0</v>
      </c>
      <c r="FU208" s="190">
        <f>AI208*AI$2*IF($FC208="V",1,-1)*IF($Q208="Fixo",(CW208-INDEX('Curva Forward'!$C$5:$AN$13,MATCH(CONCATENATE(BD_COMERCIAL!$K208," ",BD_COMERCIAL!$L208),'Curva Forward'!$B$5:$B$13,0),MATCH(FU$4,'Curva Forward'!$C$4:$AN$4,0))),CW208)</f>
        <v>0</v>
      </c>
      <c r="FV208" s="190">
        <f>AJ208*AJ$2*IF($FC208="V",1,-1)*IF($Q208="Fixo",(CX208-INDEX('Curva Forward'!$C$5:$AN$13,MATCH(CONCATENATE(BD_COMERCIAL!$K208," ",BD_COMERCIAL!$L208),'Curva Forward'!$B$5:$B$13,0),MATCH(FV$4,'Curva Forward'!$C$4:$AN$4,0))),CX208)</f>
        <v>0</v>
      </c>
      <c r="FW208" s="190">
        <f>AK208*AK$2*IF($FC208="V",1,-1)*IF($Q208="Fixo",(CY208-INDEX('Curva Forward'!$C$5:$AN$13,MATCH(CONCATENATE(BD_COMERCIAL!$K208," ",BD_COMERCIAL!$L208),'Curva Forward'!$B$5:$B$13,0),MATCH(FW$4,'Curva Forward'!$C$4:$AN$4,0))),CY208)</f>
        <v>0</v>
      </c>
      <c r="FX208" s="190">
        <f>AL208*AL$2*IF($FC208="V",1,-1)*IF($Q208="Fixo",(CZ208-INDEX('Curva Forward'!$C$5:$AN$13,MATCH(CONCATENATE(BD_COMERCIAL!$K208," ",BD_COMERCIAL!$L208),'Curva Forward'!$B$5:$B$13,0),MATCH(FX$4,'Curva Forward'!$C$4:$AN$4,0))),CZ208)</f>
        <v>0</v>
      </c>
      <c r="FY208" s="190">
        <f>AM208*AM$2*IF($FC208="V",1,-1)*IF($Q208="Fixo",(DA208-INDEX('Curva Forward'!$C$5:$AN$13,MATCH(CONCATENATE(BD_COMERCIAL!$K208," ",BD_COMERCIAL!$L208),'Curva Forward'!$B$5:$B$13,0),MATCH(FY$4,'Curva Forward'!$C$4:$AN$4,0))),DA208)</f>
        <v>0</v>
      </c>
      <c r="FZ208" s="190">
        <f>AN208*AN$2*IF($FC208="V",1,-1)*IF($Q208="Fixo",(DB208-INDEX('Curva Forward'!$C$5:$AN$13,MATCH(CONCATENATE(BD_COMERCIAL!$K208," ",BD_COMERCIAL!$L208),'Curva Forward'!$B$5:$B$13,0),MATCH(FZ$4,'Curva Forward'!$C$4:$AN$4,0))),DB208)</f>
        <v>0</v>
      </c>
      <c r="GA208" s="190">
        <f>AO208*AO$2*IF($FC208="V",1,-1)*IF($Q208="Fixo",(DC208-INDEX('Curva Forward'!$C$5:$AN$13,MATCH(CONCATENATE(BD_COMERCIAL!$K208," ",BD_COMERCIAL!$L208),'Curva Forward'!$B$5:$B$13,0),MATCH(GA$4,'Curva Forward'!$C$4:$AN$4,0))),DC208)</f>
        <v>0</v>
      </c>
      <c r="GB208" s="190">
        <f>AP208*AP$2*IF($FC208="V",1,-1)*IF($Q208="Fixo",(DD208-INDEX('Curva Forward'!$C$5:$AN$13,MATCH(CONCATENATE(BD_COMERCIAL!$K208," ",BD_COMERCIAL!$L208),'Curva Forward'!$B$5:$B$13,0),MATCH(GB$4,'Curva Forward'!$C$4:$AN$4,0))),DD208)</f>
        <v>0</v>
      </c>
      <c r="GC208" s="190">
        <f>AQ208*AQ$2*IF($FC208="V",1,-1)*IF($Q208="Fixo",(DE208-INDEX('Curva Forward'!$C$5:$AN$13,MATCH(CONCATENATE(BD_COMERCIAL!$K208," ",BD_COMERCIAL!$L208),'Curva Forward'!$B$5:$B$13,0),MATCH(GC$4,'Curva Forward'!$C$4:$AN$4,0))),DE208)</f>
        <v>0</v>
      </c>
      <c r="GD208" s="190">
        <f>AR208*AR$2*IF($FC208="V",1,-1)*IF($Q208="Fixo",(DF208-INDEX('Curva Forward'!$C$5:$AN$13,MATCH(CONCATENATE(BD_COMERCIAL!$K208," ",BD_COMERCIAL!$L208),'Curva Forward'!$B$5:$B$13,0),MATCH(GD$4,'Curva Forward'!$C$4:$AN$4,0))),DF208)</f>
        <v>0</v>
      </c>
      <c r="GE208" s="190">
        <f>AS208*AS$2*IF($FC208="V",1,-1)*IF($Q208="Fixo",(DG208-INDEX('Curva Forward'!$C$5:$AN$13,MATCH(CONCATENATE(BD_COMERCIAL!$K208," ",BD_COMERCIAL!$L208),'Curva Forward'!$B$5:$B$13,0),MATCH(GE$4,'Curva Forward'!$C$4:$AN$4,0))),DG208)</f>
        <v>0</v>
      </c>
      <c r="GF208" s="190">
        <f>AT208*AT$2*IF($FC208="V",1,-1)*IF($Q208="Fixo",(DH208-INDEX('Curva Forward'!$C$5:$AN$13,MATCH(CONCATENATE(BD_COMERCIAL!$K208," ",BD_COMERCIAL!$L208),'Curva Forward'!$B$5:$B$13,0),MATCH(GF$4,'Curva Forward'!$C$4:$AN$4,0))),DH208)</f>
        <v>0</v>
      </c>
      <c r="GG208" s="190">
        <f>AU208*AU$2*IF($FC208="V",1,-1)*IF($Q208="Fixo",(DI208-INDEX('Curva Forward'!$C$5:$AN$13,MATCH(CONCATENATE(BD_COMERCIAL!$K208," ",BD_COMERCIAL!$L208),'Curva Forward'!$B$5:$B$13,0),MATCH(GG$4,'Curva Forward'!$C$4:$AN$4,0))),DI208)</f>
        <v>0</v>
      </c>
      <c r="GH208" s="190">
        <f>AV208*AV$2*IF($FC208="V",1,-1)*IF($Q208="Fixo",(DJ208-INDEX('Curva Forward'!$C$5:$AN$13,MATCH(CONCATENATE(BD_COMERCIAL!$K208," ",BD_COMERCIAL!$L208),'Curva Forward'!$B$5:$B$13,0),MATCH(GH$4,'Curva Forward'!$C$4:$AN$4,0))),DJ208)</f>
        <v>0</v>
      </c>
      <c r="GI208" s="190">
        <f>AW208*AW$2*IF($FC208="V",1,-1)*IF($Q208="Fixo",(DK208-INDEX('Curva Forward'!$C$5:$AN$13,MATCH(CONCATENATE(BD_COMERCIAL!$K208," ",BD_COMERCIAL!$L208),'Curva Forward'!$B$5:$B$13,0),MATCH(GI$4,'Curva Forward'!$C$4:$AN$4,0))),DK208)</f>
        <v>0</v>
      </c>
      <c r="GJ208" s="190">
        <f>AX208*AX$2*IF($FC208="V",1,-1)*IF($Q208="Fixo",(DL208-INDEX('Curva Forward'!$C$5:$AN$13,MATCH(CONCATENATE(BD_COMERCIAL!$K208," ",BD_COMERCIAL!$L208),'Curva Forward'!$B$5:$B$13,0),MATCH(GJ$4,'Curva Forward'!$C$4:$AN$4,0))),DL208)</f>
        <v>0</v>
      </c>
      <c r="GK208" s="190">
        <f>AY208*AY$2*IF($FC208="V",1,-1)*IF($Q208="Fixo",(DM208-INDEX('Curva Forward'!$C$5:$AN$13,MATCH(CONCATENATE(BD_COMERCIAL!$K208," ",BD_COMERCIAL!$L208),'Curva Forward'!$B$5:$B$13,0),MATCH(GK$4,'Curva Forward'!$C$4:$AN$4,0))),DM208)</f>
        <v>0</v>
      </c>
      <c r="GL208" s="190">
        <f>IF(EZ208="",0,CL208*CL$2*IF($FC208="V",1,-1)*IF($Q208="Fixo",(EZ208-INDEX('Curva Forward'!$C$5:$AN$13,MATCH(CONCATENATE(BD_COMERCIAL!$K208," ",BD_COMERCIAL!$L208),'Curva Forward'!$B$5:$B$13,0),MATCH(GL$4,'Curva Forward'!$C$4:$AN$4,0))),EZ208))</f>
        <v>0</v>
      </c>
      <c r="GM208" s="190">
        <f>IF(FA208="",0,CM208*CM$2*IF($FC208="V",1,-1)*IF($Q208="Fixo",(FA208-INDEX('Curva Forward'!$C$5:$AN$13,MATCH(CONCATENATE(BD_COMERCIAL!$K208," ",BD_COMERCIAL!$L208),'Curva Forward'!$B$5:$B$13,0),MATCH(GM$4,'Curva Forward'!$C$4:$AN$4,0))),FA208))</f>
        <v>0</v>
      </c>
      <c r="GN208" s="190">
        <f>IF(FB208="",0,CN208*CN$2*IF($FC208="V",1,-1)*IF($Q208="Fixo",(FB208-INDEX('Curva Forward'!$C$5:$AN$13,MATCH(CONCATENATE(BD_COMERCIAL!$K208," ",BD_COMERCIAL!$L208),'Curva Forward'!$B$5:$B$13,0),MATCH(GN$4,'Curva Forward'!$C$4:$AN$4,0))),FB208))</f>
        <v>0</v>
      </c>
      <c r="GO208" s="191">
        <f t="shared" ca="1" si="32"/>
        <v>0</v>
      </c>
      <c r="GP208" s="191">
        <f t="shared" ca="1" si="33"/>
        <v>0</v>
      </c>
      <c r="GQ208" s="115"/>
      <c r="GR208" s="115"/>
      <c r="GS208"/>
      <c r="GT208" s="65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</row>
    <row r="209" spans="1:236" s="265" customFormat="1" ht="15" customHeight="1" x14ac:dyDescent="0.35">
      <c r="A209" s="251"/>
      <c r="B209" s="275"/>
      <c r="C209" s="253"/>
      <c r="D209" s="254"/>
      <c r="E209" s="254"/>
      <c r="F209" s="255"/>
      <c r="G209" s="256"/>
      <c r="H209" s="255"/>
      <c r="I209" s="254"/>
      <c r="J209" s="257"/>
      <c r="K209" s="256"/>
      <c r="L209" s="252"/>
      <c r="M209" s="258"/>
      <c r="N209" s="259"/>
      <c r="O209" s="256"/>
      <c r="P209" s="252"/>
      <c r="Q209" s="252"/>
      <c r="R209" s="256"/>
      <c r="S209" s="260"/>
      <c r="T209" s="258"/>
      <c r="U209" s="259"/>
      <c r="V209" s="261"/>
      <c r="W209" s="252"/>
      <c r="X209" s="262"/>
      <c r="Y209" s="257"/>
      <c r="Z209" s="263"/>
      <c r="AA209" s="264"/>
      <c r="AB209" s="266"/>
      <c r="AM209" s="251"/>
      <c r="AN209" s="266"/>
      <c r="AY209" s="251"/>
      <c r="AZ209" s="266"/>
      <c r="BK209" s="251"/>
      <c r="BL209" s="266"/>
      <c r="BW209" s="251"/>
      <c r="BX209" s="266"/>
      <c r="CI209" s="251"/>
      <c r="CJ209" s="267"/>
      <c r="CK209" s="267"/>
      <c r="CL209" s="267"/>
      <c r="CM209" s="267"/>
      <c r="CN209" s="267"/>
      <c r="CO209" s="268"/>
      <c r="CP209" s="266"/>
      <c r="DA209" s="251"/>
      <c r="DB209" s="266"/>
      <c r="DM209" s="251"/>
      <c r="DN209" s="266"/>
      <c r="DY209" s="251"/>
      <c r="DZ209" s="266"/>
      <c r="EK209" s="251"/>
      <c r="EL209" s="266"/>
      <c r="EW209" s="251"/>
      <c r="EX209" s="267"/>
      <c r="EY209" s="267"/>
      <c r="EZ209" s="267"/>
      <c r="FA209" s="267"/>
      <c r="FB209" s="269"/>
      <c r="FD209" s="270"/>
      <c r="FF209" s="276"/>
      <c r="FH209" s="206">
        <f t="shared" si="27"/>
        <v>0</v>
      </c>
      <c r="FI209" s="198">
        <f t="shared" si="28"/>
        <v>0</v>
      </c>
      <c r="FJ209"/>
      <c r="FK209">
        <f t="shared" si="29"/>
        <v>0</v>
      </c>
      <c r="FL209" s="191">
        <f t="shared" ca="1" si="30"/>
        <v>0</v>
      </c>
      <c r="FM209" s="191">
        <f t="shared" ca="1" si="31"/>
        <v>0</v>
      </c>
      <c r="FN209" s="190">
        <f>AB209*AB$2*IF($FC209="V",1,-1)*IF($Q209="Fixo",(CP209-INDEX('Curva Forward'!$C$5:$AN$13,MATCH(CONCATENATE(BD_COMERCIAL!$K209," ",BD_COMERCIAL!$L209),'Curva Forward'!$B$5:$B$13,0),MATCH(FN$4,'Curva Forward'!$C$4:$AN$4,0))),CP209)</f>
        <v>0</v>
      </c>
      <c r="FO209" s="190">
        <f>AC209*AC$2*IF($FC209="V",1,-1)*IF($Q209="Fixo",(CQ209-INDEX('Curva Forward'!$C$5:$AN$13,MATCH(CONCATENATE(BD_COMERCIAL!$K209," ",BD_COMERCIAL!$L209),'Curva Forward'!$B$5:$B$13,0),MATCH(FO$4,'Curva Forward'!$C$4:$AN$4,0))),CQ209)</f>
        <v>0</v>
      </c>
      <c r="FP209" s="190">
        <f>AD209*AD$2*IF($FC209="V",1,-1)*IF($Q209="Fixo",(CR209-INDEX('Curva Forward'!$C$5:$AN$13,MATCH(CONCATENATE(BD_COMERCIAL!$K209," ",BD_COMERCIAL!$L209),'Curva Forward'!$B$5:$B$13,0),MATCH(FP$4,'Curva Forward'!$C$4:$AN$4,0))),CR209)</f>
        <v>0</v>
      </c>
      <c r="FQ209" s="190">
        <f>AE209*AE$2*IF($FC209="V",1,-1)*IF($Q209="Fixo",(CS209-INDEX('Curva Forward'!$C$5:$AN$13,MATCH(CONCATENATE(BD_COMERCIAL!$K209," ",BD_COMERCIAL!$L209),'Curva Forward'!$B$5:$B$13,0),MATCH(FQ$4,'Curva Forward'!$C$4:$AN$4,0))),CS209)</f>
        <v>0</v>
      </c>
      <c r="FR209" s="190">
        <f>AF209*AF$2*IF($FC209="V",1,-1)*IF($Q209="Fixo",(CT209-INDEX('Curva Forward'!$C$5:$AN$13,MATCH(CONCATENATE(BD_COMERCIAL!$K209," ",BD_COMERCIAL!$L209),'Curva Forward'!$B$5:$B$13,0),MATCH(FR$4,'Curva Forward'!$C$4:$AN$4,0))),CT209)</f>
        <v>0</v>
      </c>
      <c r="FS209" s="190">
        <f>AG209*AG$2*IF($FC209="V",1,-1)*IF($Q209="Fixo",(CU209-INDEX('Curva Forward'!$C$5:$AN$13,MATCH(CONCATENATE(BD_COMERCIAL!$K209," ",BD_COMERCIAL!$L209),'Curva Forward'!$B$5:$B$13,0),MATCH(FS$4,'Curva Forward'!$C$4:$AN$4,0))),CU209)</f>
        <v>0</v>
      </c>
      <c r="FT209" s="190">
        <f>AH209*AH$2*IF($FC209="V",1,-1)*IF($Q209="Fixo",(CV209-INDEX('Curva Forward'!$C$5:$AN$13,MATCH(CONCATENATE(BD_COMERCIAL!$K209," ",BD_COMERCIAL!$L209),'Curva Forward'!$B$5:$B$13,0),MATCH(FT$4,'Curva Forward'!$C$4:$AN$4,0))),CV209)</f>
        <v>0</v>
      </c>
      <c r="FU209" s="190">
        <f>AI209*AI$2*IF($FC209="V",1,-1)*IF($Q209="Fixo",(CW209-INDEX('Curva Forward'!$C$5:$AN$13,MATCH(CONCATENATE(BD_COMERCIAL!$K209," ",BD_COMERCIAL!$L209),'Curva Forward'!$B$5:$B$13,0),MATCH(FU$4,'Curva Forward'!$C$4:$AN$4,0))),CW209)</f>
        <v>0</v>
      </c>
      <c r="FV209" s="190">
        <f>AJ209*AJ$2*IF($FC209="V",1,-1)*IF($Q209="Fixo",(CX209-INDEX('Curva Forward'!$C$5:$AN$13,MATCH(CONCATENATE(BD_COMERCIAL!$K209," ",BD_COMERCIAL!$L209),'Curva Forward'!$B$5:$B$13,0),MATCH(FV$4,'Curva Forward'!$C$4:$AN$4,0))),CX209)</f>
        <v>0</v>
      </c>
      <c r="FW209" s="190">
        <f>AK209*AK$2*IF($FC209="V",1,-1)*IF($Q209="Fixo",(CY209-INDEX('Curva Forward'!$C$5:$AN$13,MATCH(CONCATENATE(BD_COMERCIAL!$K209," ",BD_COMERCIAL!$L209),'Curva Forward'!$B$5:$B$13,0),MATCH(FW$4,'Curva Forward'!$C$4:$AN$4,0))),CY209)</f>
        <v>0</v>
      </c>
      <c r="FX209" s="190">
        <f>AL209*AL$2*IF($FC209="V",1,-1)*IF($Q209="Fixo",(CZ209-INDEX('Curva Forward'!$C$5:$AN$13,MATCH(CONCATENATE(BD_COMERCIAL!$K209," ",BD_COMERCIAL!$L209),'Curva Forward'!$B$5:$B$13,0),MATCH(FX$4,'Curva Forward'!$C$4:$AN$4,0))),CZ209)</f>
        <v>0</v>
      </c>
      <c r="FY209" s="190">
        <f>AM209*AM$2*IF($FC209="V",1,-1)*IF($Q209="Fixo",(DA209-INDEX('Curva Forward'!$C$5:$AN$13,MATCH(CONCATENATE(BD_COMERCIAL!$K209," ",BD_COMERCIAL!$L209),'Curva Forward'!$B$5:$B$13,0),MATCH(FY$4,'Curva Forward'!$C$4:$AN$4,0))),DA209)</f>
        <v>0</v>
      </c>
      <c r="FZ209" s="190">
        <f>AN209*AN$2*IF($FC209="V",1,-1)*IF($Q209="Fixo",(DB209-INDEX('Curva Forward'!$C$5:$AN$13,MATCH(CONCATENATE(BD_COMERCIAL!$K209," ",BD_COMERCIAL!$L209),'Curva Forward'!$B$5:$B$13,0),MATCH(FZ$4,'Curva Forward'!$C$4:$AN$4,0))),DB209)</f>
        <v>0</v>
      </c>
      <c r="GA209" s="190">
        <f>AO209*AO$2*IF($FC209="V",1,-1)*IF($Q209="Fixo",(DC209-INDEX('Curva Forward'!$C$5:$AN$13,MATCH(CONCATENATE(BD_COMERCIAL!$K209," ",BD_COMERCIAL!$L209),'Curva Forward'!$B$5:$B$13,0),MATCH(GA$4,'Curva Forward'!$C$4:$AN$4,0))),DC209)</f>
        <v>0</v>
      </c>
      <c r="GB209" s="190">
        <f>AP209*AP$2*IF($FC209="V",1,-1)*IF($Q209="Fixo",(DD209-INDEX('Curva Forward'!$C$5:$AN$13,MATCH(CONCATENATE(BD_COMERCIAL!$K209," ",BD_COMERCIAL!$L209),'Curva Forward'!$B$5:$B$13,0),MATCH(GB$4,'Curva Forward'!$C$4:$AN$4,0))),DD209)</f>
        <v>0</v>
      </c>
      <c r="GC209" s="190">
        <f>AQ209*AQ$2*IF($FC209="V",1,-1)*IF($Q209="Fixo",(DE209-INDEX('Curva Forward'!$C$5:$AN$13,MATCH(CONCATENATE(BD_COMERCIAL!$K209," ",BD_COMERCIAL!$L209),'Curva Forward'!$B$5:$B$13,0),MATCH(GC$4,'Curva Forward'!$C$4:$AN$4,0))),DE209)</f>
        <v>0</v>
      </c>
      <c r="GD209" s="190">
        <f>AR209*AR$2*IF($FC209="V",1,-1)*IF($Q209="Fixo",(DF209-INDEX('Curva Forward'!$C$5:$AN$13,MATCH(CONCATENATE(BD_COMERCIAL!$K209," ",BD_COMERCIAL!$L209),'Curva Forward'!$B$5:$B$13,0),MATCH(GD$4,'Curva Forward'!$C$4:$AN$4,0))),DF209)</f>
        <v>0</v>
      </c>
      <c r="GE209" s="190">
        <f>AS209*AS$2*IF($FC209="V",1,-1)*IF($Q209="Fixo",(DG209-INDEX('Curva Forward'!$C$5:$AN$13,MATCH(CONCATENATE(BD_COMERCIAL!$K209," ",BD_COMERCIAL!$L209),'Curva Forward'!$B$5:$B$13,0),MATCH(GE$4,'Curva Forward'!$C$4:$AN$4,0))),DG209)</f>
        <v>0</v>
      </c>
      <c r="GF209" s="190">
        <f>AT209*AT$2*IF($FC209="V",1,-1)*IF($Q209="Fixo",(DH209-INDEX('Curva Forward'!$C$5:$AN$13,MATCH(CONCATENATE(BD_COMERCIAL!$K209," ",BD_COMERCIAL!$L209),'Curva Forward'!$B$5:$B$13,0),MATCH(GF$4,'Curva Forward'!$C$4:$AN$4,0))),DH209)</f>
        <v>0</v>
      </c>
      <c r="GG209" s="190">
        <f>AU209*AU$2*IF($FC209="V",1,-1)*IF($Q209="Fixo",(DI209-INDEX('Curva Forward'!$C$5:$AN$13,MATCH(CONCATENATE(BD_COMERCIAL!$K209," ",BD_COMERCIAL!$L209),'Curva Forward'!$B$5:$B$13,0),MATCH(GG$4,'Curva Forward'!$C$4:$AN$4,0))),DI209)</f>
        <v>0</v>
      </c>
      <c r="GH209" s="190">
        <f>AV209*AV$2*IF($FC209="V",1,-1)*IF($Q209="Fixo",(DJ209-INDEX('Curva Forward'!$C$5:$AN$13,MATCH(CONCATENATE(BD_COMERCIAL!$K209," ",BD_COMERCIAL!$L209),'Curva Forward'!$B$5:$B$13,0),MATCH(GH$4,'Curva Forward'!$C$4:$AN$4,0))),DJ209)</f>
        <v>0</v>
      </c>
      <c r="GI209" s="190">
        <f>AW209*AW$2*IF($FC209="V",1,-1)*IF($Q209="Fixo",(DK209-INDEX('Curva Forward'!$C$5:$AN$13,MATCH(CONCATENATE(BD_COMERCIAL!$K209," ",BD_COMERCIAL!$L209),'Curva Forward'!$B$5:$B$13,0),MATCH(GI$4,'Curva Forward'!$C$4:$AN$4,0))),DK209)</f>
        <v>0</v>
      </c>
      <c r="GJ209" s="190">
        <f>AX209*AX$2*IF($FC209="V",1,-1)*IF($Q209="Fixo",(DL209-INDEX('Curva Forward'!$C$5:$AN$13,MATCH(CONCATENATE(BD_COMERCIAL!$K209," ",BD_COMERCIAL!$L209),'Curva Forward'!$B$5:$B$13,0),MATCH(GJ$4,'Curva Forward'!$C$4:$AN$4,0))),DL209)</f>
        <v>0</v>
      </c>
      <c r="GK209" s="190">
        <f>AY209*AY$2*IF($FC209="V",1,-1)*IF($Q209="Fixo",(DM209-INDEX('Curva Forward'!$C$5:$AN$13,MATCH(CONCATENATE(BD_COMERCIAL!$K209," ",BD_COMERCIAL!$L209),'Curva Forward'!$B$5:$B$13,0),MATCH(GK$4,'Curva Forward'!$C$4:$AN$4,0))),DM209)</f>
        <v>0</v>
      </c>
      <c r="GL209" s="190">
        <f>IF(EZ209="",0,CL209*CL$2*IF($FC209="V",1,-1)*IF($Q209="Fixo",(EZ209-INDEX('Curva Forward'!$C$5:$AN$13,MATCH(CONCATENATE(BD_COMERCIAL!$K209," ",BD_COMERCIAL!$L209),'Curva Forward'!$B$5:$B$13,0),MATCH(GL$4,'Curva Forward'!$C$4:$AN$4,0))),EZ209))</f>
        <v>0</v>
      </c>
      <c r="GM209" s="190">
        <f>IF(FA209="",0,CM209*CM$2*IF($FC209="V",1,-1)*IF($Q209="Fixo",(FA209-INDEX('Curva Forward'!$C$5:$AN$13,MATCH(CONCATENATE(BD_COMERCIAL!$K209," ",BD_COMERCIAL!$L209),'Curva Forward'!$B$5:$B$13,0),MATCH(GM$4,'Curva Forward'!$C$4:$AN$4,0))),FA209))</f>
        <v>0</v>
      </c>
      <c r="GN209" s="190">
        <f>IF(FB209="",0,CN209*CN$2*IF($FC209="V",1,-1)*IF($Q209="Fixo",(FB209-INDEX('Curva Forward'!$C$5:$AN$13,MATCH(CONCATENATE(BD_COMERCIAL!$K209," ",BD_COMERCIAL!$L209),'Curva Forward'!$B$5:$B$13,0),MATCH(GN$4,'Curva Forward'!$C$4:$AN$4,0))),FB209))</f>
        <v>0</v>
      </c>
      <c r="GO209" s="191">
        <f t="shared" ca="1" si="32"/>
        <v>0</v>
      </c>
      <c r="GP209" s="191">
        <f t="shared" ca="1" si="33"/>
        <v>0</v>
      </c>
      <c r="GQ209" s="115"/>
      <c r="GR209" s="115"/>
      <c r="GS209"/>
      <c r="GT209" s="65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</row>
    <row r="210" spans="1:236" s="265" customFormat="1" ht="15" customHeight="1" x14ac:dyDescent="0.35">
      <c r="A210" s="251"/>
      <c r="B210" s="275"/>
      <c r="C210" s="253"/>
      <c r="D210" s="254"/>
      <c r="E210" s="254"/>
      <c r="F210" s="255"/>
      <c r="G210" s="256"/>
      <c r="H210" s="255"/>
      <c r="I210" s="254"/>
      <c r="J210" s="257"/>
      <c r="K210" s="256"/>
      <c r="L210" s="252"/>
      <c r="M210" s="258"/>
      <c r="N210" s="259"/>
      <c r="O210" s="256"/>
      <c r="P210" s="252"/>
      <c r="Q210" s="252"/>
      <c r="R210" s="256"/>
      <c r="S210" s="260"/>
      <c r="T210" s="258"/>
      <c r="U210" s="259"/>
      <c r="V210" s="261"/>
      <c r="W210" s="252"/>
      <c r="X210" s="262"/>
      <c r="Y210" s="257"/>
      <c r="Z210" s="263"/>
      <c r="AA210" s="264"/>
      <c r="AB210" s="266"/>
      <c r="AM210" s="251"/>
      <c r="AN210" s="266"/>
      <c r="AY210" s="251"/>
      <c r="AZ210" s="266"/>
      <c r="BK210" s="251"/>
      <c r="BL210" s="266"/>
      <c r="BW210" s="251"/>
      <c r="BX210" s="266"/>
      <c r="CI210" s="251"/>
      <c r="CJ210" s="267"/>
      <c r="CK210" s="267"/>
      <c r="CL210" s="267"/>
      <c r="CM210" s="267"/>
      <c r="CN210" s="267"/>
      <c r="CO210" s="268"/>
      <c r="CP210" s="266"/>
      <c r="DA210" s="251"/>
      <c r="DB210" s="266"/>
      <c r="DM210" s="251"/>
      <c r="DN210" s="266"/>
      <c r="DY210" s="251"/>
      <c r="DZ210" s="266"/>
      <c r="EK210" s="251"/>
      <c r="EL210" s="266"/>
      <c r="EW210" s="251"/>
      <c r="EX210" s="267"/>
      <c r="EY210" s="267"/>
      <c r="EZ210" s="267"/>
      <c r="FA210" s="267"/>
      <c r="FB210" s="269"/>
      <c r="FD210" s="270"/>
      <c r="FF210" s="276"/>
      <c r="FH210" s="206">
        <f t="shared" si="27"/>
        <v>0</v>
      </c>
      <c r="FI210" s="198">
        <f t="shared" si="28"/>
        <v>0</v>
      </c>
      <c r="FJ210"/>
      <c r="FK210">
        <f t="shared" si="29"/>
        <v>0</v>
      </c>
      <c r="FL210" s="191">
        <f t="shared" ca="1" si="30"/>
        <v>0</v>
      </c>
      <c r="FM210" s="191">
        <f t="shared" ca="1" si="31"/>
        <v>0</v>
      </c>
      <c r="FN210" s="190">
        <f>AB210*AB$2*IF($FC210="V",1,-1)*IF($Q210="Fixo",(CP210-INDEX('Curva Forward'!$C$5:$AN$13,MATCH(CONCATENATE(BD_COMERCIAL!$K210," ",BD_COMERCIAL!$L210),'Curva Forward'!$B$5:$B$13,0),MATCH(FN$4,'Curva Forward'!$C$4:$AN$4,0))),CP210)</f>
        <v>0</v>
      </c>
      <c r="FO210" s="190">
        <f>AC210*AC$2*IF($FC210="V",1,-1)*IF($Q210="Fixo",(CQ210-INDEX('Curva Forward'!$C$5:$AN$13,MATCH(CONCATENATE(BD_COMERCIAL!$K210," ",BD_COMERCIAL!$L210),'Curva Forward'!$B$5:$B$13,0),MATCH(FO$4,'Curva Forward'!$C$4:$AN$4,0))),CQ210)</f>
        <v>0</v>
      </c>
      <c r="FP210" s="190">
        <f>AD210*AD$2*IF($FC210="V",1,-1)*IF($Q210="Fixo",(CR210-INDEX('Curva Forward'!$C$5:$AN$13,MATCH(CONCATENATE(BD_COMERCIAL!$K210," ",BD_COMERCIAL!$L210),'Curva Forward'!$B$5:$B$13,0),MATCH(FP$4,'Curva Forward'!$C$4:$AN$4,0))),CR210)</f>
        <v>0</v>
      </c>
      <c r="FQ210" s="190">
        <f>AE210*AE$2*IF($FC210="V",1,-1)*IF($Q210="Fixo",(CS210-INDEX('Curva Forward'!$C$5:$AN$13,MATCH(CONCATENATE(BD_COMERCIAL!$K210," ",BD_COMERCIAL!$L210),'Curva Forward'!$B$5:$B$13,0),MATCH(FQ$4,'Curva Forward'!$C$4:$AN$4,0))),CS210)</f>
        <v>0</v>
      </c>
      <c r="FR210" s="190">
        <f>AF210*AF$2*IF($FC210="V",1,-1)*IF($Q210="Fixo",(CT210-INDEX('Curva Forward'!$C$5:$AN$13,MATCH(CONCATENATE(BD_COMERCIAL!$K210," ",BD_COMERCIAL!$L210),'Curva Forward'!$B$5:$B$13,0),MATCH(FR$4,'Curva Forward'!$C$4:$AN$4,0))),CT210)</f>
        <v>0</v>
      </c>
      <c r="FS210" s="190">
        <f>AG210*AG$2*IF($FC210="V",1,-1)*IF($Q210="Fixo",(CU210-INDEX('Curva Forward'!$C$5:$AN$13,MATCH(CONCATENATE(BD_COMERCIAL!$K210," ",BD_COMERCIAL!$L210),'Curva Forward'!$B$5:$B$13,0),MATCH(FS$4,'Curva Forward'!$C$4:$AN$4,0))),CU210)</f>
        <v>0</v>
      </c>
      <c r="FT210" s="190">
        <f>AH210*AH$2*IF($FC210="V",1,-1)*IF($Q210="Fixo",(CV210-INDEX('Curva Forward'!$C$5:$AN$13,MATCH(CONCATENATE(BD_COMERCIAL!$K210," ",BD_COMERCIAL!$L210),'Curva Forward'!$B$5:$B$13,0),MATCH(FT$4,'Curva Forward'!$C$4:$AN$4,0))),CV210)</f>
        <v>0</v>
      </c>
      <c r="FU210" s="190">
        <f>AI210*AI$2*IF($FC210="V",1,-1)*IF($Q210="Fixo",(CW210-INDEX('Curva Forward'!$C$5:$AN$13,MATCH(CONCATENATE(BD_COMERCIAL!$K210," ",BD_COMERCIAL!$L210),'Curva Forward'!$B$5:$B$13,0),MATCH(FU$4,'Curva Forward'!$C$4:$AN$4,0))),CW210)</f>
        <v>0</v>
      </c>
      <c r="FV210" s="190">
        <f>AJ210*AJ$2*IF($FC210="V",1,-1)*IF($Q210="Fixo",(CX210-INDEX('Curva Forward'!$C$5:$AN$13,MATCH(CONCATENATE(BD_COMERCIAL!$K210," ",BD_COMERCIAL!$L210),'Curva Forward'!$B$5:$B$13,0),MATCH(FV$4,'Curva Forward'!$C$4:$AN$4,0))),CX210)</f>
        <v>0</v>
      </c>
      <c r="FW210" s="190">
        <f>AK210*AK$2*IF($FC210="V",1,-1)*IF($Q210="Fixo",(CY210-INDEX('Curva Forward'!$C$5:$AN$13,MATCH(CONCATENATE(BD_COMERCIAL!$K210," ",BD_COMERCIAL!$L210),'Curva Forward'!$B$5:$B$13,0),MATCH(FW$4,'Curva Forward'!$C$4:$AN$4,0))),CY210)</f>
        <v>0</v>
      </c>
      <c r="FX210" s="190">
        <f>AL210*AL$2*IF($FC210="V",1,-1)*IF($Q210="Fixo",(CZ210-INDEX('Curva Forward'!$C$5:$AN$13,MATCH(CONCATENATE(BD_COMERCIAL!$K210," ",BD_COMERCIAL!$L210),'Curva Forward'!$B$5:$B$13,0),MATCH(FX$4,'Curva Forward'!$C$4:$AN$4,0))),CZ210)</f>
        <v>0</v>
      </c>
      <c r="FY210" s="190">
        <f>AM210*AM$2*IF($FC210="V",1,-1)*IF($Q210="Fixo",(DA210-INDEX('Curva Forward'!$C$5:$AN$13,MATCH(CONCATENATE(BD_COMERCIAL!$K210," ",BD_COMERCIAL!$L210),'Curva Forward'!$B$5:$B$13,0),MATCH(FY$4,'Curva Forward'!$C$4:$AN$4,0))),DA210)</f>
        <v>0</v>
      </c>
      <c r="FZ210" s="190">
        <f>AN210*AN$2*IF($FC210="V",1,-1)*IF($Q210="Fixo",(DB210-INDEX('Curva Forward'!$C$5:$AN$13,MATCH(CONCATENATE(BD_COMERCIAL!$K210," ",BD_COMERCIAL!$L210),'Curva Forward'!$B$5:$B$13,0),MATCH(FZ$4,'Curva Forward'!$C$4:$AN$4,0))),DB210)</f>
        <v>0</v>
      </c>
      <c r="GA210" s="190">
        <f>AO210*AO$2*IF($FC210="V",1,-1)*IF($Q210="Fixo",(DC210-INDEX('Curva Forward'!$C$5:$AN$13,MATCH(CONCATENATE(BD_COMERCIAL!$K210," ",BD_COMERCIAL!$L210),'Curva Forward'!$B$5:$B$13,0),MATCH(GA$4,'Curva Forward'!$C$4:$AN$4,0))),DC210)</f>
        <v>0</v>
      </c>
      <c r="GB210" s="190">
        <f>AP210*AP$2*IF($FC210="V",1,-1)*IF($Q210="Fixo",(DD210-INDEX('Curva Forward'!$C$5:$AN$13,MATCH(CONCATENATE(BD_COMERCIAL!$K210," ",BD_COMERCIAL!$L210),'Curva Forward'!$B$5:$B$13,0),MATCH(GB$4,'Curva Forward'!$C$4:$AN$4,0))),DD210)</f>
        <v>0</v>
      </c>
      <c r="GC210" s="190">
        <f>AQ210*AQ$2*IF($FC210="V",1,-1)*IF($Q210="Fixo",(DE210-INDEX('Curva Forward'!$C$5:$AN$13,MATCH(CONCATENATE(BD_COMERCIAL!$K210," ",BD_COMERCIAL!$L210),'Curva Forward'!$B$5:$B$13,0),MATCH(GC$4,'Curva Forward'!$C$4:$AN$4,0))),DE210)</f>
        <v>0</v>
      </c>
      <c r="GD210" s="190">
        <f>AR210*AR$2*IF($FC210="V",1,-1)*IF($Q210="Fixo",(DF210-INDEX('Curva Forward'!$C$5:$AN$13,MATCH(CONCATENATE(BD_COMERCIAL!$K210," ",BD_COMERCIAL!$L210),'Curva Forward'!$B$5:$B$13,0),MATCH(GD$4,'Curva Forward'!$C$4:$AN$4,0))),DF210)</f>
        <v>0</v>
      </c>
      <c r="GE210" s="190">
        <f>AS210*AS$2*IF($FC210="V",1,-1)*IF($Q210="Fixo",(DG210-INDEX('Curva Forward'!$C$5:$AN$13,MATCH(CONCATENATE(BD_COMERCIAL!$K210," ",BD_COMERCIAL!$L210),'Curva Forward'!$B$5:$B$13,0),MATCH(GE$4,'Curva Forward'!$C$4:$AN$4,0))),DG210)</f>
        <v>0</v>
      </c>
      <c r="GF210" s="190">
        <f>AT210*AT$2*IF($FC210="V",1,-1)*IF($Q210="Fixo",(DH210-INDEX('Curva Forward'!$C$5:$AN$13,MATCH(CONCATENATE(BD_COMERCIAL!$K210," ",BD_COMERCIAL!$L210),'Curva Forward'!$B$5:$B$13,0),MATCH(GF$4,'Curva Forward'!$C$4:$AN$4,0))),DH210)</f>
        <v>0</v>
      </c>
      <c r="GG210" s="190">
        <f>AU210*AU$2*IF($FC210="V",1,-1)*IF($Q210="Fixo",(DI210-INDEX('Curva Forward'!$C$5:$AN$13,MATCH(CONCATENATE(BD_COMERCIAL!$K210," ",BD_COMERCIAL!$L210),'Curva Forward'!$B$5:$B$13,0),MATCH(GG$4,'Curva Forward'!$C$4:$AN$4,0))),DI210)</f>
        <v>0</v>
      </c>
      <c r="GH210" s="190">
        <f>AV210*AV$2*IF($FC210="V",1,-1)*IF($Q210="Fixo",(DJ210-INDEX('Curva Forward'!$C$5:$AN$13,MATCH(CONCATENATE(BD_COMERCIAL!$K210," ",BD_COMERCIAL!$L210),'Curva Forward'!$B$5:$B$13,0),MATCH(GH$4,'Curva Forward'!$C$4:$AN$4,0))),DJ210)</f>
        <v>0</v>
      </c>
      <c r="GI210" s="190">
        <f>AW210*AW$2*IF($FC210="V",1,-1)*IF($Q210="Fixo",(DK210-INDEX('Curva Forward'!$C$5:$AN$13,MATCH(CONCATENATE(BD_COMERCIAL!$K210," ",BD_COMERCIAL!$L210),'Curva Forward'!$B$5:$B$13,0),MATCH(GI$4,'Curva Forward'!$C$4:$AN$4,0))),DK210)</f>
        <v>0</v>
      </c>
      <c r="GJ210" s="190">
        <f>AX210*AX$2*IF($FC210="V",1,-1)*IF($Q210="Fixo",(DL210-INDEX('Curva Forward'!$C$5:$AN$13,MATCH(CONCATENATE(BD_COMERCIAL!$K210," ",BD_COMERCIAL!$L210),'Curva Forward'!$B$5:$B$13,0),MATCH(GJ$4,'Curva Forward'!$C$4:$AN$4,0))),DL210)</f>
        <v>0</v>
      </c>
      <c r="GK210" s="190">
        <f>AY210*AY$2*IF($FC210="V",1,-1)*IF($Q210="Fixo",(DM210-INDEX('Curva Forward'!$C$5:$AN$13,MATCH(CONCATENATE(BD_COMERCIAL!$K210," ",BD_COMERCIAL!$L210),'Curva Forward'!$B$5:$B$13,0),MATCH(GK$4,'Curva Forward'!$C$4:$AN$4,0))),DM210)</f>
        <v>0</v>
      </c>
      <c r="GL210" s="190">
        <f>IF(EZ210="",0,CL210*CL$2*IF($FC210="V",1,-1)*IF($Q210="Fixo",(EZ210-INDEX('Curva Forward'!$C$5:$AN$13,MATCH(CONCATENATE(BD_COMERCIAL!$K210," ",BD_COMERCIAL!$L210),'Curva Forward'!$B$5:$B$13,0),MATCH(GL$4,'Curva Forward'!$C$4:$AN$4,0))),EZ210))</f>
        <v>0</v>
      </c>
      <c r="GM210" s="190">
        <f>IF(FA210="",0,CM210*CM$2*IF($FC210="V",1,-1)*IF($Q210="Fixo",(FA210-INDEX('Curva Forward'!$C$5:$AN$13,MATCH(CONCATENATE(BD_COMERCIAL!$K210," ",BD_COMERCIAL!$L210),'Curva Forward'!$B$5:$B$13,0),MATCH(GM$4,'Curva Forward'!$C$4:$AN$4,0))),FA210))</f>
        <v>0</v>
      </c>
      <c r="GN210" s="190">
        <f>IF(FB210="",0,CN210*CN$2*IF($FC210="V",1,-1)*IF($Q210="Fixo",(FB210-INDEX('Curva Forward'!$C$5:$AN$13,MATCH(CONCATENATE(BD_COMERCIAL!$K210," ",BD_COMERCIAL!$L210),'Curva Forward'!$B$5:$B$13,0),MATCH(GN$4,'Curva Forward'!$C$4:$AN$4,0))),FB210))</f>
        <v>0</v>
      </c>
      <c r="GO210" s="191">
        <f t="shared" ca="1" si="32"/>
        <v>0</v>
      </c>
      <c r="GP210" s="191">
        <f t="shared" ca="1" si="33"/>
        <v>0</v>
      </c>
      <c r="GQ210" s="115"/>
      <c r="GR210" s="115"/>
      <c r="GS210"/>
      <c r="GT210" s="65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</row>
    <row r="211" spans="1:236" s="265" customFormat="1" ht="15" customHeight="1" x14ac:dyDescent="0.35">
      <c r="A211" s="251"/>
      <c r="B211" s="275"/>
      <c r="C211" s="253"/>
      <c r="D211" s="254"/>
      <c r="E211" s="254"/>
      <c r="F211" s="255"/>
      <c r="G211" s="256"/>
      <c r="H211" s="255"/>
      <c r="I211" s="254"/>
      <c r="J211" s="257"/>
      <c r="K211" s="256"/>
      <c r="L211" s="252"/>
      <c r="M211" s="258"/>
      <c r="N211" s="259"/>
      <c r="O211" s="256"/>
      <c r="P211" s="252"/>
      <c r="Q211" s="252"/>
      <c r="R211" s="256"/>
      <c r="S211" s="260"/>
      <c r="T211" s="258"/>
      <c r="U211" s="259"/>
      <c r="V211" s="261"/>
      <c r="W211" s="252"/>
      <c r="X211" s="262"/>
      <c r="Y211" s="257"/>
      <c r="Z211" s="263"/>
      <c r="AA211" s="264"/>
      <c r="AB211" s="266"/>
      <c r="AM211" s="251"/>
      <c r="AN211" s="266"/>
      <c r="AY211" s="251"/>
      <c r="AZ211" s="266"/>
      <c r="BK211" s="251"/>
      <c r="BL211" s="266"/>
      <c r="BW211" s="251"/>
      <c r="BX211" s="266"/>
      <c r="CI211" s="251"/>
      <c r="CJ211" s="267"/>
      <c r="CK211" s="267"/>
      <c r="CL211" s="267"/>
      <c r="CM211" s="267"/>
      <c r="CN211" s="267"/>
      <c r="CO211" s="268"/>
      <c r="CP211" s="266"/>
      <c r="DA211" s="251"/>
      <c r="DB211" s="266"/>
      <c r="DM211" s="251"/>
      <c r="DN211" s="266"/>
      <c r="DY211" s="251"/>
      <c r="DZ211" s="266"/>
      <c r="EK211" s="251"/>
      <c r="EL211" s="266"/>
      <c r="EW211" s="251"/>
      <c r="EX211" s="267"/>
      <c r="EY211" s="267"/>
      <c r="EZ211" s="267"/>
      <c r="FA211" s="267"/>
      <c r="FB211" s="269"/>
      <c r="FD211" s="270"/>
      <c r="FF211" s="276"/>
      <c r="FH211" s="206">
        <f t="shared" si="27"/>
        <v>0</v>
      </c>
      <c r="FI211" s="198">
        <f t="shared" si="28"/>
        <v>0</v>
      </c>
      <c r="FJ211"/>
      <c r="FK211">
        <f t="shared" si="29"/>
        <v>0</v>
      </c>
      <c r="FL211" s="191">
        <f t="shared" ca="1" si="30"/>
        <v>0</v>
      </c>
      <c r="FM211" s="191">
        <f t="shared" ca="1" si="31"/>
        <v>0</v>
      </c>
      <c r="FN211" s="190">
        <f>AB211*AB$2*IF($FC211="V",1,-1)*IF($Q211="Fixo",(CP211-INDEX('Curva Forward'!$C$5:$AN$13,MATCH(CONCATENATE(BD_COMERCIAL!$K211," ",BD_COMERCIAL!$L211),'Curva Forward'!$B$5:$B$13,0),MATCH(FN$4,'Curva Forward'!$C$4:$AN$4,0))),CP211)</f>
        <v>0</v>
      </c>
      <c r="FO211" s="190">
        <f>AC211*AC$2*IF($FC211="V",1,-1)*IF($Q211="Fixo",(CQ211-INDEX('Curva Forward'!$C$5:$AN$13,MATCH(CONCATENATE(BD_COMERCIAL!$K211," ",BD_COMERCIAL!$L211),'Curva Forward'!$B$5:$B$13,0),MATCH(FO$4,'Curva Forward'!$C$4:$AN$4,0))),CQ211)</f>
        <v>0</v>
      </c>
      <c r="FP211" s="190">
        <f>AD211*AD$2*IF($FC211="V",1,-1)*IF($Q211="Fixo",(CR211-INDEX('Curva Forward'!$C$5:$AN$13,MATCH(CONCATENATE(BD_COMERCIAL!$K211," ",BD_COMERCIAL!$L211),'Curva Forward'!$B$5:$B$13,0),MATCH(FP$4,'Curva Forward'!$C$4:$AN$4,0))),CR211)</f>
        <v>0</v>
      </c>
      <c r="FQ211" s="190">
        <f>AE211*AE$2*IF($FC211="V",1,-1)*IF($Q211="Fixo",(CS211-INDEX('Curva Forward'!$C$5:$AN$13,MATCH(CONCATENATE(BD_COMERCIAL!$K211," ",BD_COMERCIAL!$L211),'Curva Forward'!$B$5:$B$13,0),MATCH(FQ$4,'Curva Forward'!$C$4:$AN$4,0))),CS211)</f>
        <v>0</v>
      </c>
      <c r="FR211" s="190">
        <f>AF211*AF$2*IF($FC211="V",1,-1)*IF($Q211="Fixo",(CT211-INDEX('Curva Forward'!$C$5:$AN$13,MATCH(CONCATENATE(BD_COMERCIAL!$K211," ",BD_COMERCIAL!$L211),'Curva Forward'!$B$5:$B$13,0),MATCH(FR$4,'Curva Forward'!$C$4:$AN$4,0))),CT211)</f>
        <v>0</v>
      </c>
      <c r="FS211" s="190">
        <f>AG211*AG$2*IF($FC211="V",1,-1)*IF($Q211="Fixo",(CU211-INDEX('Curva Forward'!$C$5:$AN$13,MATCH(CONCATENATE(BD_COMERCIAL!$K211," ",BD_COMERCIAL!$L211),'Curva Forward'!$B$5:$B$13,0),MATCH(FS$4,'Curva Forward'!$C$4:$AN$4,0))),CU211)</f>
        <v>0</v>
      </c>
      <c r="FT211" s="190">
        <f>AH211*AH$2*IF($FC211="V",1,-1)*IF($Q211="Fixo",(CV211-INDEX('Curva Forward'!$C$5:$AN$13,MATCH(CONCATENATE(BD_COMERCIAL!$K211," ",BD_COMERCIAL!$L211),'Curva Forward'!$B$5:$B$13,0),MATCH(FT$4,'Curva Forward'!$C$4:$AN$4,0))),CV211)</f>
        <v>0</v>
      </c>
      <c r="FU211" s="190">
        <f>AI211*AI$2*IF($FC211="V",1,-1)*IF($Q211="Fixo",(CW211-INDEX('Curva Forward'!$C$5:$AN$13,MATCH(CONCATENATE(BD_COMERCIAL!$K211," ",BD_COMERCIAL!$L211),'Curva Forward'!$B$5:$B$13,0),MATCH(FU$4,'Curva Forward'!$C$4:$AN$4,0))),CW211)</f>
        <v>0</v>
      </c>
      <c r="FV211" s="190">
        <f>AJ211*AJ$2*IF($FC211="V",1,-1)*IF($Q211="Fixo",(CX211-INDEX('Curva Forward'!$C$5:$AN$13,MATCH(CONCATENATE(BD_COMERCIAL!$K211," ",BD_COMERCIAL!$L211),'Curva Forward'!$B$5:$B$13,0),MATCH(FV$4,'Curva Forward'!$C$4:$AN$4,0))),CX211)</f>
        <v>0</v>
      </c>
      <c r="FW211" s="190">
        <f>AK211*AK$2*IF($FC211="V",1,-1)*IF($Q211="Fixo",(CY211-INDEX('Curva Forward'!$C$5:$AN$13,MATCH(CONCATENATE(BD_COMERCIAL!$K211," ",BD_COMERCIAL!$L211),'Curva Forward'!$B$5:$B$13,0),MATCH(FW$4,'Curva Forward'!$C$4:$AN$4,0))),CY211)</f>
        <v>0</v>
      </c>
      <c r="FX211" s="190">
        <f>AL211*AL$2*IF($FC211="V",1,-1)*IF($Q211="Fixo",(CZ211-INDEX('Curva Forward'!$C$5:$AN$13,MATCH(CONCATENATE(BD_COMERCIAL!$K211," ",BD_COMERCIAL!$L211),'Curva Forward'!$B$5:$B$13,0),MATCH(FX$4,'Curva Forward'!$C$4:$AN$4,0))),CZ211)</f>
        <v>0</v>
      </c>
      <c r="FY211" s="190">
        <f>AM211*AM$2*IF($FC211="V",1,-1)*IF($Q211="Fixo",(DA211-INDEX('Curva Forward'!$C$5:$AN$13,MATCH(CONCATENATE(BD_COMERCIAL!$K211," ",BD_COMERCIAL!$L211),'Curva Forward'!$B$5:$B$13,0),MATCH(FY$4,'Curva Forward'!$C$4:$AN$4,0))),DA211)</f>
        <v>0</v>
      </c>
      <c r="FZ211" s="190">
        <f>AN211*AN$2*IF($FC211="V",1,-1)*IF($Q211="Fixo",(DB211-INDEX('Curva Forward'!$C$5:$AN$13,MATCH(CONCATENATE(BD_COMERCIAL!$K211," ",BD_COMERCIAL!$L211),'Curva Forward'!$B$5:$B$13,0),MATCH(FZ$4,'Curva Forward'!$C$4:$AN$4,0))),DB211)</f>
        <v>0</v>
      </c>
      <c r="GA211" s="190">
        <f>AO211*AO$2*IF($FC211="V",1,-1)*IF($Q211="Fixo",(DC211-INDEX('Curva Forward'!$C$5:$AN$13,MATCH(CONCATENATE(BD_COMERCIAL!$K211," ",BD_COMERCIAL!$L211),'Curva Forward'!$B$5:$B$13,0),MATCH(GA$4,'Curva Forward'!$C$4:$AN$4,0))),DC211)</f>
        <v>0</v>
      </c>
      <c r="GB211" s="190">
        <f>AP211*AP$2*IF($FC211="V",1,-1)*IF($Q211="Fixo",(DD211-INDEX('Curva Forward'!$C$5:$AN$13,MATCH(CONCATENATE(BD_COMERCIAL!$K211," ",BD_COMERCIAL!$L211),'Curva Forward'!$B$5:$B$13,0),MATCH(GB$4,'Curva Forward'!$C$4:$AN$4,0))),DD211)</f>
        <v>0</v>
      </c>
      <c r="GC211" s="190">
        <f>AQ211*AQ$2*IF($FC211="V",1,-1)*IF($Q211="Fixo",(DE211-INDEX('Curva Forward'!$C$5:$AN$13,MATCH(CONCATENATE(BD_COMERCIAL!$K211," ",BD_COMERCIAL!$L211),'Curva Forward'!$B$5:$B$13,0),MATCH(GC$4,'Curva Forward'!$C$4:$AN$4,0))),DE211)</f>
        <v>0</v>
      </c>
      <c r="GD211" s="190">
        <f>AR211*AR$2*IF($FC211="V",1,-1)*IF($Q211="Fixo",(DF211-INDEX('Curva Forward'!$C$5:$AN$13,MATCH(CONCATENATE(BD_COMERCIAL!$K211," ",BD_COMERCIAL!$L211),'Curva Forward'!$B$5:$B$13,0),MATCH(GD$4,'Curva Forward'!$C$4:$AN$4,0))),DF211)</f>
        <v>0</v>
      </c>
      <c r="GE211" s="190">
        <f>AS211*AS$2*IF($FC211="V",1,-1)*IF($Q211="Fixo",(DG211-INDEX('Curva Forward'!$C$5:$AN$13,MATCH(CONCATENATE(BD_COMERCIAL!$K211," ",BD_COMERCIAL!$L211),'Curva Forward'!$B$5:$B$13,0),MATCH(GE$4,'Curva Forward'!$C$4:$AN$4,0))),DG211)</f>
        <v>0</v>
      </c>
      <c r="GF211" s="190">
        <f>AT211*AT$2*IF($FC211="V",1,-1)*IF($Q211="Fixo",(DH211-INDEX('Curva Forward'!$C$5:$AN$13,MATCH(CONCATENATE(BD_COMERCIAL!$K211," ",BD_COMERCIAL!$L211),'Curva Forward'!$B$5:$B$13,0),MATCH(GF$4,'Curva Forward'!$C$4:$AN$4,0))),DH211)</f>
        <v>0</v>
      </c>
      <c r="GG211" s="190">
        <f>AU211*AU$2*IF($FC211="V",1,-1)*IF($Q211="Fixo",(DI211-INDEX('Curva Forward'!$C$5:$AN$13,MATCH(CONCATENATE(BD_COMERCIAL!$K211," ",BD_COMERCIAL!$L211),'Curva Forward'!$B$5:$B$13,0),MATCH(GG$4,'Curva Forward'!$C$4:$AN$4,0))),DI211)</f>
        <v>0</v>
      </c>
      <c r="GH211" s="190">
        <f>AV211*AV$2*IF($FC211="V",1,-1)*IF($Q211="Fixo",(DJ211-INDEX('Curva Forward'!$C$5:$AN$13,MATCH(CONCATENATE(BD_COMERCIAL!$K211," ",BD_COMERCIAL!$L211),'Curva Forward'!$B$5:$B$13,0),MATCH(GH$4,'Curva Forward'!$C$4:$AN$4,0))),DJ211)</f>
        <v>0</v>
      </c>
      <c r="GI211" s="190">
        <f>AW211*AW$2*IF($FC211="V",1,-1)*IF($Q211="Fixo",(DK211-INDEX('Curva Forward'!$C$5:$AN$13,MATCH(CONCATENATE(BD_COMERCIAL!$K211," ",BD_COMERCIAL!$L211),'Curva Forward'!$B$5:$B$13,0),MATCH(GI$4,'Curva Forward'!$C$4:$AN$4,0))),DK211)</f>
        <v>0</v>
      </c>
      <c r="GJ211" s="190">
        <f>AX211*AX$2*IF($FC211="V",1,-1)*IF($Q211="Fixo",(DL211-INDEX('Curva Forward'!$C$5:$AN$13,MATCH(CONCATENATE(BD_COMERCIAL!$K211," ",BD_COMERCIAL!$L211),'Curva Forward'!$B$5:$B$13,0),MATCH(GJ$4,'Curva Forward'!$C$4:$AN$4,0))),DL211)</f>
        <v>0</v>
      </c>
      <c r="GK211" s="190">
        <f>AY211*AY$2*IF($FC211="V",1,-1)*IF($Q211="Fixo",(DM211-INDEX('Curva Forward'!$C$5:$AN$13,MATCH(CONCATENATE(BD_COMERCIAL!$K211," ",BD_COMERCIAL!$L211),'Curva Forward'!$B$5:$B$13,0),MATCH(GK$4,'Curva Forward'!$C$4:$AN$4,0))),DM211)</f>
        <v>0</v>
      </c>
      <c r="GL211" s="190">
        <f>IF(EZ211="",0,CL211*CL$2*IF($FC211="V",1,-1)*IF($Q211="Fixo",(EZ211-INDEX('Curva Forward'!$C$5:$AN$13,MATCH(CONCATENATE(BD_COMERCIAL!$K211," ",BD_COMERCIAL!$L211),'Curva Forward'!$B$5:$B$13,0),MATCH(GL$4,'Curva Forward'!$C$4:$AN$4,0))),EZ211))</f>
        <v>0</v>
      </c>
      <c r="GM211" s="190">
        <f>IF(FA211="",0,CM211*CM$2*IF($FC211="V",1,-1)*IF($Q211="Fixo",(FA211-INDEX('Curva Forward'!$C$5:$AN$13,MATCH(CONCATENATE(BD_COMERCIAL!$K211," ",BD_COMERCIAL!$L211),'Curva Forward'!$B$5:$B$13,0),MATCH(GM$4,'Curva Forward'!$C$4:$AN$4,0))),FA211))</f>
        <v>0</v>
      </c>
      <c r="GN211" s="190">
        <f>IF(FB211="",0,CN211*CN$2*IF($FC211="V",1,-1)*IF($Q211="Fixo",(FB211-INDEX('Curva Forward'!$C$5:$AN$13,MATCH(CONCATENATE(BD_COMERCIAL!$K211," ",BD_COMERCIAL!$L211),'Curva Forward'!$B$5:$B$13,0),MATCH(GN$4,'Curva Forward'!$C$4:$AN$4,0))),FB211))</f>
        <v>0</v>
      </c>
      <c r="GO211" s="191">
        <f t="shared" ca="1" si="32"/>
        <v>0</v>
      </c>
      <c r="GP211" s="191">
        <f t="shared" ca="1" si="33"/>
        <v>0</v>
      </c>
      <c r="GQ211" s="115"/>
      <c r="GR211" s="115"/>
      <c r="GS211"/>
      <c r="GT211" s="65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</row>
    <row r="212" spans="1:236" s="265" customFormat="1" ht="15" customHeight="1" x14ac:dyDescent="0.35">
      <c r="A212" s="251"/>
      <c r="B212" s="275"/>
      <c r="C212" s="253"/>
      <c r="D212" s="254"/>
      <c r="E212" s="254"/>
      <c r="F212" s="255"/>
      <c r="G212" s="256"/>
      <c r="H212" s="255"/>
      <c r="I212" s="254"/>
      <c r="J212" s="257"/>
      <c r="K212" s="256"/>
      <c r="L212" s="252"/>
      <c r="M212" s="258"/>
      <c r="N212" s="259"/>
      <c r="O212" s="256"/>
      <c r="P212" s="252"/>
      <c r="Q212" s="252"/>
      <c r="R212" s="256"/>
      <c r="S212" s="260"/>
      <c r="T212" s="258"/>
      <c r="U212" s="259"/>
      <c r="V212" s="261"/>
      <c r="W212" s="252"/>
      <c r="X212" s="262"/>
      <c r="Y212" s="257"/>
      <c r="Z212" s="263"/>
      <c r="AA212" s="264"/>
      <c r="AB212" s="266"/>
      <c r="AM212" s="251"/>
      <c r="AN212" s="266"/>
      <c r="AY212" s="251"/>
      <c r="AZ212" s="266"/>
      <c r="BK212" s="251"/>
      <c r="BL212" s="266"/>
      <c r="BW212" s="251"/>
      <c r="BX212" s="266"/>
      <c r="CI212" s="251"/>
      <c r="CJ212" s="267"/>
      <c r="CK212" s="267"/>
      <c r="CL212" s="267"/>
      <c r="CM212" s="267"/>
      <c r="CN212" s="267"/>
      <c r="CO212" s="268"/>
      <c r="CP212" s="266"/>
      <c r="DA212" s="251"/>
      <c r="DB212" s="266"/>
      <c r="DM212" s="251"/>
      <c r="DN212" s="266"/>
      <c r="DY212" s="251"/>
      <c r="DZ212" s="266"/>
      <c r="EK212" s="251"/>
      <c r="EL212" s="266"/>
      <c r="EW212" s="251"/>
      <c r="EX212" s="267"/>
      <c r="EY212" s="267"/>
      <c r="EZ212" s="267"/>
      <c r="FA212" s="267"/>
      <c r="FB212" s="269"/>
      <c r="FD212" s="270"/>
      <c r="FF212" s="276"/>
      <c r="FH212" s="206">
        <f t="shared" si="27"/>
        <v>0</v>
      </c>
      <c r="FI212" s="198">
        <f t="shared" si="28"/>
        <v>0</v>
      </c>
      <c r="FJ212"/>
      <c r="FK212">
        <f t="shared" si="29"/>
        <v>0</v>
      </c>
      <c r="FL212" s="191">
        <f t="shared" ca="1" si="30"/>
        <v>0</v>
      </c>
      <c r="FM212" s="191">
        <f t="shared" ca="1" si="31"/>
        <v>0</v>
      </c>
      <c r="FN212" s="190">
        <f>AB212*AB$2*IF($FC212="V",1,-1)*IF($Q212="Fixo",(CP212-INDEX('Curva Forward'!$C$5:$AN$13,MATCH(CONCATENATE(BD_COMERCIAL!$K212," ",BD_COMERCIAL!$L212),'Curva Forward'!$B$5:$B$13,0),MATCH(FN$4,'Curva Forward'!$C$4:$AN$4,0))),CP212)</f>
        <v>0</v>
      </c>
      <c r="FO212" s="190">
        <f>AC212*AC$2*IF($FC212="V",1,-1)*IF($Q212="Fixo",(CQ212-INDEX('Curva Forward'!$C$5:$AN$13,MATCH(CONCATENATE(BD_COMERCIAL!$K212," ",BD_COMERCIAL!$L212),'Curva Forward'!$B$5:$B$13,0),MATCH(FO$4,'Curva Forward'!$C$4:$AN$4,0))),CQ212)</f>
        <v>0</v>
      </c>
      <c r="FP212" s="190">
        <f>AD212*AD$2*IF($FC212="V",1,-1)*IF($Q212="Fixo",(CR212-INDEX('Curva Forward'!$C$5:$AN$13,MATCH(CONCATENATE(BD_COMERCIAL!$K212," ",BD_COMERCIAL!$L212),'Curva Forward'!$B$5:$B$13,0),MATCH(FP$4,'Curva Forward'!$C$4:$AN$4,0))),CR212)</f>
        <v>0</v>
      </c>
      <c r="FQ212" s="190">
        <f>AE212*AE$2*IF($FC212="V",1,-1)*IF($Q212="Fixo",(CS212-INDEX('Curva Forward'!$C$5:$AN$13,MATCH(CONCATENATE(BD_COMERCIAL!$K212," ",BD_COMERCIAL!$L212),'Curva Forward'!$B$5:$B$13,0),MATCH(FQ$4,'Curva Forward'!$C$4:$AN$4,0))),CS212)</f>
        <v>0</v>
      </c>
      <c r="FR212" s="190">
        <f>AF212*AF$2*IF($FC212="V",1,-1)*IF($Q212="Fixo",(CT212-INDEX('Curva Forward'!$C$5:$AN$13,MATCH(CONCATENATE(BD_COMERCIAL!$K212," ",BD_COMERCIAL!$L212),'Curva Forward'!$B$5:$B$13,0),MATCH(FR$4,'Curva Forward'!$C$4:$AN$4,0))),CT212)</f>
        <v>0</v>
      </c>
      <c r="FS212" s="190">
        <f>AG212*AG$2*IF($FC212="V",1,-1)*IF($Q212="Fixo",(CU212-INDEX('Curva Forward'!$C$5:$AN$13,MATCH(CONCATENATE(BD_COMERCIAL!$K212," ",BD_COMERCIAL!$L212),'Curva Forward'!$B$5:$B$13,0),MATCH(FS$4,'Curva Forward'!$C$4:$AN$4,0))),CU212)</f>
        <v>0</v>
      </c>
      <c r="FT212" s="190">
        <f>AH212*AH$2*IF($FC212="V",1,-1)*IF($Q212="Fixo",(CV212-INDEX('Curva Forward'!$C$5:$AN$13,MATCH(CONCATENATE(BD_COMERCIAL!$K212," ",BD_COMERCIAL!$L212),'Curva Forward'!$B$5:$B$13,0),MATCH(FT$4,'Curva Forward'!$C$4:$AN$4,0))),CV212)</f>
        <v>0</v>
      </c>
      <c r="FU212" s="190">
        <f>AI212*AI$2*IF($FC212="V",1,-1)*IF($Q212="Fixo",(CW212-INDEX('Curva Forward'!$C$5:$AN$13,MATCH(CONCATENATE(BD_COMERCIAL!$K212," ",BD_COMERCIAL!$L212),'Curva Forward'!$B$5:$B$13,0),MATCH(FU$4,'Curva Forward'!$C$4:$AN$4,0))),CW212)</f>
        <v>0</v>
      </c>
      <c r="FV212" s="190">
        <f>AJ212*AJ$2*IF($FC212="V",1,-1)*IF($Q212="Fixo",(CX212-INDEX('Curva Forward'!$C$5:$AN$13,MATCH(CONCATENATE(BD_COMERCIAL!$K212," ",BD_COMERCIAL!$L212),'Curva Forward'!$B$5:$B$13,0),MATCH(FV$4,'Curva Forward'!$C$4:$AN$4,0))),CX212)</f>
        <v>0</v>
      </c>
      <c r="FW212" s="190">
        <f>AK212*AK$2*IF($FC212="V",1,-1)*IF($Q212="Fixo",(CY212-INDEX('Curva Forward'!$C$5:$AN$13,MATCH(CONCATENATE(BD_COMERCIAL!$K212," ",BD_COMERCIAL!$L212),'Curva Forward'!$B$5:$B$13,0),MATCH(FW$4,'Curva Forward'!$C$4:$AN$4,0))),CY212)</f>
        <v>0</v>
      </c>
      <c r="FX212" s="190">
        <f>AL212*AL$2*IF($FC212="V",1,-1)*IF($Q212="Fixo",(CZ212-INDEX('Curva Forward'!$C$5:$AN$13,MATCH(CONCATENATE(BD_COMERCIAL!$K212," ",BD_COMERCIAL!$L212),'Curva Forward'!$B$5:$B$13,0),MATCH(FX$4,'Curva Forward'!$C$4:$AN$4,0))),CZ212)</f>
        <v>0</v>
      </c>
      <c r="FY212" s="190">
        <f>AM212*AM$2*IF($FC212="V",1,-1)*IF($Q212="Fixo",(DA212-INDEX('Curva Forward'!$C$5:$AN$13,MATCH(CONCATENATE(BD_COMERCIAL!$K212," ",BD_COMERCIAL!$L212),'Curva Forward'!$B$5:$B$13,0),MATCH(FY$4,'Curva Forward'!$C$4:$AN$4,0))),DA212)</f>
        <v>0</v>
      </c>
      <c r="FZ212" s="190">
        <f>AN212*AN$2*IF($FC212="V",1,-1)*IF($Q212="Fixo",(DB212-INDEX('Curva Forward'!$C$5:$AN$13,MATCH(CONCATENATE(BD_COMERCIAL!$K212," ",BD_COMERCIAL!$L212),'Curva Forward'!$B$5:$B$13,0),MATCH(FZ$4,'Curva Forward'!$C$4:$AN$4,0))),DB212)</f>
        <v>0</v>
      </c>
      <c r="GA212" s="190">
        <f>AO212*AO$2*IF($FC212="V",1,-1)*IF($Q212="Fixo",(DC212-INDEX('Curva Forward'!$C$5:$AN$13,MATCH(CONCATENATE(BD_COMERCIAL!$K212," ",BD_COMERCIAL!$L212),'Curva Forward'!$B$5:$B$13,0),MATCH(GA$4,'Curva Forward'!$C$4:$AN$4,0))),DC212)</f>
        <v>0</v>
      </c>
      <c r="GB212" s="190">
        <f>AP212*AP$2*IF($FC212="V",1,-1)*IF($Q212="Fixo",(DD212-INDEX('Curva Forward'!$C$5:$AN$13,MATCH(CONCATENATE(BD_COMERCIAL!$K212," ",BD_COMERCIAL!$L212),'Curva Forward'!$B$5:$B$13,0),MATCH(GB$4,'Curva Forward'!$C$4:$AN$4,0))),DD212)</f>
        <v>0</v>
      </c>
      <c r="GC212" s="190">
        <f>AQ212*AQ$2*IF($FC212="V",1,-1)*IF($Q212="Fixo",(DE212-INDEX('Curva Forward'!$C$5:$AN$13,MATCH(CONCATENATE(BD_COMERCIAL!$K212," ",BD_COMERCIAL!$L212),'Curva Forward'!$B$5:$B$13,0),MATCH(GC$4,'Curva Forward'!$C$4:$AN$4,0))),DE212)</f>
        <v>0</v>
      </c>
      <c r="GD212" s="190">
        <f>AR212*AR$2*IF($FC212="V",1,-1)*IF($Q212="Fixo",(DF212-INDEX('Curva Forward'!$C$5:$AN$13,MATCH(CONCATENATE(BD_COMERCIAL!$K212," ",BD_COMERCIAL!$L212),'Curva Forward'!$B$5:$B$13,0),MATCH(GD$4,'Curva Forward'!$C$4:$AN$4,0))),DF212)</f>
        <v>0</v>
      </c>
      <c r="GE212" s="190">
        <f>AS212*AS$2*IF($FC212="V",1,-1)*IF($Q212="Fixo",(DG212-INDEX('Curva Forward'!$C$5:$AN$13,MATCH(CONCATENATE(BD_COMERCIAL!$K212," ",BD_COMERCIAL!$L212),'Curva Forward'!$B$5:$B$13,0),MATCH(GE$4,'Curva Forward'!$C$4:$AN$4,0))),DG212)</f>
        <v>0</v>
      </c>
      <c r="GF212" s="190">
        <f>AT212*AT$2*IF($FC212="V",1,-1)*IF($Q212="Fixo",(DH212-INDEX('Curva Forward'!$C$5:$AN$13,MATCH(CONCATENATE(BD_COMERCIAL!$K212," ",BD_COMERCIAL!$L212),'Curva Forward'!$B$5:$B$13,0),MATCH(GF$4,'Curva Forward'!$C$4:$AN$4,0))),DH212)</f>
        <v>0</v>
      </c>
      <c r="GG212" s="190">
        <f>AU212*AU$2*IF($FC212="V",1,-1)*IF($Q212="Fixo",(DI212-INDEX('Curva Forward'!$C$5:$AN$13,MATCH(CONCATENATE(BD_COMERCIAL!$K212," ",BD_COMERCIAL!$L212),'Curva Forward'!$B$5:$B$13,0),MATCH(GG$4,'Curva Forward'!$C$4:$AN$4,0))),DI212)</f>
        <v>0</v>
      </c>
      <c r="GH212" s="190">
        <f>AV212*AV$2*IF($FC212="V",1,-1)*IF($Q212="Fixo",(DJ212-INDEX('Curva Forward'!$C$5:$AN$13,MATCH(CONCATENATE(BD_COMERCIAL!$K212," ",BD_COMERCIAL!$L212),'Curva Forward'!$B$5:$B$13,0),MATCH(GH$4,'Curva Forward'!$C$4:$AN$4,0))),DJ212)</f>
        <v>0</v>
      </c>
      <c r="GI212" s="190">
        <f>AW212*AW$2*IF($FC212="V",1,-1)*IF($Q212="Fixo",(DK212-INDEX('Curva Forward'!$C$5:$AN$13,MATCH(CONCATENATE(BD_COMERCIAL!$K212," ",BD_COMERCIAL!$L212),'Curva Forward'!$B$5:$B$13,0),MATCH(GI$4,'Curva Forward'!$C$4:$AN$4,0))),DK212)</f>
        <v>0</v>
      </c>
      <c r="GJ212" s="190">
        <f>AX212*AX$2*IF($FC212="V",1,-1)*IF($Q212="Fixo",(DL212-INDEX('Curva Forward'!$C$5:$AN$13,MATCH(CONCATENATE(BD_COMERCIAL!$K212," ",BD_COMERCIAL!$L212),'Curva Forward'!$B$5:$B$13,0),MATCH(GJ$4,'Curva Forward'!$C$4:$AN$4,0))),DL212)</f>
        <v>0</v>
      </c>
      <c r="GK212" s="190">
        <f>AY212*AY$2*IF($FC212="V",1,-1)*IF($Q212="Fixo",(DM212-INDEX('Curva Forward'!$C$5:$AN$13,MATCH(CONCATENATE(BD_COMERCIAL!$K212," ",BD_COMERCIAL!$L212),'Curva Forward'!$B$5:$B$13,0),MATCH(GK$4,'Curva Forward'!$C$4:$AN$4,0))),DM212)</f>
        <v>0</v>
      </c>
      <c r="GL212" s="190">
        <f>IF(EZ212="",0,CL212*CL$2*IF($FC212="V",1,-1)*IF($Q212="Fixo",(EZ212-INDEX('Curva Forward'!$C$5:$AN$13,MATCH(CONCATENATE(BD_COMERCIAL!$K212," ",BD_COMERCIAL!$L212),'Curva Forward'!$B$5:$B$13,0),MATCH(GL$4,'Curva Forward'!$C$4:$AN$4,0))),EZ212))</f>
        <v>0</v>
      </c>
      <c r="GM212" s="190">
        <f>IF(FA212="",0,CM212*CM$2*IF($FC212="V",1,-1)*IF($Q212="Fixo",(FA212-INDEX('Curva Forward'!$C$5:$AN$13,MATCH(CONCATENATE(BD_COMERCIAL!$K212," ",BD_COMERCIAL!$L212),'Curva Forward'!$B$5:$B$13,0),MATCH(GM$4,'Curva Forward'!$C$4:$AN$4,0))),FA212))</f>
        <v>0</v>
      </c>
      <c r="GN212" s="190">
        <f>IF(FB212="",0,CN212*CN$2*IF($FC212="V",1,-1)*IF($Q212="Fixo",(FB212-INDEX('Curva Forward'!$C$5:$AN$13,MATCH(CONCATENATE(BD_COMERCIAL!$K212," ",BD_COMERCIAL!$L212),'Curva Forward'!$B$5:$B$13,0),MATCH(GN$4,'Curva Forward'!$C$4:$AN$4,0))),FB212))</f>
        <v>0</v>
      </c>
      <c r="GO212" s="191">
        <f t="shared" ca="1" si="32"/>
        <v>0</v>
      </c>
      <c r="GP212" s="191">
        <f t="shared" ca="1" si="33"/>
        <v>0</v>
      </c>
      <c r="GQ212" s="115"/>
      <c r="GR212" s="115"/>
      <c r="GS212"/>
      <c r="GT212" s="65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</row>
    <row r="213" spans="1:236" s="265" customFormat="1" ht="15" customHeight="1" x14ac:dyDescent="0.35">
      <c r="A213" s="251"/>
      <c r="B213" s="275"/>
      <c r="C213" s="253"/>
      <c r="D213" s="254"/>
      <c r="E213" s="254"/>
      <c r="F213" s="255"/>
      <c r="G213" s="256"/>
      <c r="H213" s="255"/>
      <c r="I213" s="254"/>
      <c r="J213" s="257"/>
      <c r="K213" s="256"/>
      <c r="L213" s="252"/>
      <c r="M213" s="258"/>
      <c r="N213" s="259"/>
      <c r="O213" s="256"/>
      <c r="P213" s="252"/>
      <c r="Q213" s="252"/>
      <c r="R213" s="256"/>
      <c r="S213" s="260"/>
      <c r="T213" s="258"/>
      <c r="U213" s="259"/>
      <c r="V213" s="261"/>
      <c r="W213" s="252"/>
      <c r="X213" s="262"/>
      <c r="Y213" s="257"/>
      <c r="Z213" s="263"/>
      <c r="AA213" s="264"/>
      <c r="AB213" s="266"/>
      <c r="AM213" s="251"/>
      <c r="AN213" s="266"/>
      <c r="AY213" s="251"/>
      <c r="AZ213" s="266"/>
      <c r="BK213" s="251"/>
      <c r="BL213" s="266"/>
      <c r="BW213" s="251"/>
      <c r="BX213" s="266"/>
      <c r="CI213" s="251"/>
      <c r="CJ213" s="267"/>
      <c r="CK213" s="267"/>
      <c r="CL213" s="267"/>
      <c r="CM213" s="267"/>
      <c r="CN213" s="267"/>
      <c r="CO213" s="268"/>
      <c r="CP213" s="266"/>
      <c r="DA213" s="251"/>
      <c r="DB213" s="266"/>
      <c r="DM213" s="251"/>
      <c r="DN213" s="266"/>
      <c r="DY213" s="251"/>
      <c r="DZ213" s="266"/>
      <c r="EK213" s="251"/>
      <c r="EL213" s="266"/>
      <c r="EW213" s="251"/>
      <c r="EX213" s="267"/>
      <c r="EY213" s="267"/>
      <c r="EZ213" s="267"/>
      <c r="FA213" s="267"/>
      <c r="FB213" s="269"/>
      <c r="FD213" s="270"/>
      <c r="FF213" s="276"/>
      <c r="FH213" s="206">
        <f t="shared" si="27"/>
        <v>0</v>
      </c>
      <c r="FI213" s="198">
        <f t="shared" si="28"/>
        <v>0</v>
      </c>
      <c r="FJ213"/>
      <c r="FK213">
        <f t="shared" si="29"/>
        <v>0</v>
      </c>
      <c r="FL213" s="191">
        <f t="shared" ca="1" si="30"/>
        <v>0</v>
      </c>
      <c r="FM213" s="191">
        <f t="shared" ca="1" si="31"/>
        <v>0</v>
      </c>
      <c r="FN213" s="190">
        <f>AB213*AB$2*IF($FC213="V",1,-1)*IF($Q213="Fixo",(CP213-INDEX('Curva Forward'!$C$5:$AN$13,MATCH(CONCATENATE(BD_COMERCIAL!$K213," ",BD_COMERCIAL!$L213),'Curva Forward'!$B$5:$B$13,0),MATCH(FN$4,'Curva Forward'!$C$4:$AN$4,0))),CP213)</f>
        <v>0</v>
      </c>
      <c r="FO213" s="190">
        <f>AC213*AC$2*IF($FC213="V",1,-1)*IF($Q213="Fixo",(CQ213-INDEX('Curva Forward'!$C$5:$AN$13,MATCH(CONCATENATE(BD_COMERCIAL!$K213," ",BD_COMERCIAL!$L213),'Curva Forward'!$B$5:$B$13,0),MATCH(FO$4,'Curva Forward'!$C$4:$AN$4,0))),CQ213)</f>
        <v>0</v>
      </c>
      <c r="FP213" s="190">
        <f>AD213*AD$2*IF($FC213="V",1,-1)*IF($Q213="Fixo",(CR213-INDEX('Curva Forward'!$C$5:$AN$13,MATCH(CONCATENATE(BD_COMERCIAL!$K213," ",BD_COMERCIAL!$L213),'Curva Forward'!$B$5:$B$13,0),MATCH(FP$4,'Curva Forward'!$C$4:$AN$4,0))),CR213)</f>
        <v>0</v>
      </c>
      <c r="FQ213" s="190">
        <f>AE213*AE$2*IF($FC213="V",1,-1)*IF($Q213="Fixo",(CS213-INDEX('Curva Forward'!$C$5:$AN$13,MATCH(CONCATENATE(BD_COMERCIAL!$K213," ",BD_COMERCIAL!$L213),'Curva Forward'!$B$5:$B$13,0),MATCH(FQ$4,'Curva Forward'!$C$4:$AN$4,0))),CS213)</f>
        <v>0</v>
      </c>
      <c r="FR213" s="190">
        <f>AF213*AF$2*IF($FC213="V",1,-1)*IF($Q213="Fixo",(CT213-INDEX('Curva Forward'!$C$5:$AN$13,MATCH(CONCATENATE(BD_COMERCIAL!$K213," ",BD_COMERCIAL!$L213),'Curva Forward'!$B$5:$B$13,0),MATCH(FR$4,'Curva Forward'!$C$4:$AN$4,0))),CT213)</f>
        <v>0</v>
      </c>
      <c r="FS213" s="190">
        <f>AG213*AG$2*IF($FC213="V",1,-1)*IF($Q213="Fixo",(CU213-INDEX('Curva Forward'!$C$5:$AN$13,MATCH(CONCATENATE(BD_COMERCIAL!$K213," ",BD_COMERCIAL!$L213),'Curva Forward'!$B$5:$B$13,0),MATCH(FS$4,'Curva Forward'!$C$4:$AN$4,0))),CU213)</f>
        <v>0</v>
      </c>
      <c r="FT213" s="190">
        <f>AH213*AH$2*IF($FC213="V",1,-1)*IF($Q213="Fixo",(CV213-INDEX('Curva Forward'!$C$5:$AN$13,MATCH(CONCATENATE(BD_COMERCIAL!$K213," ",BD_COMERCIAL!$L213),'Curva Forward'!$B$5:$B$13,0),MATCH(FT$4,'Curva Forward'!$C$4:$AN$4,0))),CV213)</f>
        <v>0</v>
      </c>
      <c r="FU213" s="190">
        <f>AI213*AI$2*IF($FC213="V",1,-1)*IF($Q213="Fixo",(CW213-INDEX('Curva Forward'!$C$5:$AN$13,MATCH(CONCATENATE(BD_COMERCIAL!$K213," ",BD_COMERCIAL!$L213),'Curva Forward'!$B$5:$B$13,0),MATCH(FU$4,'Curva Forward'!$C$4:$AN$4,0))),CW213)</f>
        <v>0</v>
      </c>
      <c r="FV213" s="190">
        <f>AJ213*AJ$2*IF($FC213="V",1,-1)*IF($Q213="Fixo",(CX213-INDEX('Curva Forward'!$C$5:$AN$13,MATCH(CONCATENATE(BD_COMERCIAL!$K213," ",BD_COMERCIAL!$L213),'Curva Forward'!$B$5:$B$13,0),MATCH(FV$4,'Curva Forward'!$C$4:$AN$4,0))),CX213)</f>
        <v>0</v>
      </c>
      <c r="FW213" s="190">
        <f>AK213*AK$2*IF($FC213="V",1,-1)*IF($Q213="Fixo",(CY213-INDEX('Curva Forward'!$C$5:$AN$13,MATCH(CONCATENATE(BD_COMERCIAL!$K213," ",BD_COMERCIAL!$L213),'Curva Forward'!$B$5:$B$13,0),MATCH(FW$4,'Curva Forward'!$C$4:$AN$4,0))),CY213)</f>
        <v>0</v>
      </c>
      <c r="FX213" s="190">
        <f>AL213*AL$2*IF($FC213="V",1,-1)*IF($Q213="Fixo",(CZ213-INDEX('Curva Forward'!$C$5:$AN$13,MATCH(CONCATENATE(BD_COMERCIAL!$K213," ",BD_COMERCIAL!$L213),'Curva Forward'!$B$5:$B$13,0),MATCH(FX$4,'Curva Forward'!$C$4:$AN$4,0))),CZ213)</f>
        <v>0</v>
      </c>
      <c r="FY213" s="190">
        <f>AM213*AM$2*IF($FC213="V",1,-1)*IF($Q213="Fixo",(DA213-INDEX('Curva Forward'!$C$5:$AN$13,MATCH(CONCATENATE(BD_COMERCIAL!$K213," ",BD_COMERCIAL!$L213),'Curva Forward'!$B$5:$B$13,0),MATCH(FY$4,'Curva Forward'!$C$4:$AN$4,0))),DA213)</f>
        <v>0</v>
      </c>
      <c r="FZ213" s="190">
        <f>AN213*AN$2*IF($FC213="V",1,-1)*IF($Q213="Fixo",(DB213-INDEX('Curva Forward'!$C$5:$AN$13,MATCH(CONCATENATE(BD_COMERCIAL!$K213," ",BD_COMERCIAL!$L213),'Curva Forward'!$B$5:$B$13,0),MATCH(FZ$4,'Curva Forward'!$C$4:$AN$4,0))),DB213)</f>
        <v>0</v>
      </c>
      <c r="GA213" s="190">
        <f>AO213*AO$2*IF($FC213="V",1,-1)*IF($Q213="Fixo",(DC213-INDEX('Curva Forward'!$C$5:$AN$13,MATCH(CONCATENATE(BD_COMERCIAL!$K213," ",BD_COMERCIAL!$L213),'Curva Forward'!$B$5:$B$13,0),MATCH(GA$4,'Curva Forward'!$C$4:$AN$4,0))),DC213)</f>
        <v>0</v>
      </c>
      <c r="GB213" s="190">
        <f>AP213*AP$2*IF($FC213="V",1,-1)*IF($Q213="Fixo",(DD213-INDEX('Curva Forward'!$C$5:$AN$13,MATCH(CONCATENATE(BD_COMERCIAL!$K213," ",BD_COMERCIAL!$L213),'Curva Forward'!$B$5:$B$13,0),MATCH(GB$4,'Curva Forward'!$C$4:$AN$4,0))),DD213)</f>
        <v>0</v>
      </c>
      <c r="GC213" s="190">
        <f>AQ213*AQ$2*IF($FC213="V",1,-1)*IF($Q213="Fixo",(DE213-INDEX('Curva Forward'!$C$5:$AN$13,MATCH(CONCATENATE(BD_COMERCIAL!$K213," ",BD_COMERCIAL!$L213),'Curva Forward'!$B$5:$B$13,0),MATCH(GC$4,'Curva Forward'!$C$4:$AN$4,0))),DE213)</f>
        <v>0</v>
      </c>
      <c r="GD213" s="190">
        <f>AR213*AR$2*IF($FC213="V",1,-1)*IF($Q213="Fixo",(DF213-INDEX('Curva Forward'!$C$5:$AN$13,MATCH(CONCATENATE(BD_COMERCIAL!$K213," ",BD_COMERCIAL!$L213),'Curva Forward'!$B$5:$B$13,0),MATCH(GD$4,'Curva Forward'!$C$4:$AN$4,0))),DF213)</f>
        <v>0</v>
      </c>
      <c r="GE213" s="190">
        <f>AS213*AS$2*IF($FC213="V",1,-1)*IF($Q213="Fixo",(DG213-INDEX('Curva Forward'!$C$5:$AN$13,MATCH(CONCATENATE(BD_COMERCIAL!$K213," ",BD_COMERCIAL!$L213),'Curva Forward'!$B$5:$B$13,0),MATCH(GE$4,'Curva Forward'!$C$4:$AN$4,0))),DG213)</f>
        <v>0</v>
      </c>
      <c r="GF213" s="190">
        <f>AT213*AT$2*IF($FC213="V",1,-1)*IF($Q213="Fixo",(DH213-INDEX('Curva Forward'!$C$5:$AN$13,MATCH(CONCATENATE(BD_COMERCIAL!$K213," ",BD_COMERCIAL!$L213),'Curva Forward'!$B$5:$B$13,0),MATCH(GF$4,'Curva Forward'!$C$4:$AN$4,0))),DH213)</f>
        <v>0</v>
      </c>
      <c r="GG213" s="190">
        <f>AU213*AU$2*IF($FC213="V",1,-1)*IF($Q213="Fixo",(DI213-INDEX('Curva Forward'!$C$5:$AN$13,MATCH(CONCATENATE(BD_COMERCIAL!$K213," ",BD_COMERCIAL!$L213),'Curva Forward'!$B$5:$B$13,0),MATCH(GG$4,'Curva Forward'!$C$4:$AN$4,0))),DI213)</f>
        <v>0</v>
      </c>
      <c r="GH213" s="190">
        <f>AV213*AV$2*IF($FC213="V",1,-1)*IF($Q213="Fixo",(DJ213-INDEX('Curva Forward'!$C$5:$AN$13,MATCH(CONCATENATE(BD_COMERCIAL!$K213," ",BD_COMERCIAL!$L213),'Curva Forward'!$B$5:$B$13,0),MATCH(GH$4,'Curva Forward'!$C$4:$AN$4,0))),DJ213)</f>
        <v>0</v>
      </c>
      <c r="GI213" s="190">
        <f>AW213*AW$2*IF($FC213="V",1,-1)*IF($Q213="Fixo",(DK213-INDEX('Curva Forward'!$C$5:$AN$13,MATCH(CONCATENATE(BD_COMERCIAL!$K213," ",BD_COMERCIAL!$L213),'Curva Forward'!$B$5:$B$13,0),MATCH(GI$4,'Curva Forward'!$C$4:$AN$4,0))),DK213)</f>
        <v>0</v>
      </c>
      <c r="GJ213" s="190">
        <f>AX213*AX$2*IF($FC213="V",1,-1)*IF($Q213="Fixo",(DL213-INDEX('Curva Forward'!$C$5:$AN$13,MATCH(CONCATENATE(BD_COMERCIAL!$K213," ",BD_COMERCIAL!$L213),'Curva Forward'!$B$5:$B$13,0),MATCH(GJ$4,'Curva Forward'!$C$4:$AN$4,0))),DL213)</f>
        <v>0</v>
      </c>
      <c r="GK213" s="190">
        <f>AY213*AY$2*IF($FC213="V",1,-1)*IF($Q213="Fixo",(DM213-INDEX('Curva Forward'!$C$5:$AN$13,MATCH(CONCATENATE(BD_COMERCIAL!$K213," ",BD_COMERCIAL!$L213),'Curva Forward'!$B$5:$B$13,0),MATCH(GK$4,'Curva Forward'!$C$4:$AN$4,0))),DM213)</f>
        <v>0</v>
      </c>
      <c r="GL213" s="190">
        <f>IF(EZ213="",0,CL213*CL$2*IF($FC213="V",1,-1)*IF($Q213="Fixo",(EZ213-INDEX('Curva Forward'!$C$5:$AN$13,MATCH(CONCATENATE(BD_COMERCIAL!$K213," ",BD_COMERCIAL!$L213),'Curva Forward'!$B$5:$B$13,0),MATCH(GL$4,'Curva Forward'!$C$4:$AN$4,0))),EZ213))</f>
        <v>0</v>
      </c>
      <c r="GM213" s="190">
        <f>IF(FA213="",0,CM213*CM$2*IF($FC213="V",1,-1)*IF($Q213="Fixo",(FA213-INDEX('Curva Forward'!$C$5:$AN$13,MATCH(CONCATENATE(BD_COMERCIAL!$K213," ",BD_COMERCIAL!$L213),'Curva Forward'!$B$5:$B$13,0),MATCH(GM$4,'Curva Forward'!$C$4:$AN$4,0))),FA213))</f>
        <v>0</v>
      </c>
      <c r="GN213" s="190">
        <f>IF(FB213="",0,CN213*CN$2*IF($FC213="V",1,-1)*IF($Q213="Fixo",(FB213-INDEX('Curva Forward'!$C$5:$AN$13,MATCH(CONCATENATE(BD_COMERCIAL!$K213," ",BD_COMERCIAL!$L213),'Curva Forward'!$B$5:$B$13,0),MATCH(GN$4,'Curva Forward'!$C$4:$AN$4,0))),FB213))</f>
        <v>0</v>
      </c>
      <c r="GO213" s="191">
        <f t="shared" ca="1" si="32"/>
        <v>0</v>
      </c>
      <c r="GP213" s="191">
        <f t="shared" ca="1" si="33"/>
        <v>0</v>
      </c>
      <c r="GQ213" s="115"/>
      <c r="GR213" s="115"/>
      <c r="GS213"/>
      <c r="GT213" s="65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</row>
    <row r="214" spans="1:236" s="265" customFormat="1" ht="15" customHeight="1" x14ac:dyDescent="0.35">
      <c r="A214" s="251"/>
      <c r="B214" s="275"/>
      <c r="C214" s="253"/>
      <c r="D214" s="254"/>
      <c r="E214" s="254"/>
      <c r="F214" s="255"/>
      <c r="G214" s="256"/>
      <c r="H214" s="255"/>
      <c r="I214" s="254"/>
      <c r="J214" s="257"/>
      <c r="K214" s="256"/>
      <c r="L214" s="252"/>
      <c r="M214" s="258"/>
      <c r="N214" s="259"/>
      <c r="O214" s="256"/>
      <c r="P214" s="252"/>
      <c r="Q214" s="252"/>
      <c r="R214" s="256"/>
      <c r="S214" s="260"/>
      <c r="T214" s="258"/>
      <c r="U214" s="259"/>
      <c r="V214" s="261"/>
      <c r="W214" s="252"/>
      <c r="X214" s="262"/>
      <c r="Y214" s="257"/>
      <c r="Z214" s="263"/>
      <c r="AA214" s="264"/>
      <c r="AB214" s="266"/>
      <c r="AM214" s="251"/>
      <c r="AN214" s="266"/>
      <c r="AY214" s="251"/>
      <c r="AZ214" s="266"/>
      <c r="BK214" s="251"/>
      <c r="BL214" s="266"/>
      <c r="BW214" s="251"/>
      <c r="BX214" s="266"/>
      <c r="CI214" s="251"/>
      <c r="CJ214" s="267"/>
      <c r="CK214" s="267"/>
      <c r="CL214" s="267"/>
      <c r="CM214" s="267"/>
      <c r="CN214" s="267"/>
      <c r="CO214" s="268"/>
      <c r="CP214" s="266"/>
      <c r="DA214" s="251"/>
      <c r="DB214" s="266"/>
      <c r="DM214" s="251"/>
      <c r="DN214" s="266"/>
      <c r="DY214" s="251"/>
      <c r="DZ214" s="266"/>
      <c r="EK214" s="251"/>
      <c r="EL214" s="266"/>
      <c r="EW214" s="251"/>
      <c r="EX214" s="267"/>
      <c r="EY214" s="267"/>
      <c r="EZ214" s="267"/>
      <c r="FA214" s="267"/>
      <c r="FB214" s="269"/>
      <c r="FD214" s="270"/>
      <c r="FF214" s="276"/>
      <c r="FH214" s="206">
        <f t="shared" si="27"/>
        <v>0</v>
      </c>
      <c r="FI214" s="198">
        <f t="shared" si="28"/>
        <v>0</v>
      </c>
      <c r="FJ214"/>
      <c r="FK214">
        <f t="shared" si="29"/>
        <v>0</v>
      </c>
      <c r="FL214" s="191">
        <f t="shared" ca="1" si="30"/>
        <v>0</v>
      </c>
      <c r="FM214" s="191">
        <f t="shared" ca="1" si="31"/>
        <v>0</v>
      </c>
      <c r="FN214" s="190">
        <f>AB214*AB$2*IF($FC214="V",1,-1)*IF($Q214="Fixo",(CP214-INDEX('Curva Forward'!$C$5:$AN$13,MATCH(CONCATENATE(BD_COMERCIAL!$K214," ",BD_COMERCIAL!$L214),'Curva Forward'!$B$5:$B$13,0),MATCH(FN$4,'Curva Forward'!$C$4:$AN$4,0))),CP214)</f>
        <v>0</v>
      </c>
      <c r="FO214" s="190">
        <f>AC214*AC$2*IF($FC214="V",1,-1)*IF($Q214="Fixo",(CQ214-INDEX('Curva Forward'!$C$5:$AN$13,MATCH(CONCATENATE(BD_COMERCIAL!$K214," ",BD_COMERCIAL!$L214),'Curva Forward'!$B$5:$B$13,0),MATCH(FO$4,'Curva Forward'!$C$4:$AN$4,0))),CQ214)</f>
        <v>0</v>
      </c>
      <c r="FP214" s="190">
        <f>AD214*AD$2*IF($FC214="V",1,-1)*IF($Q214="Fixo",(CR214-INDEX('Curva Forward'!$C$5:$AN$13,MATCH(CONCATENATE(BD_COMERCIAL!$K214," ",BD_COMERCIAL!$L214),'Curva Forward'!$B$5:$B$13,0),MATCH(FP$4,'Curva Forward'!$C$4:$AN$4,0))),CR214)</f>
        <v>0</v>
      </c>
      <c r="FQ214" s="190">
        <f>AE214*AE$2*IF($FC214="V",1,-1)*IF($Q214="Fixo",(CS214-INDEX('Curva Forward'!$C$5:$AN$13,MATCH(CONCATENATE(BD_COMERCIAL!$K214," ",BD_COMERCIAL!$L214),'Curva Forward'!$B$5:$B$13,0),MATCH(FQ$4,'Curva Forward'!$C$4:$AN$4,0))),CS214)</f>
        <v>0</v>
      </c>
      <c r="FR214" s="190">
        <f>AF214*AF$2*IF($FC214="V",1,-1)*IF($Q214="Fixo",(CT214-INDEX('Curva Forward'!$C$5:$AN$13,MATCH(CONCATENATE(BD_COMERCIAL!$K214," ",BD_COMERCIAL!$L214),'Curva Forward'!$B$5:$B$13,0),MATCH(FR$4,'Curva Forward'!$C$4:$AN$4,0))),CT214)</f>
        <v>0</v>
      </c>
      <c r="FS214" s="190">
        <f>AG214*AG$2*IF($FC214="V",1,-1)*IF($Q214="Fixo",(CU214-INDEX('Curva Forward'!$C$5:$AN$13,MATCH(CONCATENATE(BD_COMERCIAL!$K214," ",BD_COMERCIAL!$L214),'Curva Forward'!$B$5:$B$13,0),MATCH(FS$4,'Curva Forward'!$C$4:$AN$4,0))),CU214)</f>
        <v>0</v>
      </c>
      <c r="FT214" s="190">
        <f>AH214*AH$2*IF($FC214="V",1,-1)*IF($Q214="Fixo",(CV214-INDEX('Curva Forward'!$C$5:$AN$13,MATCH(CONCATENATE(BD_COMERCIAL!$K214," ",BD_COMERCIAL!$L214),'Curva Forward'!$B$5:$B$13,0),MATCH(FT$4,'Curva Forward'!$C$4:$AN$4,0))),CV214)</f>
        <v>0</v>
      </c>
      <c r="FU214" s="190">
        <f>AI214*AI$2*IF($FC214="V",1,-1)*IF($Q214="Fixo",(CW214-INDEX('Curva Forward'!$C$5:$AN$13,MATCH(CONCATENATE(BD_COMERCIAL!$K214," ",BD_COMERCIAL!$L214),'Curva Forward'!$B$5:$B$13,0),MATCH(FU$4,'Curva Forward'!$C$4:$AN$4,0))),CW214)</f>
        <v>0</v>
      </c>
      <c r="FV214" s="190">
        <f>AJ214*AJ$2*IF($FC214="V",1,-1)*IF($Q214="Fixo",(CX214-INDEX('Curva Forward'!$C$5:$AN$13,MATCH(CONCATENATE(BD_COMERCIAL!$K214," ",BD_COMERCIAL!$L214),'Curva Forward'!$B$5:$B$13,0),MATCH(FV$4,'Curva Forward'!$C$4:$AN$4,0))),CX214)</f>
        <v>0</v>
      </c>
      <c r="FW214" s="190">
        <f>AK214*AK$2*IF($FC214="V",1,-1)*IF($Q214="Fixo",(CY214-INDEX('Curva Forward'!$C$5:$AN$13,MATCH(CONCATENATE(BD_COMERCIAL!$K214," ",BD_COMERCIAL!$L214),'Curva Forward'!$B$5:$B$13,0),MATCH(FW$4,'Curva Forward'!$C$4:$AN$4,0))),CY214)</f>
        <v>0</v>
      </c>
      <c r="FX214" s="190">
        <f>AL214*AL$2*IF($FC214="V",1,-1)*IF($Q214="Fixo",(CZ214-INDEX('Curva Forward'!$C$5:$AN$13,MATCH(CONCATENATE(BD_COMERCIAL!$K214," ",BD_COMERCIAL!$L214),'Curva Forward'!$B$5:$B$13,0),MATCH(FX$4,'Curva Forward'!$C$4:$AN$4,0))),CZ214)</f>
        <v>0</v>
      </c>
      <c r="FY214" s="190">
        <f>AM214*AM$2*IF($FC214="V",1,-1)*IF($Q214="Fixo",(DA214-INDEX('Curva Forward'!$C$5:$AN$13,MATCH(CONCATENATE(BD_COMERCIAL!$K214," ",BD_COMERCIAL!$L214),'Curva Forward'!$B$5:$B$13,0),MATCH(FY$4,'Curva Forward'!$C$4:$AN$4,0))),DA214)</f>
        <v>0</v>
      </c>
      <c r="FZ214" s="190">
        <f>AN214*AN$2*IF($FC214="V",1,-1)*IF($Q214="Fixo",(DB214-INDEX('Curva Forward'!$C$5:$AN$13,MATCH(CONCATENATE(BD_COMERCIAL!$K214," ",BD_COMERCIAL!$L214),'Curva Forward'!$B$5:$B$13,0),MATCH(FZ$4,'Curva Forward'!$C$4:$AN$4,0))),DB214)</f>
        <v>0</v>
      </c>
      <c r="GA214" s="190">
        <f>AO214*AO$2*IF($FC214="V",1,-1)*IF($Q214="Fixo",(DC214-INDEX('Curva Forward'!$C$5:$AN$13,MATCH(CONCATENATE(BD_COMERCIAL!$K214," ",BD_COMERCIAL!$L214),'Curva Forward'!$B$5:$B$13,0),MATCH(GA$4,'Curva Forward'!$C$4:$AN$4,0))),DC214)</f>
        <v>0</v>
      </c>
      <c r="GB214" s="190">
        <f>AP214*AP$2*IF($FC214="V",1,-1)*IF($Q214="Fixo",(DD214-INDEX('Curva Forward'!$C$5:$AN$13,MATCH(CONCATENATE(BD_COMERCIAL!$K214," ",BD_COMERCIAL!$L214),'Curva Forward'!$B$5:$B$13,0),MATCH(GB$4,'Curva Forward'!$C$4:$AN$4,0))),DD214)</f>
        <v>0</v>
      </c>
      <c r="GC214" s="190">
        <f>AQ214*AQ$2*IF($FC214="V",1,-1)*IF($Q214="Fixo",(DE214-INDEX('Curva Forward'!$C$5:$AN$13,MATCH(CONCATENATE(BD_COMERCIAL!$K214," ",BD_COMERCIAL!$L214),'Curva Forward'!$B$5:$B$13,0),MATCH(GC$4,'Curva Forward'!$C$4:$AN$4,0))),DE214)</f>
        <v>0</v>
      </c>
      <c r="GD214" s="190">
        <f>AR214*AR$2*IF($FC214="V",1,-1)*IF($Q214="Fixo",(DF214-INDEX('Curva Forward'!$C$5:$AN$13,MATCH(CONCATENATE(BD_COMERCIAL!$K214," ",BD_COMERCIAL!$L214),'Curva Forward'!$B$5:$B$13,0),MATCH(GD$4,'Curva Forward'!$C$4:$AN$4,0))),DF214)</f>
        <v>0</v>
      </c>
      <c r="GE214" s="190">
        <f>AS214*AS$2*IF($FC214="V",1,-1)*IF($Q214="Fixo",(DG214-INDEX('Curva Forward'!$C$5:$AN$13,MATCH(CONCATENATE(BD_COMERCIAL!$K214," ",BD_COMERCIAL!$L214),'Curva Forward'!$B$5:$B$13,0),MATCH(GE$4,'Curva Forward'!$C$4:$AN$4,0))),DG214)</f>
        <v>0</v>
      </c>
      <c r="GF214" s="190">
        <f>AT214*AT$2*IF($FC214="V",1,-1)*IF($Q214="Fixo",(DH214-INDEX('Curva Forward'!$C$5:$AN$13,MATCH(CONCATENATE(BD_COMERCIAL!$K214," ",BD_COMERCIAL!$L214),'Curva Forward'!$B$5:$B$13,0),MATCH(GF$4,'Curva Forward'!$C$4:$AN$4,0))),DH214)</f>
        <v>0</v>
      </c>
      <c r="GG214" s="190">
        <f>AU214*AU$2*IF($FC214="V",1,-1)*IF($Q214="Fixo",(DI214-INDEX('Curva Forward'!$C$5:$AN$13,MATCH(CONCATENATE(BD_COMERCIAL!$K214," ",BD_COMERCIAL!$L214),'Curva Forward'!$B$5:$B$13,0),MATCH(GG$4,'Curva Forward'!$C$4:$AN$4,0))),DI214)</f>
        <v>0</v>
      </c>
      <c r="GH214" s="190">
        <f>AV214*AV$2*IF($FC214="V",1,-1)*IF($Q214="Fixo",(DJ214-INDEX('Curva Forward'!$C$5:$AN$13,MATCH(CONCATENATE(BD_COMERCIAL!$K214," ",BD_COMERCIAL!$L214),'Curva Forward'!$B$5:$B$13,0),MATCH(GH$4,'Curva Forward'!$C$4:$AN$4,0))),DJ214)</f>
        <v>0</v>
      </c>
      <c r="GI214" s="190">
        <f>AW214*AW$2*IF($FC214="V",1,-1)*IF($Q214="Fixo",(DK214-INDEX('Curva Forward'!$C$5:$AN$13,MATCH(CONCATENATE(BD_COMERCIAL!$K214," ",BD_COMERCIAL!$L214),'Curva Forward'!$B$5:$B$13,0),MATCH(GI$4,'Curva Forward'!$C$4:$AN$4,0))),DK214)</f>
        <v>0</v>
      </c>
      <c r="GJ214" s="190">
        <f>AX214*AX$2*IF($FC214="V",1,-1)*IF($Q214="Fixo",(DL214-INDEX('Curva Forward'!$C$5:$AN$13,MATCH(CONCATENATE(BD_COMERCIAL!$K214," ",BD_COMERCIAL!$L214),'Curva Forward'!$B$5:$B$13,0),MATCH(GJ$4,'Curva Forward'!$C$4:$AN$4,0))),DL214)</f>
        <v>0</v>
      </c>
      <c r="GK214" s="190">
        <f>AY214*AY$2*IF($FC214="V",1,-1)*IF($Q214="Fixo",(DM214-INDEX('Curva Forward'!$C$5:$AN$13,MATCH(CONCATENATE(BD_COMERCIAL!$K214," ",BD_COMERCIAL!$L214),'Curva Forward'!$B$5:$B$13,0),MATCH(GK$4,'Curva Forward'!$C$4:$AN$4,0))),DM214)</f>
        <v>0</v>
      </c>
      <c r="GL214" s="190">
        <f>IF(EZ214="",0,CL214*CL$2*IF($FC214="V",1,-1)*IF($Q214="Fixo",(EZ214-INDEX('Curva Forward'!$C$5:$AN$13,MATCH(CONCATENATE(BD_COMERCIAL!$K214," ",BD_COMERCIAL!$L214),'Curva Forward'!$B$5:$B$13,0),MATCH(GL$4,'Curva Forward'!$C$4:$AN$4,0))),EZ214))</f>
        <v>0</v>
      </c>
      <c r="GM214" s="190">
        <f>IF(FA214="",0,CM214*CM$2*IF($FC214="V",1,-1)*IF($Q214="Fixo",(FA214-INDEX('Curva Forward'!$C$5:$AN$13,MATCH(CONCATENATE(BD_COMERCIAL!$K214," ",BD_COMERCIAL!$L214),'Curva Forward'!$B$5:$B$13,0),MATCH(GM$4,'Curva Forward'!$C$4:$AN$4,0))),FA214))</f>
        <v>0</v>
      </c>
      <c r="GN214" s="190">
        <f>IF(FB214="",0,CN214*CN$2*IF($FC214="V",1,-1)*IF($Q214="Fixo",(FB214-INDEX('Curva Forward'!$C$5:$AN$13,MATCH(CONCATENATE(BD_COMERCIAL!$K214," ",BD_COMERCIAL!$L214),'Curva Forward'!$B$5:$B$13,0),MATCH(GN$4,'Curva Forward'!$C$4:$AN$4,0))),FB214))</f>
        <v>0</v>
      </c>
      <c r="GO214" s="191">
        <f t="shared" ca="1" si="32"/>
        <v>0</v>
      </c>
      <c r="GP214" s="191">
        <f t="shared" ca="1" si="33"/>
        <v>0</v>
      </c>
      <c r="GQ214" s="115"/>
      <c r="GR214" s="115"/>
      <c r="GS214"/>
      <c r="GT214" s="65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</row>
    <row r="215" spans="1:236" s="265" customFormat="1" ht="15" customHeight="1" x14ac:dyDescent="0.35">
      <c r="A215" s="251"/>
      <c r="B215" s="275"/>
      <c r="C215" s="253"/>
      <c r="D215" s="254"/>
      <c r="E215" s="254"/>
      <c r="F215" s="255"/>
      <c r="G215" s="256"/>
      <c r="H215" s="255"/>
      <c r="I215" s="254"/>
      <c r="J215" s="257"/>
      <c r="K215" s="256"/>
      <c r="L215" s="252"/>
      <c r="M215" s="258"/>
      <c r="N215" s="259"/>
      <c r="O215" s="256"/>
      <c r="P215" s="252"/>
      <c r="Q215" s="252"/>
      <c r="R215" s="256"/>
      <c r="S215" s="260"/>
      <c r="T215" s="258"/>
      <c r="U215" s="259"/>
      <c r="V215" s="261"/>
      <c r="W215" s="252"/>
      <c r="X215" s="262"/>
      <c r="Y215" s="257"/>
      <c r="Z215" s="263"/>
      <c r="AA215" s="264"/>
      <c r="AB215" s="266"/>
      <c r="AM215" s="251"/>
      <c r="AN215" s="266"/>
      <c r="AY215" s="251"/>
      <c r="AZ215" s="266"/>
      <c r="BK215" s="251"/>
      <c r="BL215" s="266"/>
      <c r="BW215" s="251"/>
      <c r="BX215" s="266"/>
      <c r="CI215" s="251"/>
      <c r="CJ215" s="267"/>
      <c r="CK215" s="267"/>
      <c r="CL215" s="267"/>
      <c r="CM215" s="267"/>
      <c r="CN215" s="267"/>
      <c r="CO215" s="268"/>
      <c r="CP215" s="266"/>
      <c r="DA215" s="251"/>
      <c r="DB215" s="266"/>
      <c r="DM215" s="251"/>
      <c r="DN215" s="266"/>
      <c r="DY215" s="251"/>
      <c r="DZ215" s="266"/>
      <c r="EK215" s="251"/>
      <c r="EL215" s="266"/>
      <c r="EW215" s="251"/>
      <c r="EX215" s="267"/>
      <c r="EY215" s="267"/>
      <c r="EZ215" s="267"/>
      <c r="FA215" s="267"/>
      <c r="FB215" s="269"/>
      <c r="FD215" s="270"/>
      <c r="FF215" s="276"/>
      <c r="FH215" s="206">
        <f t="shared" si="27"/>
        <v>0</v>
      </c>
      <c r="FI215" s="198">
        <f t="shared" si="28"/>
        <v>0</v>
      </c>
      <c r="FJ215"/>
      <c r="FK215">
        <f t="shared" si="29"/>
        <v>0</v>
      </c>
      <c r="FL215" s="191">
        <f t="shared" ca="1" si="30"/>
        <v>0</v>
      </c>
      <c r="FM215" s="191">
        <f t="shared" ca="1" si="31"/>
        <v>0</v>
      </c>
      <c r="FN215" s="190">
        <f>AB215*AB$2*IF($FC215="V",1,-1)*IF($Q215="Fixo",(CP215-INDEX('Curva Forward'!$C$5:$AN$13,MATCH(CONCATENATE(BD_COMERCIAL!$K215," ",BD_COMERCIAL!$L215),'Curva Forward'!$B$5:$B$13,0),MATCH(FN$4,'Curva Forward'!$C$4:$AN$4,0))),CP215)</f>
        <v>0</v>
      </c>
      <c r="FO215" s="190">
        <f>AC215*AC$2*IF($FC215="V",1,-1)*IF($Q215="Fixo",(CQ215-INDEX('Curva Forward'!$C$5:$AN$13,MATCH(CONCATENATE(BD_COMERCIAL!$K215," ",BD_COMERCIAL!$L215),'Curva Forward'!$B$5:$B$13,0),MATCH(FO$4,'Curva Forward'!$C$4:$AN$4,0))),CQ215)</f>
        <v>0</v>
      </c>
      <c r="FP215" s="190">
        <f>AD215*AD$2*IF($FC215="V",1,-1)*IF($Q215="Fixo",(CR215-INDEX('Curva Forward'!$C$5:$AN$13,MATCH(CONCATENATE(BD_COMERCIAL!$K215," ",BD_COMERCIAL!$L215),'Curva Forward'!$B$5:$B$13,0),MATCH(FP$4,'Curva Forward'!$C$4:$AN$4,0))),CR215)</f>
        <v>0</v>
      </c>
      <c r="FQ215" s="190">
        <f>AE215*AE$2*IF($FC215="V",1,-1)*IF($Q215="Fixo",(CS215-INDEX('Curva Forward'!$C$5:$AN$13,MATCH(CONCATENATE(BD_COMERCIAL!$K215," ",BD_COMERCIAL!$L215),'Curva Forward'!$B$5:$B$13,0),MATCH(FQ$4,'Curva Forward'!$C$4:$AN$4,0))),CS215)</f>
        <v>0</v>
      </c>
      <c r="FR215" s="190">
        <f>AF215*AF$2*IF($FC215="V",1,-1)*IF($Q215="Fixo",(CT215-INDEX('Curva Forward'!$C$5:$AN$13,MATCH(CONCATENATE(BD_COMERCIAL!$K215," ",BD_COMERCIAL!$L215),'Curva Forward'!$B$5:$B$13,0),MATCH(FR$4,'Curva Forward'!$C$4:$AN$4,0))),CT215)</f>
        <v>0</v>
      </c>
      <c r="FS215" s="190">
        <f>AG215*AG$2*IF($FC215="V",1,-1)*IF($Q215="Fixo",(CU215-INDEX('Curva Forward'!$C$5:$AN$13,MATCH(CONCATENATE(BD_COMERCIAL!$K215," ",BD_COMERCIAL!$L215),'Curva Forward'!$B$5:$B$13,0),MATCH(FS$4,'Curva Forward'!$C$4:$AN$4,0))),CU215)</f>
        <v>0</v>
      </c>
      <c r="FT215" s="190">
        <f>AH215*AH$2*IF($FC215="V",1,-1)*IF($Q215="Fixo",(CV215-INDEX('Curva Forward'!$C$5:$AN$13,MATCH(CONCATENATE(BD_COMERCIAL!$K215," ",BD_COMERCIAL!$L215),'Curva Forward'!$B$5:$B$13,0),MATCH(FT$4,'Curva Forward'!$C$4:$AN$4,0))),CV215)</f>
        <v>0</v>
      </c>
      <c r="FU215" s="190">
        <f>AI215*AI$2*IF($FC215="V",1,-1)*IF($Q215="Fixo",(CW215-INDEX('Curva Forward'!$C$5:$AN$13,MATCH(CONCATENATE(BD_COMERCIAL!$K215," ",BD_COMERCIAL!$L215),'Curva Forward'!$B$5:$B$13,0),MATCH(FU$4,'Curva Forward'!$C$4:$AN$4,0))),CW215)</f>
        <v>0</v>
      </c>
      <c r="FV215" s="190">
        <f>AJ215*AJ$2*IF($FC215="V",1,-1)*IF($Q215="Fixo",(CX215-INDEX('Curva Forward'!$C$5:$AN$13,MATCH(CONCATENATE(BD_COMERCIAL!$K215," ",BD_COMERCIAL!$L215),'Curva Forward'!$B$5:$B$13,0),MATCH(FV$4,'Curva Forward'!$C$4:$AN$4,0))),CX215)</f>
        <v>0</v>
      </c>
      <c r="FW215" s="190">
        <f>AK215*AK$2*IF($FC215="V",1,-1)*IF($Q215="Fixo",(CY215-INDEX('Curva Forward'!$C$5:$AN$13,MATCH(CONCATENATE(BD_COMERCIAL!$K215," ",BD_COMERCIAL!$L215),'Curva Forward'!$B$5:$B$13,0),MATCH(FW$4,'Curva Forward'!$C$4:$AN$4,0))),CY215)</f>
        <v>0</v>
      </c>
      <c r="FX215" s="190">
        <f>AL215*AL$2*IF($FC215="V",1,-1)*IF($Q215="Fixo",(CZ215-INDEX('Curva Forward'!$C$5:$AN$13,MATCH(CONCATENATE(BD_COMERCIAL!$K215," ",BD_COMERCIAL!$L215),'Curva Forward'!$B$5:$B$13,0),MATCH(FX$4,'Curva Forward'!$C$4:$AN$4,0))),CZ215)</f>
        <v>0</v>
      </c>
      <c r="FY215" s="190">
        <f>AM215*AM$2*IF($FC215="V",1,-1)*IF($Q215="Fixo",(DA215-INDEX('Curva Forward'!$C$5:$AN$13,MATCH(CONCATENATE(BD_COMERCIAL!$K215," ",BD_COMERCIAL!$L215),'Curva Forward'!$B$5:$B$13,0),MATCH(FY$4,'Curva Forward'!$C$4:$AN$4,0))),DA215)</f>
        <v>0</v>
      </c>
      <c r="FZ215" s="190">
        <f>AN215*AN$2*IF($FC215="V",1,-1)*IF($Q215="Fixo",(DB215-INDEX('Curva Forward'!$C$5:$AN$13,MATCH(CONCATENATE(BD_COMERCIAL!$K215," ",BD_COMERCIAL!$L215),'Curva Forward'!$B$5:$B$13,0),MATCH(FZ$4,'Curva Forward'!$C$4:$AN$4,0))),DB215)</f>
        <v>0</v>
      </c>
      <c r="GA215" s="190">
        <f>AO215*AO$2*IF($FC215="V",1,-1)*IF($Q215="Fixo",(DC215-INDEX('Curva Forward'!$C$5:$AN$13,MATCH(CONCATENATE(BD_COMERCIAL!$K215," ",BD_COMERCIAL!$L215),'Curva Forward'!$B$5:$B$13,0),MATCH(GA$4,'Curva Forward'!$C$4:$AN$4,0))),DC215)</f>
        <v>0</v>
      </c>
      <c r="GB215" s="190">
        <f>AP215*AP$2*IF($FC215="V",1,-1)*IF($Q215="Fixo",(DD215-INDEX('Curva Forward'!$C$5:$AN$13,MATCH(CONCATENATE(BD_COMERCIAL!$K215," ",BD_COMERCIAL!$L215),'Curva Forward'!$B$5:$B$13,0),MATCH(GB$4,'Curva Forward'!$C$4:$AN$4,0))),DD215)</f>
        <v>0</v>
      </c>
      <c r="GC215" s="190">
        <f>AQ215*AQ$2*IF($FC215="V",1,-1)*IF($Q215="Fixo",(DE215-INDEX('Curva Forward'!$C$5:$AN$13,MATCH(CONCATENATE(BD_COMERCIAL!$K215," ",BD_COMERCIAL!$L215),'Curva Forward'!$B$5:$B$13,0),MATCH(GC$4,'Curva Forward'!$C$4:$AN$4,0))),DE215)</f>
        <v>0</v>
      </c>
      <c r="GD215" s="190">
        <f>AR215*AR$2*IF($FC215="V",1,-1)*IF($Q215="Fixo",(DF215-INDEX('Curva Forward'!$C$5:$AN$13,MATCH(CONCATENATE(BD_COMERCIAL!$K215," ",BD_COMERCIAL!$L215),'Curva Forward'!$B$5:$B$13,0),MATCH(GD$4,'Curva Forward'!$C$4:$AN$4,0))),DF215)</f>
        <v>0</v>
      </c>
      <c r="GE215" s="190">
        <f>AS215*AS$2*IF($FC215="V",1,-1)*IF($Q215="Fixo",(DG215-INDEX('Curva Forward'!$C$5:$AN$13,MATCH(CONCATENATE(BD_COMERCIAL!$K215," ",BD_COMERCIAL!$L215),'Curva Forward'!$B$5:$B$13,0),MATCH(GE$4,'Curva Forward'!$C$4:$AN$4,0))),DG215)</f>
        <v>0</v>
      </c>
      <c r="GF215" s="190">
        <f>AT215*AT$2*IF($FC215="V",1,-1)*IF($Q215="Fixo",(DH215-INDEX('Curva Forward'!$C$5:$AN$13,MATCH(CONCATENATE(BD_COMERCIAL!$K215," ",BD_COMERCIAL!$L215),'Curva Forward'!$B$5:$B$13,0),MATCH(GF$4,'Curva Forward'!$C$4:$AN$4,0))),DH215)</f>
        <v>0</v>
      </c>
      <c r="GG215" s="190">
        <f>AU215*AU$2*IF($FC215="V",1,-1)*IF($Q215="Fixo",(DI215-INDEX('Curva Forward'!$C$5:$AN$13,MATCH(CONCATENATE(BD_COMERCIAL!$K215," ",BD_COMERCIAL!$L215),'Curva Forward'!$B$5:$B$13,0),MATCH(GG$4,'Curva Forward'!$C$4:$AN$4,0))),DI215)</f>
        <v>0</v>
      </c>
      <c r="GH215" s="190">
        <f>AV215*AV$2*IF($FC215="V",1,-1)*IF($Q215="Fixo",(DJ215-INDEX('Curva Forward'!$C$5:$AN$13,MATCH(CONCATENATE(BD_COMERCIAL!$K215," ",BD_COMERCIAL!$L215),'Curva Forward'!$B$5:$B$13,0),MATCH(GH$4,'Curva Forward'!$C$4:$AN$4,0))),DJ215)</f>
        <v>0</v>
      </c>
      <c r="GI215" s="190">
        <f>AW215*AW$2*IF($FC215="V",1,-1)*IF($Q215="Fixo",(DK215-INDEX('Curva Forward'!$C$5:$AN$13,MATCH(CONCATENATE(BD_COMERCIAL!$K215," ",BD_COMERCIAL!$L215),'Curva Forward'!$B$5:$B$13,0),MATCH(GI$4,'Curva Forward'!$C$4:$AN$4,0))),DK215)</f>
        <v>0</v>
      </c>
      <c r="GJ215" s="190">
        <f>AX215*AX$2*IF($FC215="V",1,-1)*IF($Q215="Fixo",(DL215-INDEX('Curva Forward'!$C$5:$AN$13,MATCH(CONCATENATE(BD_COMERCIAL!$K215," ",BD_COMERCIAL!$L215),'Curva Forward'!$B$5:$B$13,0),MATCH(GJ$4,'Curva Forward'!$C$4:$AN$4,0))),DL215)</f>
        <v>0</v>
      </c>
      <c r="GK215" s="190">
        <f>AY215*AY$2*IF($FC215="V",1,-1)*IF($Q215="Fixo",(DM215-INDEX('Curva Forward'!$C$5:$AN$13,MATCH(CONCATENATE(BD_COMERCIAL!$K215," ",BD_COMERCIAL!$L215),'Curva Forward'!$B$5:$B$13,0),MATCH(GK$4,'Curva Forward'!$C$4:$AN$4,0))),DM215)</f>
        <v>0</v>
      </c>
      <c r="GL215" s="190">
        <f>IF(EZ215="",0,CL215*CL$2*IF($FC215="V",1,-1)*IF($Q215="Fixo",(EZ215-INDEX('Curva Forward'!$C$5:$AN$13,MATCH(CONCATENATE(BD_COMERCIAL!$K215," ",BD_COMERCIAL!$L215),'Curva Forward'!$B$5:$B$13,0),MATCH(GL$4,'Curva Forward'!$C$4:$AN$4,0))),EZ215))</f>
        <v>0</v>
      </c>
      <c r="GM215" s="190">
        <f>IF(FA215="",0,CM215*CM$2*IF($FC215="V",1,-1)*IF($Q215="Fixo",(FA215-INDEX('Curva Forward'!$C$5:$AN$13,MATCH(CONCATENATE(BD_COMERCIAL!$K215," ",BD_COMERCIAL!$L215),'Curva Forward'!$B$5:$B$13,0),MATCH(GM$4,'Curva Forward'!$C$4:$AN$4,0))),FA215))</f>
        <v>0</v>
      </c>
      <c r="GN215" s="190">
        <f>IF(FB215="",0,CN215*CN$2*IF($FC215="V",1,-1)*IF($Q215="Fixo",(FB215-INDEX('Curva Forward'!$C$5:$AN$13,MATCH(CONCATENATE(BD_COMERCIAL!$K215," ",BD_COMERCIAL!$L215),'Curva Forward'!$B$5:$B$13,0),MATCH(GN$4,'Curva Forward'!$C$4:$AN$4,0))),FB215))</f>
        <v>0</v>
      </c>
      <c r="GO215" s="191">
        <f t="shared" ca="1" si="32"/>
        <v>0</v>
      </c>
      <c r="GP215" s="191">
        <f t="shared" ca="1" si="33"/>
        <v>0</v>
      </c>
      <c r="GQ215" s="115"/>
      <c r="GR215" s="115"/>
      <c r="GS215"/>
      <c r="GT215" s="6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</row>
    <row r="216" spans="1:236" s="265" customFormat="1" ht="15" customHeight="1" x14ac:dyDescent="0.35">
      <c r="A216" s="251"/>
      <c r="B216" s="275"/>
      <c r="C216" s="253"/>
      <c r="D216" s="254"/>
      <c r="E216" s="254"/>
      <c r="F216" s="255"/>
      <c r="G216" s="256"/>
      <c r="H216" s="255"/>
      <c r="I216" s="254"/>
      <c r="J216" s="257"/>
      <c r="K216" s="256"/>
      <c r="L216" s="252"/>
      <c r="M216" s="258"/>
      <c r="N216" s="259"/>
      <c r="O216" s="256"/>
      <c r="P216" s="252"/>
      <c r="Q216" s="252"/>
      <c r="R216" s="256"/>
      <c r="S216" s="260"/>
      <c r="T216" s="258"/>
      <c r="U216" s="259"/>
      <c r="V216" s="261"/>
      <c r="W216" s="252"/>
      <c r="X216" s="262"/>
      <c r="Y216" s="257"/>
      <c r="Z216" s="263"/>
      <c r="AA216" s="264"/>
      <c r="AB216" s="266"/>
      <c r="AM216" s="251"/>
      <c r="AN216" s="266"/>
      <c r="AY216" s="251"/>
      <c r="AZ216" s="266"/>
      <c r="BK216" s="251"/>
      <c r="BL216" s="266"/>
      <c r="BW216" s="251"/>
      <c r="BX216" s="266"/>
      <c r="CI216" s="251"/>
      <c r="CJ216" s="267"/>
      <c r="CK216" s="267"/>
      <c r="CL216" s="267"/>
      <c r="CM216" s="267"/>
      <c r="CN216" s="267"/>
      <c r="CO216" s="268"/>
      <c r="CP216" s="266"/>
      <c r="DA216" s="251"/>
      <c r="DB216" s="266"/>
      <c r="DM216" s="251"/>
      <c r="DN216" s="266"/>
      <c r="DY216" s="251"/>
      <c r="DZ216" s="266"/>
      <c r="EK216" s="251"/>
      <c r="EL216" s="266"/>
      <c r="EW216" s="251"/>
      <c r="EX216" s="267"/>
      <c r="EY216" s="267"/>
      <c r="EZ216" s="267"/>
      <c r="FA216" s="267"/>
      <c r="FB216" s="269"/>
      <c r="FD216" s="270"/>
      <c r="FF216" s="276"/>
      <c r="FH216" s="206">
        <f t="shared" si="27"/>
        <v>0</v>
      </c>
      <c r="FI216" s="198">
        <f t="shared" si="28"/>
        <v>0</v>
      </c>
      <c r="FJ216"/>
      <c r="FK216">
        <f t="shared" si="29"/>
        <v>0</v>
      </c>
      <c r="FL216" s="191">
        <f t="shared" ca="1" si="30"/>
        <v>0</v>
      </c>
      <c r="FM216" s="191">
        <f t="shared" ca="1" si="31"/>
        <v>0</v>
      </c>
      <c r="FN216" s="190">
        <f>AB216*AB$2*IF($FC216="V",1,-1)*IF($Q216="Fixo",(CP216-INDEX('Curva Forward'!$C$5:$AN$13,MATCH(CONCATENATE(BD_COMERCIAL!$K216," ",BD_COMERCIAL!$L216),'Curva Forward'!$B$5:$B$13,0),MATCH(FN$4,'Curva Forward'!$C$4:$AN$4,0))),CP216)</f>
        <v>0</v>
      </c>
      <c r="FO216" s="190">
        <f>AC216*AC$2*IF($FC216="V",1,-1)*IF($Q216="Fixo",(CQ216-INDEX('Curva Forward'!$C$5:$AN$13,MATCH(CONCATENATE(BD_COMERCIAL!$K216," ",BD_COMERCIAL!$L216),'Curva Forward'!$B$5:$B$13,0),MATCH(FO$4,'Curva Forward'!$C$4:$AN$4,0))),CQ216)</f>
        <v>0</v>
      </c>
      <c r="FP216" s="190">
        <f>AD216*AD$2*IF($FC216="V",1,-1)*IF($Q216="Fixo",(CR216-INDEX('Curva Forward'!$C$5:$AN$13,MATCH(CONCATENATE(BD_COMERCIAL!$K216," ",BD_COMERCIAL!$L216),'Curva Forward'!$B$5:$B$13,0),MATCH(FP$4,'Curva Forward'!$C$4:$AN$4,0))),CR216)</f>
        <v>0</v>
      </c>
      <c r="FQ216" s="190">
        <f>AE216*AE$2*IF($FC216="V",1,-1)*IF($Q216="Fixo",(CS216-INDEX('Curva Forward'!$C$5:$AN$13,MATCH(CONCATENATE(BD_COMERCIAL!$K216," ",BD_COMERCIAL!$L216),'Curva Forward'!$B$5:$B$13,0),MATCH(FQ$4,'Curva Forward'!$C$4:$AN$4,0))),CS216)</f>
        <v>0</v>
      </c>
      <c r="FR216" s="190">
        <f>AF216*AF$2*IF($FC216="V",1,-1)*IF($Q216="Fixo",(CT216-INDEX('Curva Forward'!$C$5:$AN$13,MATCH(CONCATENATE(BD_COMERCIAL!$K216," ",BD_COMERCIAL!$L216),'Curva Forward'!$B$5:$B$13,0),MATCH(FR$4,'Curva Forward'!$C$4:$AN$4,0))),CT216)</f>
        <v>0</v>
      </c>
      <c r="FS216" s="190">
        <f>AG216*AG$2*IF($FC216="V",1,-1)*IF($Q216="Fixo",(CU216-INDEX('Curva Forward'!$C$5:$AN$13,MATCH(CONCATENATE(BD_COMERCIAL!$K216," ",BD_COMERCIAL!$L216),'Curva Forward'!$B$5:$B$13,0),MATCH(FS$4,'Curva Forward'!$C$4:$AN$4,0))),CU216)</f>
        <v>0</v>
      </c>
      <c r="FT216" s="190">
        <f>AH216*AH$2*IF($FC216="V",1,-1)*IF($Q216="Fixo",(CV216-INDEX('Curva Forward'!$C$5:$AN$13,MATCH(CONCATENATE(BD_COMERCIAL!$K216," ",BD_COMERCIAL!$L216),'Curva Forward'!$B$5:$B$13,0),MATCH(FT$4,'Curva Forward'!$C$4:$AN$4,0))),CV216)</f>
        <v>0</v>
      </c>
      <c r="FU216" s="190">
        <f>AI216*AI$2*IF($FC216="V",1,-1)*IF($Q216="Fixo",(CW216-INDEX('Curva Forward'!$C$5:$AN$13,MATCH(CONCATENATE(BD_COMERCIAL!$K216," ",BD_COMERCIAL!$L216),'Curva Forward'!$B$5:$B$13,0),MATCH(FU$4,'Curva Forward'!$C$4:$AN$4,0))),CW216)</f>
        <v>0</v>
      </c>
      <c r="FV216" s="190">
        <f>AJ216*AJ$2*IF($FC216="V",1,-1)*IF($Q216="Fixo",(CX216-INDEX('Curva Forward'!$C$5:$AN$13,MATCH(CONCATENATE(BD_COMERCIAL!$K216," ",BD_COMERCIAL!$L216),'Curva Forward'!$B$5:$B$13,0),MATCH(FV$4,'Curva Forward'!$C$4:$AN$4,0))),CX216)</f>
        <v>0</v>
      </c>
      <c r="FW216" s="190">
        <f>AK216*AK$2*IF($FC216="V",1,-1)*IF($Q216="Fixo",(CY216-INDEX('Curva Forward'!$C$5:$AN$13,MATCH(CONCATENATE(BD_COMERCIAL!$K216," ",BD_COMERCIAL!$L216),'Curva Forward'!$B$5:$B$13,0),MATCH(FW$4,'Curva Forward'!$C$4:$AN$4,0))),CY216)</f>
        <v>0</v>
      </c>
      <c r="FX216" s="190">
        <f>AL216*AL$2*IF($FC216="V",1,-1)*IF($Q216="Fixo",(CZ216-INDEX('Curva Forward'!$C$5:$AN$13,MATCH(CONCATENATE(BD_COMERCIAL!$K216," ",BD_COMERCIAL!$L216),'Curva Forward'!$B$5:$B$13,0),MATCH(FX$4,'Curva Forward'!$C$4:$AN$4,0))),CZ216)</f>
        <v>0</v>
      </c>
      <c r="FY216" s="190">
        <f>AM216*AM$2*IF($FC216="V",1,-1)*IF($Q216="Fixo",(DA216-INDEX('Curva Forward'!$C$5:$AN$13,MATCH(CONCATENATE(BD_COMERCIAL!$K216," ",BD_COMERCIAL!$L216),'Curva Forward'!$B$5:$B$13,0),MATCH(FY$4,'Curva Forward'!$C$4:$AN$4,0))),DA216)</f>
        <v>0</v>
      </c>
      <c r="FZ216" s="190">
        <f>AN216*AN$2*IF($FC216="V",1,-1)*IF($Q216="Fixo",(DB216-INDEX('Curva Forward'!$C$5:$AN$13,MATCH(CONCATENATE(BD_COMERCIAL!$K216," ",BD_COMERCIAL!$L216),'Curva Forward'!$B$5:$B$13,0),MATCH(FZ$4,'Curva Forward'!$C$4:$AN$4,0))),DB216)</f>
        <v>0</v>
      </c>
      <c r="GA216" s="190">
        <f>AO216*AO$2*IF($FC216="V",1,-1)*IF($Q216="Fixo",(DC216-INDEX('Curva Forward'!$C$5:$AN$13,MATCH(CONCATENATE(BD_COMERCIAL!$K216," ",BD_COMERCIAL!$L216),'Curva Forward'!$B$5:$B$13,0),MATCH(GA$4,'Curva Forward'!$C$4:$AN$4,0))),DC216)</f>
        <v>0</v>
      </c>
      <c r="GB216" s="190">
        <f>AP216*AP$2*IF($FC216="V",1,-1)*IF($Q216="Fixo",(DD216-INDEX('Curva Forward'!$C$5:$AN$13,MATCH(CONCATENATE(BD_COMERCIAL!$K216," ",BD_COMERCIAL!$L216),'Curva Forward'!$B$5:$B$13,0),MATCH(GB$4,'Curva Forward'!$C$4:$AN$4,0))),DD216)</f>
        <v>0</v>
      </c>
      <c r="GC216" s="190">
        <f>AQ216*AQ$2*IF($FC216="V",1,-1)*IF($Q216="Fixo",(DE216-INDEX('Curva Forward'!$C$5:$AN$13,MATCH(CONCATENATE(BD_COMERCIAL!$K216," ",BD_COMERCIAL!$L216),'Curva Forward'!$B$5:$B$13,0),MATCH(GC$4,'Curva Forward'!$C$4:$AN$4,0))),DE216)</f>
        <v>0</v>
      </c>
      <c r="GD216" s="190">
        <f>AR216*AR$2*IF($FC216="V",1,-1)*IF($Q216="Fixo",(DF216-INDEX('Curva Forward'!$C$5:$AN$13,MATCH(CONCATENATE(BD_COMERCIAL!$K216," ",BD_COMERCIAL!$L216),'Curva Forward'!$B$5:$B$13,0),MATCH(GD$4,'Curva Forward'!$C$4:$AN$4,0))),DF216)</f>
        <v>0</v>
      </c>
      <c r="GE216" s="190">
        <f>AS216*AS$2*IF($FC216="V",1,-1)*IF($Q216="Fixo",(DG216-INDEX('Curva Forward'!$C$5:$AN$13,MATCH(CONCATENATE(BD_COMERCIAL!$K216," ",BD_COMERCIAL!$L216),'Curva Forward'!$B$5:$B$13,0),MATCH(GE$4,'Curva Forward'!$C$4:$AN$4,0))),DG216)</f>
        <v>0</v>
      </c>
      <c r="GF216" s="190">
        <f>AT216*AT$2*IF($FC216="V",1,-1)*IF($Q216="Fixo",(DH216-INDEX('Curva Forward'!$C$5:$AN$13,MATCH(CONCATENATE(BD_COMERCIAL!$K216," ",BD_COMERCIAL!$L216),'Curva Forward'!$B$5:$B$13,0),MATCH(GF$4,'Curva Forward'!$C$4:$AN$4,0))),DH216)</f>
        <v>0</v>
      </c>
      <c r="GG216" s="190">
        <f>AU216*AU$2*IF($FC216="V",1,-1)*IF($Q216="Fixo",(DI216-INDEX('Curva Forward'!$C$5:$AN$13,MATCH(CONCATENATE(BD_COMERCIAL!$K216," ",BD_COMERCIAL!$L216),'Curva Forward'!$B$5:$B$13,0),MATCH(GG$4,'Curva Forward'!$C$4:$AN$4,0))),DI216)</f>
        <v>0</v>
      </c>
      <c r="GH216" s="190">
        <f>AV216*AV$2*IF($FC216="V",1,-1)*IF($Q216="Fixo",(DJ216-INDEX('Curva Forward'!$C$5:$AN$13,MATCH(CONCATENATE(BD_COMERCIAL!$K216," ",BD_COMERCIAL!$L216),'Curva Forward'!$B$5:$B$13,0),MATCH(GH$4,'Curva Forward'!$C$4:$AN$4,0))),DJ216)</f>
        <v>0</v>
      </c>
      <c r="GI216" s="190">
        <f>AW216*AW$2*IF($FC216="V",1,-1)*IF($Q216="Fixo",(DK216-INDEX('Curva Forward'!$C$5:$AN$13,MATCH(CONCATENATE(BD_COMERCIAL!$K216," ",BD_COMERCIAL!$L216),'Curva Forward'!$B$5:$B$13,0),MATCH(GI$4,'Curva Forward'!$C$4:$AN$4,0))),DK216)</f>
        <v>0</v>
      </c>
      <c r="GJ216" s="190">
        <f>AX216*AX$2*IF($FC216="V",1,-1)*IF($Q216="Fixo",(DL216-INDEX('Curva Forward'!$C$5:$AN$13,MATCH(CONCATENATE(BD_COMERCIAL!$K216," ",BD_COMERCIAL!$L216),'Curva Forward'!$B$5:$B$13,0),MATCH(GJ$4,'Curva Forward'!$C$4:$AN$4,0))),DL216)</f>
        <v>0</v>
      </c>
      <c r="GK216" s="190">
        <f>AY216*AY$2*IF($FC216="V",1,-1)*IF($Q216="Fixo",(DM216-INDEX('Curva Forward'!$C$5:$AN$13,MATCH(CONCATENATE(BD_COMERCIAL!$K216," ",BD_COMERCIAL!$L216),'Curva Forward'!$B$5:$B$13,0),MATCH(GK$4,'Curva Forward'!$C$4:$AN$4,0))),DM216)</f>
        <v>0</v>
      </c>
      <c r="GL216" s="190">
        <f>IF(EZ216="",0,CL216*CL$2*IF($FC216="V",1,-1)*IF($Q216="Fixo",(EZ216-INDEX('Curva Forward'!$C$5:$AN$13,MATCH(CONCATENATE(BD_COMERCIAL!$K216," ",BD_COMERCIAL!$L216),'Curva Forward'!$B$5:$B$13,0),MATCH(GL$4,'Curva Forward'!$C$4:$AN$4,0))),EZ216))</f>
        <v>0</v>
      </c>
      <c r="GM216" s="190">
        <f>IF(FA216="",0,CM216*CM$2*IF($FC216="V",1,-1)*IF($Q216="Fixo",(FA216-INDEX('Curva Forward'!$C$5:$AN$13,MATCH(CONCATENATE(BD_COMERCIAL!$K216," ",BD_COMERCIAL!$L216),'Curva Forward'!$B$5:$B$13,0),MATCH(GM$4,'Curva Forward'!$C$4:$AN$4,0))),FA216))</f>
        <v>0</v>
      </c>
      <c r="GN216" s="190">
        <f>IF(FB216="",0,CN216*CN$2*IF($FC216="V",1,-1)*IF($Q216="Fixo",(FB216-INDEX('Curva Forward'!$C$5:$AN$13,MATCH(CONCATENATE(BD_COMERCIAL!$K216," ",BD_COMERCIAL!$L216),'Curva Forward'!$B$5:$B$13,0),MATCH(GN$4,'Curva Forward'!$C$4:$AN$4,0))),FB216))</f>
        <v>0</v>
      </c>
      <c r="GO216" s="191">
        <f t="shared" ca="1" si="32"/>
        <v>0</v>
      </c>
      <c r="GP216" s="191">
        <f t="shared" ca="1" si="33"/>
        <v>0</v>
      </c>
      <c r="GQ216" s="115"/>
      <c r="GR216" s="115"/>
      <c r="GS216"/>
      <c r="GT216" s="65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</row>
    <row r="217" spans="1:236" s="265" customFormat="1" ht="15" customHeight="1" x14ac:dyDescent="0.35">
      <c r="A217" s="251"/>
      <c r="B217" s="275"/>
      <c r="C217" s="253"/>
      <c r="D217" s="254"/>
      <c r="E217" s="254"/>
      <c r="F217" s="255"/>
      <c r="G217" s="256"/>
      <c r="H217" s="255"/>
      <c r="I217" s="254"/>
      <c r="J217" s="257"/>
      <c r="K217" s="256"/>
      <c r="L217" s="252"/>
      <c r="M217" s="258"/>
      <c r="N217" s="259"/>
      <c r="O217" s="256"/>
      <c r="P217" s="252"/>
      <c r="Q217" s="252"/>
      <c r="R217" s="256"/>
      <c r="S217" s="260"/>
      <c r="T217" s="258"/>
      <c r="U217" s="259"/>
      <c r="V217" s="261"/>
      <c r="W217" s="252"/>
      <c r="X217" s="262"/>
      <c r="Y217" s="257"/>
      <c r="Z217" s="263"/>
      <c r="AA217" s="264"/>
      <c r="AB217" s="266"/>
      <c r="AM217" s="251"/>
      <c r="AN217" s="266"/>
      <c r="AY217" s="251"/>
      <c r="AZ217" s="266"/>
      <c r="BK217" s="251"/>
      <c r="BL217" s="266"/>
      <c r="BW217" s="251"/>
      <c r="BX217" s="266"/>
      <c r="CI217" s="251"/>
      <c r="CJ217" s="267"/>
      <c r="CK217" s="267"/>
      <c r="CL217" s="267"/>
      <c r="CM217" s="267"/>
      <c r="CN217" s="267"/>
      <c r="CO217" s="268"/>
      <c r="CP217" s="266"/>
      <c r="DA217" s="251"/>
      <c r="DB217" s="266"/>
      <c r="DM217" s="251"/>
      <c r="DN217" s="266"/>
      <c r="DY217" s="251"/>
      <c r="DZ217" s="266"/>
      <c r="EK217" s="251"/>
      <c r="EL217" s="266"/>
      <c r="EW217" s="251"/>
      <c r="EX217" s="267"/>
      <c r="EY217" s="267"/>
      <c r="EZ217" s="267"/>
      <c r="FA217" s="267"/>
      <c r="FB217" s="269"/>
      <c r="FD217" s="270"/>
      <c r="FF217" s="276"/>
      <c r="FH217" s="206">
        <f t="shared" si="27"/>
        <v>0</v>
      </c>
      <c r="FI217" s="198">
        <f t="shared" si="28"/>
        <v>0</v>
      </c>
      <c r="FJ217"/>
      <c r="FK217">
        <f t="shared" si="29"/>
        <v>0</v>
      </c>
      <c r="FL217" s="191">
        <f t="shared" ca="1" si="30"/>
        <v>0</v>
      </c>
      <c r="FM217" s="191">
        <f t="shared" ca="1" si="31"/>
        <v>0</v>
      </c>
      <c r="FN217" s="190">
        <f>AB217*AB$2*IF($FC217="V",1,-1)*IF($Q217="Fixo",(CP217-INDEX('Curva Forward'!$C$5:$AN$13,MATCH(CONCATENATE(BD_COMERCIAL!$K217," ",BD_COMERCIAL!$L217),'Curva Forward'!$B$5:$B$13,0),MATCH(FN$4,'Curva Forward'!$C$4:$AN$4,0))),CP217)</f>
        <v>0</v>
      </c>
      <c r="FO217" s="190">
        <f>AC217*AC$2*IF($FC217="V",1,-1)*IF($Q217="Fixo",(CQ217-INDEX('Curva Forward'!$C$5:$AN$13,MATCH(CONCATENATE(BD_COMERCIAL!$K217," ",BD_COMERCIAL!$L217),'Curva Forward'!$B$5:$B$13,0),MATCH(FO$4,'Curva Forward'!$C$4:$AN$4,0))),CQ217)</f>
        <v>0</v>
      </c>
      <c r="FP217" s="190">
        <f>AD217*AD$2*IF($FC217="V",1,-1)*IF($Q217="Fixo",(CR217-INDEX('Curva Forward'!$C$5:$AN$13,MATCH(CONCATENATE(BD_COMERCIAL!$K217," ",BD_COMERCIAL!$L217),'Curva Forward'!$B$5:$B$13,0),MATCH(FP$4,'Curva Forward'!$C$4:$AN$4,0))),CR217)</f>
        <v>0</v>
      </c>
      <c r="FQ217" s="190">
        <f>AE217*AE$2*IF($FC217="V",1,-1)*IF($Q217="Fixo",(CS217-INDEX('Curva Forward'!$C$5:$AN$13,MATCH(CONCATENATE(BD_COMERCIAL!$K217," ",BD_COMERCIAL!$L217),'Curva Forward'!$B$5:$B$13,0),MATCH(FQ$4,'Curva Forward'!$C$4:$AN$4,0))),CS217)</f>
        <v>0</v>
      </c>
      <c r="FR217" s="190">
        <f>AF217*AF$2*IF($FC217="V",1,-1)*IF($Q217="Fixo",(CT217-INDEX('Curva Forward'!$C$5:$AN$13,MATCH(CONCATENATE(BD_COMERCIAL!$K217," ",BD_COMERCIAL!$L217),'Curva Forward'!$B$5:$B$13,0),MATCH(FR$4,'Curva Forward'!$C$4:$AN$4,0))),CT217)</f>
        <v>0</v>
      </c>
      <c r="FS217" s="190">
        <f>AG217*AG$2*IF($FC217="V",1,-1)*IF($Q217="Fixo",(CU217-INDEX('Curva Forward'!$C$5:$AN$13,MATCH(CONCATENATE(BD_COMERCIAL!$K217," ",BD_COMERCIAL!$L217),'Curva Forward'!$B$5:$B$13,0),MATCH(FS$4,'Curva Forward'!$C$4:$AN$4,0))),CU217)</f>
        <v>0</v>
      </c>
      <c r="FT217" s="190">
        <f>AH217*AH$2*IF($FC217="V",1,-1)*IF($Q217="Fixo",(CV217-INDEX('Curva Forward'!$C$5:$AN$13,MATCH(CONCATENATE(BD_COMERCIAL!$K217," ",BD_COMERCIAL!$L217),'Curva Forward'!$B$5:$B$13,0),MATCH(FT$4,'Curva Forward'!$C$4:$AN$4,0))),CV217)</f>
        <v>0</v>
      </c>
      <c r="FU217" s="190">
        <f>AI217*AI$2*IF($FC217="V",1,-1)*IF($Q217="Fixo",(CW217-INDEX('Curva Forward'!$C$5:$AN$13,MATCH(CONCATENATE(BD_COMERCIAL!$K217," ",BD_COMERCIAL!$L217),'Curva Forward'!$B$5:$B$13,0),MATCH(FU$4,'Curva Forward'!$C$4:$AN$4,0))),CW217)</f>
        <v>0</v>
      </c>
      <c r="FV217" s="190">
        <f>AJ217*AJ$2*IF($FC217="V",1,-1)*IF($Q217="Fixo",(CX217-INDEX('Curva Forward'!$C$5:$AN$13,MATCH(CONCATENATE(BD_COMERCIAL!$K217," ",BD_COMERCIAL!$L217),'Curva Forward'!$B$5:$B$13,0),MATCH(FV$4,'Curva Forward'!$C$4:$AN$4,0))),CX217)</f>
        <v>0</v>
      </c>
      <c r="FW217" s="190">
        <f>AK217*AK$2*IF($FC217="V",1,-1)*IF($Q217="Fixo",(CY217-INDEX('Curva Forward'!$C$5:$AN$13,MATCH(CONCATENATE(BD_COMERCIAL!$K217," ",BD_COMERCIAL!$L217),'Curva Forward'!$B$5:$B$13,0),MATCH(FW$4,'Curva Forward'!$C$4:$AN$4,0))),CY217)</f>
        <v>0</v>
      </c>
      <c r="FX217" s="190">
        <f>AL217*AL$2*IF($FC217="V",1,-1)*IF($Q217="Fixo",(CZ217-INDEX('Curva Forward'!$C$5:$AN$13,MATCH(CONCATENATE(BD_COMERCIAL!$K217," ",BD_COMERCIAL!$L217),'Curva Forward'!$B$5:$B$13,0),MATCH(FX$4,'Curva Forward'!$C$4:$AN$4,0))),CZ217)</f>
        <v>0</v>
      </c>
      <c r="FY217" s="190">
        <f>AM217*AM$2*IF($FC217="V",1,-1)*IF($Q217="Fixo",(DA217-INDEX('Curva Forward'!$C$5:$AN$13,MATCH(CONCATENATE(BD_COMERCIAL!$K217," ",BD_COMERCIAL!$L217),'Curva Forward'!$B$5:$B$13,0),MATCH(FY$4,'Curva Forward'!$C$4:$AN$4,0))),DA217)</f>
        <v>0</v>
      </c>
      <c r="FZ217" s="190">
        <f>AN217*AN$2*IF($FC217="V",1,-1)*IF($Q217="Fixo",(DB217-INDEX('Curva Forward'!$C$5:$AN$13,MATCH(CONCATENATE(BD_COMERCIAL!$K217," ",BD_COMERCIAL!$L217),'Curva Forward'!$B$5:$B$13,0),MATCH(FZ$4,'Curva Forward'!$C$4:$AN$4,0))),DB217)</f>
        <v>0</v>
      </c>
      <c r="GA217" s="190">
        <f>AO217*AO$2*IF($FC217="V",1,-1)*IF($Q217="Fixo",(DC217-INDEX('Curva Forward'!$C$5:$AN$13,MATCH(CONCATENATE(BD_COMERCIAL!$K217," ",BD_COMERCIAL!$L217),'Curva Forward'!$B$5:$B$13,0),MATCH(GA$4,'Curva Forward'!$C$4:$AN$4,0))),DC217)</f>
        <v>0</v>
      </c>
      <c r="GB217" s="190">
        <f>AP217*AP$2*IF($FC217="V",1,-1)*IF($Q217="Fixo",(DD217-INDEX('Curva Forward'!$C$5:$AN$13,MATCH(CONCATENATE(BD_COMERCIAL!$K217," ",BD_COMERCIAL!$L217),'Curva Forward'!$B$5:$B$13,0),MATCH(GB$4,'Curva Forward'!$C$4:$AN$4,0))),DD217)</f>
        <v>0</v>
      </c>
      <c r="GC217" s="190">
        <f>AQ217*AQ$2*IF($FC217="V",1,-1)*IF($Q217="Fixo",(DE217-INDEX('Curva Forward'!$C$5:$AN$13,MATCH(CONCATENATE(BD_COMERCIAL!$K217," ",BD_COMERCIAL!$L217),'Curva Forward'!$B$5:$B$13,0),MATCH(GC$4,'Curva Forward'!$C$4:$AN$4,0))),DE217)</f>
        <v>0</v>
      </c>
      <c r="GD217" s="190">
        <f>AR217*AR$2*IF($FC217="V",1,-1)*IF($Q217="Fixo",(DF217-INDEX('Curva Forward'!$C$5:$AN$13,MATCH(CONCATENATE(BD_COMERCIAL!$K217," ",BD_COMERCIAL!$L217),'Curva Forward'!$B$5:$B$13,0),MATCH(GD$4,'Curva Forward'!$C$4:$AN$4,0))),DF217)</f>
        <v>0</v>
      </c>
      <c r="GE217" s="190">
        <f>AS217*AS$2*IF($FC217="V",1,-1)*IF($Q217="Fixo",(DG217-INDEX('Curva Forward'!$C$5:$AN$13,MATCH(CONCATENATE(BD_COMERCIAL!$K217," ",BD_COMERCIAL!$L217),'Curva Forward'!$B$5:$B$13,0),MATCH(GE$4,'Curva Forward'!$C$4:$AN$4,0))),DG217)</f>
        <v>0</v>
      </c>
      <c r="GF217" s="190">
        <f>AT217*AT$2*IF($FC217="V",1,-1)*IF($Q217="Fixo",(DH217-INDEX('Curva Forward'!$C$5:$AN$13,MATCH(CONCATENATE(BD_COMERCIAL!$K217," ",BD_COMERCIAL!$L217),'Curva Forward'!$B$5:$B$13,0),MATCH(GF$4,'Curva Forward'!$C$4:$AN$4,0))),DH217)</f>
        <v>0</v>
      </c>
      <c r="GG217" s="190">
        <f>AU217*AU$2*IF($FC217="V",1,-1)*IF($Q217="Fixo",(DI217-INDEX('Curva Forward'!$C$5:$AN$13,MATCH(CONCATENATE(BD_COMERCIAL!$K217," ",BD_COMERCIAL!$L217),'Curva Forward'!$B$5:$B$13,0),MATCH(GG$4,'Curva Forward'!$C$4:$AN$4,0))),DI217)</f>
        <v>0</v>
      </c>
      <c r="GH217" s="190">
        <f>AV217*AV$2*IF($FC217="V",1,-1)*IF($Q217="Fixo",(DJ217-INDEX('Curva Forward'!$C$5:$AN$13,MATCH(CONCATENATE(BD_COMERCIAL!$K217," ",BD_COMERCIAL!$L217),'Curva Forward'!$B$5:$B$13,0),MATCH(GH$4,'Curva Forward'!$C$4:$AN$4,0))),DJ217)</f>
        <v>0</v>
      </c>
      <c r="GI217" s="190">
        <f>AW217*AW$2*IF($FC217="V",1,-1)*IF($Q217="Fixo",(DK217-INDEX('Curva Forward'!$C$5:$AN$13,MATCH(CONCATENATE(BD_COMERCIAL!$K217," ",BD_COMERCIAL!$L217),'Curva Forward'!$B$5:$B$13,0),MATCH(GI$4,'Curva Forward'!$C$4:$AN$4,0))),DK217)</f>
        <v>0</v>
      </c>
      <c r="GJ217" s="190">
        <f>AX217*AX$2*IF($FC217="V",1,-1)*IF($Q217="Fixo",(DL217-INDEX('Curva Forward'!$C$5:$AN$13,MATCH(CONCATENATE(BD_COMERCIAL!$K217," ",BD_COMERCIAL!$L217),'Curva Forward'!$B$5:$B$13,0),MATCH(GJ$4,'Curva Forward'!$C$4:$AN$4,0))),DL217)</f>
        <v>0</v>
      </c>
      <c r="GK217" s="190">
        <f>AY217*AY$2*IF($FC217="V",1,-1)*IF($Q217="Fixo",(DM217-INDEX('Curva Forward'!$C$5:$AN$13,MATCH(CONCATENATE(BD_COMERCIAL!$K217," ",BD_COMERCIAL!$L217),'Curva Forward'!$B$5:$B$13,0),MATCH(GK$4,'Curva Forward'!$C$4:$AN$4,0))),DM217)</f>
        <v>0</v>
      </c>
      <c r="GL217" s="190">
        <f>IF(EZ217="",0,CL217*CL$2*IF($FC217="V",1,-1)*IF($Q217="Fixo",(EZ217-INDEX('Curva Forward'!$C$5:$AN$13,MATCH(CONCATENATE(BD_COMERCIAL!$K217," ",BD_COMERCIAL!$L217),'Curva Forward'!$B$5:$B$13,0),MATCH(GL$4,'Curva Forward'!$C$4:$AN$4,0))),EZ217))</f>
        <v>0</v>
      </c>
      <c r="GM217" s="190">
        <f>IF(FA217="",0,CM217*CM$2*IF($FC217="V",1,-1)*IF($Q217="Fixo",(FA217-INDEX('Curva Forward'!$C$5:$AN$13,MATCH(CONCATENATE(BD_COMERCIAL!$K217," ",BD_COMERCIAL!$L217),'Curva Forward'!$B$5:$B$13,0),MATCH(GM$4,'Curva Forward'!$C$4:$AN$4,0))),FA217))</f>
        <v>0</v>
      </c>
      <c r="GN217" s="190">
        <f>IF(FB217="",0,CN217*CN$2*IF($FC217="V",1,-1)*IF($Q217="Fixo",(FB217-INDEX('Curva Forward'!$C$5:$AN$13,MATCH(CONCATENATE(BD_COMERCIAL!$K217," ",BD_COMERCIAL!$L217),'Curva Forward'!$B$5:$B$13,0),MATCH(GN$4,'Curva Forward'!$C$4:$AN$4,0))),FB217))</f>
        <v>0</v>
      </c>
      <c r="GO217" s="191">
        <f t="shared" ca="1" si="32"/>
        <v>0</v>
      </c>
      <c r="GP217" s="191">
        <f t="shared" ca="1" si="33"/>
        <v>0</v>
      </c>
      <c r="GQ217" s="115"/>
      <c r="GR217" s="115"/>
      <c r="GS217"/>
      <c r="GT217" s="65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</row>
    <row r="218" spans="1:236" s="265" customFormat="1" ht="15" customHeight="1" x14ac:dyDescent="0.35">
      <c r="A218" s="251"/>
      <c r="B218" s="275"/>
      <c r="C218" s="253"/>
      <c r="D218" s="254"/>
      <c r="E218" s="254"/>
      <c r="F218" s="255"/>
      <c r="G218" s="256"/>
      <c r="H218" s="255"/>
      <c r="I218" s="254"/>
      <c r="J218" s="257"/>
      <c r="K218" s="256"/>
      <c r="L218" s="252"/>
      <c r="M218" s="258"/>
      <c r="N218" s="259"/>
      <c r="O218" s="256"/>
      <c r="P218" s="252"/>
      <c r="Q218" s="252"/>
      <c r="R218" s="256"/>
      <c r="S218" s="260"/>
      <c r="T218" s="258"/>
      <c r="U218" s="259"/>
      <c r="V218" s="261"/>
      <c r="W218" s="252"/>
      <c r="X218" s="262"/>
      <c r="Y218" s="257"/>
      <c r="Z218" s="263"/>
      <c r="AA218" s="264"/>
      <c r="AB218" s="266"/>
      <c r="AM218" s="251"/>
      <c r="AN218" s="266"/>
      <c r="AY218" s="251"/>
      <c r="AZ218" s="266"/>
      <c r="BK218" s="251"/>
      <c r="BL218" s="266"/>
      <c r="BW218" s="251"/>
      <c r="BX218" s="266"/>
      <c r="CI218" s="251"/>
      <c r="CJ218" s="267"/>
      <c r="CK218" s="267"/>
      <c r="CL218" s="267"/>
      <c r="CM218" s="267"/>
      <c r="CN218" s="267"/>
      <c r="CO218" s="268"/>
      <c r="CP218" s="266"/>
      <c r="DA218" s="251"/>
      <c r="DB218" s="266"/>
      <c r="DM218" s="251"/>
      <c r="DN218" s="266"/>
      <c r="DY218" s="251"/>
      <c r="DZ218" s="266"/>
      <c r="EK218" s="251"/>
      <c r="EL218" s="266"/>
      <c r="EW218" s="251"/>
      <c r="EX218" s="267"/>
      <c r="EY218" s="267"/>
      <c r="EZ218" s="267"/>
      <c r="FA218" s="267"/>
      <c r="FB218" s="269"/>
      <c r="FD218" s="270"/>
      <c r="FF218" s="276"/>
      <c r="FH218" s="206">
        <f t="shared" si="27"/>
        <v>0</v>
      </c>
      <c r="FI218" s="198">
        <f t="shared" si="28"/>
        <v>0</v>
      </c>
      <c r="FJ218"/>
      <c r="FK218">
        <f t="shared" si="29"/>
        <v>0</v>
      </c>
      <c r="FL218" s="191">
        <f t="shared" ca="1" si="30"/>
        <v>0</v>
      </c>
      <c r="FM218" s="191">
        <f t="shared" ca="1" si="31"/>
        <v>0</v>
      </c>
      <c r="FN218" s="190">
        <f>AB218*AB$2*IF($FC218="V",1,-1)*IF($Q218="Fixo",(CP218-INDEX('Curva Forward'!$C$5:$AN$13,MATCH(CONCATENATE(BD_COMERCIAL!$K218," ",BD_COMERCIAL!$L218),'Curva Forward'!$B$5:$B$13,0),MATCH(FN$4,'Curva Forward'!$C$4:$AN$4,0))),CP218)</f>
        <v>0</v>
      </c>
      <c r="FO218" s="190">
        <f>AC218*AC$2*IF($FC218="V",1,-1)*IF($Q218="Fixo",(CQ218-INDEX('Curva Forward'!$C$5:$AN$13,MATCH(CONCATENATE(BD_COMERCIAL!$K218," ",BD_COMERCIAL!$L218),'Curva Forward'!$B$5:$B$13,0),MATCH(FO$4,'Curva Forward'!$C$4:$AN$4,0))),CQ218)</f>
        <v>0</v>
      </c>
      <c r="FP218" s="190">
        <f>AD218*AD$2*IF($FC218="V",1,-1)*IF($Q218="Fixo",(CR218-INDEX('Curva Forward'!$C$5:$AN$13,MATCH(CONCATENATE(BD_COMERCIAL!$K218," ",BD_COMERCIAL!$L218),'Curva Forward'!$B$5:$B$13,0),MATCH(FP$4,'Curva Forward'!$C$4:$AN$4,0))),CR218)</f>
        <v>0</v>
      </c>
      <c r="FQ218" s="190">
        <f>AE218*AE$2*IF($FC218="V",1,-1)*IF($Q218="Fixo",(CS218-INDEX('Curva Forward'!$C$5:$AN$13,MATCH(CONCATENATE(BD_COMERCIAL!$K218," ",BD_COMERCIAL!$L218),'Curva Forward'!$B$5:$B$13,0),MATCH(FQ$4,'Curva Forward'!$C$4:$AN$4,0))),CS218)</f>
        <v>0</v>
      </c>
      <c r="FR218" s="190">
        <f>AF218*AF$2*IF($FC218="V",1,-1)*IF($Q218="Fixo",(CT218-INDEX('Curva Forward'!$C$5:$AN$13,MATCH(CONCATENATE(BD_COMERCIAL!$K218," ",BD_COMERCIAL!$L218),'Curva Forward'!$B$5:$B$13,0),MATCH(FR$4,'Curva Forward'!$C$4:$AN$4,0))),CT218)</f>
        <v>0</v>
      </c>
      <c r="FS218" s="190">
        <f>AG218*AG$2*IF($FC218="V",1,-1)*IF($Q218="Fixo",(CU218-INDEX('Curva Forward'!$C$5:$AN$13,MATCH(CONCATENATE(BD_COMERCIAL!$K218," ",BD_COMERCIAL!$L218),'Curva Forward'!$B$5:$B$13,0),MATCH(FS$4,'Curva Forward'!$C$4:$AN$4,0))),CU218)</f>
        <v>0</v>
      </c>
      <c r="FT218" s="190">
        <f>AH218*AH$2*IF($FC218="V",1,-1)*IF($Q218="Fixo",(CV218-INDEX('Curva Forward'!$C$5:$AN$13,MATCH(CONCATENATE(BD_COMERCIAL!$K218," ",BD_COMERCIAL!$L218),'Curva Forward'!$B$5:$B$13,0),MATCH(FT$4,'Curva Forward'!$C$4:$AN$4,0))),CV218)</f>
        <v>0</v>
      </c>
      <c r="FU218" s="190">
        <f>AI218*AI$2*IF($FC218="V",1,-1)*IF($Q218="Fixo",(CW218-INDEX('Curva Forward'!$C$5:$AN$13,MATCH(CONCATENATE(BD_COMERCIAL!$K218," ",BD_COMERCIAL!$L218),'Curva Forward'!$B$5:$B$13,0),MATCH(FU$4,'Curva Forward'!$C$4:$AN$4,0))),CW218)</f>
        <v>0</v>
      </c>
      <c r="FV218" s="190">
        <f>AJ218*AJ$2*IF($FC218="V",1,-1)*IF($Q218="Fixo",(CX218-INDEX('Curva Forward'!$C$5:$AN$13,MATCH(CONCATENATE(BD_COMERCIAL!$K218," ",BD_COMERCIAL!$L218),'Curva Forward'!$B$5:$B$13,0),MATCH(FV$4,'Curva Forward'!$C$4:$AN$4,0))),CX218)</f>
        <v>0</v>
      </c>
      <c r="FW218" s="190">
        <f>AK218*AK$2*IF($FC218="V",1,-1)*IF($Q218="Fixo",(CY218-INDEX('Curva Forward'!$C$5:$AN$13,MATCH(CONCATENATE(BD_COMERCIAL!$K218," ",BD_COMERCIAL!$L218),'Curva Forward'!$B$5:$B$13,0),MATCH(FW$4,'Curva Forward'!$C$4:$AN$4,0))),CY218)</f>
        <v>0</v>
      </c>
      <c r="FX218" s="190">
        <f>AL218*AL$2*IF($FC218="V",1,-1)*IF($Q218="Fixo",(CZ218-INDEX('Curva Forward'!$C$5:$AN$13,MATCH(CONCATENATE(BD_COMERCIAL!$K218," ",BD_COMERCIAL!$L218),'Curva Forward'!$B$5:$B$13,0),MATCH(FX$4,'Curva Forward'!$C$4:$AN$4,0))),CZ218)</f>
        <v>0</v>
      </c>
      <c r="FY218" s="190">
        <f>AM218*AM$2*IF($FC218="V",1,-1)*IF($Q218="Fixo",(DA218-INDEX('Curva Forward'!$C$5:$AN$13,MATCH(CONCATENATE(BD_COMERCIAL!$K218," ",BD_COMERCIAL!$L218),'Curva Forward'!$B$5:$B$13,0),MATCH(FY$4,'Curva Forward'!$C$4:$AN$4,0))),DA218)</f>
        <v>0</v>
      </c>
      <c r="FZ218" s="190">
        <f>AN218*AN$2*IF($FC218="V",1,-1)*IF($Q218="Fixo",(DB218-INDEX('Curva Forward'!$C$5:$AN$13,MATCH(CONCATENATE(BD_COMERCIAL!$K218," ",BD_COMERCIAL!$L218),'Curva Forward'!$B$5:$B$13,0),MATCH(FZ$4,'Curva Forward'!$C$4:$AN$4,0))),DB218)</f>
        <v>0</v>
      </c>
      <c r="GA218" s="190">
        <f>AO218*AO$2*IF($FC218="V",1,-1)*IF($Q218="Fixo",(DC218-INDEX('Curva Forward'!$C$5:$AN$13,MATCH(CONCATENATE(BD_COMERCIAL!$K218," ",BD_COMERCIAL!$L218),'Curva Forward'!$B$5:$B$13,0),MATCH(GA$4,'Curva Forward'!$C$4:$AN$4,0))),DC218)</f>
        <v>0</v>
      </c>
      <c r="GB218" s="190">
        <f>AP218*AP$2*IF($FC218="V",1,-1)*IF($Q218="Fixo",(DD218-INDEX('Curva Forward'!$C$5:$AN$13,MATCH(CONCATENATE(BD_COMERCIAL!$K218," ",BD_COMERCIAL!$L218),'Curva Forward'!$B$5:$B$13,0),MATCH(GB$4,'Curva Forward'!$C$4:$AN$4,0))),DD218)</f>
        <v>0</v>
      </c>
      <c r="GC218" s="190">
        <f>AQ218*AQ$2*IF($FC218="V",1,-1)*IF($Q218="Fixo",(DE218-INDEX('Curva Forward'!$C$5:$AN$13,MATCH(CONCATENATE(BD_COMERCIAL!$K218," ",BD_COMERCIAL!$L218),'Curva Forward'!$B$5:$B$13,0),MATCH(GC$4,'Curva Forward'!$C$4:$AN$4,0))),DE218)</f>
        <v>0</v>
      </c>
      <c r="GD218" s="190">
        <f>AR218*AR$2*IF($FC218="V",1,-1)*IF($Q218="Fixo",(DF218-INDEX('Curva Forward'!$C$5:$AN$13,MATCH(CONCATENATE(BD_COMERCIAL!$K218," ",BD_COMERCIAL!$L218),'Curva Forward'!$B$5:$B$13,0),MATCH(GD$4,'Curva Forward'!$C$4:$AN$4,0))),DF218)</f>
        <v>0</v>
      </c>
      <c r="GE218" s="190">
        <f>AS218*AS$2*IF($FC218="V",1,-1)*IF($Q218="Fixo",(DG218-INDEX('Curva Forward'!$C$5:$AN$13,MATCH(CONCATENATE(BD_COMERCIAL!$K218," ",BD_COMERCIAL!$L218),'Curva Forward'!$B$5:$B$13,0),MATCH(GE$4,'Curva Forward'!$C$4:$AN$4,0))),DG218)</f>
        <v>0</v>
      </c>
      <c r="GF218" s="190">
        <f>AT218*AT$2*IF($FC218="V",1,-1)*IF($Q218="Fixo",(DH218-INDEX('Curva Forward'!$C$5:$AN$13,MATCH(CONCATENATE(BD_COMERCIAL!$K218," ",BD_COMERCIAL!$L218),'Curva Forward'!$B$5:$B$13,0),MATCH(GF$4,'Curva Forward'!$C$4:$AN$4,0))),DH218)</f>
        <v>0</v>
      </c>
      <c r="GG218" s="190">
        <f>AU218*AU$2*IF($FC218="V",1,-1)*IF($Q218="Fixo",(DI218-INDEX('Curva Forward'!$C$5:$AN$13,MATCH(CONCATENATE(BD_COMERCIAL!$K218," ",BD_COMERCIAL!$L218),'Curva Forward'!$B$5:$B$13,0),MATCH(GG$4,'Curva Forward'!$C$4:$AN$4,0))),DI218)</f>
        <v>0</v>
      </c>
      <c r="GH218" s="190">
        <f>AV218*AV$2*IF($FC218="V",1,-1)*IF($Q218="Fixo",(DJ218-INDEX('Curva Forward'!$C$5:$AN$13,MATCH(CONCATENATE(BD_COMERCIAL!$K218," ",BD_COMERCIAL!$L218),'Curva Forward'!$B$5:$B$13,0),MATCH(GH$4,'Curva Forward'!$C$4:$AN$4,0))),DJ218)</f>
        <v>0</v>
      </c>
      <c r="GI218" s="190">
        <f>AW218*AW$2*IF($FC218="V",1,-1)*IF($Q218="Fixo",(DK218-INDEX('Curva Forward'!$C$5:$AN$13,MATCH(CONCATENATE(BD_COMERCIAL!$K218," ",BD_COMERCIAL!$L218),'Curva Forward'!$B$5:$B$13,0),MATCH(GI$4,'Curva Forward'!$C$4:$AN$4,0))),DK218)</f>
        <v>0</v>
      </c>
      <c r="GJ218" s="190">
        <f>AX218*AX$2*IF($FC218="V",1,-1)*IF($Q218="Fixo",(DL218-INDEX('Curva Forward'!$C$5:$AN$13,MATCH(CONCATENATE(BD_COMERCIAL!$K218," ",BD_COMERCIAL!$L218),'Curva Forward'!$B$5:$B$13,0),MATCH(GJ$4,'Curva Forward'!$C$4:$AN$4,0))),DL218)</f>
        <v>0</v>
      </c>
      <c r="GK218" s="190">
        <f>AY218*AY$2*IF($FC218="V",1,-1)*IF($Q218="Fixo",(DM218-INDEX('Curva Forward'!$C$5:$AN$13,MATCH(CONCATENATE(BD_COMERCIAL!$K218," ",BD_COMERCIAL!$L218),'Curva Forward'!$B$5:$B$13,0),MATCH(GK$4,'Curva Forward'!$C$4:$AN$4,0))),DM218)</f>
        <v>0</v>
      </c>
      <c r="GL218" s="190">
        <f>IF(EZ218="",0,CL218*CL$2*IF($FC218="V",1,-1)*IF($Q218="Fixo",(EZ218-INDEX('Curva Forward'!$C$5:$AN$13,MATCH(CONCATENATE(BD_COMERCIAL!$K218," ",BD_COMERCIAL!$L218),'Curva Forward'!$B$5:$B$13,0),MATCH(GL$4,'Curva Forward'!$C$4:$AN$4,0))),EZ218))</f>
        <v>0</v>
      </c>
      <c r="GM218" s="190">
        <f>IF(FA218="",0,CM218*CM$2*IF($FC218="V",1,-1)*IF($Q218="Fixo",(FA218-INDEX('Curva Forward'!$C$5:$AN$13,MATCH(CONCATENATE(BD_COMERCIAL!$K218," ",BD_COMERCIAL!$L218),'Curva Forward'!$B$5:$B$13,0),MATCH(GM$4,'Curva Forward'!$C$4:$AN$4,0))),FA218))</f>
        <v>0</v>
      </c>
      <c r="GN218" s="190">
        <f>IF(FB218="",0,CN218*CN$2*IF($FC218="V",1,-1)*IF($Q218="Fixo",(FB218-INDEX('Curva Forward'!$C$5:$AN$13,MATCH(CONCATENATE(BD_COMERCIAL!$K218," ",BD_COMERCIAL!$L218),'Curva Forward'!$B$5:$B$13,0),MATCH(GN$4,'Curva Forward'!$C$4:$AN$4,0))),FB218))</f>
        <v>0</v>
      </c>
      <c r="GO218" s="191">
        <f t="shared" ca="1" si="32"/>
        <v>0</v>
      </c>
      <c r="GP218" s="191">
        <f t="shared" ca="1" si="33"/>
        <v>0</v>
      </c>
      <c r="GQ218" s="115"/>
      <c r="GR218" s="115"/>
      <c r="GS218"/>
      <c r="GT218" s="65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</row>
    <row r="219" spans="1:236" s="265" customFormat="1" ht="15" customHeight="1" x14ac:dyDescent="0.35">
      <c r="A219" s="251"/>
      <c r="B219" s="275"/>
      <c r="C219" s="253"/>
      <c r="D219" s="254"/>
      <c r="E219" s="254"/>
      <c r="F219" s="255"/>
      <c r="G219" s="256"/>
      <c r="H219" s="255"/>
      <c r="I219" s="254"/>
      <c r="J219" s="257"/>
      <c r="K219" s="256"/>
      <c r="L219" s="252"/>
      <c r="M219" s="258"/>
      <c r="N219" s="259"/>
      <c r="O219" s="256"/>
      <c r="P219" s="252"/>
      <c r="Q219" s="252"/>
      <c r="R219" s="256"/>
      <c r="S219" s="260"/>
      <c r="T219" s="258"/>
      <c r="U219" s="259"/>
      <c r="V219" s="261"/>
      <c r="W219" s="252"/>
      <c r="X219" s="262"/>
      <c r="Y219" s="257"/>
      <c r="Z219" s="263"/>
      <c r="AA219" s="264"/>
      <c r="AB219" s="266"/>
      <c r="AM219" s="251"/>
      <c r="AN219" s="266"/>
      <c r="AY219" s="251"/>
      <c r="AZ219" s="266"/>
      <c r="BK219" s="251"/>
      <c r="BL219" s="266"/>
      <c r="BW219" s="251"/>
      <c r="BX219" s="266"/>
      <c r="CI219" s="251"/>
      <c r="CJ219" s="267"/>
      <c r="CK219" s="267"/>
      <c r="CL219" s="267"/>
      <c r="CM219" s="267"/>
      <c r="CN219" s="267"/>
      <c r="CO219" s="268"/>
      <c r="CP219" s="266"/>
      <c r="DA219" s="251"/>
      <c r="DB219" s="266"/>
      <c r="DM219" s="251"/>
      <c r="DN219" s="266"/>
      <c r="DY219" s="251"/>
      <c r="DZ219" s="266"/>
      <c r="EK219" s="251"/>
      <c r="EL219" s="266"/>
      <c r="EW219" s="251"/>
      <c r="EX219" s="267"/>
      <c r="EY219" s="267"/>
      <c r="EZ219" s="267"/>
      <c r="FA219" s="267"/>
      <c r="FB219" s="269"/>
      <c r="FD219" s="270"/>
      <c r="FF219" s="276"/>
      <c r="FH219" s="206">
        <f t="shared" si="27"/>
        <v>0</v>
      </c>
      <c r="FI219" s="198">
        <f t="shared" si="28"/>
        <v>0</v>
      </c>
      <c r="FJ219"/>
      <c r="FK219">
        <f t="shared" si="29"/>
        <v>0</v>
      </c>
      <c r="FL219" s="191">
        <f t="shared" ca="1" si="30"/>
        <v>0</v>
      </c>
      <c r="FM219" s="191">
        <f t="shared" ca="1" si="31"/>
        <v>0</v>
      </c>
      <c r="FN219" s="190">
        <f>AB219*AB$2*IF($FC219="V",1,-1)*IF($Q219="Fixo",(CP219-INDEX('Curva Forward'!$C$5:$AN$13,MATCH(CONCATENATE(BD_COMERCIAL!$K219," ",BD_COMERCIAL!$L219),'Curva Forward'!$B$5:$B$13,0),MATCH(FN$4,'Curva Forward'!$C$4:$AN$4,0))),CP219)</f>
        <v>0</v>
      </c>
      <c r="FO219" s="190">
        <f>AC219*AC$2*IF($FC219="V",1,-1)*IF($Q219="Fixo",(CQ219-INDEX('Curva Forward'!$C$5:$AN$13,MATCH(CONCATENATE(BD_COMERCIAL!$K219," ",BD_COMERCIAL!$L219),'Curva Forward'!$B$5:$B$13,0),MATCH(FO$4,'Curva Forward'!$C$4:$AN$4,0))),CQ219)</f>
        <v>0</v>
      </c>
      <c r="FP219" s="190">
        <f>AD219*AD$2*IF($FC219="V",1,-1)*IF($Q219="Fixo",(CR219-INDEX('Curva Forward'!$C$5:$AN$13,MATCH(CONCATENATE(BD_COMERCIAL!$K219," ",BD_COMERCIAL!$L219),'Curva Forward'!$B$5:$B$13,0),MATCH(FP$4,'Curva Forward'!$C$4:$AN$4,0))),CR219)</f>
        <v>0</v>
      </c>
      <c r="FQ219" s="190">
        <f>AE219*AE$2*IF($FC219="V",1,-1)*IF($Q219="Fixo",(CS219-INDEX('Curva Forward'!$C$5:$AN$13,MATCH(CONCATENATE(BD_COMERCIAL!$K219," ",BD_COMERCIAL!$L219),'Curva Forward'!$B$5:$B$13,0),MATCH(FQ$4,'Curva Forward'!$C$4:$AN$4,0))),CS219)</f>
        <v>0</v>
      </c>
      <c r="FR219" s="190">
        <f>AF219*AF$2*IF($FC219="V",1,-1)*IF($Q219="Fixo",(CT219-INDEX('Curva Forward'!$C$5:$AN$13,MATCH(CONCATENATE(BD_COMERCIAL!$K219," ",BD_COMERCIAL!$L219),'Curva Forward'!$B$5:$B$13,0),MATCH(FR$4,'Curva Forward'!$C$4:$AN$4,0))),CT219)</f>
        <v>0</v>
      </c>
      <c r="FS219" s="190">
        <f>AG219*AG$2*IF($FC219="V",1,-1)*IF($Q219="Fixo",(CU219-INDEX('Curva Forward'!$C$5:$AN$13,MATCH(CONCATENATE(BD_COMERCIAL!$K219," ",BD_COMERCIAL!$L219),'Curva Forward'!$B$5:$B$13,0),MATCH(FS$4,'Curva Forward'!$C$4:$AN$4,0))),CU219)</f>
        <v>0</v>
      </c>
      <c r="FT219" s="190">
        <f>AH219*AH$2*IF($FC219="V",1,-1)*IF($Q219="Fixo",(CV219-INDEX('Curva Forward'!$C$5:$AN$13,MATCH(CONCATENATE(BD_COMERCIAL!$K219," ",BD_COMERCIAL!$L219),'Curva Forward'!$B$5:$B$13,0),MATCH(FT$4,'Curva Forward'!$C$4:$AN$4,0))),CV219)</f>
        <v>0</v>
      </c>
      <c r="FU219" s="190">
        <f>AI219*AI$2*IF($FC219="V",1,-1)*IF($Q219="Fixo",(CW219-INDEX('Curva Forward'!$C$5:$AN$13,MATCH(CONCATENATE(BD_COMERCIAL!$K219," ",BD_COMERCIAL!$L219),'Curva Forward'!$B$5:$B$13,0),MATCH(FU$4,'Curva Forward'!$C$4:$AN$4,0))),CW219)</f>
        <v>0</v>
      </c>
      <c r="FV219" s="190">
        <f>AJ219*AJ$2*IF($FC219="V",1,-1)*IF($Q219="Fixo",(CX219-INDEX('Curva Forward'!$C$5:$AN$13,MATCH(CONCATENATE(BD_COMERCIAL!$K219," ",BD_COMERCIAL!$L219),'Curva Forward'!$B$5:$B$13,0),MATCH(FV$4,'Curva Forward'!$C$4:$AN$4,0))),CX219)</f>
        <v>0</v>
      </c>
      <c r="FW219" s="190">
        <f>AK219*AK$2*IF($FC219="V",1,-1)*IF($Q219="Fixo",(CY219-INDEX('Curva Forward'!$C$5:$AN$13,MATCH(CONCATENATE(BD_COMERCIAL!$K219," ",BD_COMERCIAL!$L219),'Curva Forward'!$B$5:$B$13,0),MATCH(FW$4,'Curva Forward'!$C$4:$AN$4,0))),CY219)</f>
        <v>0</v>
      </c>
      <c r="FX219" s="190">
        <f>AL219*AL$2*IF($FC219="V",1,-1)*IF($Q219="Fixo",(CZ219-INDEX('Curva Forward'!$C$5:$AN$13,MATCH(CONCATENATE(BD_COMERCIAL!$K219," ",BD_COMERCIAL!$L219),'Curva Forward'!$B$5:$B$13,0),MATCH(FX$4,'Curva Forward'!$C$4:$AN$4,0))),CZ219)</f>
        <v>0</v>
      </c>
      <c r="FY219" s="190">
        <f>AM219*AM$2*IF($FC219="V",1,-1)*IF($Q219="Fixo",(DA219-INDEX('Curva Forward'!$C$5:$AN$13,MATCH(CONCATENATE(BD_COMERCIAL!$K219," ",BD_COMERCIAL!$L219),'Curva Forward'!$B$5:$B$13,0),MATCH(FY$4,'Curva Forward'!$C$4:$AN$4,0))),DA219)</f>
        <v>0</v>
      </c>
      <c r="FZ219" s="190">
        <f>AN219*AN$2*IF($FC219="V",1,-1)*IF($Q219="Fixo",(DB219-INDEX('Curva Forward'!$C$5:$AN$13,MATCH(CONCATENATE(BD_COMERCIAL!$K219," ",BD_COMERCIAL!$L219),'Curva Forward'!$B$5:$B$13,0),MATCH(FZ$4,'Curva Forward'!$C$4:$AN$4,0))),DB219)</f>
        <v>0</v>
      </c>
      <c r="GA219" s="190">
        <f>AO219*AO$2*IF($FC219="V",1,-1)*IF($Q219="Fixo",(DC219-INDEX('Curva Forward'!$C$5:$AN$13,MATCH(CONCATENATE(BD_COMERCIAL!$K219," ",BD_COMERCIAL!$L219),'Curva Forward'!$B$5:$B$13,0),MATCH(GA$4,'Curva Forward'!$C$4:$AN$4,0))),DC219)</f>
        <v>0</v>
      </c>
      <c r="GB219" s="190">
        <f>AP219*AP$2*IF($FC219="V",1,-1)*IF($Q219="Fixo",(DD219-INDEX('Curva Forward'!$C$5:$AN$13,MATCH(CONCATENATE(BD_COMERCIAL!$K219," ",BD_COMERCIAL!$L219),'Curva Forward'!$B$5:$B$13,0),MATCH(GB$4,'Curva Forward'!$C$4:$AN$4,0))),DD219)</f>
        <v>0</v>
      </c>
      <c r="GC219" s="190">
        <f>AQ219*AQ$2*IF($FC219="V",1,-1)*IF($Q219="Fixo",(DE219-INDEX('Curva Forward'!$C$5:$AN$13,MATCH(CONCATENATE(BD_COMERCIAL!$K219," ",BD_COMERCIAL!$L219),'Curva Forward'!$B$5:$B$13,0),MATCH(GC$4,'Curva Forward'!$C$4:$AN$4,0))),DE219)</f>
        <v>0</v>
      </c>
      <c r="GD219" s="190">
        <f>AR219*AR$2*IF($FC219="V",1,-1)*IF($Q219="Fixo",(DF219-INDEX('Curva Forward'!$C$5:$AN$13,MATCH(CONCATENATE(BD_COMERCIAL!$K219," ",BD_COMERCIAL!$L219),'Curva Forward'!$B$5:$B$13,0),MATCH(GD$4,'Curva Forward'!$C$4:$AN$4,0))),DF219)</f>
        <v>0</v>
      </c>
      <c r="GE219" s="190">
        <f>AS219*AS$2*IF($FC219="V",1,-1)*IF($Q219="Fixo",(DG219-INDEX('Curva Forward'!$C$5:$AN$13,MATCH(CONCATENATE(BD_COMERCIAL!$K219," ",BD_COMERCIAL!$L219),'Curva Forward'!$B$5:$B$13,0),MATCH(GE$4,'Curva Forward'!$C$4:$AN$4,0))),DG219)</f>
        <v>0</v>
      </c>
      <c r="GF219" s="190">
        <f>AT219*AT$2*IF($FC219="V",1,-1)*IF($Q219="Fixo",(DH219-INDEX('Curva Forward'!$C$5:$AN$13,MATCH(CONCATENATE(BD_COMERCIAL!$K219," ",BD_COMERCIAL!$L219),'Curva Forward'!$B$5:$B$13,0),MATCH(GF$4,'Curva Forward'!$C$4:$AN$4,0))),DH219)</f>
        <v>0</v>
      </c>
      <c r="GG219" s="190">
        <f>AU219*AU$2*IF($FC219="V",1,-1)*IF($Q219="Fixo",(DI219-INDEX('Curva Forward'!$C$5:$AN$13,MATCH(CONCATENATE(BD_COMERCIAL!$K219," ",BD_COMERCIAL!$L219),'Curva Forward'!$B$5:$B$13,0),MATCH(GG$4,'Curva Forward'!$C$4:$AN$4,0))),DI219)</f>
        <v>0</v>
      </c>
      <c r="GH219" s="190">
        <f>AV219*AV$2*IF($FC219="V",1,-1)*IF($Q219="Fixo",(DJ219-INDEX('Curva Forward'!$C$5:$AN$13,MATCH(CONCATENATE(BD_COMERCIAL!$K219," ",BD_COMERCIAL!$L219),'Curva Forward'!$B$5:$B$13,0),MATCH(GH$4,'Curva Forward'!$C$4:$AN$4,0))),DJ219)</f>
        <v>0</v>
      </c>
      <c r="GI219" s="190">
        <f>AW219*AW$2*IF($FC219="V",1,-1)*IF($Q219="Fixo",(DK219-INDEX('Curva Forward'!$C$5:$AN$13,MATCH(CONCATENATE(BD_COMERCIAL!$K219," ",BD_COMERCIAL!$L219),'Curva Forward'!$B$5:$B$13,0),MATCH(GI$4,'Curva Forward'!$C$4:$AN$4,0))),DK219)</f>
        <v>0</v>
      </c>
      <c r="GJ219" s="190">
        <f>AX219*AX$2*IF($FC219="V",1,-1)*IF($Q219="Fixo",(DL219-INDEX('Curva Forward'!$C$5:$AN$13,MATCH(CONCATENATE(BD_COMERCIAL!$K219," ",BD_COMERCIAL!$L219),'Curva Forward'!$B$5:$B$13,0),MATCH(GJ$4,'Curva Forward'!$C$4:$AN$4,0))),DL219)</f>
        <v>0</v>
      </c>
      <c r="GK219" s="190">
        <f>AY219*AY$2*IF($FC219="V",1,-1)*IF($Q219="Fixo",(DM219-INDEX('Curva Forward'!$C$5:$AN$13,MATCH(CONCATENATE(BD_COMERCIAL!$K219," ",BD_COMERCIAL!$L219),'Curva Forward'!$B$5:$B$13,0),MATCH(GK$4,'Curva Forward'!$C$4:$AN$4,0))),DM219)</f>
        <v>0</v>
      </c>
      <c r="GL219" s="190">
        <f>IF(EZ219="",0,CL219*CL$2*IF($FC219="V",1,-1)*IF($Q219="Fixo",(EZ219-INDEX('Curva Forward'!$C$5:$AN$13,MATCH(CONCATENATE(BD_COMERCIAL!$K219," ",BD_COMERCIAL!$L219),'Curva Forward'!$B$5:$B$13,0),MATCH(GL$4,'Curva Forward'!$C$4:$AN$4,0))),EZ219))</f>
        <v>0</v>
      </c>
      <c r="GM219" s="190">
        <f>IF(FA219="",0,CM219*CM$2*IF($FC219="V",1,-1)*IF($Q219="Fixo",(FA219-INDEX('Curva Forward'!$C$5:$AN$13,MATCH(CONCATENATE(BD_COMERCIAL!$K219," ",BD_COMERCIAL!$L219),'Curva Forward'!$B$5:$B$13,0),MATCH(GM$4,'Curva Forward'!$C$4:$AN$4,0))),FA219))</f>
        <v>0</v>
      </c>
      <c r="GN219" s="190">
        <f>IF(FB219="",0,CN219*CN$2*IF($FC219="V",1,-1)*IF($Q219="Fixo",(FB219-INDEX('Curva Forward'!$C$5:$AN$13,MATCH(CONCATENATE(BD_COMERCIAL!$K219," ",BD_COMERCIAL!$L219),'Curva Forward'!$B$5:$B$13,0),MATCH(GN$4,'Curva Forward'!$C$4:$AN$4,0))),FB219))</f>
        <v>0</v>
      </c>
      <c r="GO219" s="191">
        <f t="shared" ca="1" si="32"/>
        <v>0</v>
      </c>
      <c r="GP219" s="191">
        <f t="shared" ca="1" si="33"/>
        <v>0</v>
      </c>
      <c r="GQ219" s="115"/>
      <c r="GR219" s="115"/>
      <c r="GS219"/>
      <c r="GT219" s="65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</row>
    <row r="220" spans="1:236" s="265" customFormat="1" ht="15" customHeight="1" x14ac:dyDescent="0.35">
      <c r="A220" s="251"/>
      <c r="B220" s="275"/>
      <c r="C220" s="253"/>
      <c r="D220" s="254"/>
      <c r="E220" s="254"/>
      <c r="F220" s="255"/>
      <c r="G220" s="256"/>
      <c r="H220" s="255"/>
      <c r="I220" s="254"/>
      <c r="J220" s="257"/>
      <c r="K220" s="256"/>
      <c r="L220" s="252"/>
      <c r="M220" s="258"/>
      <c r="N220" s="259"/>
      <c r="O220" s="256"/>
      <c r="P220" s="252"/>
      <c r="Q220" s="252"/>
      <c r="R220" s="256"/>
      <c r="S220" s="260"/>
      <c r="T220" s="258"/>
      <c r="U220" s="259"/>
      <c r="V220" s="261"/>
      <c r="W220" s="252"/>
      <c r="X220" s="262"/>
      <c r="Y220" s="257"/>
      <c r="Z220" s="263"/>
      <c r="AA220" s="264"/>
      <c r="AB220" s="266"/>
      <c r="AM220" s="251"/>
      <c r="AN220" s="266"/>
      <c r="AY220" s="251"/>
      <c r="AZ220" s="266"/>
      <c r="BK220" s="251"/>
      <c r="BL220" s="266"/>
      <c r="BW220" s="251"/>
      <c r="BX220" s="266"/>
      <c r="CI220" s="251"/>
      <c r="CJ220" s="267"/>
      <c r="CK220" s="267"/>
      <c r="CL220" s="267"/>
      <c r="CM220" s="267"/>
      <c r="CN220" s="267"/>
      <c r="CO220" s="268"/>
      <c r="CP220" s="266"/>
      <c r="DA220" s="251"/>
      <c r="DB220" s="266"/>
      <c r="DM220" s="251"/>
      <c r="DN220" s="266"/>
      <c r="DY220" s="251"/>
      <c r="DZ220" s="266"/>
      <c r="EK220" s="251"/>
      <c r="EL220" s="266"/>
      <c r="EW220" s="251"/>
      <c r="EX220" s="267"/>
      <c r="EY220" s="267"/>
      <c r="EZ220" s="267"/>
      <c r="FA220" s="267"/>
      <c r="FB220" s="269"/>
      <c r="FD220" s="270"/>
      <c r="FF220" s="276"/>
      <c r="FH220" s="206">
        <f t="shared" si="27"/>
        <v>0</v>
      </c>
      <c r="FI220" s="198">
        <f t="shared" si="28"/>
        <v>0</v>
      </c>
      <c r="FJ220"/>
      <c r="FK220">
        <f t="shared" si="29"/>
        <v>0</v>
      </c>
      <c r="FL220" s="191">
        <f t="shared" ca="1" si="30"/>
        <v>0</v>
      </c>
      <c r="FM220" s="191">
        <f t="shared" ca="1" si="31"/>
        <v>0</v>
      </c>
      <c r="FN220" s="190">
        <f>AB220*AB$2*IF($FC220="V",1,-1)*IF($Q220="Fixo",(CP220-INDEX('Curva Forward'!$C$5:$AN$13,MATCH(CONCATENATE(BD_COMERCIAL!$K220," ",BD_COMERCIAL!$L220),'Curva Forward'!$B$5:$B$13,0),MATCH(FN$4,'Curva Forward'!$C$4:$AN$4,0))),CP220)</f>
        <v>0</v>
      </c>
      <c r="FO220" s="190">
        <f>AC220*AC$2*IF($FC220="V",1,-1)*IF($Q220="Fixo",(CQ220-INDEX('Curva Forward'!$C$5:$AN$13,MATCH(CONCATENATE(BD_COMERCIAL!$K220," ",BD_COMERCIAL!$L220),'Curva Forward'!$B$5:$B$13,0),MATCH(FO$4,'Curva Forward'!$C$4:$AN$4,0))),CQ220)</f>
        <v>0</v>
      </c>
      <c r="FP220" s="190">
        <f>AD220*AD$2*IF($FC220="V",1,-1)*IF($Q220="Fixo",(CR220-INDEX('Curva Forward'!$C$5:$AN$13,MATCH(CONCATENATE(BD_COMERCIAL!$K220," ",BD_COMERCIAL!$L220),'Curva Forward'!$B$5:$B$13,0),MATCH(FP$4,'Curva Forward'!$C$4:$AN$4,0))),CR220)</f>
        <v>0</v>
      </c>
      <c r="FQ220" s="190">
        <f>AE220*AE$2*IF($FC220="V",1,-1)*IF($Q220="Fixo",(CS220-INDEX('Curva Forward'!$C$5:$AN$13,MATCH(CONCATENATE(BD_COMERCIAL!$K220," ",BD_COMERCIAL!$L220),'Curva Forward'!$B$5:$B$13,0),MATCH(FQ$4,'Curva Forward'!$C$4:$AN$4,0))),CS220)</f>
        <v>0</v>
      </c>
      <c r="FR220" s="190">
        <f>AF220*AF$2*IF($FC220="V",1,-1)*IF($Q220="Fixo",(CT220-INDEX('Curva Forward'!$C$5:$AN$13,MATCH(CONCATENATE(BD_COMERCIAL!$K220," ",BD_COMERCIAL!$L220),'Curva Forward'!$B$5:$B$13,0),MATCH(FR$4,'Curva Forward'!$C$4:$AN$4,0))),CT220)</f>
        <v>0</v>
      </c>
      <c r="FS220" s="190">
        <f>AG220*AG$2*IF($FC220="V",1,-1)*IF($Q220="Fixo",(CU220-INDEX('Curva Forward'!$C$5:$AN$13,MATCH(CONCATENATE(BD_COMERCIAL!$K220," ",BD_COMERCIAL!$L220),'Curva Forward'!$B$5:$B$13,0),MATCH(FS$4,'Curva Forward'!$C$4:$AN$4,0))),CU220)</f>
        <v>0</v>
      </c>
      <c r="FT220" s="190">
        <f>AH220*AH$2*IF($FC220="V",1,-1)*IF($Q220="Fixo",(CV220-INDEX('Curva Forward'!$C$5:$AN$13,MATCH(CONCATENATE(BD_COMERCIAL!$K220," ",BD_COMERCIAL!$L220),'Curva Forward'!$B$5:$B$13,0),MATCH(FT$4,'Curva Forward'!$C$4:$AN$4,0))),CV220)</f>
        <v>0</v>
      </c>
      <c r="FU220" s="190">
        <f>AI220*AI$2*IF($FC220="V",1,-1)*IF($Q220="Fixo",(CW220-INDEX('Curva Forward'!$C$5:$AN$13,MATCH(CONCATENATE(BD_COMERCIAL!$K220," ",BD_COMERCIAL!$L220),'Curva Forward'!$B$5:$B$13,0),MATCH(FU$4,'Curva Forward'!$C$4:$AN$4,0))),CW220)</f>
        <v>0</v>
      </c>
      <c r="FV220" s="190">
        <f>AJ220*AJ$2*IF($FC220="V",1,-1)*IF($Q220="Fixo",(CX220-INDEX('Curva Forward'!$C$5:$AN$13,MATCH(CONCATENATE(BD_COMERCIAL!$K220," ",BD_COMERCIAL!$L220),'Curva Forward'!$B$5:$B$13,0),MATCH(FV$4,'Curva Forward'!$C$4:$AN$4,0))),CX220)</f>
        <v>0</v>
      </c>
      <c r="FW220" s="190">
        <f>AK220*AK$2*IF($FC220="V",1,-1)*IF($Q220="Fixo",(CY220-INDEX('Curva Forward'!$C$5:$AN$13,MATCH(CONCATENATE(BD_COMERCIAL!$K220," ",BD_COMERCIAL!$L220),'Curva Forward'!$B$5:$B$13,0),MATCH(FW$4,'Curva Forward'!$C$4:$AN$4,0))),CY220)</f>
        <v>0</v>
      </c>
      <c r="FX220" s="190">
        <f>AL220*AL$2*IF($FC220="V",1,-1)*IF($Q220="Fixo",(CZ220-INDEX('Curva Forward'!$C$5:$AN$13,MATCH(CONCATENATE(BD_COMERCIAL!$K220," ",BD_COMERCIAL!$L220),'Curva Forward'!$B$5:$B$13,0),MATCH(FX$4,'Curva Forward'!$C$4:$AN$4,0))),CZ220)</f>
        <v>0</v>
      </c>
      <c r="FY220" s="190">
        <f>AM220*AM$2*IF($FC220="V",1,-1)*IF($Q220="Fixo",(DA220-INDEX('Curva Forward'!$C$5:$AN$13,MATCH(CONCATENATE(BD_COMERCIAL!$K220," ",BD_COMERCIAL!$L220),'Curva Forward'!$B$5:$B$13,0),MATCH(FY$4,'Curva Forward'!$C$4:$AN$4,0))),DA220)</f>
        <v>0</v>
      </c>
      <c r="FZ220" s="190">
        <f>AN220*AN$2*IF($FC220="V",1,-1)*IF($Q220="Fixo",(DB220-INDEX('Curva Forward'!$C$5:$AN$13,MATCH(CONCATENATE(BD_COMERCIAL!$K220," ",BD_COMERCIAL!$L220),'Curva Forward'!$B$5:$B$13,0),MATCH(FZ$4,'Curva Forward'!$C$4:$AN$4,0))),DB220)</f>
        <v>0</v>
      </c>
      <c r="GA220" s="190">
        <f>AO220*AO$2*IF($FC220="V",1,-1)*IF($Q220="Fixo",(DC220-INDEX('Curva Forward'!$C$5:$AN$13,MATCH(CONCATENATE(BD_COMERCIAL!$K220," ",BD_COMERCIAL!$L220),'Curva Forward'!$B$5:$B$13,0),MATCH(GA$4,'Curva Forward'!$C$4:$AN$4,0))),DC220)</f>
        <v>0</v>
      </c>
      <c r="GB220" s="190">
        <f>AP220*AP$2*IF($FC220="V",1,-1)*IF($Q220="Fixo",(DD220-INDEX('Curva Forward'!$C$5:$AN$13,MATCH(CONCATENATE(BD_COMERCIAL!$K220," ",BD_COMERCIAL!$L220),'Curva Forward'!$B$5:$B$13,0),MATCH(GB$4,'Curva Forward'!$C$4:$AN$4,0))),DD220)</f>
        <v>0</v>
      </c>
      <c r="GC220" s="190">
        <f>AQ220*AQ$2*IF($FC220="V",1,-1)*IF($Q220="Fixo",(DE220-INDEX('Curva Forward'!$C$5:$AN$13,MATCH(CONCATENATE(BD_COMERCIAL!$K220," ",BD_COMERCIAL!$L220),'Curva Forward'!$B$5:$B$13,0),MATCH(GC$4,'Curva Forward'!$C$4:$AN$4,0))),DE220)</f>
        <v>0</v>
      </c>
      <c r="GD220" s="190">
        <f>AR220*AR$2*IF($FC220="V",1,-1)*IF($Q220="Fixo",(DF220-INDEX('Curva Forward'!$C$5:$AN$13,MATCH(CONCATENATE(BD_COMERCIAL!$K220," ",BD_COMERCIAL!$L220),'Curva Forward'!$B$5:$B$13,0),MATCH(GD$4,'Curva Forward'!$C$4:$AN$4,0))),DF220)</f>
        <v>0</v>
      </c>
      <c r="GE220" s="190">
        <f>AS220*AS$2*IF($FC220="V",1,-1)*IF($Q220="Fixo",(DG220-INDEX('Curva Forward'!$C$5:$AN$13,MATCH(CONCATENATE(BD_COMERCIAL!$K220," ",BD_COMERCIAL!$L220),'Curva Forward'!$B$5:$B$13,0),MATCH(GE$4,'Curva Forward'!$C$4:$AN$4,0))),DG220)</f>
        <v>0</v>
      </c>
      <c r="GF220" s="190">
        <f>AT220*AT$2*IF($FC220="V",1,-1)*IF($Q220="Fixo",(DH220-INDEX('Curva Forward'!$C$5:$AN$13,MATCH(CONCATENATE(BD_COMERCIAL!$K220," ",BD_COMERCIAL!$L220),'Curva Forward'!$B$5:$B$13,0),MATCH(GF$4,'Curva Forward'!$C$4:$AN$4,0))),DH220)</f>
        <v>0</v>
      </c>
      <c r="GG220" s="190">
        <f>AU220*AU$2*IF($FC220="V",1,-1)*IF($Q220="Fixo",(DI220-INDEX('Curva Forward'!$C$5:$AN$13,MATCH(CONCATENATE(BD_COMERCIAL!$K220," ",BD_COMERCIAL!$L220),'Curva Forward'!$B$5:$B$13,0),MATCH(GG$4,'Curva Forward'!$C$4:$AN$4,0))),DI220)</f>
        <v>0</v>
      </c>
      <c r="GH220" s="190">
        <f>AV220*AV$2*IF($FC220="V",1,-1)*IF($Q220="Fixo",(DJ220-INDEX('Curva Forward'!$C$5:$AN$13,MATCH(CONCATENATE(BD_COMERCIAL!$K220," ",BD_COMERCIAL!$L220),'Curva Forward'!$B$5:$B$13,0),MATCH(GH$4,'Curva Forward'!$C$4:$AN$4,0))),DJ220)</f>
        <v>0</v>
      </c>
      <c r="GI220" s="190">
        <f>AW220*AW$2*IF($FC220="V",1,-1)*IF($Q220="Fixo",(DK220-INDEX('Curva Forward'!$C$5:$AN$13,MATCH(CONCATENATE(BD_COMERCIAL!$K220," ",BD_COMERCIAL!$L220),'Curva Forward'!$B$5:$B$13,0),MATCH(GI$4,'Curva Forward'!$C$4:$AN$4,0))),DK220)</f>
        <v>0</v>
      </c>
      <c r="GJ220" s="190">
        <f>AX220*AX$2*IF($FC220="V",1,-1)*IF($Q220="Fixo",(DL220-INDEX('Curva Forward'!$C$5:$AN$13,MATCH(CONCATENATE(BD_COMERCIAL!$K220," ",BD_COMERCIAL!$L220),'Curva Forward'!$B$5:$B$13,0),MATCH(GJ$4,'Curva Forward'!$C$4:$AN$4,0))),DL220)</f>
        <v>0</v>
      </c>
      <c r="GK220" s="190">
        <f>AY220*AY$2*IF($FC220="V",1,-1)*IF($Q220="Fixo",(DM220-INDEX('Curva Forward'!$C$5:$AN$13,MATCH(CONCATENATE(BD_COMERCIAL!$K220," ",BD_COMERCIAL!$L220),'Curva Forward'!$B$5:$B$13,0),MATCH(GK$4,'Curva Forward'!$C$4:$AN$4,0))),DM220)</f>
        <v>0</v>
      </c>
      <c r="GL220" s="190">
        <f>IF(EZ220="",0,CL220*CL$2*IF($FC220="V",1,-1)*IF($Q220="Fixo",(EZ220-INDEX('Curva Forward'!$C$5:$AN$13,MATCH(CONCATENATE(BD_COMERCIAL!$K220," ",BD_COMERCIAL!$L220),'Curva Forward'!$B$5:$B$13,0),MATCH(GL$4,'Curva Forward'!$C$4:$AN$4,0))),EZ220))</f>
        <v>0</v>
      </c>
      <c r="GM220" s="190">
        <f>IF(FA220="",0,CM220*CM$2*IF($FC220="V",1,-1)*IF($Q220="Fixo",(FA220-INDEX('Curva Forward'!$C$5:$AN$13,MATCH(CONCATENATE(BD_COMERCIAL!$K220," ",BD_COMERCIAL!$L220),'Curva Forward'!$B$5:$B$13,0),MATCH(GM$4,'Curva Forward'!$C$4:$AN$4,0))),FA220))</f>
        <v>0</v>
      </c>
      <c r="GN220" s="190">
        <f>IF(FB220="",0,CN220*CN$2*IF($FC220="V",1,-1)*IF($Q220="Fixo",(FB220-INDEX('Curva Forward'!$C$5:$AN$13,MATCH(CONCATENATE(BD_COMERCIAL!$K220," ",BD_COMERCIAL!$L220),'Curva Forward'!$B$5:$B$13,0),MATCH(GN$4,'Curva Forward'!$C$4:$AN$4,0))),FB220))</f>
        <v>0</v>
      </c>
      <c r="GO220" s="191">
        <f t="shared" ca="1" si="32"/>
        <v>0</v>
      </c>
      <c r="GP220" s="191">
        <f t="shared" ca="1" si="33"/>
        <v>0</v>
      </c>
      <c r="GQ220" s="115"/>
      <c r="GR220" s="115"/>
      <c r="GS220"/>
      <c r="GT220" s="65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</row>
    <row r="221" spans="1:236" s="265" customFormat="1" ht="15" customHeight="1" x14ac:dyDescent="0.35">
      <c r="A221" s="251"/>
      <c r="B221" s="275"/>
      <c r="C221" s="253"/>
      <c r="D221" s="254"/>
      <c r="E221" s="254"/>
      <c r="F221" s="255"/>
      <c r="G221" s="256"/>
      <c r="H221" s="255"/>
      <c r="I221" s="254"/>
      <c r="J221" s="257"/>
      <c r="K221" s="256"/>
      <c r="L221" s="252"/>
      <c r="M221" s="258"/>
      <c r="N221" s="259"/>
      <c r="O221" s="256"/>
      <c r="P221" s="252"/>
      <c r="Q221" s="252"/>
      <c r="R221" s="256"/>
      <c r="S221" s="260"/>
      <c r="T221" s="258"/>
      <c r="U221" s="259"/>
      <c r="V221" s="261"/>
      <c r="W221" s="252"/>
      <c r="X221" s="262"/>
      <c r="Y221" s="257"/>
      <c r="Z221" s="263"/>
      <c r="AA221" s="264"/>
      <c r="AB221" s="266"/>
      <c r="AM221" s="251"/>
      <c r="AN221" s="266"/>
      <c r="AY221" s="251"/>
      <c r="AZ221" s="266"/>
      <c r="BK221" s="251"/>
      <c r="BL221" s="266"/>
      <c r="BW221" s="251"/>
      <c r="BX221" s="266"/>
      <c r="CI221" s="251"/>
      <c r="CJ221" s="267"/>
      <c r="CK221" s="267"/>
      <c r="CL221" s="267"/>
      <c r="CM221" s="267"/>
      <c r="CN221" s="267"/>
      <c r="CO221" s="268"/>
      <c r="CP221" s="266"/>
      <c r="DA221" s="251"/>
      <c r="DB221" s="266"/>
      <c r="DM221" s="251"/>
      <c r="DN221" s="266"/>
      <c r="DY221" s="251"/>
      <c r="DZ221" s="266"/>
      <c r="EK221" s="251"/>
      <c r="EL221" s="266"/>
      <c r="EW221" s="251"/>
      <c r="EX221" s="267"/>
      <c r="EY221" s="267"/>
      <c r="EZ221" s="267"/>
      <c r="FA221" s="267"/>
      <c r="FB221" s="269"/>
      <c r="FD221" s="270"/>
      <c r="FF221" s="276"/>
      <c r="FH221" s="206">
        <f t="shared" si="27"/>
        <v>0</v>
      </c>
      <c r="FI221" s="198">
        <f t="shared" si="28"/>
        <v>0</v>
      </c>
      <c r="FJ221"/>
      <c r="FK221">
        <f t="shared" si="29"/>
        <v>0</v>
      </c>
      <c r="FL221" s="191">
        <f t="shared" ca="1" si="30"/>
        <v>0</v>
      </c>
      <c r="FM221" s="191">
        <f t="shared" ca="1" si="31"/>
        <v>0</v>
      </c>
      <c r="FN221" s="190">
        <f>AB221*AB$2*IF($FC221="V",1,-1)*IF($Q221="Fixo",(CP221-INDEX('Curva Forward'!$C$5:$AN$13,MATCH(CONCATENATE(BD_COMERCIAL!$K221," ",BD_COMERCIAL!$L221),'Curva Forward'!$B$5:$B$13,0),MATCH(FN$4,'Curva Forward'!$C$4:$AN$4,0))),CP221)</f>
        <v>0</v>
      </c>
      <c r="FO221" s="190">
        <f>AC221*AC$2*IF($FC221="V",1,-1)*IF($Q221="Fixo",(CQ221-INDEX('Curva Forward'!$C$5:$AN$13,MATCH(CONCATENATE(BD_COMERCIAL!$K221," ",BD_COMERCIAL!$L221),'Curva Forward'!$B$5:$B$13,0),MATCH(FO$4,'Curva Forward'!$C$4:$AN$4,0))),CQ221)</f>
        <v>0</v>
      </c>
      <c r="FP221" s="190">
        <f>AD221*AD$2*IF($FC221="V",1,-1)*IF($Q221="Fixo",(CR221-INDEX('Curva Forward'!$C$5:$AN$13,MATCH(CONCATENATE(BD_COMERCIAL!$K221," ",BD_COMERCIAL!$L221),'Curva Forward'!$B$5:$B$13,0),MATCH(FP$4,'Curva Forward'!$C$4:$AN$4,0))),CR221)</f>
        <v>0</v>
      </c>
      <c r="FQ221" s="190">
        <f>AE221*AE$2*IF($FC221="V",1,-1)*IF($Q221="Fixo",(CS221-INDEX('Curva Forward'!$C$5:$AN$13,MATCH(CONCATENATE(BD_COMERCIAL!$K221," ",BD_COMERCIAL!$L221),'Curva Forward'!$B$5:$B$13,0),MATCH(FQ$4,'Curva Forward'!$C$4:$AN$4,0))),CS221)</f>
        <v>0</v>
      </c>
      <c r="FR221" s="190">
        <f>AF221*AF$2*IF($FC221="V",1,-1)*IF($Q221="Fixo",(CT221-INDEX('Curva Forward'!$C$5:$AN$13,MATCH(CONCATENATE(BD_COMERCIAL!$K221," ",BD_COMERCIAL!$L221),'Curva Forward'!$B$5:$B$13,0),MATCH(FR$4,'Curva Forward'!$C$4:$AN$4,0))),CT221)</f>
        <v>0</v>
      </c>
      <c r="FS221" s="190">
        <f>AG221*AG$2*IF($FC221="V",1,-1)*IF($Q221="Fixo",(CU221-INDEX('Curva Forward'!$C$5:$AN$13,MATCH(CONCATENATE(BD_COMERCIAL!$K221," ",BD_COMERCIAL!$L221),'Curva Forward'!$B$5:$B$13,0),MATCH(FS$4,'Curva Forward'!$C$4:$AN$4,0))),CU221)</f>
        <v>0</v>
      </c>
      <c r="FT221" s="190">
        <f>AH221*AH$2*IF($FC221="V",1,-1)*IF($Q221="Fixo",(CV221-INDEX('Curva Forward'!$C$5:$AN$13,MATCH(CONCATENATE(BD_COMERCIAL!$K221," ",BD_COMERCIAL!$L221),'Curva Forward'!$B$5:$B$13,0),MATCH(FT$4,'Curva Forward'!$C$4:$AN$4,0))),CV221)</f>
        <v>0</v>
      </c>
      <c r="FU221" s="190">
        <f>AI221*AI$2*IF($FC221="V",1,-1)*IF($Q221="Fixo",(CW221-INDEX('Curva Forward'!$C$5:$AN$13,MATCH(CONCATENATE(BD_COMERCIAL!$K221," ",BD_COMERCIAL!$L221),'Curva Forward'!$B$5:$B$13,0),MATCH(FU$4,'Curva Forward'!$C$4:$AN$4,0))),CW221)</f>
        <v>0</v>
      </c>
      <c r="FV221" s="190">
        <f>AJ221*AJ$2*IF($FC221="V",1,-1)*IF($Q221="Fixo",(CX221-INDEX('Curva Forward'!$C$5:$AN$13,MATCH(CONCATENATE(BD_COMERCIAL!$K221," ",BD_COMERCIAL!$L221),'Curva Forward'!$B$5:$B$13,0),MATCH(FV$4,'Curva Forward'!$C$4:$AN$4,0))),CX221)</f>
        <v>0</v>
      </c>
      <c r="FW221" s="190">
        <f>AK221*AK$2*IF($FC221="V",1,-1)*IF($Q221="Fixo",(CY221-INDEX('Curva Forward'!$C$5:$AN$13,MATCH(CONCATENATE(BD_COMERCIAL!$K221," ",BD_COMERCIAL!$L221),'Curva Forward'!$B$5:$B$13,0),MATCH(FW$4,'Curva Forward'!$C$4:$AN$4,0))),CY221)</f>
        <v>0</v>
      </c>
      <c r="FX221" s="190">
        <f>AL221*AL$2*IF($FC221="V",1,-1)*IF($Q221="Fixo",(CZ221-INDEX('Curva Forward'!$C$5:$AN$13,MATCH(CONCATENATE(BD_COMERCIAL!$K221," ",BD_COMERCIAL!$L221),'Curva Forward'!$B$5:$B$13,0),MATCH(FX$4,'Curva Forward'!$C$4:$AN$4,0))),CZ221)</f>
        <v>0</v>
      </c>
      <c r="FY221" s="190">
        <f>AM221*AM$2*IF($FC221="V",1,-1)*IF($Q221="Fixo",(DA221-INDEX('Curva Forward'!$C$5:$AN$13,MATCH(CONCATENATE(BD_COMERCIAL!$K221," ",BD_COMERCIAL!$L221),'Curva Forward'!$B$5:$B$13,0),MATCH(FY$4,'Curva Forward'!$C$4:$AN$4,0))),DA221)</f>
        <v>0</v>
      </c>
      <c r="FZ221" s="190">
        <f>AN221*AN$2*IF($FC221="V",1,-1)*IF($Q221="Fixo",(DB221-INDEX('Curva Forward'!$C$5:$AN$13,MATCH(CONCATENATE(BD_COMERCIAL!$K221," ",BD_COMERCIAL!$L221),'Curva Forward'!$B$5:$B$13,0),MATCH(FZ$4,'Curva Forward'!$C$4:$AN$4,0))),DB221)</f>
        <v>0</v>
      </c>
      <c r="GA221" s="190">
        <f>AO221*AO$2*IF($FC221="V",1,-1)*IF($Q221="Fixo",(DC221-INDEX('Curva Forward'!$C$5:$AN$13,MATCH(CONCATENATE(BD_COMERCIAL!$K221," ",BD_COMERCIAL!$L221),'Curva Forward'!$B$5:$B$13,0),MATCH(GA$4,'Curva Forward'!$C$4:$AN$4,0))),DC221)</f>
        <v>0</v>
      </c>
      <c r="GB221" s="190">
        <f>AP221*AP$2*IF($FC221="V",1,-1)*IF($Q221="Fixo",(DD221-INDEX('Curva Forward'!$C$5:$AN$13,MATCH(CONCATENATE(BD_COMERCIAL!$K221," ",BD_COMERCIAL!$L221),'Curva Forward'!$B$5:$B$13,0),MATCH(GB$4,'Curva Forward'!$C$4:$AN$4,0))),DD221)</f>
        <v>0</v>
      </c>
      <c r="GC221" s="190">
        <f>AQ221*AQ$2*IF($FC221="V",1,-1)*IF($Q221="Fixo",(DE221-INDEX('Curva Forward'!$C$5:$AN$13,MATCH(CONCATENATE(BD_COMERCIAL!$K221," ",BD_COMERCIAL!$L221),'Curva Forward'!$B$5:$B$13,0),MATCH(GC$4,'Curva Forward'!$C$4:$AN$4,0))),DE221)</f>
        <v>0</v>
      </c>
      <c r="GD221" s="190">
        <f>AR221*AR$2*IF($FC221="V",1,-1)*IF($Q221="Fixo",(DF221-INDEX('Curva Forward'!$C$5:$AN$13,MATCH(CONCATENATE(BD_COMERCIAL!$K221," ",BD_COMERCIAL!$L221),'Curva Forward'!$B$5:$B$13,0),MATCH(GD$4,'Curva Forward'!$C$4:$AN$4,0))),DF221)</f>
        <v>0</v>
      </c>
      <c r="GE221" s="190">
        <f>AS221*AS$2*IF($FC221="V",1,-1)*IF($Q221="Fixo",(DG221-INDEX('Curva Forward'!$C$5:$AN$13,MATCH(CONCATENATE(BD_COMERCIAL!$K221," ",BD_COMERCIAL!$L221),'Curva Forward'!$B$5:$B$13,0),MATCH(GE$4,'Curva Forward'!$C$4:$AN$4,0))),DG221)</f>
        <v>0</v>
      </c>
      <c r="GF221" s="190">
        <f>AT221*AT$2*IF($FC221="V",1,-1)*IF($Q221="Fixo",(DH221-INDEX('Curva Forward'!$C$5:$AN$13,MATCH(CONCATENATE(BD_COMERCIAL!$K221," ",BD_COMERCIAL!$L221),'Curva Forward'!$B$5:$B$13,0),MATCH(GF$4,'Curva Forward'!$C$4:$AN$4,0))),DH221)</f>
        <v>0</v>
      </c>
      <c r="GG221" s="190">
        <f>AU221*AU$2*IF($FC221="V",1,-1)*IF($Q221="Fixo",(DI221-INDEX('Curva Forward'!$C$5:$AN$13,MATCH(CONCATENATE(BD_COMERCIAL!$K221," ",BD_COMERCIAL!$L221),'Curva Forward'!$B$5:$B$13,0),MATCH(GG$4,'Curva Forward'!$C$4:$AN$4,0))),DI221)</f>
        <v>0</v>
      </c>
      <c r="GH221" s="190">
        <f>AV221*AV$2*IF($FC221="V",1,-1)*IF($Q221="Fixo",(DJ221-INDEX('Curva Forward'!$C$5:$AN$13,MATCH(CONCATENATE(BD_COMERCIAL!$K221," ",BD_COMERCIAL!$L221),'Curva Forward'!$B$5:$B$13,0),MATCH(GH$4,'Curva Forward'!$C$4:$AN$4,0))),DJ221)</f>
        <v>0</v>
      </c>
      <c r="GI221" s="190">
        <f>AW221*AW$2*IF($FC221="V",1,-1)*IF($Q221="Fixo",(DK221-INDEX('Curva Forward'!$C$5:$AN$13,MATCH(CONCATENATE(BD_COMERCIAL!$K221," ",BD_COMERCIAL!$L221),'Curva Forward'!$B$5:$B$13,0),MATCH(GI$4,'Curva Forward'!$C$4:$AN$4,0))),DK221)</f>
        <v>0</v>
      </c>
      <c r="GJ221" s="190">
        <f>AX221*AX$2*IF($FC221="V",1,-1)*IF($Q221="Fixo",(DL221-INDEX('Curva Forward'!$C$5:$AN$13,MATCH(CONCATENATE(BD_COMERCIAL!$K221," ",BD_COMERCIAL!$L221),'Curva Forward'!$B$5:$B$13,0),MATCH(GJ$4,'Curva Forward'!$C$4:$AN$4,0))),DL221)</f>
        <v>0</v>
      </c>
      <c r="GK221" s="190">
        <f>AY221*AY$2*IF($FC221="V",1,-1)*IF($Q221="Fixo",(DM221-INDEX('Curva Forward'!$C$5:$AN$13,MATCH(CONCATENATE(BD_COMERCIAL!$K221," ",BD_COMERCIAL!$L221),'Curva Forward'!$B$5:$B$13,0),MATCH(GK$4,'Curva Forward'!$C$4:$AN$4,0))),DM221)</f>
        <v>0</v>
      </c>
      <c r="GL221" s="190">
        <f>IF(EZ221="",0,CL221*CL$2*IF($FC221="V",1,-1)*IF($Q221="Fixo",(EZ221-INDEX('Curva Forward'!$C$5:$AN$13,MATCH(CONCATENATE(BD_COMERCIAL!$K221," ",BD_COMERCIAL!$L221),'Curva Forward'!$B$5:$B$13,0),MATCH(GL$4,'Curva Forward'!$C$4:$AN$4,0))),EZ221))</f>
        <v>0</v>
      </c>
      <c r="GM221" s="190">
        <f>IF(FA221="",0,CM221*CM$2*IF($FC221="V",1,-1)*IF($Q221="Fixo",(FA221-INDEX('Curva Forward'!$C$5:$AN$13,MATCH(CONCATENATE(BD_COMERCIAL!$K221," ",BD_COMERCIAL!$L221),'Curva Forward'!$B$5:$B$13,0),MATCH(GM$4,'Curva Forward'!$C$4:$AN$4,0))),FA221))</f>
        <v>0</v>
      </c>
      <c r="GN221" s="190">
        <f>IF(FB221="",0,CN221*CN$2*IF($FC221="V",1,-1)*IF($Q221="Fixo",(FB221-INDEX('Curva Forward'!$C$5:$AN$13,MATCH(CONCATENATE(BD_COMERCIAL!$K221," ",BD_COMERCIAL!$L221),'Curva Forward'!$B$5:$B$13,0),MATCH(GN$4,'Curva Forward'!$C$4:$AN$4,0))),FB221))</f>
        <v>0</v>
      </c>
      <c r="GO221" s="191">
        <f t="shared" ca="1" si="32"/>
        <v>0</v>
      </c>
      <c r="GP221" s="191">
        <f t="shared" ca="1" si="33"/>
        <v>0</v>
      </c>
      <c r="GQ221" s="115"/>
      <c r="GR221" s="115"/>
      <c r="GS221"/>
      <c r="GT221" s="65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</row>
    <row r="222" spans="1:236" s="265" customFormat="1" ht="15" customHeight="1" x14ac:dyDescent="0.35">
      <c r="A222" s="251"/>
      <c r="B222" s="275"/>
      <c r="C222" s="253"/>
      <c r="D222" s="254"/>
      <c r="E222" s="254"/>
      <c r="F222" s="255"/>
      <c r="G222" s="256"/>
      <c r="H222" s="255"/>
      <c r="I222" s="254"/>
      <c r="J222" s="257"/>
      <c r="K222" s="256"/>
      <c r="L222" s="252"/>
      <c r="M222" s="258"/>
      <c r="N222" s="259"/>
      <c r="O222" s="256"/>
      <c r="P222" s="252"/>
      <c r="Q222" s="252"/>
      <c r="R222" s="256"/>
      <c r="S222" s="260"/>
      <c r="T222" s="258"/>
      <c r="U222" s="259"/>
      <c r="V222" s="261"/>
      <c r="W222" s="252"/>
      <c r="X222" s="262"/>
      <c r="Y222" s="257"/>
      <c r="Z222" s="263"/>
      <c r="AA222" s="264"/>
      <c r="AB222" s="266"/>
      <c r="AM222" s="251"/>
      <c r="AN222" s="266"/>
      <c r="AY222" s="251"/>
      <c r="AZ222" s="266"/>
      <c r="BK222" s="251"/>
      <c r="BL222" s="266"/>
      <c r="BW222" s="251"/>
      <c r="BX222" s="266"/>
      <c r="CI222" s="251"/>
      <c r="CJ222" s="267"/>
      <c r="CK222" s="267"/>
      <c r="CL222" s="267"/>
      <c r="CM222" s="267"/>
      <c r="CN222" s="267"/>
      <c r="CO222" s="268"/>
      <c r="CP222" s="266"/>
      <c r="DA222" s="251"/>
      <c r="DB222" s="266"/>
      <c r="DM222" s="251"/>
      <c r="DN222" s="266"/>
      <c r="DY222" s="251"/>
      <c r="DZ222" s="266"/>
      <c r="EK222" s="251"/>
      <c r="EL222" s="266"/>
      <c r="EW222" s="251"/>
      <c r="EX222" s="267"/>
      <c r="EY222" s="267"/>
      <c r="EZ222" s="267"/>
      <c r="FA222" s="267"/>
      <c r="FB222" s="269"/>
      <c r="FD222" s="270"/>
      <c r="FF222" s="276"/>
      <c r="FH222" s="206">
        <f t="shared" si="27"/>
        <v>0</v>
      </c>
      <c r="FI222" s="198">
        <f t="shared" si="28"/>
        <v>0</v>
      </c>
      <c r="FJ222"/>
      <c r="FK222">
        <f t="shared" si="29"/>
        <v>0</v>
      </c>
      <c r="FL222" s="191">
        <f t="shared" ca="1" si="30"/>
        <v>0</v>
      </c>
      <c r="FM222" s="191">
        <f t="shared" ca="1" si="31"/>
        <v>0</v>
      </c>
      <c r="FN222" s="190">
        <f>AB222*AB$2*IF($FC222="V",1,-1)*IF($Q222="Fixo",(CP222-INDEX('Curva Forward'!$C$5:$AN$13,MATCH(CONCATENATE(BD_COMERCIAL!$K222," ",BD_COMERCIAL!$L222),'Curva Forward'!$B$5:$B$13,0),MATCH(FN$4,'Curva Forward'!$C$4:$AN$4,0))),CP222)</f>
        <v>0</v>
      </c>
      <c r="FO222" s="190">
        <f>AC222*AC$2*IF($FC222="V",1,-1)*IF($Q222="Fixo",(CQ222-INDEX('Curva Forward'!$C$5:$AN$13,MATCH(CONCATENATE(BD_COMERCIAL!$K222," ",BD_COMERCIAL!$L222),'Curva Forward'!$B$5:$B$13,0),MATCH(FO$4,'Curva Forward'!$C$4:$AN$4,0))),CQ222)</f>
        <v>0</v>
      </c>
      <c r="FP222" s="190">
        <f>AD222*AD$2*IF($FC222="V",1,-1)*IF($Q222="Fixo",(CR222-INDEX('Curva Forward'!$C$5:$AN$13,MATCH(CONCATENATE(BD_COMERCIAL!$K222," ",BD_COMERCIAL!$L222),'Curva Forward'!$B$5:$B$13,0),MATCH(FP$4,'Curva Forward'!$C$4:$AN$4,0))),CR222)</f>
        <v>0</v>
      </c>
      <c r="FQ222" s="190">
        <f>AE222*AE$2*IF($FC222="V",1,-1)*IF($Q222="Fixo",(CS222-INDEX('Curva Forward'!$C$5:$AN$13,MATCH(CONCATENATE(BD_COMERCIAL!$K222," ",BD_COMERCIAL!$L222),'Curva Forward'!$B$5:$B$13,0),MATCH(FQ$4,'Curva Forward'!$C$4:$AN$4,0))),CS222)</f>
        <v>0</v>
      </c>
      <c r="FR222" s="190">
        <f>AF222*AF$2*IF($FC222="V",1,-1)*IF($Q222="Fixo",(CT222-INDEX('Curva Forward'!$C$5:$AN$13,MATCH(CONCATENATE(BD_COMERCIAL!$K222," ",BD_COMERCIAL!$L222),'Curva Forward'!$B$5:$B$13,0),MATCH(FR$4,'Curva Forward'!$C$4:$AN$4,0))),CT222)</f>
        <v>0</v>
      </c>
      <c r="FS222" s="190">
        <f>AG222*AG$2*IF($FC222="V",1,-1)*IF($Q222="Fixo",(CU222-INDEX('Curva Forward'!$C$5:$AN$13,MATCH(CONCATENATE(BD_COMERCIAL!$K222," ",BD_COMERCIAL!$L222),'Curva Forward'!$B$5:$B$13,0),MATCH(FS$4,'Curva Forward'!$C$4:$AN$4,0))),CU222)</f>
        <v>0</v>
      </c>
      <c r="FT222" s="190">
        <f>AH222*AH$2*IF($FC222="V",1,-1)*IF($Q222="Fixo",(CV222-INDEX('Curva Forward'!$C$5:$AN$13,MATCH(CONCATENATE(BD_COMERCIAL!$K222," ",BD_COMERCIAL!$L222),'Curva Forward'!$B$5:$B$13,0),MATCH(FT$4,'Curva Forward'!$C$4:$AN$4,0))),CV222)</f>
        <v>0</v>
      </c>
      <c r="FU222" s="190">
        <f>AI222*AI$2*IF($FC222="V",1,-1)*IF($Q222="Fixo",(CW222-INDEX('Curva Forward'!$C$5:$AN$13,MATCH(CONCATENATE(BD_COMERCIAL!$K222," ",BD_COMERCIAL!$L222),'Curva Forward'!$B$5:$B$13,0),MATCH(FU$4,'Curva Forward'!$C$4:$AN$4,0))),CW222)</f>
        <v>0</v>
      </c>
      <c r="FV222" s="190">
        <f>AJ222*AJ$2*IF($FC222="V",1,-1)*IF($Q222="Fixo",(CX222-INDEX('Curva Forward'!$C$5:$AN$13,MATCH(CONCATENATE(BD_COMERCIAL!$K222," ",BD_COMERCIAL!$L222),'Curva Forward'!$B$5:$B$13,0),MATCH(FV$4,'Curva Forward'!$C$4:$AN$4,0))),CX222)</f>
        <v>0</v>
      </c>
      <c r="FW222" s="190">
        <f>AK222*AK$2*IF($FC222="V",1,-1)*IF($Q222="Fixo",(CY222-INDEX('Curva Forward'!$C$5:$AN$13,MATCH(CONCATENATE(BD_COMERCIAL!$K222," ",BD_COMERCIAL!$L222),'Curva Forward'!$B$5:$B$13,0),MATCH(FW$4,'Curva Forward'!$C$4:$AN$4,0))),CY222)</f>
        <v>0</v>
      </c>
      <c r="FX222" s="190">
        <f>AL222*AL$2*IF($FC222="V",1,-1)*IF($Q222="Fixo",(CZ222-INDEX('Curva Forward'!$C$5:$AN$13,MATCH(CONCATENATE(BD_COMERCIAL!$K222," ",BD_COMERCIAL!$L222),'Curva Forward'!$B$5:$B$13,0),MATCH(FX$4,'Curva Forward'!$C$4:$AN$4,0))),CZ222)</f>
        <v>0</v>
      </c>
      <c r="FY222" s="190">
        <f>AM222*AM$2*IF($FC222="V",1,-1)*IF($Q222="Fixo",(DA222-INDEX('Curva Forward'!$C$5:$AN$13,MATCH(CONCATENATE(BD_COMERCIAL!$K222," ",BD_COMERCIAL!$L222),'Curva Forward'!$B$5:$B$13,0),MATCH(FY$4,'Curva Forward'!$C$4:$AN$4,0))),DA222)</f>
        <v>0</v>
      </c>
      <c r="FZ222" s="190">
        <f>AN222*AN$2*IF($FC222="V",1,-1)*IF($Q222="Fixo",(DB222-INDEX('Curva Forward'!$C$5:$AN$13,MATCH(CONCATENATE(BD_COMERCIAL!$K222," ",BD_COMERCIAL!$L222),'Curva Forward'!$B$5:$B$13,0),MATCH(FZ$4,'Curva Forward'!$C$4:$AN$4,0))),DB222)</f>
        <v>0</v>
      </c>
      <c r="GA222" s="190">
        <f>AO222*AO$2*IF($FC222="V",1,-1)*IF($Q222="Fixo",(DC222-INDEX('Curva Forward'!$C$5:$AN$13,MATCH(CONCATENATE(BD_COMERCIAL!$K222," ",BD_COMERCIAL!$L222),'Curva Forward'!$B$5:$B$13,0),MATCH(GA$4,'Curva Forward'!$C$4:$AN$4,0))),DC222)</f>
        <v>0</v>
      </c>
      <c r="GB222" s="190">
        <f>AP222*AP$2*IF($FC222="V",1,-1)*IF($Q222="Fixo",(DD222-INDEX('Curva Forward'!$C$5:$AN$13,MATCH(CONCATENATE(BD_COMERCIAL!$K222," ",BD_COMERCIAL!$L222),'Curva Forward'!$B$5:$B$13,0),MATCH(GB$4,'Curva Forward'!$C$4:$AN$4,0))),DD222)</f>
        <v>0</v>
      </c>
      <c r="GC222" s="190">
        <f>AQ222*AQ$2*IF($FC222="V",1,-1)*IF($Q222="Fixo",(DE222-INDEX('Curva Forward'!$C$5:$AN$13,MATCH(CONCATENATE(BD_COMERCIAL!$K222," ",BD_COMERCIAL!$L222),'Curva Forward'!$B$5:$B$13,0),MATCH(GC$4,'Curva Forward'!$C$4:$AN$4,0))),DE222)</f>
        <v>0</v>
      </c>
      <c r="GD222" s="190">
        <f>AR222*AR$2*IF($FC222="V",1,-1)*IF($Q222="Fixo",(DF222-INDEX('Curva Forward'!$C$5:$AN$13,MATCH(CONCATENATE(BD_COMERCIAL!$K222," ",BD_COMERCIAL!$L222),'Curva Forward'!$B$5:$B$13,0),MATCH(GD$4,'Curva Forward'!$C$4:$AN$4,0))),DF222)</f>
        <v>0</v>
      </c>
      <c r="GE222" s="190">
        <f>AS222*AS$2*IF($FC222="V",1,-1)*IF($Q222="Fixo",(DG222-INDEX('Curva Forward'!$C$5:$AN$13,MATCH(CONCATENATE(BD_COMERCIAL!$K222," ",BD_COMERCIAL!$L222),'Curva Forward'!$B$5:$B$13,0),MATCH(GE$4,'Curva Forward'!$C$4:$AN$4,0))),DG222)</f>
        <v>0</v>
      </c>
      <c r="GF222" s="190">
        <f>AT222*AT$2*IF($FC222="V",1,-1)*IF($Q222="Fixo",(DH222-INDEX('Curva Forward'!$C$5:$AN$13,MATCH(CONCATENATE(BD_COMERCIAL!$K222," ",BD_COMERCIAL!$L222),'Curva Forward'!$B$5:$B$13,0),MATCH(GF$4,'Curva Forward'!$C$4:$AN$4,0))),DH222)</f>
        <v>0</v>
      </c>
      <c r="GG222" s="190">
        <f>AU222*AU$2*IF($FC222="V",1,-1)*IF($Q222="Fixo",(DI222-INDEX('Curva Forward'!$C$5:$AN$13,MATCH(CONCATENATE(BD_COMERCIAL!$K222," ",BD_COMERCIAL!$L222),'Curva Forward'!$B$5:$B$13,0),MATCH(GG$4,'Curva Forward'!$C$4:$AN$4,0))),DI222)</f>
        <v>0</v>
      </c>
      <c r="GH222" s="190">
        <f>AV222*AV$2*IF($FC222="V",1,-1)*IF($Q222="Fixo",(DJ222-INDEX('Curva Forward'!$C$5:$AN$13,MATCH(CONCATENATE(BD_COMERCIAL!$K222," ",BD_COMERCIAL!$L222),'Curva Forward'!$B$5:$B$13,0),MATCH(GH$4,'Curva Forward'!$C$4:$AN$4,0))),DJ222)</f>
        <v>0</v>
      </c>
      <c r="GI222" s="190">
        <f>AW222*AW$2*IF($FC222="V",1,-1)*IF($Q222="Fixo",(DK222-INDEX('Curva Forward'!$C$5:$AN$13,MATCH(CONCATENATE(BD_COMERCIAL!$K222," ",BD_COMERCIAL!$L222),'Curva Forward'!$B$5:$B$13,0),MATCH(GI$4,'Curva Forward'!$C$4:$AN$4,0))),DK222)</f>
        <v>0</v>
      </c>
      <c r="GJ222" s="190">
        <f>AX222*AX$2*IF($FC222="V",1,-1)*IF($Q222="Fixo",(DL222-INDEX('Curva Forward'!$C$5:$AN$13,MATCH(CONCATENATE(BD_COMERCIAL!$K222," ",BD_COMERCIAL!$L222),'Curva Forward'!$B$5:$B$13,0),MATCH(GJ$4,'Curva Forward'!$C$4:$AN$4,0))),DL222)</f>
        <v>0</v>
      </c>
      <c r="GK222" s="190">
        <f>AY222*AY$2*IF($FC222="V",1,-1)*IF($Q222="Fixo",(DM222-INDEX('Curva Forward'!$C$5:$AN$13,MATCH(CONCATENATE(BD_COMERCIAL!$K222," ",BD_COMERCIAL!$L222),'Curva Forward'!$B$5:$B$13,0),MATCH(GK$4,'Curva Forward'!$C$4:$AN$4,0))),DM222)</f>
        <v>0</v>
      </c>
      <c r="GL222" s="190">
        <f>IF(EZ222="",0,CL222*CL$2*IF($FC222="V",1,-1)*IF($Q222="Fixo",(EZ222-INDEX('Curva Forward'!$C$5:$AN$13,MATCH(CONCATENATE(BD_COMERCIAL!$K222," ",BD_COMERCIAL!$L222),'Curva Forward'!$B$5:$B$13,0),MATCH(GL$4,'Curva Forward'!$C$4:$AN$4,0))),EZ222))</f>
        <v>0</v>
      </c>
      <c r="GM222" s="190">
        <f>IF(FA222="",0,CM222*CM$2*IF($FC222="V",1,-1)*IF($Q222="Fixo",(FA222-INDEX('Curva Forward'!$C$5:$AN$13,MATCH(CONCATENATE(BD_COMERCIAL!$K222," ",BD_COMERCIAL!$L222),'Curva Forward'!$B$5:$B$13,0),MATCH(GM$4,'Curva Forward'!$C$4:$AN$4,0))),FA222))</f>
        <v>0</v>
      </c>
      <c r="GN222" s="190">
        <f>IF(FB222="",0,CN222*CN$2*IF($FC222="V",1,-1)*IF($Q222="Fixo",(FB222-INDEX('Curva Forward'!$C$5:$AN$13,MATCH(CONCATENATE(BD_COMERCIAL!$K222," ",BD_COMERCIAL!$L222),'Curva Forward'!$B$5:$B$13,0),MATCH(GN$4,'Curva Forward'!$C$4:$AN$4,0))),FB222))</f>
        <v>0</v>
      </c>
      <c r="GO222" s="191">
        <f t="shared" ca="1" si="32"/>
        <v>0</v>
      </c>
      <c r="GP222" s="191">
        <f t="shared" ca="1" si="33"/>
        <v>0</v>
      </c>
      <c r="GQ222" s="115"/>
      <c r="GR222" s="115"/>
      <c r="GS222"/>
      <c r="GT222" s="65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</row>
    <row r="223" spans="1:236" s="265" customFormat="1" ht="15" customHeight="1" x14ac:dyDescent="0.35">
      <c r="A223" s="251"/>
      <c r="B223" s="275"/>
      <c r="C223" s="253"/>
      <c r="D223" s="254"/>
      <c r="E223" s="254"/>
      <c r="F223" s="255"/>
      <c r="G223" s="256"/>
      <c r="H223" s="255"/>
      <c r="I223" s="254"/>
      <c r="J223" s="257"/>
      <c r="K223" s="256"/>
      <c r="L223" s="252"/>
      <c r="M223" s="258"/>
      <c r="N223" s="259"/>
      <c r="O223" s="256"/>
      <c r="P223" s="252"/>
      <c r="Q223" s="252"/>
      <c r="R223" s="256"/>
      <c r="S223" s="260"/>
      <c r="T223" s="258"/>
      <c r="U223" s="259"/>
      <c r="V223" s="261"/>
      <c r="W223" s="252"/>
      <c r="X223" s="262"/>
      <c r="Y223" s="257"/>
      <c r="Z223" s="263"/>
      <c r="AA223" s="264"/>
      <c r="AB223" s="266"/>
      <c r="AM223" s="251"/>
      <c r="AN223" s="266"/>
      <c r="AY223" s="251"/>
      <c r="AZ223" s="266"/>
      <c r="BK223" s="251"/>
      <c r="BL223" s="266"/>
      <c r="BW223" s="251"/>
      <c r="BX223" s="266"/>
      <c r="CI223" s="251"/>
      <c r="CJ223" s="267"/>
      <c r="CK223" s="267"/>
      <c r="CL223" s="267"/>
      <c r="CM223" s="267"/>
      <c r="CN223" s="267"/>
      <c r="CO223" s="268"/>
      <c r="CP223" s="266"/>
      <c r="DA223" s="251"/>
      <c r="DB223" s="266"/>
      <c r="DM223" s="251"/>
      <c r="DN223" s="266"/>
      <c r="DY223" s="251"/>
      <c r="DZ223" s="266"/>
      <c r="EK223" s="251"/>
      <c r="EL223" s="266"/>
      <c r="EW223" s="251"/>
      <c r="EX223" s="267"/>
      <c r="EY223" s="267"/>
      <c r="EZ223" s="267"/>
      <c r="FA223" s="267"/>
      <c r="FB223" s="269"/>
      <c r="FD223" s="270"/>
      <c r="FF223" s="276"/>
      <c r="FH223" s="206">
        <f t="shared" si="27"/>
        <v>0</v>
      </c>
      <c r="FI223" s="198">
        <f t="shared" si="28"/>
        <v>0</v>
      </c>
      <c r="FJ223"/>
      <c r="FK223">
        <f t="shared" si="29"/>
        <v>0</v>
      </c>
      <c r="FL223" s="191">
        <f t="shared" ca="1" si="30"/>
        <v>0</v>
      </c>
      <c r="FM223" s="191">
        <f t="shared" ca="1" si="31"/>
        <v>0</v>
      </c>
      <c r="FN223" s="190">
        <f>AB223*AB$2*IF($FC223="V",1,-1)*IF($Q223="Fixo",(CP223-INDEX('Curva Forward'!$C$5:$AN$13,MATCH(CONCATENATE(BD_COMERCIAL!$K223," ",BD_COMERCIAL!$L223),'Curva Forward'!$B$5:$B$13,0),MATCH(FN$4,'Curva Forward'!$C$4:$AN$4,0))),CP223)</f>
        <v>0</v>
      </c>
      <c r="FO223" s="190">
        <f>AC223*AC$2*IF($FC223="V",1,-1)*IF($Q223="Fixo",(CQ223-INDEX('Curva Forward'!$C$5:$AN$13,MATCH(CONCATENATE(BD_COMERCIAL!$K223," ",BD_COMERCIAL!$L223),'Curva Forward'!$B$5:$B$13,0),MATCH(FO$4,'Curva Forward'!$C$4:$AN$4,0))),CQ223)</f>
        <v>0</v>
      </c>
      <c r="FP223" s="190">
        <f>AD223*AD$2*IF($FC223="V",1,-1)*IF($Q223="Fixo",(CR223-INDEX('Curva Forward'!$C$5:$AN$13,MATCH(CONCATENATE(BD_COMERCIAL!$K223," ",BD_COMERCIAL!$L223),'Curva Forward'!$B$5:$B$13,0),MATCH(FP$4,'Curva Forward'!$C$4:$AN$4,0))),CR223)</f>
        <v>0</v>
      </c>
      <c r="FQ223" s="190">
        <f>AE223*AE$2*IF($FC223="V",1,-1)*IF($Q223="Fixo",(CS223-INDEX('Curva Forward'!$C$5:$AN$13,MATCH(CONCATENATE(BD_COMERCIAL!$K223," ",BD_COMERCIAL!$L223),'Curva Forward'!$B$5:$B$13,0),MATCH(FQ$4,'Curva Forward'!$C$4:$AN$4,0))),CS223)</f>
        <v>0</v>
      </c>
      <c r="FR223" s="190">
        <f>AF223*AF$2*IF($FC223="V",1,-1)*IF($Q223="Fixo",(CT223-INDEX('Curva Forward'!$C$5:$AN$13,MATCH(CONCATENATE(BD_COMERCIAL!$K223," ",BD_COMERCIAL!$L223),'Curva Forward'!$B$5:$B$13,0),MATCH(FR$4,'Curva Forward'!$C$4:$AN$4,0))),CT223)</f>
        <v>0</v>
      </c>
      <c r="FS223" s="190">
        <f>AG223*AG$2*IF($FC223="V",1,-1)*IF($Q223="Fixo",(CU223-INDEX('Curva Forward'!$C$5:$AN$13,MATCH(CONCATENATE(BD_COMERCIAL!$K223," ",BD_COMERCIAL!$L223),'Curva Forward'!$B$5:$B$13,0),MATCH(FS$4,'Curva Forward'!$C$4:$AN$4,0))),CU223)</f>
        <v>0</v>
      </c>
      <c r="FT223" s="190">
        <f>AH223*AH$2*IF($FC223="V",1,-1)*IF($Q223="Fixo",(CV223-INDEX('Curva Forward'!$C$5:$AN$13,MATCH(CONCATENATE(BD_COMERCIAL!$K223," ",BD_COMERCIAL!$L223),'Curva Forward'!$B$5:$B$13,0),MATCH(FT$4,'Curva Forward'!$C$4:$AN$4,0))),CV223)</f>
        <v>0</v>
      </c>
      <c r="FU223" s="190">
        <f>AI223*AI$2*IF($FC223="V",1,-1)*IF($Q223="Fixo",(CW223-INDEX('Curva Forward'!$C$5:$AN$13,MATCH(CONCATENATE(BD_COMERCIAL!$K223," ",BD_COMERCIAL!$L223),'Curva Forward'!$B$5:$B$13,0),MATCH(FU$4,'Curva Forward'!$C$4:$AN$4,0))),CW223)</f>
        <v>0</v>
      </c>
      <c r="FV223" s="190">
        <f>AJ223*AJ$2*IF($FC223="V",1,-1)*IF($Q223="Fixo",(CX223-INDEX('Curva Forward'!$C$5:$AN$13,MATCH(CONCATENATE(BD_COMERCIAL!$K223," ",BD_COMERCIAL!$L223),'Curva Forward'!$B$5:$B$13,0),MATCH(FV$4,'Curva Forward'!$C$4:$AN$4,0))),CX223)</f>
        <v>0</v>
      </c>
      <c r="FW223" s="190">
        <f>AK223*AK$2*IF($FC223="V",1,-1)*IF($Q223="Fixo",(CY223-INDEX('Curva Forward'!$C$5:$AN$13,MATCH(CONCATENATE(BD_COMERCIAL!$K223," ",BD_COMERCIAL!$L223),'Curva Forward'!$B$5:$B$13,0),MATCH(FW$4,'Curva Forward'!$C$4:$AN$4,0))),CY223)</f>
        <v>0</v>
      </c>
      <c r="FX223" s="190">
        <f>AL223*AL$2*IF($FC223="V",1,-1)*IF($Q223="Fixo",(CZ223-INDEX('Curva Forward'!$C$5:$AN$13,MATCH(CONCATENATE(BD_COMERCIAL!$K223," ",BD_COMERCIAL!$L223),'Curva Forward'!$B$5:$B$13,0),MATCH(FX$4,'Curva Forward'!$C$4:$AN$4,0))),CZ223)</f>
        <v>0</v>
      </c>
      <c r="FY223" s="190">
        <f>AM223*AM$2*IF($FC223="V",1,-1)*IF($Q223="Fixo",(DA223-INDEX('Curva Forward'!$C$5:$AN$13,MATCH(CONCATENATE(BD_COMERCIAL!$K223," ",BD_COMERCIAL!$L223),'Curva Forward'!$B$5:$B$13,0),MATCH(FY$4,'Curva Forward'!$C$4:$AN$4,0))),DA223)</f>
        <v>0</v>
      </c>
      <c r="FZ223" s="190">
        <f>AN223*AN$2*IF($FC223="V",1,-1)*IF($Q223="Fixo",(DB223-INDEX('Curva Forward'!$C$5:$AN$13,MATCH(CONCATENATE(BD_COMERCIAL!$K223," ",BD_COMERCIAL!$L223),'Curva Forward'!$B$5:$B$13,0),MATCH(FZ$4,'Curva Forward'!$C$4:$AN$4,0))),DB223)</f>
        <v>0</v>
      </c>
      <c r="GA223" s="190">
        <f>AO223*AO$2*IF($FC223="V",1,-1)*IF($Q223="Fixo",(DC223-INDEX('Curva Forward'!$C$5:$AN$13,MATCH(CONCATENATE(BD_COMERCIAL!$K223," ",BD_COMERCIAL!$L223),'Curva Forward'!$B$5:$B$13,0),MATCH(GA$4,'Curva Forward'!$C$4:$AN$4,0))),DC223)</f>
        <v>0</v>
      </c>
      <c r="GB223" s="190">
        <f>AP223*AP$2*IF($FC223="V",1,-1)*IF($Q223="Fixo",(DD223-INDEX('Curva Forward'!$C$5:$AN$13,MATCH(CONCATENATE(BD_COMERCIAL!$K223," ",BD_COMERCIAL!$L223),'Curva Forward'!$B$5:$B$13,0),MATCH(GB$4,'Curva Forward'!$C$4:$AN$4,0))),DD223)</f>
        <v>0</v>
      </c>
      <c r="GC223" s="190">
        <f>AQ223*AQ$2*IF($FC223="V",1,-1)*IF($Q223="Fixo",(DE223-INDEX('Curva Forward'!$C$5:$AN$13,MATCH(CONCATENATE(BD_COMERCIAL!$K223," ",BD_COMERCIAL!$L223),'Curva Forward'!$B$5:$B$13,0),MATCH(GC$4,'Curva Forward'!$C$4:$AN$4,0))),DE223)</f>
        <v>0</v>
      </c>
      <c r="GD223" s="190">
        <f>AR223*AR$2*IF($FC223="V",1,-1)*IF($Q223="Fixo",(DF223-INDEX('Curva Forward'!$C$5:$AN$13,MATCH(CONCATENATE(BD_COMERCIAL!$K223," ",BD_COMERCIAL!$L223),'Curva Forward'!$B$5:$B$13,0),MATCH(GD$4,'Curva Forward'!$C$4:$AN$4,0))),DF223)</f>
        <v>0</v>
      </c>
      <c r="GE223" s="190">
        <f>AS223*AS$2*IF($FC223="V",1,-1)*IF($Q223="Fixo",(DG223-INDEX('Curva Forward'!$C$5:$AN$13,MATCH(CONCATENATE(BD_COMERCIAL!$K223," ",BD_COMERCIAL!$L223),'Curva Forward'!$B$5:$B$13,0),MATCH(GE$4,'Curva Forward'!$C$4:$AN$4,0))),DG223)</f>
        <v>0</v>
      </c>
      <c r="GF223" s="190">
        <f>AT223*AT$2*IF($FC223="V",1,-1)*IF($Q223="Fixo",(DH223-INDEX('Curva Forward'!$C$5:$AN$13,MATCH(CONCATENATE(BD_COMERCIAL!$K223," ",BD_COMERCIAL!$L223),'Curva Forward'!$B$5:$B$13,0),MATCH(GF$4,'Curva Forward'!$C$4:$AN$4,0))),DH223)</f>
        <v>0</v>
      </c>
      <c r="GG223" s="190">
        <f>AU223*AU$2*IF($FC223="V",1,-1)*IF($Q223="Fixo",(DI223-INDEX('Curva Forward'!$C$5:$AN$13,MATCH(CONCATENATE(BD_COMERCIAL!$K223," ",BD_COMERCIAL!$L223),'Curva Forward'!$B$5:$B$13,0),MATCH(GG$4,'Curva Forward'!$C$4:$AN$4,0))),DI223)</f>
        <v>0</v>
      </c>
      <c r="GH223" s="190">
        <f>AV223*AV$2*IF($FC223="V",1,-1)*IF($Q223="Fixo",(DJ223-INDEX('Curva Forward'!$C$5:$AN$13,MATCH(CONCATENATE(BD_COMERCIAL!$K223," ",BD_COMERCIAL!$L223),'Curva Forward'!$B$5:$B$13,0),MATCH(GH$4,'Curva Forward'!$C$4:$AN$4,0))),DJ223)</f>
        <v>0</v>
      </c>
      <c r="GI223" s="190">
        <f>AW223*AW$2*IF($FC223="V",1,-1)*IF($Q223="Fixo",(DK223-INDEX('Curva Forward'!$C$5:$AN$13,MATCH(CONCATENATE(BD_COMERCIAL!$K223," ",BD_COMERCIAL!$L223),'Curva Forward'!$B$5:$B$13,0),MATCH(GI$4,'Curva Forward'!$C$4:$AN$4,0))),DK223)</f>
        <v>0</v>
      </c>
      <c r="GJ223" s="190">
        <f>AX223*AX$2*IF($FC223="V",1,-1)*IF($Q223="Fixo",(DL223-INDEX('Curva Forward'!$C$5:$AN$13,MATCH(CONCATENATE(BD_COMERCIAL!$K223," ",BD_COMERCIAL!$L223),'Curva Forward'!$B$5:$B$13,0),MATCH(GJ$4,'Curva Forward'!$C$4:$AN$4,0))),DL223)</f>
        <v>0</v>
      </c>
      <c r="GK223" s="190">
        <f>AY223*AY$2*IF($FC223="V",1,-1)*IF($Q223="Fixo",(DM223-INDEX('Curva Forward'!$C$5:$AN$13,MATCH(CONCATENATE(BD_COMERCIAL!$K223," ",BD_COMERCIAL!$L223),'Curva Forward'!$B$5:$B$13,0),MATCH(GK$4,'Curva Forward'!$C$4:$AN$4,0))),DM223)</f>
        <v>0</v>
      </c>
      <c r="GL223" s="190">
        <f>IF(EZ223="",0,CL223*CL$2*IF($FC223="V",1,-1)*IF($Q223="Fixo",(EZ223-INDEX('Curva Forward'!$C$5:$AN$13,MATCH(CONCATENATE(BD_COMERCIAL!$K223," ",BD_COMERCIAL!$L223),'Curva Forward'!$B$5:$B$13,0),MATCH(GL$4,'Curva Forward'!$C$4:$AN$4,0))),EZ223))</f>
        <v>0</v>
      </c>
      <c r="GM223" s="190">
        <f>IF(FA223="",0,CM223*CM$2*IF($FC223="V",1,-1)*IF($Q223="Fixo",(FA223-INDEX('Curva Forward'!$C$5:$AN$13,MATCH(CONCATENATE(BD_COMERCIAL!$K223," ",BD_COMERCIAL!$L223),'Curva Forward'!$B$5:$B$13,0),MATCH(GM$4,'Curva Forward'!$C$4:$AN$4,0))),FA223))</f>
        <v>0</v>
      </c>
      <c r="GN223" s="190">
        <f>IF(FB223="",0,CN223*CN$2*IF($FC223="V",1,-1)*IF($Q223="Fixo",(FB223-INDEX('Curva Forward'!$C$5:$AN$13,MATCH(CONCATENATE(BD_COMERCIAL!$K223," ",BD_COMERCIAL!$L223),'Curva Forward'!$B$5:$B$13,0),MATCH(GN$4,'Curva Forward'!$C$4:$AN$4,0))),FB223))</f>
        <v>0</v>
      </c>
      <c r="GO223" s="191">
        <f t="shared" ca="1" si="32"/>
        <v>0</v>
      </c>
      <c r="GP223" s="191">
        <f t="shared" ca="1" si="33"/>
        <v>0</v>
      </c>
      <c r="GQ223" s="115"/>
      <c r="GR223" s="115"/>
      <c r="GS223"/>
      <c r="GT223" s="65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</row>
    <row r="224" spans="1:236" s="265" customFormat="1" ht="15" customHeight="1" x14ac:dyDescent="0.35">
      <c r="A224" s="251"/>
      <c r="B224" s="275"/>
      <c r="C224" s="253"/>
      <c r="D224" s="254"/>
      <c r="E224" s="254"/>
      <c r="F224" s="255"/>
      <c r="G224" s="256"/>
      <c r="H224" s="255"/>
      <c r="I224" s="254"/>
      <c r="J224" s="257"/>
      <c r="K224" s="256"/>
      <c r="L224" s="252"/>
      <c r="M224" s="258"/>
      <c r="N224" s="259"/>
      <c r="O224" s="256"/>
      <c r="P224" s="252"/>
      <c r="Q224" s="252"/>
      <c r="R224" s="256"/>
      <c r="S224" s="260"/>
      <c r="T224" s="258"/>
      <c r="U224" s="259"/>
      <c r="V224" s="261"/>
      <c r="W224" s="252"/>
      <c r="X224" s="262"/>
      <c r="Y224" s="257"/>
      <c r="Z224" s="263"/>
      <c r="AA224" s="264"/>
      <c r="AB224" s="266"/>
      <c r="AM224" s="251"/>
      <c r="AN224" s="266"/>
      <c r="AY224" s="251"/>
      <c r="AZ224" s="266"/>
      <c r="BK224" s="251"/>
      <c r="BL224" s="266"/>
      <c r="BW224" s="251"/>
      <c r="BX224" s="266"/>
      <c r="CI224" s="251"/>
      <c r="CJ224" s="267"/>
      <c r="CK224" s="267"/>
      <c r="CL224" s="267"/>
      <c r="CM224" s="267"/>
      <c r="CN224" s="267"/>
      <c r="CO224" s="268"/>
      <c r="CP224" s="266"/>
      <c r="DA224" s="251"/>
      <c r="DB224" s="266"/>
      <c r="DM224" s="251"/>
      <c r="DN224" s="266"/>
      <c r="DY224" s="251"/>
      <c r="DZ224" s="266"/>
      <c r="EK224" s="251"/>
      <c r="EL224" s="266"/>
      <c r="EW224" s="251"/>
      <c r="EX224" s="267"/>
      <c r="EY224" s="267"/>
      <c r="EZ224" s="267"/>
      <c r="FA224" s="267"/>
      <c r="FB224" s="269"/>
      <c r="FD224" s="270"/>
      <c r="FF224" s="276"/>
      <c r="FH224" s="206">
        <f t="shared" si="27"/>
        <v>0</v>
      </c>
      <c r="FI224" s="198">
        <f t="shared" si="28"/>
        <v>0</v>
      </c>
      <c r="FJ224"/>
      <c r="FK224">
        <f t="shared" si="29"/>
        <v>0</v>
      </c>
      <c r="FL224" s="191">
        <f t="shared" ca="1" si="30"/>
        <v>0</v>
      </c>
      <c r="FM224" s="191">
        <f t="shared" ca="1" si="31"/>
        <v>0</v>
      </c>
      <c r="FN224" s="190">
        <f>AB224*AB$2*IF($FC224="V",1,-1)*IF($Q224="Fixo",(CP224-INDEX('Curva Forward'!$C$5:$AN$13,MATCH(CONCATENATE(BD_COMERCIAL!$K224," ",BD_COMERCIAL!$L224),'Curva Forward'!$B$5:$B$13,0),MATCH(FN$4,'Curva Forward'!$C$4:$AN$4,0))),CP224)</f>
        <v>0</v>
      </c>
      <c r="FO224" s="190">
        <f>AC224*AC$2*IF($FC224="V",1,-1)*IF($Q224="Fixo",(CQ224-INDEX('Curva Forward'!$C$5:$AN$13,MATCH(CONCATENATE(BD_COMERCIAL!$K224," ",BD_COMERCIAL!$L224),'Curva Forward'!$B$5:$B$13,0),MATCH(FO$4,'Curva Forward'!$C$4:$AN$4,0))),CQ224)</f>
        <v>0</v>
      </c>
      <c r="FP224" s="190">
        <f>AD224*AD$2*IF($FC224="V",1,-1)*IF($Q224="Fixo",(CR224-INDEX('Curva Forward'!$C$5:$AN$13,MATCH(CONCATENATE(BD_COMERCIAL!$K224," ",BD_COMERCIAL!$L224),'Curva Forward'!$B$5:$B$13,0),MATCH(FP$4,'Curva Forward'!$C$4:$AN$4,0))),CR224)</f>
        <v>0</v>
      </c>
      <c r="FQ224" s="190">
        <f>AE224*AE$2*IF($FC224="V",1,-1)*IF($Q224="Fixo",(CS224-INDEX('Curva Forward'!$C$5:$AN$13,MATCH(CONCATENATE(BD_COMERCIAL!$K224," ",BD_COMERCIAL!$L224),'Curva Forward'!$B$5:$B$13,0),MATCH(FQ$4,'Curva Forward'!$C$4:$AN$4,0))),CS224)</f>
        <v>0</v>
      </c>
      <c r="FR224" s="190">
        <f>AF224*AF$2*IF($FC224="V",1,-1)*IF($Q224="Fixo",(CT224-INDEX('Curva Forward'!$C$5:$AN$13,MATCH(CONCATENATE(BD_COMERCIAL!$K224," ",BD_COMERCIAL!$L224),'Curva Forward'!$B$5:$B$13,0),MATCH(FR$4,'Curva Forward'!$C$4:$AN$4,0))),CT224)</f>
        <v>0</v>
      </c>
      <c r="FS224" s="190">
        <f>AG224*AG$2*IF($FC224="V",1,-1)*IF($Q224="Fixo",(CU224-INDEX('Curva Forward'!$C$5:$AN$13,MATCH(CONCATENATE(BD_COMERCIAL!$K224," ",BD_COMERCIAL!$L224),'Curva Forward'!$B$5:$B$13,0),MATCH(FS$4,'Curva Forward'!$C$4:$AN$4,0))),CU224)</f>
        <v>0</v>
      </c>
      <c r="FT224" s="190">
        <f>AH224*AH$2*IF($FC224="V",1,-1)*IF($Q224="Fixo",(CV224-INDEX('Curva Forward'!$C$5:$AN$13,MATCH(CONCATENATE(BD_COMERCIAL!$K224," ",BD_COMERCIAL!$L224),'Curva Forward'!$B$5:$B$13,0),MATCH(FT$4,'Curva Forward'!$C$4:$AN$4,0))),CV224)</f>
        <v>0</v>
      </c>
      <c r="FU224" s="190">
        <f>AI224*AI$2*IF($FC224="V",1,-1)*IF($Q224="Fixo",(CW224-INDEX('Curva Forward'!$C$5:$AN$13,MATCH(CONCATENATE(BD_COMERCIAL!$K224," ",BD_COMERCIAL!$L224),'Curva Forward'!$B$5:$B$13,0),MATCH(FU$4,'Curva Forward'!$C$4:$AN$4,0))),CW224)</f>
        <v>0</v>
      </c>
      <c r="FV224" s="190">
        <f>AJ224*AJ$2*IF($FC224="V",1,-1)*IF($Q224="Fixo",(CX224-INDEX('Curva Forward'!$C$5:$AN$13,MATCH(CONCATENATE(BD_COMERCIAL!$K224," ",BD_COMERCIAL!$L224),'Curva Forward'!$B$5:$B$13,0),MATCH(FV$4,'Curva Forward'!$C$4:$AN$4,0))),CX224)</f>
        <v>0</v>
      </c>
      <c r="FW224" s="190">
        <f>AK224*AK$2*IF($FC224="V",1,-1)*IF($Q224="Fixo",(CY224-INDEX('Curva Forward'!$C$5:$AN$13,MATCH(CONCATENATE(BD_COMERCIAL!$K224," ",BD_COMERCIAL!$L224),'Curva Forward'!$B$5:$B$13,0),MATCH(FW$4,'Curva Forward'!$C$4:$AN$4,0))),CY224)</f>
        <v>0</v>
      </c>
      <c r="FX224" s="190">
        <f>AL224*AL$2*IF($FC224="V",1,-1)*IF($Q224="Fixo",(CZ224-INDEX('Curva Forward'!$C$5:$AN$13,MATCH(CONCATENATE(BD_COMERCIAL!$K224," ",BD_COMERCIAL!$L224),'Curva Forward'!$B$5:$B$13,0),MATCH(FX$4,'Curva Forward'!$C$4:$AN$4,0))),CZ224)</f>
        <v>0</v>
      </c>
      <c r="FY224" s="190">
        <f>AM224*AM$2*IF($FC224="V",1,-1)*IF($Q224="Fixo",(DA224-INDEX('Curva Forward'!$C$5:$AN$13,MATCH(CONCATENATE(BD_COMERCIAL!$K224," ",BD_COMERCIAL!$L224),'Curva Forward'!$B$5:$B$13,0),MATCH(FY$4,'Curva Forward'!$C$4:$AN$4,0))),DA224)</f>
        <v>0</v>
      </c>
      <c r="FZ224" s="190">
        <f>AN224*AN$2*IF($FC224="V",1,-1)*IF($Q224="Fixo",(DB224-INDEX('Curva Forward'!$C$5:$AN$13,MATCH(CONCATENATE(BD_COMERCIAL!$K224," ",BD_COMERCIAL!$L224),'Curva Forward'!$B$5:$B$13,0),MATCH(FZ$4,'Curva Forward'!$C$4:$AN$4,0))),DB224)</f>
        <v>0</v>
      </c>
      <c r="GA224" s="190">
        <f>AO224*AO$2*IF($FC224="V",1,-1)*IF($Q224="Fixo",(DC224-INDEX('Curva Forward'!$C$5:$AN$13,MATCH(CONCATENATE(BD_COMERCIAL!$K224," ",BD_COMERCIAL!$L224),'Curva Forward'!$B$5:$B$13,0),MATCH(GA$4,'Curva Forward'!$C$4:$AN$4,0))),DC224)</f>
        <v>0</v>
      </c>
      <c r="GB224" s="190">
        <f>AP224*AP$2*IF($FC224="V",1,-1)*IF($Q224="Fixo",(DD224-INDEX('Curva Forward'!$C$5:$AN$13,MATCH(CONCATENATE(BD_COMERCIAL!$K224," ",BD_COMERCIAL!$L224),'Curva Forward'!$B$5:$B$13,0),MATCH(GB$4,'Curva Forward'!$C$4:$AN$4,0))),DD224)</f>
        <v>0</v>
      </c>
      <c r="GC224" s="190">
        <f>AQ224*AQ$2*IF($FC224="V",1,-1)*IF($Q224="Fixo",(DE224-INDEX('Curva Forward'!$C$5:$AN$13,MATCH(CONCATENATE(BD_COMERCIAL!$K224," ",BD_COMERCIAL!$L224),'Curva Forward'!$B$5:$B$13,0),MATCH(GC$4,'Curva Forward'!$C$4:$AN$4,0))),DE224)</f>
        <v>0</v>
      </c>
      <c r="GD224" s="190">
        <f>AR224*AR$2*IF($FC224="V",1,-1)*IF($Q224="Fixo",(DF224-INDEX('Curva Forward'!$C$5:$AN$13,MATCH(CONCATENATE(BD_COMERCIAL!$K224," ",BD_COMERCIAL!$L224),'Curva Forward'!$B$5:$B$13,0),MATCH(GD$4,'Curva Forward'!$C$4:$AN$4,0))),DF224)</f>
        <v>0</v>
      </c>
      <c r="GE224" s="190">
        <f>AS224*AS$2*IF($FC224="V",1,-1)*IF($Q224="Fixo",(DG224-INDEX('Curva Forward'!$C$5:$AN$13,MATCH(CONCATENATE(BD_COMERCIAL!$K224," ",BD_COMERCIAL!$L224),'Curva Forward'!$B$5:$B$13,0),MATCH(GE$4,'Curva Forward'!$C$4:$AN$4,0))),DG224)</f>
        <v>0</v>
      </c>
      <c r="GF224" s="190">
        <f>AT224*AT$2*IF($FC224="V",1,-1)*IF($Q224="Fixo",(DH224-INDEX('Curva Forward'!$C$5:$AN$13,MATCH(CONCATENATE(BD_COMERCIAL!$K224," ",BD_COMERCIAL!$L224),'Curva Forward'!$B$5:$B$13,0),MATCH(GF$4,'Curva Forward'!$C$4:$AN$4,0))),DH224)</f>
        <v>0</v>
      </c>
      <c r="GG224" s="190">
        <f>AU224*AU$2*IF($FC224="V",1,-1)*IF($Q224="Fixo",(DI224-INDEX('Curva Forward'!$C$5:$AN$13,MATCH(CONCATENATE(BD_COMERCIAL!$K224," ",BD_COMERCIAL!$L224),'Curva Forward'!$B$5:$B$13,0),MATCH(GG$4,'Curva Forward'!$C$4:$AN$4,0))),DI224)</f>
        <v>0</v>
      </c>
      <c r="GH224" s="190">
        <f>AV224*AV$2*IF($FC224="V",1,-1)*IF($Q224="Fixo",(DJ224-INDEX('Curva Forward'!$C$5:$AN$13,MATCH(CONCATENATE(BD_COMERCIAL!$K224," ",BD_COMERCIAL!$L224),'Curva Forward'!$B$5:$B$13,0),MATCH(GH$4,'Curva Forward'!$C$4:$AN$4,0))),DJ224)</f>
        <v>0</v>
      </c>
      <c r="GI224" s="190">
        <f>AW224*AW$2*IF($FC224="V",1,-1)*IF($Q224="Fixo",(DK224-INDEX('Curva Forward'!$C$5:$AN$13,MATCH(CONCATENATE(BD_COMERCIAL!$K224," ",BD_COMERCIAL!$L224),'Curva Forward'!$B$5:$B$13,0),MATCH(GI$4,'Curva Forward'!$C$4:$AN$4,0))),DK224)</f>
        <v>0</v>
      </c>
      <c r="GJ224" s="190">
        <f>AX224*AX$2*IF($FC224="V",1,-1)*IF($Q224="Fixo",(DL224-INDEX('Curva Forward'!$C$5:$AN$13,MATCH(CONCATENATE(BD_COMERCIAL!$K224," ",BD_COMERCIAL!$L224),'Curva Forward'!$B$5:$B$13,0),MATCH(GJ$4,'Curva Forward'!$C$4:$AN$4,0))),DL224)</f>
        <v>0</v>
      </c>
      <c r="GK224" s="190">
        <f>AY224*AY$2*IF($FC224="V",1,-1)*IF($Q224="Fixo",(DM224-INDEX('Curva Forward'!$C$5:$AN$13,MATCH(CONCATENATE(BD_COMERCIAL!$K224," ",BD_COMERCIAL!$L224),'Curva Forward'!$B$5:$B$13,0),MATCH(GK$4,'Curva Forward'!$C$4:$AN$4,0))),DM224)</f>
        <v>0</v>
      </c>
      <c r="GL224" s="190">
        <f>IF(EZ224="",0,CL224*CL$2*IF($FC224="V",1,-1)*IF($Q224="Fixo",(EZ224-INDEX('Curva Forward'!$C$5:$AN$13,MATCH(CONCATENATE(BD_COMERCIAL!$K224," ",BD_COMERCIAL!$L224),'Curva Forward'!$B$5:$B$13,0),MATCH(GL$4,'Curva Forward'!$C$4:$AN$4,0))),EZ224))</f>
        <v>0</v>
      </c>
      <c r="GM224" s="190">
        <f>IF(FA224="",0,CM224*CM$2*IF($FC224="V",1,-1)*IF($Q224="Fixo",(FA224-INDEX('Curva Forward'!$C$5:$AN$13,MATCH(CONCATENATE(BD_COMERCIAL!$K224," ",BD_COMERCIAL!$L224),'Curva Forward'!$B$5:$B$13,0),MATCH(GM$4,'Curva Forward'!$C$4:$AN$4,0))),FA224))</f>
        <v>0</v>
      </c>
      <c r="GN224" s="190">
        <f>IF(FB224="",0,CN224*CN$2*IF($FC224="V",1,-1)*IF($Q224="Fixo",(FB224-INDEX('Curva Forward'!$C$5:$AN$13,MATCH(CONCATENATE(BD_COMERCIAL!$K224," ",BD_COMERCIAL!$L224),'Curva Forward'!$B$5:$B$13,0),MATCH(GN$4,'Curva Forward'!$C$4:$AN$4,0))),FB224))</f>
        <v>0</v>
      </c>
      <c r="GO224" s="191">
        <f t="shared" ca="1" si="32"/>
        <v>0</v>
      </c>
      <c r="GP224" s="191">
        <f t="shared" ca="1" si="33"/>
        <v>0</v>
      </c>
      <c r="GQ224" s="115"/>
      <c r="GR224" s="115"/>
      <c r="GS224"/>
      <c r="GT224" s="65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</row>
    <row r="225" spans="1:236" s="265" customFormat="1" ht="15" customHeight="1" x14ac:dyDescent="0.35">
      <c r="A225" s="251"/>
      <c r="B225" s="275"/>
      <c r="C225" s="253"/>
      <c r="D225" s="254"/>
      <c r="E225" s="254"/>
      <c r="F225" s="255"/>
      <c r="G225" s="256"/>
      <c r="H225" s="255"/>
      <c r="I225" s="254"/>
      <c r="J225" s="257"/>
      <c r="K225" s="256"/>
      <c r="L225" s="252"/>
      <c r="M225" s="258"/>
      <c r="N225" s="259"/>
      <c r="O225" s="256"/>
      <c r="P225" s="252"/>
      <c r="Q225" s="252"/>
      <c r="R225" s="256"/>
      <c r="S225" s="260"/>
      <c r="T225" s="258"/>
      <c r="U225" s="259"/>
      <c r="V225" s="261"/>
      <c r="W225" s="252"/>
      <c r="X225" s="262"/>
      <c r="Y225" s="257"/>
      <c r="Z225" s="263"/>
      <c r="AA225" s="264"/>
      <c r="AB225" s="266"/>
      <c r="AM225" s="251"/>
      <c r="AN225" s="266"/>
      <c r="AY225" s="251"/>
      <c r="AZ225" s="266"/>
      <c r="BK225" s="251"/>
      <c r="BL225" s="266"/>
      <c r="BW225" s="251"/>
      <c r="BX225" s="266"/>
      <c r="CI225" s="251"/>
      <c r="CJ225" s="267"/>
      <c r="CK225" s="267"/>
      <c r="CL225" s="267"/>
      <c r="CM225" s="267"/>
      <c r="CN225" s="267"/>
      <c r="CO225" s="268"/>
      <c r="CP225" s="266"/>
      <c r="DA225" s="251"/>
      <c r="DB225" s="266"/>
      <c r="DM225" s="251"/>
      <c r="DN225" s="266"/>
      <c r="DY225" s="251"/>
      <c r="DZ225" s="266"/>
      <c r="EK225" s="251"/>
      <c r="EL225" s="266"/>
      <c r="EW225" s="251"/>
      <c r="EX225" s="267"/>
      <c r="EY225" s="267"/>
      <c r="EZ225" s="267"/>
      <c r="FA225" s="267"/>
      <c r="FB225" s="269"/>
      <c r="FD225" s="270"/>
      <c r="FF225" s="276"/>
      <c r="FH225" s="206">
        <f t="shared" si="27"/>
        <v>0</v>
      </c>
      <c r="FI225" s="198">
        <f t="shared" si="28"/>
        <v>0</v>
      </c>
      <c r="FJ225"/>
      <c r="FK225">
        <f t="shared" si="29"/>
        <v>0</v>
      </c>
      <c r="FL225" s="191">
        <f t="shared" ca="1" si="30"/>
        <v>0</v>
      </c>
      <c r="FM225" s="191">
        <f t="shared" ca="1" si="31"/>
        <v>0</v>
      </c>
      <c r="FN225" s="190">
        <f>AB225*AB$2*IF($FC225="V",1,-1)*IF($Q225="Fixo",(CP225-INDEX('Curva Forward'!$C$5:$AN$13,MATCH(CONCATENATE(BD_COMERCIAL!$K225," ",BD_COMERCIAL!$L225),'Curva Forward'!$B$5:$B$13,0),MATCH(FN$4,'Curva Forward'!$C$4:$AN$4,0))),CP225)</f>
        <v>0</v>
      </c>
      <c r="FO225" s="190">
        <f>AC225*AC$2*IF($FC225="V",1,-1)*IF($Q225="Fixo",(CQ225-INDEX('Curva Forward'!$C$5:$AN$13,MATCH(CONCATENATE(BD_COMERCIAL!$K225," ",BD_COMERCIAL!$L225),'Curva Forward'!$B$5:$B$13,0),MATCH(FO$4,'Curva Forward'!$C$4:$AN$4,0))),CQ225)</f>
        <v>0</v>
      </c>
      <c r="FP225" s="190">
        <f>AD225*AD$2*IF($FC225="V",1,-1)*IF($Q225="Fixo",(CR225-INDEX('Curva Forward'!$C$5:$AN$13,MATCH(CONCATENATE(BD_COMERCIAL!$K225," ",BD_COMERCIAL!$L225),'Curva Forward'!$B$5:$B$13,0),MATCH(FP$4,'Curva Forward'!$C$4:$AN$4,0))),CR225)</f>
        <v>0</v>
      </c>
      <c r="FQ225" s="190">
        <f>AE225*AE$2*IF($FC225="V",1,-1)*IF($Q225="Fixo",(CS225-INDEX('Curva Forward'!$C$5:$AN$13,MATCH(CONCATENATE(BD_COMERCIAL!$K225," ",BD_COMERCIAL!$L225),'Curva Forward'!$B$5:$B$13,0),MATCH(FQ$4,'Curva Forward'!$C$4:$AN$4,0))),CS225)</f>
        <v>0</v>
      </c>
      <c r="FR225" s="190">
        <f>AF225*AF$2*IF($FC225="V",1,-1)*IF($Q225="Fixo",(CT225-INDEX('Curva Forward'!$C$5:$AN$13,MATCH(CONCATENATE(BD_COMERCIAL!$K225," ",BD_COMERCIAL!$L225),'Curva Forward'!$B$5:$B$13,0),MATCH(FR$4,'Curva Forward'!$C$4:$AN$4,0))),CT225)</f>
        <v>0</v>
      </c>
      <c r="FS225" s="190">
        <f>AG225*AG$2*IF($FC225="V",1,-1)*IF($Q225="Fixo",(CU225-INDEX('Curva Forward'!$C$5:$AN$13,MATCH(CONCATENATE(BD_COMERCIAL!$K225," ",BD_COMERCIAL!$L225),'Curva Forward'!$B$5:$B$13,0),MATCH(FS$4,'Curva Forward'!$C$4:$AN$4,0))),CU225)</f>
        <v>0</v>
      </c>
      <c r="FT225" s="190">
        <f>AH225*AH$2*IF($FC225="V",1,-1)*IF($Q225="Fixo",(CV225-INDEX('Curva Forward'!$C$5:$AN$13,MATCH(CONCATENATE(BD_COMERCIAL!$K225," ",BD_COMERCIAL!$L225),'Curva Forward'!$B$5:$B$13,0),MATCH(FT$4,'Curva Forward'!$C$4:$AN$4,0))),CV225)</f>
        <v>0</v>
      </c>
      <c r="FU225" s="190">
        <f>AI225*AI$2*IF($FC225="V",1,-1)*IF($Q225="Fixo",(CW225-INDEX('Curva Forward'!$C$5:$AN$13,MATCH(CONCATENATE(BD_COMERCIAL!$K225," ",BD_COMERCIAL!$L225),'Curva Forward'!$B$5:$B$13,0),MATCH(FU$4,'Curva Forward'!$C$4:$AN$4,0))),CW225)</f>
        <v>0</v>
      </c>
      <c r="FV225" s="190">
        <f>AJ225*AJ$2*IF($FC225="V",1,-1)*IF($Q225="Fixo",(CX225-INDEX('Curva Forward'!$C$5:$AN$13,MATCH(CONCATENATE(BD_COMERCIAL!$K225," ",BD_COMERCIAL!$L225),'Curva Forward'!$B$5:$B$13,0),MATCH(FV$4,'Curva Forward'!$C$4:$AN$4,0))),CX225)</f>
        <v>0</v>
      </c>
      <c r="FW225" s="190">
        <f>AK225*AK$2*IF($FC225="V",1,-1)*IF($Q225="Fixo",(CY225-INDEX('Curva Forward'!$C$5:$AN$13,MATCH(CONCATENATE(BD_COMERCIAL!$K225," ",BD_COMERCIAL!$L225),'Curva Forward'!$B$5:$B$13,0),MATCH(FW$4,'Curva Forward'!$C$4:$AN$4,0))),CY225)</f>
        <v>0</v>
      </c>
      <c r="FX225" s="190">
        <f>AL225*AL$2*IF($FC225="V",1,-1)*IF($Q225="Fixo",(CZ225-INDEX('Curva Forward'!$C$5:$AN$13,MATCH(CONCATENATE(BD_COMERCIAL!$K225," ",BD_COMERCIAL!$L225),'Curva Forward'!$B$5:$B$13,0),MATCH(FX$4,'Curva Forward'!$C$4:$AN$4,0))),CZ225)</f>
        <v>0</v>
      </c>
      <c r="FY225" s="190">
        <f>AM225*AM$2*IF($FC225="V",1,-1)*IF($Q225="Fixo",(DA225-INDEX('Curva Forward'!$C$5:$AN$13,MATCH(CONCATENATE(BD_COMERCIAL!$K225," ",BD_COMERCIAL!$L225),'Curva Forward'!$B$5:$B$13,0),MATCH(FY$4,'Curva Forward'!$C$4:$AN$4,0))),DA225)</f>
        <v>0</v>
      </c>
      <c r="FZ225" s="190">
        <f>AN225*AN$2*IF($FC225="V",1,-1)*IF($Q225="Fixo",(DB225-INDEX('Curva Forward'!$C$5:$AN$13,MATCH(CONCATENATE(BD_COMERCIAL!$K225," ",BD_COMERCIAL!$L225),'Curva Forward'!$B$5:$B$13,0),MATCH(FZ$4,'Curva Forward'!$C$4:$AN$4,0))),DB225)</f>
        <v>0</v>
      </c>
      <c r="GA225" s="190">
        <f>AO225*AO$2*IF($FC225="V",1,-1)*IF($Q225="Fixo",(DC225-INDEX('Curva Forward'!$C$5:$AN$13,MATCH(CONCATENATE(BD_COMERCIAL!$K225," ",BD_COMERCIAL!$L225),'Curva Forward'!$B$5:$B$13,0),MATCH(GA$4,'Curva Forward'!$C$4:$AN$4,0))),DC225)</f>
        <v>0</v>
      </c>
      <c r="GB225" s="190">
        <f>AP225*AP$2*IF($FC225="V",1,-1)*IF($Q225="Fixo",(DD225-INDEX('Curva Forward'!$C$5:$AN$13,MATCH(CONCATENATE(BD_COMERCIAL!$K225," ",BD_COMERCIAL!$L225),'Curva Forward'!$B$5:$B$13,0),MATCH(GB$4,'Curva Forward'!$C$4:$AN$4,0))),DD225)</f>
        <v>0</v>
      </c>
      <c r="GC225" s="190">
        <f>AQ225*AQ$2*IF($FC225="V",1,-1)*IF($Q225="Fixo",(DE225-INDEX('Curva Forward'!$C$5:$AN$13,MATCH(CONCATENATE(BD_COMERCIAL!$K225," ",BD_COMERCIAL!$L225),'Curva Forward'!$B$5:$B$13,0),MATCH(GC$4,'Curva Forward'!$C$4:$AN$4,0))),DE225)</f>
        <v>0</v>
      </c>
      <c r="GD225" s="190">
        <f>AR225*AR$2*IF($FC225="V",1,-1)*IF($Q225="Fixo",(DF225-INDEX('Curva Forward'!$C$5:$AN$13,MATCH(CONCATENATE(BD_COMERCIAL!$K225," ",BD_COMERCIAL!$L225),'Curva Forward'!$B$5:$B$13,0),MATCH(GD$4,'Curva Forward'!$C$4:$AN$4,0))),DF225)</f>
        <v>0</v>
      </c>
      <c r="GE225" s="190">
        <f>AS225*AS$2*IF($FC225="V",1,-1)*IF($Q225="Fixo",(DG225-INDEX('Curva Forward'!$C$5:$AN$13,MATCH(CONCATENATE(BD_COMERCIAL!$K225," ",BD_COMERCIAL!$L225),'Curva Forward'!$B$5:$B$13,0),MATCH(GE$4,'Curva Forward'!$C$4:$AN$4,0))),DG225)</f>
        <v>0</v>
      </c>
      <c r="GF225" s="190">
        <f>AT225*AT$2*IF($FC225="V",1,-1)*IF($Q225="Fixo",(DH225-INDEX('Curva Forward'!$C$5:$AN$13,MATCH(CONCATENATE(BD_COMERCIAL!$K225," ",BD_COMERCIAL!$L225),'Curva Forward'!$B$5:$B$13,0),MATCH(GF$4,'Curva Forward'!$C$4:$AN$4,0))),DH225)</f>
        <v>0</v>
      </c>
      <c r="GG225" s="190">
        <f>AU225*AU$2*IF($FC225="V",1,-1)*IF($Q225="Fixo",(DI225-INDEX('Curva Forward'!$C$5:$AN$13,MATCH(CONCATENATE(BD_COMERCIAL!$K225," ",BD_COMERCIAL!$L225),'Curva Forward'!$B$5:$B$13,0),MATCH(GG$4,'Curva Forward'!$C$4:$AN$4,0))),DI225)</f>
        <v>0</v>
      </c>
      <c r="GH225" s="190">
        <f>AV225*AV$2*IF($FC225="V",1,-1)*IF($Q225="Fixo",(DJ225-INDEX('Curva Forward'!$C$5:$AN$13,MATCH(CONCATENATE(BD_COMERCIAL!$K225," ",BD_COMERCIAL!$L225),'Curva Forward'!$B$5:$B$13,0),MATCH(GH$4,'Curva Forward'!$C$4:$AN$4,0))),DJ225)</f>
        <v>0</v>
      </c>
      <c r="GI225" s="190">
        <f>AW225*AW$2*IF($FC225="V",1,-1)*IF($Q225="Fixo",(DK225-INDEX('Curva Forward'!$C$5:$AN$13,MATCH(CONCATENATE(BD_COMERCIAL!$K225," ",BD_COMERCIAL!$L225),'Curva Forward'!$B$5:$B$13,0),MATCH(GI$4,'Curva Forward'!$C$4:$AN$4,0))),DK225)</f>
        <v>0</v>
      </c>
      <c r="GJ225" s="190">
        <f>AX225*AX$2*IF($FC225="V",1,-1)*IF($Q225="Fixo",(DL225-INDEX('Curva Forward'!$C$5:$AN$13,MATCH(CONCATENATE(BD_COMERCIAL!$K225," ",BD_COMERCIAL!$L225),'Curva Forward'!$B$5:$B$13,0),MATCH(GJ$4,'Curva Forward'!$C$4:$AN$4,0))),DL225)</f>
        <v>0</v>
      </c>
      <c r="GK225" s="190">
        <f>AY225*AY$2*IF($FC225="V",1,-1)*IF($Q225="Fixo",(DM225-INDEX('Curva Forward'!$C$5:$AN$13,MATCH(CONCATENATE(BD_COMERCIAL!$K225," ",BD_COMERCIAL!$L225),'Curva Forward'!$B$5:$B$13,0),MATCH(GK$4,'Curva Forward'!$C$4:$AN$4,0))),DM225)</f>
        <v>0</v>
      </c>
      <c r="GL225" s="190">
        <f>IF(EZ225="",0,CL225*CL$2*IF($FC225="V",1,-1)*IF($Q225="Fixo",(EZ225-INDEX('Curva Forward'!$C$5:$AN$13,MATCH(CONCATENATE(BD_COMERCIAL!$K225," ",BD_COMERCIAL!$L225),'Curva Forward'!$B$5:$B$13,0),MATCH(GL$4,'Curva Forward'!$C$4:$AN$4,0))),EZ225))</f>
        <v>0</v>
      </c>
      <c r="GM225" s="190">
        <f>IF(FA225="",0,CM225*CM$2*IF($FC225="V",1,-1)*IF($Q225="Fixo",(FA225-INDEX('Curva Forward'!$C$5:$AN$13,MATCH(CONCATENATE(BD_COMERCIAL!$K225," ",BD_COMERCIAL!$L225),'Curva Forward'!$B$5:$B$13,0),MATCH(GM$4,'Curva Forward'!$C$4:$AN$4,0))),FA225))</f>
        <v>0</v>
      </c>
      <c r="GN225" s="190">
        <f>IF(FB225="",0,CN225*CN$2*IF($FC225="V",1,-1)*IF($Q225="Fixo",(FB225-INDEX('Curva Forward'!$C$5:$AN$13,MATCH(CONCATENATE(BD_COMERCIAL!$K225," ",BD_COMERCIAL!$L225),'Curva Forward'!$B$5:$B$13,0),MATCH(GN$4,'Curva Forward'!$C$4:$AN$4,0))),FB225))</f>
        <v>0</v>
      </c>
      <c r="GO225" s="191">
        <f t="shared" ca="1" si="32"/>
        <v>0</v>
      </c>
      <c r="GP225" s="191">
        <f t="shared" ca="1" si="33"/>
        <v>0</v>
      </c>
      <c r="GQ225" s="115"/>
      <c r="GR225" s="115"/>
      <c r="GS225"/>
      <c r="GT225" s="6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</row>
    <row r="226" spans="1:236" s="265" customFormat="1" ht="15" customHeight="1" x14ac:dyDescent="0.35">
      <c r="A226" s="251"/>
      <c r="B226" s="275"/>
      <c r="C226" s="253"/>
      <c r="D226" s="254"/>
      <c r="E226" s="254"/>
      <c r="F226" s="255"/>
      <c r="G226" s="256"/>
      <c r="H226" s="255"/>
      <c r="I226" s="254"/>
      <c r="J226" s="257"/>
      <c r="K226" s="256"/>
      <c r="L226" s="252"/>
      <c r="M226" s="258"/>
      <c r="N226" s="259"/>
      <c r="O226" s="256"/>
      <c r="P226" s="252"/>
      <c r="Q226" s="252"/>
      <c r="R226" s="256"/>
      <c r="S226" s="260"/>
      <c r="T226" s="258"/>
      <c r="U226" s="259"/>
      <c r="V226" s="261"/>
      <c r="W226" s="252"/>
      <c r="X226" s="262"/>
      <c r="Y226" s="257"/>
      <c r="Z226" s="263"/>
      <c r="AA226" s="264"/>
      <c r="AB226" s="266"/>
      <c r="AM226" s="251"/>
      <c r="AN226" s="266"/>
      <c r="AY226" s="251"/>
      <c r="AZ226" s="266"/>
      <c r="BK226" s="251"/>
      <c r="BL226" s="266"/>
      <c r="BW226" s="251"/>
      <c r="BX226" s="266"/>
      <c r="CI226" s="251"/>
      <c r="CJ226" s="267"/>
      <c r="CK226" s="267"/>
      <c r="CL226" s="267"/>
      <c r="CM226" s="267"/>
      <c r="CN226" s="267"/>
      <c r="CO226" s="268"/>
      <c r="CP226" s="266"/>
      <c r="DA226" s="251"/>
      <c r="DB226" s="266"/>
      <c r="DM226" s="251"/>
      <c r="DN226" s="266"/>
      <c r="DY226" s="251"/>
      <c r="DZ226" s="266"/>
      <c r="EK226" s="251"/>
      <c r="EL226" s="266"/>
      <c r="EW226" s="251"/>
      <c r="EX226" s="267"/>
      <c r="EY226" s="267"/>
      <c r="EZ226" s="267"/>
      <c r="FA226" s="267"/>
      <c r="FB226" s="269"/>
      <c r="FD226" s="270"/>
      <c r="FF226" s="276"/>
      <c r="FH226" s="206">
        <f t="shared" si="27"/>
        <v>0</v>
      </c>
      <c r="FI226" s="198">
        <f t="shared" si="28"/>
        <v>0</v>
      </c>
      <c r="FJ226"/>
      <c r="FK226">
        <f t="shared" si="29"/>
        <v>0</v>
      </c>
      <c r="FL226" s="191">
        <f t="shared" ca="1" si="30"/>
        <v>0</v>
      </c>
      <c r="FM226" s="191">
        <f t="shared" ca="1" si="31"/>
        <v>0</v>
      </c>
      <c r="FN226" s="190">
        <f>AB226*AB$2*IF($FC226="V",1,-1)*IF($Q226="Fixo",(CP226-INDEX('Curva Forward'!$C$5:$AN$13,MATCH(CONCATENATE(BD_COMERCIAL!$K226," ",BD_COMERCIAL!$L226),'Curva Forward'!$B$5:$B$13,0),MATCH(FN$4,'Curva Forward'!$C$4:$AN$4,0))),CP226)</f>
        <v>0</v>
      </c>
      <c r="FO226" s="190">
        <f>AC226*AC$2*IF($FC226="V",1,-1)*IF($Q226="Fixo",(CQ226-INDEX('Curva Forward'!$C$5:$AN$13,MATCH(CONCATENATE(BD_COMERCIAL!$K226," ",BD_COMERCIAL!$L226),'Curva Forward'!$B$5:$B$13,0),MATCH(FO$4,'Curva Forward'!$C$4:$AN$4,0))),CQ226)</f>
        <v>0</v>
      </c>
      <c r="FP226" s="190">
        <f>AD226*AD$2*IF($FC226="V",1,-1)*IF($Q226="Fixo",(CR226-INDEX('Curva Forward'!$C$5:$AN$13,MATCH(CONCATENATE(BD_COMERCIAL!$K226," ",BD_COMERCIAL!$L226),'Curva Forward'!$B$5:$B$13,0),MATCH(FP$4,'Curva Forward'!$C$4:$AN$4,0))),CR226)</f>
        <v>0</v>
      </c>
      <c r="FQ226" s="190">
        <f>AE226*AE$2*IF($FC226="V",1,-1)*IF($Q226="Fixo",(CS226-INDEX('Curva Forward'!$C$5:$AN$13,MATCH(CONCATENATE(BD_COMERCIAL!$K226," ",BD_COMERCIAL!$L226),'Curva Forward'!$B$5:$B$13,0),MATCH(FQ$4,'Curva Forward'!$C$4:$AN$4,0))),CS226)</f>
        <v>0</v>
      </c>
      <c r="FR226" s="190">
        <f>AF226*AF$2*IF($FC226="V",1,-1)*IF($Q226="Fixo",(CT226-INDEX('Curva Forward'!$C$5:$AN$13,MATCH(CONCATENATE(BD_COMERCIAL!$K226," ",BD_COMERCIAL!$L226),'Curva Forward'!$B$5:$B$13,0),MATCH(FR$4,'Curva Forward'!$C$4:$AN$4,0))),CT226)</f>
        <v>0</v>
      </c>
      <c r="FS226" s="190">
        <f>AG226*AG$2*IF($FC226="V",1,-1)*IF($Q226="Fixo",(CU226-INDEX('Curva Forward'!$C$5:$AN$13,MATCH(CONCATENATE(BD_COMERCIAL!$K226," ",BD_COMERCIAL!$L226),'Curva Forward'!$B$5:$B$13,0),MATCH(FS$4,'Curva Forward'!$C$4:$AN$4,0))),CU226)</f>
        <v>0</v>
      </c>
      <c r="FT226" s="190">
        <f>AH226*AH$2*IF($FC226="V",1,-1)*IF($Q226="Fixo",(CV226-INDEX('Curva Forward'!$C$5:$AN$13,MATCH(CONCATENATE(BD_COMERCIAL!$K226," ",BD_COMERCIAL!$L226),'Curva Forward'!$B$5:$B$13,0),MATCH(FT$4,'Curva Forward'!$C$4:$AN$4,0))),CV226)</f>
        <v>0</v>
      </c>
      <c r="FU226" s="190">
        <f>AI226*AI$2*IF($FC226="V",1,-1)*IF($Q226="Fixo",(CW226-INDEX('Curva Forward'!$C$5:$AN$13,MATCH(CONCATENATE(BD_COMERCIAL!$K226," ",BD_COMERCIAL!$L226),'Curva Forward'!$B$5:$B$13,0),MATCH(FU$4,'Curva Forward'!$C$4:$AN$4,0))),CW226)</f>
        <v>0</v>
      </c>
      <c r="FV226" s="190">
        <f>AJ226*AJ$2*IF($FC226="V",1,-1)*IF($Q226="Fixo",(CX226-INDEX('Curva Forward'!$C$5:$AN$13,MATCH(CONCATENATE(BD_COMERCIAL!$K226," ",BD_COMERCIAL!$L226),'Curva Forward'!$B$5:$B$13,0),MATCH(FV$4,'Curva Forward'!$C$4:$AN$4,0))),CX226)</f>
        <v>0</v>
      </c>
      <c r="FW226" s="190">
        <f>AK226*AK$2*IF($FC226="V",1,-1)*IF($Q226="Fixo",(CY226-INDEX('Curva Forward'!$C$5:$AN$13,MATCH(CONCATENATE(BD_COMERCIAL!$K226," ",BD_COMERCIAL!$L226),'Curva Forward'!$B$5:$B$13,0),MATCH(FW$4,'Curva Forward'!$C$4:$AN$4,0))),CY226)</f>
        <v>0</v>
      </c>
      <c r="FX226" s="190">
        <f>AL226*AL$2*IF($FC226="V",1,-1)*IF($Q226="Fixo",(CZ226-INDEX('Curva Forward'!$C$5:$AN$13,MATCH(CONCATENATE(BD_COMERCIAL!$K226," ",BD_COMERCIAL!$L226),'Curva Forward'!$B$5:$B$13,0),MATCH(FX$4,'Curva Forward'!$C$4:$AN$4,0))),CZ226)</f>
        <v>0</v>
      </c>
      <c r="FY226" s="190">
        <f>AM226*AM$2*IF($FC226="V",1,-1)*IF($Q226="Fixo",(DA226-INDEX('Curva Forward'!$C$5:$AN$13,MATCH(CONCATENATE(BD_COMERCIAL!$K226," ",BD_COMERCIAL!$L226),'Curva Forward'!$B$5:$B$13,0),MATCH(FY$4,'Curva Forward'!$C$4:$AN$4,0))),DA226)</f>
        <v>0</v>
      </c>
      <c r="FZ226" s="190">
        <f>AN226*AN$2*IF($FC226="V",1,-1)*IF($Q226="Fixo",(DB226-INDEX('Curva Forward'!$C$5:$AN$13,MATCH(CONCATENATE(BD_COMERCIAL!$K226," ",BD_COMERCIAL!$L226),'Curva Forward'!$B$5:$B$13,0),MATCH(FZ$4,'Curva Forward'!$C$4:$AN$4,0))),DB226)</f>
        <v>0</v>
      </c>
      <c r="GA226" s="190">
        <f>AO226*AO$2*IF($FC226="V",1,-1)*IF($Q226="Fixo",(DC226-INDEX('Curva Forward'!$C$5:$AN$13,MATCH(CONCATENATE(BD_COMERCIAL!$K226," ",BD_COMERCIAL!$L226),'Curva Forward'!$B$5:$B$13,0),MATCH(GA$4,'Curva Forward'!$C$4:$AN$4,0))),DC226)</f>
        <v>0</v>
      </c>
      <c r="GB226" s="190">
        <f>AP226*AP$2*IF($FC226="V",1,-1)*IF($Q226="Fixo",(DD226-INDEX('Curva Forward'!$C$5:$AN$13,MATCH(CONCATENATE(BD_COMERCIAL!$K226," ",BD_COMERCIAL!$L226),'Curva Forward'!$B$5:$B$13,0),MATCH(GB$4,'Curva Forward'!$C$4:$AN$4,0))),DD226)</f>
        <v>0</v>
      </c>
      <c r="GC226" s="190">
        <f>AQ226*AQ$2*IF($FC226="V",1,-1)*IF($Q226="Fixo",(DE226-INDEX('Curva Forward'!$C$5:$AN$13,MATCH(CONCATENATE(BD_COMERCIAL!$K226," ",BD_COMERCIAL!$L226),'Curva Forward'!$B$5:$B$13,0),MATCH(GC$4,'Curva Forward'!$C$4:$AN$4,0))),DE226)</f>
        <v>0</v>
      </c>
      <c r="GD226" s="190">
        <f>AR226*AR$2*IF($FC226="V",1,-1)*IF($Q226="Fixo",(DF226-INDEX('Curva Forward'!$C$5:$AN$13,MATCH(CONCATENATE(BD_COMERCIAL!$K226," ",BD_COMERCIAL!$L226),'Curva Forward'!$B$5:$B$13,0),MATCH(GD$4,'Curva Forward'!$C$4:$AN$4,0))),DF226)</f>
        <v>0</v>
      </c>
      <c r="GE226" s="190">
        <f>AS226*AS$2*IF($FC226="V",1,-1)*IF($Q226="Fixo",(DG226-INDEX('Curva Forward'!$C$5:$AN$13,MATCH(CONCATENATE(BD_COMERCIAL!$K226," ",BD_COMERCIAL!$L226),'Curva Forward'!$B$5:$B$13,0),MATCH(GE$4,'Curva Forward'!$C$4:$AN$4,0))),DG226)</f>
        <v>0</v>
      </c>
      <c r="GF226" s="190">
        <f>AT226*AT$2*IF($FC226="V",1,-1)*IF($Q226="Fixo",(DH226-INDEX('Curva Forward'!$C$5:$AN$13,MATCH(CONCATENATE(BD_COMERCIAL!$K226," ",BD_COMERCIAL!$L226),'Curva Forward'!$B$5:$B$13,0),MATCH(GF$4,'Curva Forward'!$C$4:$AN$4,0))),DH226)</f>
        <v>0</v>
      </c>
      <c r="GG226" s="190">
        <f>AU226*AU$2*IF($FC226="V",1,-1)*IF($Q226="Fixo",(DI226-INDEX('Curva Forward'!$C$5:$AN$13,MATCH(CONCATENATE(BD_COMERCIAL!$K226," ",BD_COMERCIAL!$L226),'Curva Forward'!$B$5:$B$13,0),MATCH(GG$4,'Curva Forward'!$C$4:$AN$4,0))),DI226)</f>
        <v>0</v>
      </c>
      <c r="GH226" s="190">
        <f>AV226*AV$2*IF($FC226="V",1,-1)*IF($Q226="Fixo",(DJ226-INDEX('Curva Forward'!$C$5:$AN$13,MATCH(CONCATENATE(BD_COMERCIAL!$K226," ",BD_COMERCIAL!$L226),'Curva Forward'!$B$5:$B$13,0),MATCH(GH$4,'Curva Forward'!$C$4:$AN$4,0))),DJ226)</f>
        <v>0</v>
      </c>
      <c r="GI226" s="190">
        <f>AW226*AW$2*IF($FC226="V",1,-1)*IF($Q226="Fixo",(DK226-INDEX('Curva Forward'!$C$5:$AN$13,MATCH(CONCATENATE(BD_COMERCIAL!$K226," ",BD_COMERCIAL!$L226),'Curva Forward'!$B$5:$B$13,0),MATCH(GI$4,'Curva Forward'!$C$4:$AN$4,0))),DK226)</f>
        <v>0</v>
      </c>
      <c r="GJ226" s="190">
        <f>AX226*AX$2*IF($FC226="V",1,-1)*IF($Q226="Fixo",(DL226-INDEX('Curva Forward'!$C$5:$AN$13,MATCH(CONCATENATE(BD_COMERCIAL!$K226," ",BD_COMERCIAL!$L226),'Curva Forward'!$B$5:$B$13,0),MATCH(GJ$4,'Curva Forward'!$C$4:$AN$4,0))),DL226)</f>
        <v>0</v>
      </c>
      <c r="GK226" s="190">
        <f>AY226*AY$2*IF($FC226="V",1,-1)*IF($Q226="Fixo",(DM226-INDEX('Curva Forward'!$C$5:$AN$13,MATCH(CONCATENATE(BD_COMERCIAL!$K226," ",BD_COMERCIAL!$L226),'Curva Forward'!$B$5:$B$13,0),MATCH(GK$4,'Curva Forward'!$C$4:$AN$4,0))),DM226)</f>
        <v>0</v>
      </c>
      <c r="GL226" s="190">
        <f>IF(EZ226="",0,CL226*CL$2*IF($FC226="V",1,-1)*IF($Q226="Fixo",(EZ226-INDEX('Curva Forward'!$C$5:$AN$13,MATCH(CONCATENATE(BD_COMERCIAL!$K226," ",BD_COMERCIAL!$L226),'Curva Forward'!$B$5:$B$13,0),MATCH(GL$4,'Curva Forward'!$C$4:$AN$4,0))),EZ226))</f>
        <v>0</v>
      </c>
      <c r="GM226" s="190">
        <f>IF(FA226="",0,CM226*CM$2*IF($FC226="V",1,-1)*IF($Q226="Fixo",(FA226-INDEX('Curva Forward'!$C$5:$AN$13,MATCH(CONCATENATE(BD_COMERCIAL!$K226," ",BD_COMERCIAL!$L226),'Curva Forward'!$B$5:$B$13,0),MATCH(GM$4,'Curva Forward'!$C$4:$AN$4,0))),FA226))</f>
        <v>0</v>
      </c>
      <c r="GN226" s="190">
        <f>IF(FB226="",0,CN226*CN$2*IF($FC226="V",1,-1)*IF($Q226="Fixo",(FB226-INDEX('Curva Forward'!$C$5:$AN$13,MATCH(CONCATENATE(BD_COMERCIAL!$K226," ",BD_COMERCIAL!$L226),'Curva Forward'!$B$5:$B$13,0),MATCH(GN$4,'Curva Forward'!$C$4:$AN$4,0))),FB226))</f>
        <v>0</v>
      </c>
      <c r="GO226" s="191">
        <f t="shared" ca="1" si="32"/>
        <v>0</v>
      </c>
      <c r="GP226" s="191">
        <f t="shared" ca="1" si="33"/>
        <v>0</v>
      </c>
      <c r="GQ226" s="115"/>
      <c r="GR226" s="115"/>
      <c r="GS226"/>
      <c r="GT226" s="65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</row>
    <row r="227" spans="1:236" s="265" customFormat="1" ht="15" customHeight="1" x14ac:dyDescent="0.35">
      <c r="A227" s="251"/>
      <c r="B227" s="275"/>
      <c r="C227" s="253"/>
      <c r="D227" s="254"/>
      <c r="E227" s="254"/>
      <c r="F227" s="255"/>
      <c r="G227" s="256"/>
      <c r="H227" s="255"/>
      <c r="I227" s="254"/>
      <c r="J227" s="257"/>
      <c r="K227" s="256"/>
      <c r="L227" s="252"/>
      <c r="M227" s="258"/>
      <c r="N227" s="259"/>
      <c r="O227" s="256"/>
      <c r="P227" s="252"/>
      <c r="Q227" s="252"/>
      <c r="R227" s="256"/>
      <c r="S227" s="260"/>
      <c r="T227" s="258"/>
      <c r="U227" s="259"/>
      <c r="V227" s="261"/>
      <c r="W227" s="252"/>
      <c r="X227" s="262"/>
      <c r="Y227" s="257"/>
      <c r="Z227" s="263"/>
      <c r="AA227" s="264"/>
      <c r="AB227" s="266"/>
      <c r="AM227" s="251"/>
      <c r="AN227" s="266"/>
      <c r="AY227" s="251"/>
      <c r="AZ227" s="266"/>
      <c r="BK227" s="251"/>
      <c r="BL227" s="266"/>
      <c r="BW227" s="251"/>
      <c r="BX227" s="266"/>
      <c r="CI227" s="251"/>
      <c r="CJ227" s="267"/>
      <c r="CK227" s="267"/>
      <c r="CL227" s="267"/>
      <c r="CM227" s="267"/>
      <c r="CN227" s="267"/>
      <c r="CO227" s="268"/>
      <c r="CP227" s="266"/>
      <c r="DA227" s="251"/>
      <c r="DB227" s="266"/>
      <c r="DM227" s="251"/>
      <c r="DN227" s="266"/>
      <c r="DY227" s="251"/>
      <c r="DZ227" s="266"/>
      <c r="EK227" s="251"/>
      <c r="EL227" s="266"/>
      <c r="EW227" s="251"/>
      <c r="EX227" s="267"/>
      <c r="EY227" s="267"/>
      <c r="EZ227" s="267"/>
      <c r="FA227" s="267"/>
      <c r="FB227" s="269"/>
      <c r="FD227" s="270"/>
      <c r="FF227" s="276"/>
      <c r="FH227" s="206">
        <f t="shared" si="27"/>
        <v>0</v>
      </c>
      <c r="FI227" s="198">
        <f t="shared" si="28"/>
        <v>0</v>
      </c>
      <c r="FJ227"/>
      <c r="FK227">
        <f t="shared" si="29"/>
        <v>0</v>
      </c>
      <c r="FL227" s="191">
        <f t="shared" ca="1" si="30"/>
        <v>0</v>
      </c>
      <c r="FM227" s="191">
        <f t="shared" ca="1" si="31"/>
        <v>0</v>
      </c>
      <c r="FN227" s="190">
        <f>AB227*AB$2*IF($FC227="V",1,-1)*IF($Q227="Fixo",(CP227-INDEX('Curva Forward'!$C$5:$AN$13,MATCH(CONCATENATE(BD_COMERCIAL!$K227," ",BD_COMERCIAL!$L227),'Curva Forward'!$B$5:$B$13,0),MATCH(FN$4,'Curva Forward'!$C$4:$AN$4,0))),CP227)</f>
        <v>0</v>
      </c>
      <c r="FO227" s="190">
        <f>AC227*AC$2*IF($FC227="V",1,-1)*IF($Q227="Fixo",(CQ227-INDEX('Curva Forward'!$C$5:$AN$13,MATCH(CONCATENATE(BD_COMERCIAL!$K227," ",BD_COMERCIAL!$L227),'Curva Forward'!$B$5:$B$13,0),MATCH(FO$4,'Curva Forward'!$C$4:$AN$4,0))),CQ227)</f>
        <v>0</v>
      </c>
      <c r="FP227" s="190">
        <f>AD227*AD$2*IF($FC227="V",1,-1)*IF($Q227="Fixo",(CR227-INDEX('Curva Forward'!$C$5:$AN$13,MATCH(CONCATENATE(BD_COMERCIAL!$K227," ",BD_COMERCIAL!$L227),'Curva Forward'!$B$5:$B$13,0),MATCH(FP$4,'Curva Forward'!$C$4:$AN$4,0))),CR227)</f>
        <v>0</v>
      </c>
      <c r="FQ227" s="190">
        <f>AE227*AE$2*IF($FC227="V",1,-1)*IF($Q227="Fixo",(CS227-INDEX('Curva Forward'!$C$5:$AN$13,MATCH(CONCATENATE(BD_COMERCIAL!$K227," ",BD_COMERCIAL!$L227),'Curva Forward'!$B$5:$B$13,0),MATCH(FQ$4,'Curva Forward'!$C$4:$AN$4,0))),CS227)</f>
        <v>0</v>
      </c>
      <c r="FR227" s="190">
        <f>AF227*AF$2*IF($FC227="V",1,-1)*IF($Q227="Fixo",(CT227-INDEX('Curva Forward'!$C$5:$AN$13,MATCH(CONCATENATE(BD_COMERCIAL!$K227," ",BD_COMERCIAL!$L227),'Curva Forward'!$B$5:$B$13,0),MATCH(FR$4,'Curva Forward'!$C$4:$AN$4,0))),CT227)</f>
        <v>0</v>
      </c>
      <c r="FS227" s="190">
        <f>AG227*AG$2*IF($FC227="V",1,-1)*IF($Q227="Fixo",(CU227-INDEX('Curva Forward'!$C$5:$AN$13,MATCH(CONCATENATE(BD_COMERCIAL!$K227," ",BD_COMERCIAL!$L227),'Curva Forward'!$B$5:$B$13,0),MATCH(FS$4,'Curva Forward'!$C$4:$AN$4,0))),CU227)</f>
        <v>0</v>
      </c>
      <c r="FT227" s="190">
        <f>AH227*AH$2*IF($FC227="V",1,-1)*IF($Q227="Fixo",(CV227-INDEX('Curva Forward'!$C$5:$AN$13,MATCH(CONCATENATE(BD_COMERCIAL!$K227," ",BD_COMERCIAL!$L227),'Curva Forward'!$B$5:$B$13,0),MATCH(FT$4,'Curva Forward'!$C$4:$AN$4,0))),CV227)</f>
        <v>0</v>
      </c>
      <c r="FU227" s="190">
        <f>AI227*AI$2*IF($FC227="V",1,-1)*IF($Q227="Fixo",(CW227-INDEX('Curva Forward'!$C$5:$AN$13,MATCH(CONCATENATE(BD_COMERCIAL!$K227," ",BD_COMERCIAL!$L227),'Curva Forward'!$B$5:$B$13,0),MATCH(FU$4,'Curva Forward'!$C$4:$AN$4,0))),CW227)</f>
        <v>0</v>
      </c>
      <c r="FV227" s="190">
        <f>AJ227*AJ$2*IF($FC227="V",1,-1)*IF($Q227="Fixo",(CX227-INDEX('Curva Forward'!$C$5:$AN$13,MATCH(CONCATENATE(BD_COMERCIAL!$K227," ",BD_COMERCIAL!$L227),'Curva Forward'!$B$5:$B$13,0),MATCH(FV$4,'Curva Forward'!$C$4:$AN$4,0))),CX227)</f>
        <v>0</v>
      </c>
      <c r="FW227" s="190">
        <f>AK227*AK$2*IF($FC227="V",1,-1)*IF($Q227="Fixo",(CY227-INDEX('Curva Forward'!$C$5:$AN$13,MATCH(CONCATENATE(BD_COMERCIAL!$K227," ",BD_COMERCIAL!$L227),'Curva Forward'!$B$5:$B$13,0),MATCH(FW$4,'Curva Forward'!$C$4:$AN$4,0))),CY227)</f>
        <v>0</v>
      </c>
      <c r="FX227" s="190">
        <f>AL227*AL$2*IF($FC227="V",1,-1)*IF($Q227="Fixo",(CZ227-INDEX('Curva Forward'!$C$5:$AN$13,MATCH(CONCATENATE(BD_COMERCIAL!$K227," ",BD_COMERCIAL!$L227),'Curva Forward'!$B$5:$B$13,0),MATCH(FX$4,'Curva Forward'!$C$4:$AN$4,0))),CZ227)</f>
        <v>0</v>
      </c>
      <c r="FY227" s="190">
        <f>AM227*AM$2*IF($FC227="V",1,-1)*IF($Q227="Fixo",(DA227-INDEX('Curva Forward'!$C$5:$AN$13,MATCH(CONCATENATE(BD_COMERCIAL!$K227," ",BD_COMERCIAL!$L227),'Curva Forward'!$B$5:$B$13,0),MATCH(FY$4,'Curva Forward'!$C$4:$AN$4,0))),DA227)</f>
        <v>0</v>
      </c>
      <c r="FZ227" s="190">
        <f>AN227*AN$2*IF($FC227="V",1,-1)*IF($Q227="Fixo",(DB227-INDEX('Curva Forward'!$C$5:$AN$13,MATCH(CONCATENATE(BD_COMERCIAL!$K227," ",BD_COMERCIAL!$L227),'Curva Forward'!$B$5:$B$13,0),MATCH(FZ$4,'Curva Forward'!$C$4:$AN$4,0))),DB227)</f>
        <v>0</v>
      </c>
      <c r="GA227" s="190">
        <f>AO227*AO$2*IF($FC227="V",1,-1)*IF($Q227="Fixo",(DC227-INDEX('Curva Forward'!$C$5:$AN$13,MATCH(CONCATENATE(BD_COMERCIAL!$K227," ",BD_COMERCIAL!$L227),'Curva Forward'!$B$5:$B$13,0),MATCH(GA$4,'Curva Forward'!$C$4:$AN$4,0))),DC227)</f>
        <v>0</v>
      </c>
      <c r="GB227" s="190">
        <f>AP227*AP$2*IF($FC227="V",1,-1)*IF($Q227="Fixo",(DD227-INDEX('Curva Forward'!$C$5:$AN$13,MATCH(CONCATENATE(BD_COMERCIAL!$K227," ",BD_COMERCIAL!$L227),'Curva Forward'!$B$5:$B$13,0),MATCH(GB$4,'Curva Forward'!$C$4:$AN$4,0))),DD227)</f>
        <v>0</v>
      </c>
      <c r="GC227" s="190">
        <f>AQ227*AQ$2*IF($FC227="V",1,-1)*IF($Q227="Fixo",(DE227-INDEX('Curva Forward'!$C$5:$AN$13,MATCH(CONCATENATE(BD_COMERCIAL!$K227," ",BD_COMERCIAL!$L227),'Curva Forward'!$B$5:$B$13,0),MATCH(GC$4,'Curva Forward'!$C$4:$AN$4,0))),DE227)</f>
        <v>0</v>
      </c>
      <c r="GD227" s="190">
        <f>AR227*AR$2*IF($FC227="V",1,-1)*IF($Q227="Fixo",(DF227-INDEX('Curva Forward'!$C$5:$AN$13,MATCH(CONCATENATE(BD_COMERCIAL!$K227," ",BD_COMERCIAL!$L227),'Curva Forward'!$B$5:$B$13,0),MATCH(GD$4,'Curva Forward'!$C$4:$AN$4,0))),DF227)</f>
        <v>0</v>
      </c>
      <c r="GE227" s="190">
        <f>AS227*AS$2*IF($FC227="V",1,-1)*IF($Q227="Fixo",(DG227-INDEX('Curva Forward'!$C$5:$AN$13,MATCH(CONCATENATE(BD_COMERCIAL!$K227," ",BD_COMERCIAL!$L227),'Curva Forward'!$B$5:$B$13,0),MATCH(GE$4,'Curva Forward'!$C$4:$AN$4,0))),DG227)</f>
        <v>0</v>
      </c>
      <c r="GF227" s="190">
        <f>AT227*AT$2*IF($FC227="V",1,-1)*IF($Q227="Fixo",(DH227-INDEX('Curva Forward'!$C$5:$AN$13,MATCH(CONCATENATE(BD_COMERCIAL!$K227," ",BD_COMERCIAL!$L227),'Curva Forward'!$B$5:$B$13,0),MATCH(GF$4,'Curva Forward'!$C$4:$AN$4,0))),DH227)</f>
        <v>0</v>
      </c>
      <c r="GG227" s="190">
        <f>AU227*AU$2*IF($FC227="V",1,-1)*IF($Q227="Fixo",(DI227-INDEX('Curva Forward'!$C$5:$AN$13,MATCH(CONCATENATE(BD_COMERCIAL!$K227," ",BD_COMERCIAL!$L227),'Curva Forward'!$B$5:$B$13,0),MATCH(GG$4,'Curva Forward'!$C$4:$AN$4,0))),DI227)</f>
        <v>0</v>
      </c>
      <c r="GH227" s="190">
        <f>AV227*AV$2*IF($FC227="V",1,-1)*IF($Q227="Fixo",(DJ227-INDEX('Curva Forward'!$C$5:$AN$13,MATCH(CONCATENATE(BD_COMERCIAL!$K227," ",BD_COMERCIAL!$L227),'Curva Forward'!$B$5:$B$13,0),MATCH(GH$4,'Curva Forward'!$C$4:$AN$4,0))),DJ227)</f>
        <v>0</v>
      </c>
      <c r="GI227" s="190">
        <f>AW227*AW$2*IF($FC227="V",1,-1)*IF($Q227="Fixo",(DK227-INDEX('Curva Forward'!$C$5:$AN$13,MATCH(CONCATENATE(BD_COMERCIAL!$K227," ",BD_COMERCIAL!$L227),'Curva Forward'!$B$5:$B$13,0),MATCH(GI$4,'Curva Forward'!$C$4:$AN$4,0))),DK227)</f>
        <v>0</v>
      </c>
      <c r="GJ227" s="190">
        <f>AX227*AX$2*IF($FC227="V",1,-1)*IF($Q227="Fixo",(DL227-INDEX('Curva Forward'!$C$5:$AN$13,MATCH(CONCATENATE(BD_COMERCIAL!$K227," ",BD_COMERCIAL!$L227),'Curva Forward'!$B$5:$B$13,0),MATCH(GJ$4,'Curva Forward'!$C$4:$AN$4,0))),DL227)</f>
        <v>0</v>
      </c>
      <c r="GK227" s="190">
        <f>AY227*AY$2*IF($FC227="V",1,-1)*IF($Q227="Fixo",(DM227-INDEX('Curva Forward'!$C$5:$AN$13,MATCH(CONCATENATE(BD_COMERCIAL!$K227," ",BD_COMERCIAL!$L227),'Curva Forward'!$B$5:$B$13,0),MATCH(GK$4,'Curva Forward'!$C$4:$AN$4,0))),DM227)</f>
        <v>0</v>
      </c>
      <c r="GL227" s="190">
        <f>IF(EZ227="",0,CL227*CL$2*IF($FC227="V",1,-1)*IF($Q227="Fixo",(EZ227-INDEX('Curva Forward'!$C$5:$AN$13,MATCH(CONCATENATE(BD_COMERCIAL!$K227," ",BD_COMERCIAL!$L227),'Curva Forward'!$B$5:$B$13,0),MATCH(GL$4,'Curva Forward'!$C$4:$AN$4,0))),EZ227))</f>
        <v>0</v>
      </c>
      <c r="GM227" s="190">
        <f>IF(FA227="",0,CM227*CM$2*IF($FC227="V",1,-1)*IF($Q227="Fixo",(FA227-INDEX('Curva Forward'!$C$5:$AN$13,MATCH(CONCATENATE(BD_COMERCIAL!$K227," ",BD_COMERCIAL!$L227),'Curva Forward'!$B$5:$B$13,0),MATCH(GM$4,'Curva Forward'!$C$4:$AN$4,0))),FA227))</f>
        <v>0</v>
      </c>
      <c r="GN227" s="190">
        <f>IF(FB227="",0,CN227*CN$2*IF($FC227="V",1,-1)*IF($Q227="Fixo",(FB227-INDEX('Curva Forward'!$C$5:$AN$13,MATCH(CONCATENATE(BD_COMERCIAL!$K227," ",BD_COMERCIAL!$L227),'Curva Forward'!$B$5:$B$13,0),MATCH(GN$4,'Curva Forward'!$C$4:$AN$4,0))),FB227))</f>
        <v>0</v>
      </c>
      <c r="GO227" s="191">
        <f t="shared" ca="1" si="32"/>
        <v>0</v>
      </c>
      <c r="GP227" s="191">
        <f t="shared" ca="1" si="33"/>
        <v>0</v>
      </c>
      <c r="GQ227" s="115"/>
      <c r="GR227" s="115"/>
      <c r="GS227"/>
      <c r="GT227" s="65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</row>
    <row r="228" spans="1:236" s="265" customFormat="1" ht="15" customHeight="1" x14ac:dyDescent="0.35">
      <c r="A228" s="251"/>
      <c r="B228" s="275"/>
      <c r="C228" s="253"/>
      <c r="D228" s="254"/>
      <c r="E228" s="254"/>
      <c r="F228" s="255"/>
      <c r="G228" s="256"/>
      <c r="H228" s="255"/>
      <c r="I228" s="254"/>
      <c r="J228" s="257"/>
      <c r="K228" s="256"/>
      <c r="L228" s="252"/>
      <c r="M228" s="258"/>
      <c r="N228" s="259"/>
      <c r="O228" s="256"/>
      <c r="P228" s="252"/>
      <c r="Q228" s="252"/>
      <c r="R228" s="256"/>
      <c r="S228" s="260"/>
      <c r="T228" s="258"/>
      <c r="U228" s="259"/>
      <c r="V228" s="261"/>
      <c r="W228" s="252"/>
      <c r="X228" s="262"/>
      <c r="Y228" s="257"/>
      <c r="Z228" s="263"/>
      <c r="AA228" s="264"/>
      <c r="AB228" s="266"/>
      <c r="AM228" s="251"/>
      <c r="AN228" s="266"/>
      <c r="AY228" s="251"/>
      <c r="AZ228" s="266"/>
      <c r="BK228" s="251"/>
      <c r="BL228" s="266"/>
      <c r="BW228" s="251"/>
      <c r="BX228" s="266"/>
      <c r="CI228" s="251"/>
      <c r="CJ228" s="267"/>
      <c r="CK228" s="267"/>
      <c r="CL228" s="267"/>
      <c r="CM228" s="267"/>
      <c r="CN228" s="267"/>
      <c r="CO228" s="268"/>
      <c r="CP228" s="266"/>
      <c r="DA228" s="251"/>
      <c r="DB228" s="266"/>
      <c r="DM228" s="251"/>
      <c r="DN228" s="266"/>
      <c r="DY228" s="251"/>
      <c r="DZ228" s="266"/>
      <c r="EK228" s="251"/>
      <c r="EL228" s="266"/>
      <c r="EW228" s="251"/>
      <c r="EX228" s="267"/>
      <c r="EY228" s="267"/>
      <c r="EZ228" s="267"/>
      <c r="FA228" s="267"/>
      <c r="FB228" s="269"/>
      <c r="FD228" s="270"/>
      <c r="FF228" s="276"/>
      <c r="FH228" s="206">
        <f t="shared" si="27"/>
        <v>0</v>
      </c>
      <c r="FI228" s="198">
        <f t="shared" si="28"/>
        <v>0</v>
      </c>
      <c r="FJ228"/>
      <c r="FK228">
        <f t="shared" si="29"/>
        <v>0</v>
      </c>
      <c r="FL228" s="191">
        <f t="shared" ca="1" si="30"/>
        <v>0</v>
      </c>
      <c r="FM228" s="191">
        <f t="shared" ca="1" si="31"/>
        <v>0</v>
      </c>
      <c r="FN228" s="190">
        <f>AB228*AB$2*IF($FC228="V",1,-1)*IF($Q228="Fixo",(CP228-INDEX('Curva Forward'!$C$5:$AN$13,MATCH(CONCATENATE(BD_COMERCIAL!$K228," ",BD_COMERCIAL!$L228),'Curva Forward'!$B$5:$B$13,0),MATCH(FN$4,'Curva Forward'!$C$4:$AN$4,0))),CP228)</f>
        <v>0</v>
      </c>
      <c r="FO228" s="190">
        <f>AC228*AC$2*IF($FC228="V",1,-1)*IF($Q228="Fixo",(CQ228-INDEX('Curva Forward'!$C$5:$AN$13,MATCH(CONCATENATE(BD_COMERCIAL!$K228," ",BD_COMERCIAL!$L228),'Curva Forward'!$B$5:$B$13,0),MATCH(FO$4,'Curva Forward'!$C$4:$AN$4,0))),CQ228)</f>
        <v>0</v>
      </c>
      <c r="FP228" s="190">
        <f>AD228*AD$2*IF($FC228="V",1,-1)*IF($Q228="Fixo",(CR228-INDEX('Curva Forward'!$C$5:$AN$13,MATCH(CONCATENATE(BD_COMERCIAL!$K228," ",BD_COMERCIAL!$L228),'Curva Forward'!$B$5:$B$13,0),MATCH(FP$4,'Curva Forward'!$C$4:$AN$4,0))),CR228)</f>
        <v>0</v>
      </c>
      <c r="FQ228" s="190">
        <f>AE228*AE$2*IF($FC228="V",1,-1)*IF($Q228="Fixo",(CS228-INDEX('Curva Forward'!$C$5:$AN$13,MATCH(CONCATENATE(BD_COMERCIAL!$K228," ",BD_COMERCIAL!$L228),'Curva Forward'!$B$5:$B$13,0),MATCH(FQ$4,'Curva Forward'!$C$4:$AN$4,0))),CS228)</f>
        <v>0</v>
      </c>
      <c r="FR228" s="190">
        <f>AF228*AF$2*IF($FC228="V",1,-1)*IF($Q228="Fixo",(CT228-INDEX('Curva Forward'!$C$5:$AN$13,MATCH(CONCATENATE(BD_COMERCIAL!$K228," ",BD_COMERCIAL!$L228),'Curva Forward'!$B$5:$B$13,0),MATCH(FR$4,'Curva Forward'!$C$4:$AN$4,0))),CT228)</f>
        <v>0</v>
      </c>
      <c r="FS228" s="190">
        <f>AG228*AG$2*IF($FC228="V",1,-1)*IF($Q228="Fixo",(CU228-INDEX('Curva Forward'!$C$5:$AN$13,MATCH(CONCATENATE(BD_COMERCIAL!$K228," ",BD_COMERCIAL!$L228),'Curva Forward'!$B$5:$B$13,0),MATCH(FS$4,'Curva Forward'!$C$4:$AN$4,0))),CU228)</f>
        <v>0</v>
      </c>
      <c r="FT228" s="190">
        <f>AH228*AH$2*IF($FC228="V",1,-1)*IF($Q228="Fixo",(CV228-INDEX('Curva Forward'!$C$5:$AN$13,MATCH(CONCATENATE(BD_COMERCIAL!$K228," ",BD_COMERCIAL!$L228),'Curva Forward'!$B$5:$B$13,0),MATCH(FT$4,'Curva Forward'!$C$4:$AN$4,0))),CV228)</f>
        <v>0</v>
      </c>
      <c r="FU228" s="190">
        <f>AI228*AI$2*IF($FC228="V",1,-1)*IF($Q228="Fixo",(CW228-INDEX('Curva Forward'!$C$5:$AN$13,MATCH(CONCATENATE(BD_COMERCIAL!$K228," ",BD_COMERCIAL!$L228),'Curva Forward'!$B$5:$B$13,0),MATCH(FU$4,'Curva Forward'!$C$4:$AN$4,0))),CW228)</f>
        <v>0</v>
      </c>
      <c r="FV228" s="190">
        <f>AJ228*AJ$2*IF($FC228="V",1,-1)*IF($Q228="Fixo",(CX228-INDEX('Curva Forward'!$C$5:$AN$13,MATCH(CONCATENATE(BD_COMERCIAL!$K228," ",BD_COMERCIAL!$L228),'Curva Forward'!$B$5:$B$13,0),MATCH(FV$4,'Curva Forward'!$C$4:$AN$4,0))),CX228)</f>
        <v>0</v>
      </c>
      <c r="FW228" s="190">
        <f>AK228*AK$2*IF($FC228="V",1,-1)*IF($Q228="Fixo",(CY228-INDEX('Curva Forward'!$C$5:$AN$13,MATCH(CONCATENATE(BD_COMERCIAL!$K228," ",BD_COMERCIAL!$L228),'Curva Forward'!$B$5:$B$13,0),MATCH(FW$4,'Curva Forward'!$C$4:$AN$4,0))),CY228)</f>
        <v>0</v>
      </c>
      <c r="FX228" s="190">
        <f>AL228*AL$2*IF($FC228="V",1,-1)*IF($Q228="Fixo",(CZ228-INDEX('Curva Forward'!$C$5:$AN$13,MATCH(CONCATENATE(BD_COMERCIAL!$K228," ",BD_COMERCIAL!$L228),'Curva Forward'!$B$5:$B$13,0),MATCH(FX$4,'Curva Forward'!$C$4:$AN$4,0))),CZ228)</f>
        <v>0</v>
      </c>
      <c r="FY228" s="190">
        <f>AM228*AM$2*IF($FC228="V",1,-1)*IF($Q228="Fixo",(DA228-INDEX('Curva Forward'!$C$5:$AN$13,MATCH(CONCATENATE(BD_COMERCIAL!$K228," ",BD_COMERCIAL!$L228),'Curva Forward'!$B$5:$B$13,0),MATCH(FY$4,'Curva Forward'!$C$4:$AN$4,0))),DA228)</f>
        <v>0</v>
      </c>
      <c r="FZ228" s="190">
        <f>AN228*AN$2*IF($FC228="V",1,-1)*IF($Q228="Fixo",(DB228-INDEX('Curva Forward'!$C$5:$AN$13,MATCH(CONCATENATE(BD_COMERCIAL!$K228," ",BD_COMERCIAL!$L228),'Curva Forward'!$B$5:$B$13,0),MATCH(FZ$4,'Curva Forward'!$C$4:$AN$4,0))),DB228)</f>
        <v>0</v>
      </c>
      <c r="GA228" s="190">
        <f>AO228*AO$2*IF($FC228="V",1,-1)*IF($Q228="Fixo",(DC228-INDEX('Curva Forward'!$C$5:$AN$13,MATCH(CONCATENATE(BD_COMERCIAL!$K228," ",BD_COMERCIAL!$L228),'Curva Forward'!$B$5:$B$13,0),MATCH(GA$4,'Curva Forward'!$C$4:$AN$4,0))),DC228)</f>
        <v>0</v>
      </c>
      <c r="GB228" s="190">
        <f>AP228*AP$2*IF($FC228="V",1,-1)*IF($Q228="Fixo",(DD228-INDEX('Curva Forward'!$C$5:$AN$13,MATCH(CONCATENATE(BD_COMERCIAL!$K228," ",BD_COMERCIAL!$L228),'Curva Forward'!$B$5:$B$13,0),MATCH(GB$4,'Curva Forward'!$C$4:$AN$4,0))),DD228)</f>
        <v>0</v>
      </c>
      <c r="GC228" s="190">
        <f>AQ228*AQ$2*IF($FC228="V",1,-1)*IF($Q228="Fixo",(DE228-INDEX('Curva Forward'!$C$5:$AN$13,MATCH(CONCATENATE(BD_COMERCIAL!$K228," ",BD_COMERCIAL!$L228),'Curva Forward'!$B$5:$B$13,0),MATCH(GC$4,'Curva Forward'!$C$4:$AN$4,0))),DE228)</f>
        <v>0</v>
      </c>
      <c r="GD228" s="190">
        <f>AR228*AR$2*IF($FC228="V",1,-1)*IF($Q228="Fixo",(DF228-INDEX('Curva Forward'!$C$5:$AN$13,MATCH(CONCATENATE(BD_COMERCIAL!$K228," ",BD_COMERCIAL!$L228),'Curva Forward'!$B$5:$B$13,0),MATCH(GD$4,'Curva Forward'!$C$4:$AN$4,0))),DF228)</f>
        <v>0</v>
      </c>
      <c r="GE228" s="190">
        <f>AS228*AS$2*IF($FC228="V",1,-1)*IF($Q228="Fixo",(DG228-INDEX('Curva Forward'!$C$5:$AN$13,MATCH(CONCATENATE(BD_COMERCIAL!$K228," ",BD_COMERCIAL!$L228),'Curva Forward'!$B$5:$B$13,0),MATCH(GE$4,'Curva Forward'!$C$4:$AN$4,0))),DG228)</f>
        <v>0</v>
      </c>
      <c r="GF228" s="190">
        <f>AT228*AT$2*IF($FC228="V",1,-1)*IF($Q228="Fixo",(DH228-INDEX('Curva Forward'!$C$5:$AN$13,MATCH(CONCATENATE(BD_COMERCIAL!$K228," ",BD_COMERCIAL!$L228),'Curva Forward'!$B$5:$B$13,0),MATCH(GF$4,'Curva Forward'!$C$4:$AN$4,0))),DH228)</f>
        <v>0</v>
      </c>
      <c r="GG228" s="190">
        <f>AU228*AU$2*IF($FC228="V",1,-1)*IF($Q228="Fixo",(DI228-INDEX('Curva Forward'!$C$5:$AN$13,MATCH(CONCATENATE(BD_COMERCIAL!$K228," ",BD_COMERCIAL!$L228),'Curva Forward'!$B$5:$B$13,0),MATCH(GG$4,'Curva Forward'!$C$4:$AN$4,0))),DI228)</f>
        <v>0</v>
      </c>
      <c r="GH228" s="190">
        <f>AV228*AV$2*IF($FC228="V",1,-1)*IF($Q228="Fixo",(DJ228-INDEX('Curva Forward'!$C$5:$AN$13,MATCH(CONCATENATE(BD_COMERCIAL!$K228," ",BD_COMERCIAL!$L228),'Curva Forward'!$B$5:$B$13,0),MATCH(GH$4,'Curva Forward'!$C$4:$AN$4,0))),DJ228)</f>
        <v>0</v>
      </c>
      <c r="GI228" s="190">
        <f>AW228*AW$2*IF($FC228="V",1,-1)*IF($Q228="Fixo",(DK228-INDEX('Curva Forward'!$C$5:$AN$13,MATCH(CONCATENATE(BD_COMERCIAL!$K228," ",BD_COMERCIAL!$L228),'Curva Forward'!$B$5:$B$13,0),MATCH(GI$4,'Curva Forward'!$C$4:$AN$4,0))),DK228)</f>
        <v>0</v>
      </c>
      <c r="GJ228" s="190">
        <f>AX228*AX$2*IF($FC228="V",1,-1)*IF($Q228="Fixo",(DL228-INDEX('Curva Forward'!$C$5:$AN$13,MATCH(CONCATENATE(BD_COMERCIAL!$K228," ",BD_COMERCIAL!$L228),'Curva Forward'!$B$5:$B$13,0),MATCH(GJ$4,'Curva Forward'!$C$4:$AN$4,0))),DL228)</f>
        <v>0</v>
      </c>
      <c r="GK228" s="190">
        <f>AY228*AY$2*IF($FC228="V",1,-1)*IF($Q228="Fixo",(DM228-INDEX('Curva Forward'!$C$5:$AN$13,MATCH(CONCATENATE(BD_COMERCIAL!$K228," ",BD_COMERCIAL!$L228),'Curva Forward'!$B$5:$B$13,0),MATCH(GK$4,'Curva Forward'!$C$4:$AN$4,0))),DM228)</f>
        <v>0</v>
      </c>
      <c r="GL228" s="190">
        <f>IF(EZ228="",0,CL228*CL$2*IF($FC228="V",1,-1)*IF($Q228="Fixo",(EZ228-INDEX('Curva Forward'!$C$5:$AN$13,MATCH(CONCATENATE(BD_COMERCIAL!$K228," ",BD_COMERCIAL!$L228),'Curva Forward'!$B$5:$B$13,0),MATCH(GL$4,'Curva Forward'!$C$4:$AN$4,0))),EZ228))</f>
        <v>0</v>
      </c>
      <c r="GM228" s="190">
        <f>IF(FA228="",0,CM228*CM$2*IF($FC228="V",1,-1)*IF($Q228="Fixo",(FA228-INDEX('Curva Forward'!$C$5:$AN$13,MATCH(CONCATENATE(BD_COMERCIAL!$K228," ",BD_COMERCIAL!$L228),'Curva Forward'!$B$5:$B$13,0),MATCH(GM$4,'Curva Forward'!$C$4:$AN$4,0))),FA228))</f>
        <v>0</v>
      </c>
      <c r="GN228" s="190">
        <f>IF(FB228="",0,CN228*CN$2*IF($FC228="V",1,-1)*IF($Q228="Fixo",(FB228-INDEX('Curva Forward'!$C$5:$AN$13,MATCH(CONCATENATE(BD_COMERCIAL!$K228," ",BD_COMERCIAL!$L228),'Curva Forward'!$B$5:$B$13,0),MATCH(GN$4,'Curva Forward'!$C$4:$AN$4,0))),FB228))</f>
        <v>0</v>
      </c>
      <c r="GO228" s="191">
        <f t="shared" ca="1" si="32"/>
        <v>0</v>
      </c>
      <c r="GP228" s="191">
        <f t="shared" ca="1" si="33"/>
        <v>0</v>
      </c>
      <c r="GQ228" s="115"/>
      <c r="GR228" s="115"/>
      <c r="GS228"/>
      <c r="GT228" s="65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</row>
    <row r="229" spans="1:236" s="265" customFormat="1" ht="15" customHeight="1" x14ac:dyDescent="0.35">
      <c r="A229" s="251"/>
      <c r="B229" s="275"/>
      <c r="C229" s="253"/>
      <c r="D229" s="254"/>
      <c r="E229" s="254"/>
      <c r="F229" s="255"/>
      <c r="G229" s="256"/>
      <c r="H229" s="255"/>
      <c r="I229" s="254"/>
      <c r="J229" s="257"/>
      <c r="K229" s="256"/>
      <c r="L229" s="252"/>
      <c r="M229" s="258"/>
      <c r="N229" s="259"/>
      <c r="O229" s="256"/>
      <c r="P229" s="252"/>
      <c r="Q229" s="252"/>
      <c r="R229" s="256"/>
      <c r="S229" s="260"/>
      <c r="T229" s="258"/>
      <c r="U229" s="259"/>
      <c r="V229" s="261"/>
      <c r="W229" s="252"/>
      <c r="X229" s="262"/>
      <c r="Y229" s="257"/>
      <c r="Z229" s="263"/>
      <c r="AA229" s="264"/>
      <c r="AB229" s="266"/>
      <c r="AM229" s="251"/>
      <c r="AN229" s="266"/>
      <c r="AY229" s="251"/>
      <c r="AZ229" s="266"/>
      <c r="BK229" s="251"/>
      <c r="BL229" s="266"/>
      <c r="BW229" s="251"/>
      <c r="BX229" s="266"/>
      <c r="CI229" s="251"/>
      <c r="CJ229" s="267"/>
      <c r="CK229" s="267"/>
      <c r="CL229" s="267"/>
      <c r="CM229" s="267"/>
      <c r="CN229" s="267"/>
      <c r="CO229" s="268"/>
      <c r="CP229" s="266"/>
      <c r="DA229" s="251"/>
      <c r="DB229" s="266"/>
      <c r="DM229" s="251"/>
      <c r="DN229" s="266"/>
      <c r="DY229" s="251"/>
      <c r="DZ229" s="266"/>
      <c r="EK229" s="251"/>
      <c r="EL229" s="266"/>
      <c r="EW229" s="251"/>
      <c r="EX229" s="267"/>
      <c r="EY229" s="267"/>
      <c r="EZ229" s="267"/>
      <c r="FA229" s="267"/>
      <c r="FB229" s="269"/>
      <c r="FD229" s="270"/>
      <c r="FF229" s="276"/>
      <c r="FH229" s="206">
        <f t="shared" si="27"/>
        <v>0</v>
      </c>
      <c r="FI229" s="198">
        <f t="shared" si="28"/>
        <v>0</v>
      </c>
      <c r="FJ229"/>
      <c r="FK229">
        <f t="shared" si="29"/>
        <v>0</v>
      </c>
      <c r="FL229" s="191">
        <f t="shared" ca="1" si="30"/>
        <v>0</v>
      </c>
      <c r="FM229" s="191">
        <f t="shared" ca="1" si="31"/>
        <v>0</v>
      </c>
      <c r="FN229" s="190">
        <f>AB229*AB$2*IF($FC229="V",1,-1)*IF($Q229="Fixo",(CP229-INDEX('Curva Forward'!$C$5:$AN$13,MATCH(CONCATENATE(BD_COMERCIAL!$K229," ",BD_COMERCIAL!$L229),'Curva Forward'!$B$5:$B$13,0),MATCH(FN$4,'Curva Forward'!$C$4:$AN$4,0))),CP229)</f>
        <v>0</v>
      </c>
      <c r="FO229" s="190">
        <f>AC229*AC$2*IF($FC229="V",1,-1)*IF($Q229="Fixo",(CQ229-INDEX('Curva Forward'!$C$5:$AN$13,MATCH(CONCATENATE(BD_COMERCIAL!$K229," ",BD_COMERCIAL!$L229),'Curva Forward'!$B$5:$B$13,0),MATCH(FO$4,'Curva Forward'!$C$4:$AN$4,0))),CQ229)</f>
        <v>0</v>
      </c>
      <c r="FP229" s="190">
        <f>AD229*AD$2*IF($FC229="V",1,-1)*IF($Q229="Fixo",(CR229-INDEX('Curva Forward'!$C$5:$AN$13,MATCH(CONCATENATE(BD_COMERCIAL!$K229," ",BD_COMERCIAL!$L229),'Curva Forward'!$B$5:$B$13,0),MATCH(FP$4,'Curva Forward'!$C$4:$AN$4,0))),CR229)</f>
        <v>0</v>
      </c>
      <c r="FQ229" s="190">
        <f>AE229*AE$2*IF($FC229="V",1,-1)*IF($Q229="Fixo",(CS229-INDEX('Curva Forward'!$C$5:$AN$13,MATCH(CONCATENATE(BD_COMERCIAL!$K229," ",BD_COMERCIAL!$L229),'Curva Forward'!$B$5:$B$13,0),MATCH(FQ$4,'Curva Forward'!$C$4:$AN$4,0))),CS229)</f>
        <v>0</v>
      </c>
      <c r="FR229" s="190">
        <f>AF229*AF$2*IF($FC229="V",1,-1)*IF($Q229="Fixo",(CT229-INDEX('Curva Forward'!$C$5:$AN$13,MATCH(CONCATENATE(BD_COMERCIAL!$K229," ",BD_COMERCIAL!$L229),'Curva Forward'!$B$5:$B$13,0),MATCH(FR$4,'Curva Forward'!$C$4:$AN$4,0))),CT229)</f>
        <v>0</v>
      </c>
      <c r="FS229" s="190">
        <f>AG229*AG$2*IF($FC229="V",1,-1)*IF($Q229="Fixo",(CU229-INDEX('Curva Forward'!$C$5:$AN$13,MATCH(CONCATENATE(BD_COMERCIAL!$K229," ",BD_COMERCIAL!$L229),'Curva Forward'!$B$5:$B$13,0),MATCH(FS$4,'Curva Forward'!$C$4:$AN$4,0))),CU229)</f>
        <v>0</v>
      </c>
      <c r="FT229" s="190">
        <f>AH229*AH$2*IF($FC229="V",1,-1)*IF($Q229="Fixo",(CV229-INDEX('Curva Forward'!$C$5:$AN$13,MATCH(CONCATENATE(BD_COMERCIAL!$K229," ",BD_COMERCIAL!$L229),'Curva Forward'!$B$5:$B$13,0),MATCH(FT$4,'Curva Forward'!$C$4:$AN$4,0))),CV229)</f>
        <v>0</v>
      </c>
      <c r="FU229" s="190">
        <f>AI229*AI$2*IF($FC229="V",1,-1)*IF($Q229="Fixo",(CW229-INDEX('Curva Forward'!$C$5:$AN$13,MATCH(CONCATENATE(BD_COMERCIAL!$K229," ",BD_COMERCIAL!$L229),'Curva Forward'!$B$5:$B$13,0),MATCH(FU$4,'Curva Forward'!$C$4:$AN$4,0))),CW229)</f>
        <v>0</v>
      </c>
      <c r="FV229" s="190">
        <f>AJ229*AJ$2*IF($FC229="V",1,-1)*IF($Q229="Fixo",(CX229-INDEX('Curva Forward'!$C$5:$AN$13,MATCH(CONCATENATE(BD_COMERCIAL!$K229," ",BD_COMERCIAL!$L229),'Curva Forward'!$B$5:$B$13,0),MATCH(FV$4,'Curva Forward'!$C$4:$AN$4,0))),CX229)</f>
        <v>0</v>
      </c>
      <c r="FW229" s="190">
        <f>AK229*AK$2*IF($FC229="V",1,-1)*IF($Q229="Fixo",(CY229-INDEX('Curva Forward'!$C$5:$AN$13,MATCH(CONCATENATE(BD_COMERCIAL!$K229," ",BD_COMERCIAL!$L229),'Curva Forward'!$B$5:$B$13,0),MATCH(FW$4,'Curva Forward'!$C$4:$AN$4,0))),CY229)</f>
        <v>0</v>
      </c>
      <c r="FX229" s="190">
        <f>AL229*AL$2*IF($FC229="V",1,-1)*IF($Q229="Fixo",(CZ229-INDEX('Curva Forward'!$C$5:$AN$13,MATCH(CONCATENATE(BD_COMERCIAL!$K229," ",BD_COMERCIAL!$L229),'Curva Forward'!$B$5:$B$13,0),MATCH(FX$4,'Curva Forward'!$C$4:$AN$4,0))),CZ229)</f>
        <v>0</v>
      </c>
      <c r="FY229" s="190">
        <f>AM229*AM$2*IF($FC229="V",1,-1)*IF($Q229="Fixo",(DA229-INDEX('Curva Forward'!$C$5:$AN$13,MATCH(CONCATENATE(BD_COMERCIAL!$K229," ",BD_COMERCIAL!$L229),'Curva Forward'!$B$5:$B$13,0),MATCH(FY$4,'Curva Forward'!$C$4:$AN$4,0))),DA229)</f>
        <v>0</v>
      </c>
      <c r="FZ229" s="190">
        <f>AN229*AN$2*IF($FC229="V",1,-1)*IF($Q229="Fixo",(DB229-INDEX('Curva Forward'!$C$5:$AN$13,MATCH(CONCATENATE(BD_COMERCIAL!$K229," ",BD_COMERCIAL!$L229),'Curva Forward'!$B$5:$B$13,0),MATCH(FZ$4,'Curva Forward'!$C$4:$AN$4,0))),DB229)</f>
        <v>0</v>
      </c>
      <c r="GA229" s="190">
        <f>AO229*AO$2*IF($FC229="V",1,-1)*IF($Q229="Fixo",(DC229-INDEX('Curva Forward'!$C$5:$AN$13,MATCH(CONCATENATE(BD_COMERCIAL!$K229," ",BD_COMERCIAL!$L229),'Curva Forward'!$B$5:$B$13,0),MATCH(GA$4,'Curva Forward'!$C$4:$AN$4,0))),DC229)</f>
        <v>0</v>
      </c>
      <c r="GB229" s="190">
        <f>AP229*AP$2*IF($FC229="V",1,-1)*IF($Q229="Fixo",(DD229-INDEX('Curva Forward'!$C$5:$AN$13,MATCH(CONCATENATE(BD_COMERCIAL!$K229," ",BD_COMERCIAL!$L229),'Curva Forward'!$B$5:$B$13,0),MATCH(GB$4,'Curva Forward'!$C$4:$AN$4,0))),DD229)</f>
        <v>0</v>
      </c>
      <c r="GC229" s="190">
        <f>AQ229*AQ$2*IF($FC229="V",1,-1)*IF($Q229="Fixo",(DE229-INDEX('Curva Forward'!$C$5:$AN$13,MATCH(CONCATENATE(BD_COMERCIAL!$K229," ",BD_COMERCIAL!$L229),'Curva Forward'!$B$5:$B$13,0),MATCH(GC$4,'Curva Forward'!$C$4:$AN$4,0))),DE229)</f>
        <v>0</v>
      </c>
      <c r="GD229" s="190">
        <f>AR229*AR$2*IF($FC229="V",1,-1)*IF($Q229="Fixo",(DF229-INDEX('Curva Forward'!$C$5:$AN$13,MATCH(CONCATENATE(BD_COMERCIAL!$K229," ",BD_COMERCIAL!$L229),'Curva Forward'!$B$5:$B$13,0),MATCH(GD$4,'Curva Forward'!$C$4:$AN$4,0))),DF229)</f>
        <v>0</v>
      </c>
      <c r="GE229" s="190">
        <f>AS229*AS$2*IF($FC229="V",1,-1)*IF($Q229="Fixo",(DG229-INDEX('Curva Forward'!$C$5:$AN$13,MATCH(CONCATENATE(BD_COMERCIAL!$K229," ",BD_COMERCIAL!$L229),'Curva Forward'!$B$5:$B$13,0),MATCH(GE$4,'Curva Forward'!$C$4:$AN$4,0))),DG229)</f>
        <v>0</v>
      </c>
      <c r="GF229" s="190">
        <f>AT229*AT$2*IF($FC229="V",1,-1)*IF($Q229="Fixo",(DH229-INDEX('Curva Forward'!$C$5:$AN$13,MATCH(CONCATENATE(BD_COMERCIAL!$K229," ",BD_COMERCIAL!$L229),'Curva Forward'!$B$5:$B$13,0),MATCH(GF$4,'Curva Forward'!$C$4:$AN$4,0))),DH229)</f>
        <v>0</v>
      </c>
      <c r="GG229" s="190">
        <f>AU229*AU$2*IF($FC229="V",1,-1)*IF($Q229="Fixo",(DI229-INDEX('Curva Forward'!$C$5:$AN$13,MATCH(CONCATENATE(BD_COMERCIAL!$K229," ",BD_COMERCIAL!$L229),'Curva Forward'!$B$5:$B$13,0),MATCH(GG$4,'Curva Forward'!$C$4:$AN$4,0))),DI229)</f>
        <v>0</v>
      </c>
      <c r="GH229" s="190">
        <f>AV229*AV$2*IF($FC229="V",1,-1)*IF($Q229="Fixo",(DJ229-INDEX('Curva Forward'!$C$5:$AN$13,MATCH(CONCATENATE(BD_COMERCIAL!$K229," ",BD_COMERCIAL!$L229),'Curva Forward'!$B$5:$B$13,0),MATCH(GH$4,'Curva Forward'!$C$4:$AN$4,0))),DJ229)</f>
        <v>0</v>
      </c>
      <c r="GI229" s="190">
        <f>AW229*AW$2*IF($FC229="V",1,-1)*IF($Q229="Fixo",(DK229-INDEX('Curva Forward'!$C$5:$AN$13,MATCH(CONCATENATE(BD_COMERCIAL!$K229," ",BD_COMERCIAL!$L229),'Curva Forward'!$B$5:$B$13,0),MATCH(GI$4,'Curva Forward'!$C$4:$AN$4,0))),DK229)</f>
        <v>0</v>
      </c>
      <c r="GJ229" s="190">
        <f>AX229*AX$2*IF($FC229="V",1,-1)*IF($Q229="Fixo",(DL229-INDEX('Curva Forward'!$C$5:$AN$13,MATCH(CONCATENATE(BD_COMERCIAL!$K229," ",BD_COMERCIAL!$L229),'Curva Forward'!$B$5:$B$13,0),MATCH(GJ$4,'Curva Forward'!$C$4:$AN$4,0))),DL229)</f>
        <v>0</v>
      </c>
      <c r="GK229" s="190">
        <f>AY229*AY$2*IF($FC229="V",1,-1)*IF($Q229="Fixo",(DM229-INDEX('Curva Forward'!$C$5:$AN$13,MATCH(CONCATENATE(BD_COMERCIAL!$K229," ",BD_COMERCIAL!$L229),'Curva Forward'!$B$5:$B$13,0),MATCH(GK$4,'Curva Forward'!$C$4:$AN$4,0))),DM229)</f>
        <v>0</v>
      </c>
      <c r="GL229" s="190">
        <f>IF(EZ229="",0,CL229*CL$2*IF($FC229="V",1,-1)*IF($Q229="Fixo",(EZ229-INDEX('Curva Forward'!$C$5:$AN$13,MATCH(CONCATENATE(BD_COMERCIAL!$K229," ",BD_COMERCIAL!$L229),'Curva Forward'!$B$5:$B$13,0),MATCH(GL$4,'Curva Forward'!$C$4:$AN$4,0))),EZ229))</f>
        <v>0</v>
      </c>
      <c r="GM229" s="190">
        <f>IF(FA229="",0,CM229*CM$2*IF($FC229="V",1,-1)*IF($Q229="Fixo",(FA229-INDEX('Curva Forward'!$C$5:$AN$13,MATCH(CONCATENATE(BD_COMERCIAL!$K229," ",BD_COMERCIAL!$L229),'Curva Forward'!$B$5:$B$13,0),MATCH(GM$4,'Curva Forward'!$C$4:$AN$4,0))),FA229))</f>
        <v>0</v>
      </c>
      <c r="GN229" s="190">
        <f>IF(FB229="",0,CN229*CN$2*IF($FC229="V",1,-1)*IF($Q229="Fixo",(FB229-INDEX('Curva Forward'!$C$5:$AN$13,MATCH(CONCATENATE(BD_COMERCIAL!$K229," ",BD_COMERCIAL!$L229),'Curva Forward'!$B$5:$B$13,0),MATCH(GN$4,'Curva Forward'!$C$4:$AN$4,0))),FB229))</f>
        <v>0</v>
      </c>
      <c r="GO229" s="191">
        <f t="shared" ca="1" si="32"/>
        <v>0</v>
      </c>
      <c r="GP229" s="191">
        <f t="shared" ca="1" si="33"/>
        <v>0</v>
      </c>
      <c r="GQ229" s="115"/>
      <c r="GR229" s="115"/>
      <c r="GS229"/>
      <c r="GT229" s="65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</row>
    <row r="230" spans="1:236" s="265" customFormat="1" ht="15" customHeight="1" x14ac:dyDescent="0.35">
      <c r="A230" s="251"/>
      <c r="B230" s="275"/>
      <c r="C230" s="253"/>
      <c r="D230" s="254"/>
      <c r="E230" s="254"/>
      <c r="F230" s="255"/>
      <c r="G230" s="256"/>
      <c r="H230" s="255"/>
      <c r="I230" s="254"/>
      <c r="J230" s="257"/>
      <c r="K230" s="256"/>
      <c r="L230" s="252"/>
      <c r="M230" s="258"/>
      <c r="N230" s="259"/>
      <c r="O230" s="256"/>
      <c r="P230" s="252"/>
      <c r="Q230" s="252"/>
      <c r="R230" s="256"/>
      <c r="S230" s="260"/>
      <c r="T230" s="258"/>
      <c r="U230" s="259"/>
      <c r="V230" s="261"/>
      <c r="W230" s="252"/>
      <c r="X230" s="262"/>
      <c r="Y230" s="257"/>
      <c r="Z230" s="263"/>
      <c r="AA230" s="264"/>
      <c r="AB230" s="266"/>
      <c r="AM230" s="251"/>
      <c r="AN230" s="266"/>
      <c r="AY230" s="251"/>
      <c r="AZ230" s="266"/>
      <c r="BK230" s="251"/>
      <c r="BL230" s="266"/>
      <c r="BW230" s="251"/>
      <c r="BX230" s="266"/>
      <c r="CI230" s="251"/>
      <c r="CJ230" s="267"/>
      <c r="CK230" s="267"/>
      <c r="CL230" s="267"/>
      <c r="CM230" s="267"/>
      <c r="CN230" s="267"/>
      <c r="CO230" s="268"/>
      <c r="CP230" s="266"/>
      <c r="DA230" s="251"/>
      <c r="DB230" s="266"/>
      <c r="DM230" s="251"/>
      <c r="DN230" s="266"/>
      <c r="DY230" s="251"/>
      <c r="DZ230" s="266"/>
      <c r="EK230" s="251"/>
      <c r="EL230" s="266"/>
      <c r="EW230" s="251"/>
      <c r="EX230" s="267"/>
      <c r="EY230" s="267"/>
      <c r="EZ230" s="267"/>
      <c r="FA230" s="267"/>
      <c r="FB230" s="269"/>
      <c r="FD230" s="270"/>
      <c r="FF230" s="276"/>
      <c r="FH230" s="206">
        <f t="shared" si="27"/>
        <v>0</v>
      </c>
      <c r="FI230" s="198">
        <f t="shared" si="28"/>
        <v>0</v>
      </c>
      <c r="FJ230"/>
      <c r="FK230">
        <f t="shared" si="29"/>
        <v>0</v>
      </c>
      <c r="FL230" s="191">
        <f t="shared" ca="1" si="30"/>
        <v>0</v>
      </c>
      <c r="FM230" s="191">
        <f t="shared" ca="1" si="31"/>
        <v>0</v>
      </c>
      <c r="FN230" s="190">
        <f>AB230*AB$2*IF($FC230="V",1,-1)*IF($Q230="Fixo",(CP230-INDEX('Curva Forward'!$C$5:$AN$13,MATCH(CONCATENATE(BD_COMERCIAL!$K230," ",BD_COMERCIAL!$L230),'Curva Forward'!$B$5:$B$13,0),MATCH(FN$4,'Curva Forward'!$C$4:$AN$4,0))),CP230)</f>
        <v>0</v>
      </c>
      <c r="FO230" s="190">
        <f>AC230*AC$2*IF($FC230="V",1,-1)*IF($Q230="Fixo",(CQ230-INDEX('Curva Forward'!$C$5:$AN$13,MATCH(CONCATENATE(BD_COMERCIAL!$K230," ",BD_COMERCIAL!$L230),'Curva Forward'!$B$5:$B$13,0),MATCH(FO$4,'Curva Forward'!$C$4:$AN$4,0))),CQ230)</f>
        <v>0</v>
      </c>
      <c r="FP230" s="190">
        <f>AD230*AD$2*IF($FC230="V",1,-1)*IF($Q230="Fixo",(CR230-INDEX('Curva Forward'!$C$5:$AN$13,MATCH(CONCATENATE(BD_COMERCIAL!$K230," ",BD_COMERCIAL!$L230),'Curva Forward'!$B$5:$B$13,0),MATCH(FP$4,'Curva Forward'!$C$4:$AN$4,0))),CR230)</f>
        <v>0</v>
      </c>
      <c r="FQ230" s="190">
        <f>AE230*AE$2*IF($FC230="V",1,-1)*IF($Q230="Fixo",(CS230-INDEX('Curva Forward'!$C$5:$AN$13,MATCH(CONCATENATE(BD_COMERCIAL!$K230," ",BD_COMERCIAL!$L230),'Curva Forward'!$B$5:$B$13,0),MATCH(FQ$4,'Curva Forward'!$C$4:$AN$4,0))),CS230)</f>
        <v>0</v>
      </c>
      <c r="FR230" s="190">
        <f>AF230*AF$2*IF($FC230="V",1,-1)*IF($Q230="Fixo",(CT230-INDEX('Curva Forward'!$C$5:$AN$13,MATCH(CONCATENATE(BD_COMERCIAL!$K230," ",BD_COMERCIAL!$L230),'Curva Forward'!$B$5:$B$13,0),MATCH(FR$4,'Curva Forward'!$C$4:$AN$4,0))),CT230)</f>
        <v>0</v>
      </c>
      <c r="FS230" s="190">
        <f>AG230*AG$2*IF($FC230="V",1,-1)*IF($Q230="Fixo",(CU230-INDEX('Curva Forward'!$C$5:$AN$13,MATCH(CONCATENATE(BD_COMERCIAL!$K230," ",BD_COMERCIAL!$L230),'Curva Forward'!$B$5:$B$13,0),MATCH(FS$4,'Curva Forward'!$C$4:$AN$4,0))),CU230)</f>
        <v>0</v>
      </c>
      <c r="FT230" s="190">
        <f>AH230*AH$2*IF($FC230="V",1,-1)*IF($Q230="Fixo",(CV230-INDEX('Curva Forward'!$C$5:$AN$13,MATCH(CONCATENATE(BD_COMERCIAL!$K230," ",BD_COMERCIAL!$L230),'Curva Forward'!$B$5:$B$13,0),MATCH(FT$4,'Curva Forward'!$C$4:$AN$4,0))),CV230)</f>
        <v>0</v>
      </c>
      <c r="FU230" s="190">
        <f>AI230*AI$2*IF($FC230="V",1,-1)*IF($Q230="Fixo",(CW230-INDEX('Curva Forward'!$C$5:$AN$13,MATCH(CONCATENATE(BD_COMERCIAL!$K230," ",BD_COMERCIAL!$L230),'Curva Forward'!$B$5:$B$13,0),MATCH(FU$4,'Curva Forward'!$C$4:$AN$4,0))),CW230)</f>
        <v>0</v>
      </c>
      <c r="FV230" s="190">
        <f>AJ230*AJ$2*IF($FC230="V",1,-1)*IF($Q230="Fixo",(CX230-INDEX('Curva Forward'!$C$5:$AN$13,MATCH(CONCATENATE(BD_COMERCIAL!$K230," ",BD_COMERCIAL!$L230),'Curva Forward'!$B$5:$B$13,0),MATCH(FV$4,'Curva Forward'!$C$4:$AN$4,0))),CX230)</f>
        <v>0</v>
      </c>
      <c r="FW230" s="190">
        <f>AK230*AK$2*IF($FC230="V",1,-1)*IF($Q230="Fixo",(CY230-INDEX('Curva Forward'!$C$5:$AN$13,MATCH(CONCATENATE(BD_COMERCIAL!$K230," ",BD_COMERCIAL!$L230),'Curva Forward'!$B$5:$B$13,0),MATCH(FW$4,'Curva Forward'!$C$4:$AN$4,0))),CY230)</f>
        <v>0</v>
      </c>
      <c r="FX230" s="190">
        <f>AL230*AL$2*IF($FC230="V",1,-1)*IF($Q230="Fixo",(CZ230-INDEX('Curva Forward'!$C$5:$AN$13,MATCH(CONCATENATE(BD_COMERCIAL!$K230," ",BD_COMERCIAL!$L230),'Curva Forward'!$B$5:$B$13,0),MATCH(FX$4,'Curva Forward'!$C$4:$AN$4,0))),CZ230)</f>
        <v>0</v>
      </c>
      <c r="FY230" s="190">
        <f>AM230*AM$2*IF($FC230="V",1,-1)*IF($Q230="Fixo",(DA230-INDEX('Curva Forward'!$C$5:$AN$13,MATCH(CONCATENATE(BD_COMERCIAL!$K230," ",BD_COMERCIAL!$L230),'Curva Forward'!$B$5:$B$13,0),MATCH(FY$4,'Curva Forward'!$C$4:$AN$4,0))),DA230)</f>
        <v>0</v>
      </c>
      <c r="FZ230" s="190">
        <f>AN230*AN$2*IF($FC230="V",1,-1)*IF($Q230="Fixo",(DB230-INDEX('Curva Forward'!$C$5:$AN$13,MATCH(CONCATENATE(BD_COMERCIAL!$K230," ",BD_COMERCIAL!$L230),'Curva Forward'!$B$5:$B$13,0),MATCH(FZ$4,'Curva Forward'!$C$4:$AN$4,0))),DB230)</f>
        <v>0</v>
      </c>
      <c r="GA230" s="190">
        <f>AO230*AO$2*IF($FC230="V",1,-1)*IF($Q230="Fixo",(DC230-INDEX('Curva Forward'!$C$5:$AN$13,MATCH(CONCATENATE(BD_COMERCIAL!$K230," ",BD_COMERCIAL!$L230),'Curva Forward'!$B$5:$B$13,0),MATCH(GA$4,'Curva Forward'!$C$4:$AN$4,0))),DC230)</f>
        <v>0</v>
      </c>
      <c r="GB230" s="190">
        <f>AP230*AP$2*IF($FC230="V",1,-1)*IF($Q230="Fixo",(DD230-INDEX('Curva Forward'!$C$5:$AN$13,MATCH(CONCATENATE(BD_COMERCIAL!$K230," ",BD_COMERCIAL!$L230),'Curva Forward'!$B$5:$B$13,0),MATCH(GB$4,'Curva Forward'!$C$4:$AN$4,0))),DD230)</f>
        <v>0</v>
      </c>
      <c r="GC230" s="190">
        <f>AQ230*AQ$2*IF($FC230="V",1,-1)*IF($Q230="Fixo",(DE230-INDEX('Curva Forward'!$C$5:$AN$13,MATCH(CONCATENATE(BD_COMERCIAL!$K230," ",BD_COMERCIAL!$L230),'Curva Forward'!$B$5:$B$13,0),MATCH(GC$4,'Curva Forward'!$C$4:$AN$4,0))),DE230)</f>
        <v>0</v>
      </c>
      <c r="GD230" s="190">
        <f>AR230*AR$2*IF($FC230="V",1,-1)*IF($Q230="Fixo",(DF230-INDEX('Curva Forward'!$C$5:$AN$13,MATCH(CONCATENATE(BD_COMERCIAL!$K230," ",BD_COMERCIAL!$L230),'Curva Forward'!$B$5:$B$13,0),MATCH(GD$4,'Curva Forward'!$C$4:$AN$4,0))),DF230)</f>
        <v>0</v>
      </c>
      <c r="GE230" s="190">
        <f>AS230*AS$2*IF($FC230="V",1,-1)*IF($Q230="Fixo",(DG230-INDEX('Curva Forward'!$C$5:$AN$13,MATCH(CONCATENATE(BD_COMERCIAL!$K230," ",BD_COMERCIAL!$L230),'Curva Forward'!$B$5:$B$13,0),MATCH(GE$4,'Curva Forward'!$C$4:$AN$4,0))),DG230)</f>
        <v>0</v>
      </c>
      <c r="GF230" s="190">
        <f>AT230*AT$2*IF($FC230="V",1,-1)*IF($Q230="Fixo",(DH230-INDEX('Curva Forward'!$C$5:$AN$13,MATCH(CONCATENATE(BD_COMERCIAL!$K230," ",BD_COMERCIAL!$L230),'Curva Forward'!$B$5:$B$13,0),MATCH(GF$4,'Curva Forward'!$C$4:$AN$4,0))),DH230)</f>
        <v>0</v>
      </c>
      <c r="GG230" s="190">
        <f>AU230*AU$2*IF($FC230="V",1,-1)*IF($Q230="Fixo",(DI230-INDEX('Curva Forward'!$C$5:$AN$13,MATCH(CONCATENATE(BD_COMERCIAL!$K230," ",BD_COMERCIAL!$L230),'Curva Forward'!$B$5:$B$13,0),MATCH(GG$4,'Curva Forward'!$C$4:$AN$4,0))),DI230)</f>
        <v>0</v>
      </c>
      <c r="GH230" s="190">
        <f>AV230*AV$2*IF($FC230="V",1,-1)*IF($Q230="Fixo",(DJ230-INDEX('Curva Forward'!$C$5:$AN$13,MATCH(CONCATENATE(BD_COMERCIAL!$K230," ",BD_COMERCIAL!$L230),'Curva Forward'!$B$5:$B$13,0),MATCH(GH$4,'Curva Forward'!$C$4:$AN$4,0))),DJ230)</f>
        <v>0</v>
      </c>
      <c r="GI230" s="190">
        <f>AW230*AW$2*IF($FC230="V",1,-1)*IF($Q230="Fixo",(DK230-INDEX('Curva Forward'!$C$5:$AN$13,MATCH(CONCATENATE(BD_COMERCIAL!$K230," ",BD_COMERCIAL!$L230),'Curva Forward'!$B$5:$B$13,0),MATCH(GI$4,'Curva Forward'!$C$4:$AN$4,0))),DK230)</f>
        <v>0</v>
      </c>
      <c r="GJ230" s="190">
        <f>AX230*AX$2*IF($FC230="V",1,-1)*IF($Q230="Fixo",(DL230-INDEX('Curva Forward'!$C$5:$AN$13,MATCH(CONCATENATE(BD_COMERCIAL!$K230," ",BD_COMERCIAL!$L230),'Curva Forward'!$B$5:$B$13,0),MATCH(GJ$4,'Curva Forward'!$C$4:$AN$4,0))),DL230)</f>
        <v>0</v>
      </c>
      <c r="GK230" s="190">
        <f>AY230*AY$2*IF($FC230="V",1,-1)*IF($Q230="Fixo",(DM230-INDEX('Curva Forward'!$C$5:$AN$13,MATCH(CONCATENATE(BD_COMERCIAL!$K230," ",BD_COMERCIAL!$L230),'Curva Forward'!$B$5:$B$13,0),MATCH(GK$4,'Curva Forward'!$C$4:$AN$4,0))),DM230)</f>
        <v>0</v>
      </c>
      <c r="GL230" s="190">
        <f>IF(EZ230="",0,CL230*CL$2*IF($FC230="V",1,-1)*IF($Q230="Fixo",(EZ230-INDEX('Curva Forward'!$C$5:$AN$13,MATCH(CONCATENATE(BD_COMERCIAL!$K230," ",BD_COMERCIAL!$L230),'Curva Forward'!$B$5:$B$13,0),MATCH(GL$4,'Curva Forward'!$C$4:$AN$4,0))),EZ230))</f>
        <v>0</v>
      </c>
      <c r="GM230" s="190">
        <f>IF(FA230="",0,CM230*CM$2*IF($FC230="V",1,-1)*IF($Q230="Fixo",(FA230-INDEX('Curva Forward'!$C$5:$AN$13,MATCH(CONCATENATE(BD_COMERCIAL!$K230," ",BD_COMERCIAL!$L230),'Curva Forward'!$B$5:$B$13,0),MATCH(GM$4,'Curva Forward'!$C$4:$AN$4,0))),FA230))</f>
        <v>0</v>
      </c>
      <c r="GN230" s="190">
        <f>IF(FB230="",0,CN230*CN$2*IF($FC230="V",1,-1)*IF($Q230="Fixo",(FB230-INDEX('Curva Forward'!$C$5:$AN$13,MATCH(CONCATENATE(BD_COMERCIAL!$K230," ",BD_COMERCIAL!$L230),'Curva Forward'!$B$5:$B$13,0),MATCH(GN$4,'Curva Forward'!$C$4:$AN$4,0))),FB230))</f>
        <v>0</v>
      </c>
      <c r="GO230" s="191">
        <f t="shared" ca="1" si="32"/>
        <v>0</v>
      </c>
      <c r="GP230" s="191">
        <f t="shared" ca="1" si="33"/>
        <v>0</v>
      </c>
      <c r="GQ230" s="115"/>
      <c r="GR230" s="115"/>
      <c r="GS230"/>
      <c r="GT230" s="65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</row>
    <row r="231" spans="1:236" s="265" customFormat="1" ht="15" customHeight="1" x14ac:dyDescent="0.35">
      <c r="A231" s="251"/>
      <c r="B231" s="275"/>
      <c r="C231" s="253"/>
      <c r="D231" s="254"/>
      <c r="E231" s="254"/>
      <c r="F231" s="255"/>
      <c r="G231" s="256"/>
      <c r="H231" s="255"/>
      <c r="I231" s="254"/>
      <c r="J231" s="257"/>
      <c r="K231" s="256"/>
      <c r="L231" s="252"/>
      <c r="M231" s="258"/>
      <c r="N231" s="259"/>
      <c r="O231" s="256"/>
      <c r="P231" s="252"/>
      <c r="Q231" s="252"/>
      <c r="R231" s="256"/>
      <c r="S231" s="260"/>
      <c r="T231" s="258"/>
      <c r="U231" s="259"/>
      <c r="V231" s="261"/>
      <c r="W231" s="252"/>
      <c r="X231" s="262"/>
      <c r="Y231" s="257"/>
      <c r="Z231" s="263"/>
      <c r="AA231" s="264"/>
      <c r="AB231" s="266"/>
      <c r="AM231" s="251"/>
      <c r="AN231" s="266"/>
      <c r="AY231" s="251"/>
      <c r="AZ231" s="266"/>
      <c r="BK231" s="251"/>
      <c r="BL231" s="266"/>
      <c r="BW231" s="251"/>
      <c r="BX231" s="266"/>
      <c r="CI231" s="251"/>
      <c r="CJ231" s="267"/>
      <c r="CK231" s="267"/>
      <c r="CL231" s="267"/>
      <c r="CM231" s="267"/>
      <c r="CN231" s="267"/>
      <c r="CO231" s="268"/>
      <c r="CP231" s="266"/>
      <c r="DA231" s="251"/>
      <c r="DB231" s="266"/>
      <c r="DM231" s="251"/>
      <c r="DN231" s="266"/>
      <c r="DY231" s="251"/>
      <c r="DZ231" s="266"/>
      <c r="EK231" s="251"/>
      <c r="EL231" s="266"/>
      <c r="EW231" s="251"/>
      <c r="EX231" s="267"/>
      <c r="EY231" s="267"/>
      <c r="EZ231" s="267"/>
      <c r="FA231" s="267"/>
      <c r="FB231" s="269"/>
      <c r="FD231" s="270"/>
      <c r="FF231" s="276"/>
      <c r="FH231" s="206">
        <f t="shared" si="27"/>
        <v>0</v>
      </c>
      <c r="FI231" s="198">
        <f t="shared" si="28"/>
        <v>0</v>
      </c>
      <c r="FJ231"/>
      <c r="FK231">
        <f t="shared" si="29"/>
        <v>0</v>
      </c>
      <c r="FL231" s="191">
        <f t="shared" ca="1" si="30"/>
        <v>0</v>
      </c>
      <c r="FM231" s="191">
        <f t="shared" ca="1" si="31"/>
        <v>0</v>
      </c>
      <c r="FN231" s="190">
        <f>AB231*AB$2*IF($FC231="V",1,-1)*IF($Q231="Fixo",(CP231-INDEX('Curva Forward'!$C$5:$AN$13,MATCH(CONCATENATE(BD_COMERCIAL!$K231," ",BD_COMERCIAL!$L231),'Curva Forward'!$B$5:$B$13,0),MATCH(FN$4,'Curva Forward'!$C$4:$AN$4,0))),CP231)</f>
        <v>0</v>
      </c>
      <c r="FO231" s="190">
        <f>AC231*AC$2*IF($FC231="V",1,-1)*IF($Q231="Fixo",(CQ231-INDEX('Curva Forward'!$C$5:$AN$13,MATCH(CONCATENATE(BD_COMERCIAL!$K231," ",BD_COMERCIAL!$L231),'Curva Forward'!$B$5:$B$13,0),MATCH(FO$4,'Curva Forward'!$C$4:$AN$4,0))),CQ231)</f>
        <v>0</v>
      </c>
      <c r="FP231" s="190">
        <f>AD231*AD$2*IF($FC231="V",1,-1)*IF($Q231="Fixo",(CR231-INDEX('Curva Forward'!$C$5:$AN$13,MATCH(CONCATENATE(BD_COMERCIAL!$K231," ",BD_COMERCIAL!$L231),'Curva Forward'!$B$5:$B$13,0),MATCH(FP$4,'Curva Forward'!$C$4:$AN$4,0))),CR231)</f>
        <v>0</v>
      </c>
      <c r="FQ231" s="190">
        <f>AE231*AE$2*IF($FC231="V",1,-1)*IF($Q231="Fixo",(CS231-INDEX('Curva Forward'!$C$5:$AN$13,MATCH(CONCATENATE(BD_COMERCIAL!$K231," ",BD_COMERCIAL!$L231),'Curva Forward'!$B$5:$B$13,0),MATCH(FQ$4,'Curva Forward'!$C$4:$AN$4,0))),CS231)</f>
        <v>0</v>
      </c>
      <c r="FR231" s="190">
        <f>AF231*AF$2*IF($FC231="V",1,-1)*IF($Q231="Fixo",(CT231-INDEX('Curva Forward'!$C$5:$AN$13,MATCH(CONCATENATE(BD_COMERCIAL!$K231," ",BD_COMERCIAL!$L231),'Curva Forward'!$B$5:$B$13,0),MATCH(FR$4,'Curva Forward'!$C$4:$AN$4,0))),CT231)</f>
        <v>0</v>
      </c>
      <c r="FS231" s="190">
        <f>AG231*AG$2*IF($FC231="V",1,-1)*IF($Q231="Fixo",(CU231-INDEX('Curva Forward'!$C$5:$AN$13,MATCH(CONCATENATE(BD_COMERCIAL!$K231," ",BD_COMERCIAL!$L231),'Curva Forward'!$B$5:$B$13,0),MATCH(FS$4,'Curva Forward'!$C$4:$AN$4,0))),CU231)</f>
        <v>0</v>
      </c>
      <c r="FT231" s="190">
        <f>AH231*AH$2*IF($FC231="V",1,-1)*IF($Q231="Fixo",(CV231-INDEX('Curva Forward'!$C$5:$AN$13,MATCH(CONCATENATE(BD_COMERCIAL!$K231," ",BD_COMERCIAL!$L231),'Curva Forward'!$B$5:$B$13,0),MATCH(FT$4,'Curva Forward'!$C$4:$AN$4,0))),CV231)</f>
        <v>0</v>
      </c>
      <c r="FU231" s="190">
        <f>AI231*AI$2*IF($FC231="V",1,-1)*IF($Q231="Fixo",(CW231-INDEX('Curva Forward'!$C$5:$AN$13,MATCH(CONCATENATE(BD_COMERCIAL!$K231," ",BD_COMERCIAL!$L231),'Curva Forward'!$B$5:$B$13,0),MATCH(FU$4,'Curva Forward'!$C$4:$AN$4,0))),CW231)</f>
        <v>0</v>
      </c>
      <c r="FV231" s="190">
        <f>AJ231*AJ$2*IF($FC231="V",1,-1)*IF($Q231="Fixo",(CX231-INDEX('Curva Forward'!$C$5:$AN$13,MATCH(CONCATENATE(BD_COMERCIAL!$K231," ",BD_COMERCIAL!$L231),'Curva Forward'!$B$5:$B$13,0),MATCH(FV$4,'Curva Forward'!$C$4:$AN$4,0))),CX231)</f>
        <v>0</v>
      </c>
      <c r="FW231" s="190">
        <f>AK231*AK$2*IF($FC231="V",1,-1)*IF($Q231="Fixo",(CY231-INDEX('Curva Forward'!$C$5:$AN$13,MATCH(CONCATENATE(BD_COMERCIAL!$K231," ",BD_COMERCIAL!$L231),'Curva Forward'!$B$5:$B$13,0),MATCH(FW$4,'Curva Forward'!$C$4:$AN$4,0))),CY231)</f>
        <v>0</v>
      </c>
      <c r="FX231" s="190">
        <f>AL231*AL$2*IF($FC231="V",1,-1)*IF($Q231="Fixo",(CZ231-INDEX('Curva Forward'!$C$5:$AN$13,MATCH(CONCATENATE(BD_COMERCIAL!$K231," ",BD_COMERCIAL!$L231),'Curva Forward'!$B$5:$B$13,0),MATCH(FX$4,'Curva Forward'!$C$4:$AN$4,0))),CZ231)</f>
        <v>0</v>
      </c>
      <c r="FY231" s="190">
        <f>AM231*AM$2*IF($FC231="V",1,-1)*IF($Q231="Fixo",(DA231-INDEX('Curva Forward'!$C$5:$AN$13,MATCH(CONCATENATE(BD_COMERCIAL!$K231," ",BD_COMERCIAL!$L231),'Curva Forward'!$B$5:$B$13,0),MATCH(FY$4,'Curva Forward'!$C$4:$AN$4,0))),DA231)</f>
        <v>0</v>
      </c>
      <c r="FZ231" s="190">
        <f>AN231*AN$2*IF($FC231="V",1,-1)*IF($Q231="Fixo",(DB231-INDEX('Curva Forward'!$C$5:$AN$13,MATCH(CONCATENATE(BD_COMERCIAL!$K231," ",BD_COMERCIAL!$L231),'Curva Forward'!$B$5:$B$13,0),MATCH(FZ$4,'Curva Forward'!$C$4:$AN$4,0))),DB231)</f>
        <v>0</v>
      </c>
      <c r="GA231" s="190">
        <f>AO231*AO$2*IF($FC231="V",1,-1)*IF($Q231="Fixo",(DC231-INDEX('Curva Forward'!$C$5:$AN$13,MATCH(CONCATENATE(BD_COMERCIAL!$K231," ",BD_COMERCIAL!$L231),'Curva Forward'!$B$5:$B$13,0),MATCH(GA$4,'Curva Forward'!$C$4:$AN$4,0))),DC231)</f>
        <v>0</v>
      </c>
      <c r="GB231" s="190">
        <f>AP231*AP$2*IF($FC231="V",1,-1)*IF($Q231="Fixo",(DD231-INDEX('Curva Forward'!$C$5:$AN$13,MATCH(CONCATENATE(BD_COMERCIAL!$K231," ",BD_COMERCIAL!$L231),'Curva Forward'!$B$5:$B$13,0),MATCH(GB$4,'Curva Forward'!$C$4:$AN$4,0))),DD231)</f>
        <v>0</v>
      </c>
      <c r="GC231" s="190">
        <f>AQ231*AQ$2*IF($FC231="V",1,-1)*IF($Q231="Fixo",(DE231-INDEX('Curva Forward'!$C$5:$AN$13,MATCH(CONCATENATE(BD_COMERCIAL!$K231," ",BD_COMERCIAL!$L231),'Curva Forward'!$B$5:$B$13,0),MATCH(GC$4,'Curva Forward'!$C$4:$AN$4,0))),DE231)</f>
        <v>0</v>
      </c>
      <c r="GD231" s="190">
        <f>AR231*AR$2*IF($FC231="V",1,-1)*IF($Q231="Fixo",(DF231-INDEX('Curva Forward'!$C$5:$AN$13,MATCH(CONCATENATE(BD_COMERCIAL!$K231," ",BD_COMERCIAL!$L231),'Curva Forward'!$B$5:$B$13,0),MATCH(GD$4,'Curva Forward'!$C$4:$AN$4,0))),DF231)</f>
        <v>0</v>
      </c>
      <c r="GE231" s="190">
        <f>AS231*AS$2*IF($FC231="V",1,-1)*IF($Q231="Fixo",(DG231-INDEX('Curva Forward'!$C$5:$AN$13,MATCH(CONCATENATE(BD_COMERCIAL!$K231," ",BD_COMERCIAL!$L231),'Curva Forward'!$B$5:$B$13,0),MATCH(GE$4,'Curva Forward'!$C$4:$AN$4,0))),DG231)</f>
        <v>0</v>
      </c>
      <c r="GF231" s="190">
        <f>AT231*AT$2*IF($FC231="V",1,-1)*IF($Q231="Fixo",(DH231-INDEX('Curva Forward'!$C$5:$AN$13,MATCH(CONCATENATE(BD_COMERCIAL!$K231," ",BD_COMERCIAL!$L231),'Curva Forward'!$B$5:$B$13,0),MATCH(GF$4,'Curva Forward'!$C$4:$AN$4,0))),DH231)</f>
        <v>0</v>
      </c>
      <c r="GG231" s="190">
        <f>AU231*AU$2*IF($FC231="V",1,-1)*IF($Q231="Fixo",(DI231-INDEX('Curva Forward'!$C$5:$AN$13,MATCH(CONCATENATE(BD_COMERCIAL!$K231," ",BD_COMERCIAL!$L231),'Curva Forward'!$B$5:$B$13,0),MATCH(GG$4,'Curva Forward'!$C$4:$AN$4,0))),DI231)</f>
        <v>0</v>
      </c>
      <c r="GH231" s="190">
        <f>AV231*AV$2*IF($FC231="V",1,-1)*IF($Q231="Fixo",(DJ231-INDEX('Curva Forward'!$C$5:$AN$13,MATCH(CONCATENATE(BD_COMERCIAL!$K231," ",BD_COMERCIAL!$L231),'Curva Forward'!$B$5:$B$13,0),MATCH(GH$4,'Curva Forward'!$C$4:$AN$4,0))),DJ231)</f>
        <v>0</v>
      </c>
      <c r="GI231" s="190">
        <f>AW231*AW$2*IF($FC231="V",1,-1)*IF($Q231="Fixo",(DK231-INDEX('Curva Forward'!$C$5:$AN$13,MATCH(CONCATENATE(BD_COMERCIAL!$K231," ",BD_COMERCIAL!$L231),'Curva Forward'!$B$5:$B$13,0),MATCH(GI$4,'Curva Forward'!$C$4:$AN$4,0))),DK231)</f>
        <v>0</v>
      </c>
      <c r="GJ231" s="190">
        <f>AX231*AX$2*IF($FC231="V",1,-1)*IF($Q231="Fixo",(DL231-INDEX('Curva Forward'!$C$5:$AN$13,MATCH(CONCATENATE(BD_COMERCIAL!$K231," ",BD_COMERCIAL!$L231),'Curva Forward'!$B$5:$B$13,0),MATCH(GJ$4,'Curva Forward'!$C$4:$AN$4,0))),DL231)</f>
        <v>0</v>
      </c>
      <c r="GK231" s="190">
        <f>AY231*AY$2*IF($FC231="V",1,-1)*IF($Q231="Fixo",(DM231-INDEX('Curva Forward'!$C$5:$AN$13,MATCH(CONCATENATE(BD_COMERCIAL!$K231," ",BD_COMERCIAL!$L231),'Curva Forward'!$B$5:$B$13,0),MATCH(GK$4,'Curva Forward'!$C$4:$AN$4,0))),DM231)</f>
        <v>0</v>
      </c>
      <c r="GL231" s="190">
        <f>IF(EZ231="",0,CL231*CL$2*IF($FC231="V",1,-1)*IF($Q231="Fixo",(EZ231-INDEX('Curva Forward'!$C$5:$AN$13,MATCH(CONCATENATE(BD_COMERCIAL!$K231," ",BD_COMERCIAL!$L231),'Curva Forward'!$B$5:$B$13,0),MATCH(GL$4,'Curva Forward'!$C$4:$AN$4,0))),EZ231))</f>
        <v>0</v>
      </c>
      <c r="GM231" s="190">
        <f>IF(FA231="",0,CM231*CM$2*IF($FC231="V",1,-1)*IF($Q231="Fixo",(FA231-INDEX('Curva Forward'!$C$5:$AN$13,MATCH(CONCATENATE(BD_COMERCIAL!$K231," ",BD_COMERCIAL!$L231),'Curva Forward'!$B$5:$B$13,0),MATCH(GM$4,'Curva Forward'!$C$4:$AN$4,0))),FA231))</f>
        <v>0</v>
      </c>
      <c r="GN231" s="190">
        <f>IF(FB231="",0,CN231*CN$2*IF($FC231="V",1,-1)*IF($Q231="Fixo",(FB231-INDEX('Curva Forward'!$C$5:$AN$13,MATCH(CONCATENATE(BD_COMERCIAL!$K231," ",BD_COMERCIAL!$L231),'Curva Forward'!$B$5:$B$13,0),MATCH(GN$4,'Curva Forward'!$C$4:$AN$4,0))),FB231))</f>
        <v>0</v>
      </c>
      <c r="GO231" s="191">
        <f t="shared" ca="1" si="32"/>
        <v>0</v>
      </c>
      <c r="GP231" s="191">
        <f t="shared" ca="1" si="33"/>
        <v>0</v>
      </c>
      <c r="GQ231" s="115"/>
      <c r="GR231" s="115"/>
      <c r="GS231"/>
      <c r="GT231" s="65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</row>
    <row r="232" spans="1:236" s="265" customFormat="1" ht="15" customHeight="1" x14ac:dyDescent="0.35">
      <c r="A232" s="251"/>
      <c r="B232" s="275"/>
      <c r="C232" s="253"/>
      <c r="D232" s="254"/>
      <c r="E232" s="254"/>
      <c r="F232" s="255"/>
      <c r="G232" s="256"/>
      <c r="H232" s="255"/>
      <c r="I232" s="254"/>
      <c r="J232" s="257"/>
      <c r="K232" s="256"/>
      <c r="L232" s="252"/>
      <c r="M232" s="258"/>
      <c r="N232" s="259"/>
      <c r="O232" s="256"/>
      <c r="P232" s="252"/>
      <c r="Q232" s="252"/>
      <c r="R232" s="256"/>
      <c r="S232" s="260"/>
      <c r="T232" s="258"/>
      <c r="U232" s="259"/>
      <c r="V232" s="261"/>
      <c r="W232" s="252"/>
      <c r="X232" s="262"/>
      <c r="Y232" s="257"/>
      <c r="Z232" s="263"/>
      <c r="AA232" s="264"/>
      <c r="AB232" s="266"/>
      <c r="AM232" s="251"/>
      <c r="AN232" s="266"/>
      <c r="AY232" s="251"/>
      <c r="AZ232" s="266"/>
      <c r="BK232" s="251"/>
      <c r="BL232" s="266"/>
      <c r="BW232" s="251"/>
      <c r="BX232" s="266"/>
      <c r="CI232" s="251"/>
      <c r="CJ232" s="267"/>
      <c r="CK232" s="267"/>
      <c r="CL232" s="267"/>
      <c r="CM232" s="267"/>
      <c r="CN232" s="267"/>
      <c r="CO232" s="268"/>
      <c r="CP232" s="266"/>
      <c r="DA232" s="251"/>
      <c r="DB232" s="266"/>
      <c r="DM232" s="251"/>
      <c r="DN232" s="266"/>
      <c r="DY232" s="251"/>
      <c r="DZ232" s="266"/>
      <c r="EK232" s="251"/>
      <c r="EL232" s="266"/>
      <c r="EW232" s="251"/>
      <c r="EX232" s="267"/>
      <c r="EY232" s="267"/>
      <c r="EZ232" s="267"/>
      <c r="FA232" s="267"/>
      <c r="FB232" s="269"/>
      <c r="FD232" s="270"/>
      <c r="FF232" s="276"/>
      <c r="FH232" s="206">
        <f t="shared" si="27"/>
        <v>0</v>
      </c>
      <c r="FI232" s="198">
        <f t="shared" si="28"/>
        <v>0</v>
      </c>
      <c r="FJ232"/>
      <c r="FK232">
        <f t="shared" si="29"/>
        <v>0</v>
      </c>
      <c r="FL232" s="191">
        <f t="shared" ca="1" si="30"/>
        <v>0</v>
      </c>
      <c r="FM232" s="191">
        <f t="shared" ca="1" si="31"/>
        <v>0</v>
      </c>
      <c r="FN232" s="190">
        <f>AB232*AB$2*IF($FC232="V",1,-1)*IF($Q232="Fixo",(CP232-INDEX('Curva Forward'!$C$5:$AN$13,MATCH(CONCATENATE(BD_COMERCIAL!$K232," ",BD_COMERCIAL!$L232),'Curva Forward'!$B$5:$B$13,0),MATCH(FN$4,'Curva Forward'!$C$4:$AN$4,0))),CP232)</f>
        <v>0</v>
      </c>
      <c r="FO232" s="190">
        <f>AC232*AC$2*IF($FC232="V",1,-1)*IF($Q232="Fixo",(CQ232-INDEX('Curva Forward'!$C$5:$AN$13,MATCH(CONCATENATE(BD_COMERCIAL!$K232," ",BD_COMERCIAL!$L232),'Curva Forward'!$B$5:$B$13,0),MATCH(FO$4,'Curva Forward'!$C$4:$AN$4,0))),CQ232)</f>
        <v>0</v>
      </c>
      <c r="FP232" s="190">
        <f>AD232*AD$2*IF($FC232="V",1,-1)*IF($Q232="Fixo",(CR232-INDEX('Curva Forward'!$C$5:$AN$13,MATCH(CONCATENATE(BD_COMERCIAL!$K232," ",BD_COMERCIAL!$L232),'Curva Forward'!$B$5:$B$13,0),MATCH(FP$4,'Curva Forward'!$C$4:$AN$4,0))),CR232)</f>
        <v>0</v>
      </c>
      <c r="FQ232" s="190">
        <f>AE232*AE$2*IF($FC232="V",1,-1)*IF($Q232="Fixo",(CS232-INDEX('Curva Forward'!$C$5:$AN$13,MATCH(CONCATENATE(BD_COMERCIAL!$K232," ",BD_COMERCIAL!$L232),'Curva Forward'!$B$5:$B$13,0),MATCH(FQ$4,'Curva Forward'!$C$4:$AN$4,0))),CS232)</f>
        <v>0</v>
      </c>
      <c r="FR232" s="190">
        <f>AF232*AF$2*IF($FC232="V",1,-1)*IF($Q232="Fixo",(CT232-INDEX('Curva Forward'!$C$5:$AN$13,MATCH(CONCATENATE(BD_COMERCIAL!$K232," ",BD_COMERCIAL!$L232),'Curva Forward'!$B$5:$B$13,0),MATCH(FR$4,'Curva Forward'!$C$4:$AN$4,0))),CT232)</f>
        <v>0</v>
      </c>
      <c r="FS232" s="190">
        <f>AG232*AG$2*IF($FC232="V",1,-1)*IF($Q232="Fixo",(CU232-INDEX('Curva Forward'!$C$5:$AN$13,MATCH(CONCATENATE(BD_COMERCIAL!$K232," ",BD_COMERCIAL!$L232),'Curva Forward'!$B$5:$B$13,0),MATCH(FS$4,'Curva Forward'!$C$4:$AN$4,0))),CU232)</f>
        <v>0</v>
      </c>
      <c r="FT232" s="190">
        <f>AH232*AH$2*IF($FC232="V",1,-1)*IF($Q232="Fixo",(CV232-INDEX('Curva Forward'!$C$5:$AN$13,MATCH(CONCATENATE(BD_COMERCIAL!$K232," ",BD_COMERCIAL!$L232),'Curva Forward'!$B$5:$B$13,0),MATCH(FT$4,'Curva Forward'!$C$4:$AN$4,0))),CV232)</f>
        <v>0</v>
      </c>
      <c r="FU232" s="190">
        <f>AI232*AI$2*IF($FC232="V",1,-1)*IF($Q232="Fixo",(CW232-INDEX('Curva Forward'!$C$5:$AN$13,MATCH(CONCATENATE(BD_COMERCIAL!$K232," ",BD_COMERCIAL!$L232),'Curva Forward'!$B$5:$B$13,0),MATCH(FU$4,'Curva Forward'!$C$4:$AN$4,0))),CW232)</f>
        <v>0</v>
      </c>
      <c r="FV232" s="190">
        <f>AJ232*AJ$2*IF($FC232="V",1,-1)*IF($Q232="Fixo",(CX232-INDEX('Curva Forward'!$C$5:$AN$13,MATCH(CONCATENATE(BD_COMERCIAL!$K232," ",BD_COMERCIAL!$L232),'Curva Forward'!$B$5:$B$13,0),MATCH(FV$4,'Curva Forward'!$C$4:$AN$4,0))),CX232)</f>
        <v>0</v>
      </c>
      <c r="FW232" s="190">
        <f>AK232*AK$2*IF($FC232="V",1,-1)*IF($Q232="Fixo",(CY232-INDEX('Curva Forward'!$C$5:$AN$13,MATCH(CONCATENATE(BD_COMERCIAL!$K232," ",BD_COMERCIAL!$L232),'Curva Forward'!$B$5:$B$13,0),MATCH(FW$4,'Curva Forward'!$C$4:$AN$4,0))),CY232)</f>
        <v>0</v>
      </c>
      <c r="FX232" s="190">
        <f>AL232*AL$2*IF($FC232="V",1,-1)*IF($Q232="Fixo",(CZ232-INDEX('Curva Forward'!$C$5:$AN$13,MATCH(CONCATENATE(BD_COMERCIAL!$K232," ",BD_COMERCIAL!$L232),'Curva Forward'!$B$5:$B$13,0),MATCH(FX$4,'Curva Forward'!$C$4:$AN$4,0))),CZ232)</f>
        <v>0</v>
      </c>
      <c r="FY232" s="190">
        <f>AM232*AM$2*IF($FC232="V",1,-1)*IF($Q232="Fixo",(DA232-INDEX('Curva Forward'!$C$5:$AN$13,MATCH(CONCATENATE(BD_COMERCIAL!$K232," ",BD_COMERCIAL!$L232),'Curva Forward'!$B$5:$B$13,0),MATCH(FY$4,'Curva Forward'!$C$4:$AN$4,0))),DA232)</f>
        <v>0</v>
      </c>
      <c r="FZ232" s="190">
        <f>AN232*AN$2*IF($FC232="V",1,-1)*IF($Q232="Fixo",(DB232-INDEX('Curva Forward'!$C$5:$AN$13,MATCH(CONCATENATE(BD_COMERCIAL!$K232," ",BD_COMERCIAL!$L232),'Curva Forward'!$B$5:$B$13,0),MATCH(FZ$4,'Curva Forward'!$C$4:$AN$4,0))),DB232)</f>
        <v>0</v>
      </c>
      <c r="GA232" s="190">
        <f>AO232*AO$2*IF($FC232="V",1,-1)*IF($Q232="Fixo",(DC232-INDEX('Curva Forward'!$C$5:$AN$13,MATCH(CONCATENATE(BD_COMERCIAL!$K232," ",BD_COMERCIAL!$L232),'Curva Forward'!$B$5:$B$13,0),MATCH(GA$4,'Curva Forward'!$C$4:$AN$4,0))),DC232)</f>
        <v>0</v>
      </c>
      <c r="GB232" s="190">
        <f>AP232*AP$2*IF($FC232="V",1,-1)*IF($Q232="Fixo",(DD232-INDEX('Curva Forward'!$C$5:$AN$13,MATCH(CONCATENATE(BD_COMERCIAL!$K232," ",BD_COMERCIAL!$L232),'Curva Forward'!$B$5:$B$13,0),MATCH(GB$4,'Curva Forward'!$C$4:$AN$4,0))),DD232)</f>
        <v>0</v>
      </c>
      <c r="GC232" s="190">
        <f>AQ232*AQ$2*IF($FC232="V",1,-1)*IF($Q232="Fixo",(DE232-INDEX('Curva Forward'!$C$5:$AN$13,MATCH(CONCATENATE(BD_COMERCIAL!$K232," ",BD_COMERCIAL!$L232),'Curva Forward'!$B$5:$B$13,0),MATCH(GC$4,'Curva Forward'!$C$4:$AN$4,0))),DE232)</f>
        <v>0</v>
      </c>
      <c r="GD232" s="190">
        <f>AR232*AR$2*IF($FC232="V",1,-1)*IF($Q232="Fixo",(DF232-INDEX('Curva Forward'!$C$5:$AN$13,MATCH(CONCATENATE(BD_COMERCIAL!$K232," ",BD_COMERCIAL!$L232),'Curva Forward'!$B$5:$B$13,0),MATCH(GD$4,'Curva Forward'!$C$4:$AN$4,0))),DF232)</f>
        <v>0</v>
      </c>
      <c r="GE232" s="190">
        <f>AS232*AS$2*IF($FC232="V",1,-1)*IF($Q232="Fixo",(DG232-INDEX('Curva Forward'!$C$5:$AN$13,MATCH(CONCATENATE(BD_COMERCIAL!$K232," ",BD_COMERCIAL!$L232),'Curva Forward'!$B$5:$B$13,0),MATCH(GE$4,'Curva Forward'!$C$4:$AN$4,0))),DG232)</f>
        <v>0</v>
      </c>
      <c r="GF232" s="190">
        <f>AT232*AT$2*IF($FC232="V",1,-1)*IF($Q232="Fixo",(DH232-INDEX('Curva Forward'!$C$5:$AN$13,MATCH(CONCATENATE(BD_COMERCIAL!$K232," ",BD_COMERCIAL!$L232),'Curva Forward'!$B$5:$B$13,0),MATCH(GF$4,'Curva Forward'!$C$4:$AN$4,0))),DH232)</f>
        <v>0</v>
      </c>
      <c r="GG232" s="190">
        <f>AU232*AU$2*IF($FC232="V",1,-1)*IF($Q232="Fixo",(DI232-INDEX('Curva Forward'!$C$5:$AN$13,MATCH(CONCATENATE(BD_COMERCIAL!$K232," ",BD_COMERCIAL!$L232),'Curva Forward'!$B$5:$B$13,0),MATCH(GG$4,'Curva Forward'!$C$4:$AN$4,0))),DI232)</f>
        <v>0</v>
      </c>
      <c r="GH232" s="190">
        <f>AV232*AV$2*IF($FC232="V",1,-1)*IF($Q232="Fixo",(DJ232-INDEX('Curva Forward'!$C$5:$AN$13,MATCH(CONCATENATE(BD_COMERCIAL!$K232," ",BD_COMERCIAL!$L232),'Curva Forward'!$B$5:$B$13,0),MATCH(GH$4,'Curva Forward'!$C$4:$AN$4,0))),DJ232)</f>
        <v>0</v>
      </c>
      <c r="GI232" s="190">
        <f>AW232*AW$2*IF($FC232="V",1,-1)*IF($Q232="Fixo",(DK232-INDEX('Curva Forward'!$C$5:$AN$13,MATCH(CONCATENATE(BD_COMERCIAL!$K232," ",BD_COMERCIAL!$L232),'Curva Forward'!$B$5:$B$13,0),MATCH(GI$4,'Curva Forward'!$C$4:$AN$4,0))),DK232)</f>
        <v>0</v>
      </c>
      <c r="GJ232" s="190">
        <f>AX232*AX$2*IF($FC232="V",1,-1)*IF($Q232="Fixo",(DL232-INDEX('Curva Forward'!$C$5:$AN$13,MATCH(CONCATENATE(BD_COMERCIAL!$K232," ",BD_COMERCIAL!$L232),'Curva Forward'!$B$5:$B$13,0),MATCH(GJ$4,'Curva Forward'!$C$4:$AN$4,0))),DL232)</f>
        <v>0</v>
      </c>
      <c r="GK232" s="190">
        <f>AY232*AY$2*IF($FC232="V",1,-1)*IF($Q232="Fixo",(DM232-INDEX('Curva Forward'!$C$5:$AN$13,MATCH(CONCATENATE(BD_COMERCIAL!$K232," ",BD_COMERCIAL!$L232),'Curva Forward'!$B$5:$B$13,0),MATCH(GK$4,'Curva Forward'!$C$4:$AN$4,0))),DM232)</f>
        <v>0</v>
      </c>
      <c r="GL232" s="190">
        <f>IF(EZ232="",0,CL232*CL$2*IF($FC232="V",1,-1)*IF($Q232="Fixo",(EZ232-INDEX('Curva Forward'!$C$5:$AN$13,MATCH(CONCATENATE(BD_COMERCIAL!$K232," ",BD_COMERCIAL!$L232),'Curva Forward'!$B$5:$B$13,0),MATCH(GL$4,'Curva Forward'!$C$4:$AN$4,0))),EZ232))</f>
        <v>0</v>
      </c>
      <c r="GM232" s="190">
        <f>IF(FA232="",0,CM232*CM$2*IF($FC232="V",1,-1)*IF($Q232="Fixo",(FA232-INDEX('Curva Forward'!$C$5:$AN$13,MATCH(CONCATENATE(BD_COMERCIAL!$K232," ",BD_COMERCIAL!$L232),'Curva Forward'!$B$5:$B$13,0),MATCH(GM$4,'Curva Forward'!$C$4:$AN$4,0))),FA232))</f>
        <v>0</v>
      </c>
      <c r="GN232" s="190">
        <f>IF(FB232="",0,CN232*CN$2*IF($FC232="V",1,-1)*IF($Q232="Fixo",(FB232-INDEX('Curva Forward'!$C$5:$AN$13,MATCH(CONCATENATE(BD_COMERCIAL!$K232," ",BD_COMERCIAL!$L232),'Curva Forward'!$B$5:$B$13,0),MATCH(GN$4,'Curva Forward'!$C$4:$AN$4,0))),FB232))</f>
        <v>0</v>
      </c>
      <c r="GO232" s="191">
        <f t="shared" ca="1" si="32"/>
        <v>0</v>
      </c>
      <c r="GP232" s="191">
        <f t="shared" ca="1" si="33"/>
        <v>0</v>
      </c>
      <c r="GQ232" s="115"/>
      <c r="GR232" s="115"/>
      <c r="GS232"/>
      <c r="GT232" s="65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</row>
    <row r="233" spans="1:236" s="265" customFormat="1" ht="15" customHeight="1" x14ac:dyDescent="0.35">
      <c r="A233" s="251"/>
      <c r="B233" s="275"/>
      <c r="C233" s="253"/>
      <c r="D233" s="254"/>
      <c r="E233" s="254"/>
      <c r="F233" s="255"/>
      <c r="G233" s="256"/>
      <c r="H233" s="255"/>
      <c r="I233" s="254"/>
      <c r="J233" s="257"/>
      <c r="K233" s="256"/>
      <c r="L233" s="252"/>
      <c r="M233" s="258"/>
      <c r="N233" s="259"/>
      <c r="O233" s="256"/>
      <c r="P233" s="252"/>
      <c r="Q233" s="252"/>
      <c r="R233" s="256"/>
      <c r="S233" s="260"/>
      <c r="T233" s="258"/>
      <c r="U233" s="259"/>
      <c r="V233" s="261"/>
      <c r="W233" s="252"/>
      <c r="X233" s="262"/>
      <c r="Y233" s="257"/>
      <c r="Z233" s="263"/>
      <c r="AA233" s="264"/>
      <c r="AB233" s="266"/>
      <c r="AM233" s="251"/>
      <c r="AN233" s="266"/>
      <c r="AY233" s="251"/>
      <c r="AZ233" s="266"/>
      <c r="BK233" s="251"/>
      <c r="BL233" s="266"/>
      <c r="BW233" s="251"/>
      <c r="BX233" s="266"/>
      <c r="CI233" s="251"/>
      <c r="CJ233" s="267"/>
      <c r="CK233" s="267"/>
      <c r="CL233" s="267"/>
      <c r="CM233" s="267"/>
      <c r="CN233" s="267"/>
      <c r="CO233" s="268"/>
      <c r="CP233" s="266"/>
      <c r="DA233" s="251"/>
      <c r="DB233" s="266"/>
      <c r="DM233" s="251"/>
      <c r="DN233" s="266"/>
      <c r="DY233" s="251"/>
      <c r="DZ233" s="266"/>
      <c r="EK233" s="251"/>
      <c r="EL233" s="266"/>
      <c r="EW233" s="251"/>
      <c r="EX233" s="267"/>
      <c r="EY233" s="267"/>
      <c r="EZ233" s="267"/>
      <c r="FA233" s="267"/>
      <c r="FB233" s="269"/>
      <c r="FD233" s="270"/>
      <c r="FF233" s="276"/>
      <c r="FH233" s="206">
        <f t="shared" si="27"/>
        <v>0</v>
      </c>
      <c r="FI233" s="198">
        <f t="shared" si="28"/>
        <v>0</v>
      </c>
      <c r="FJ233"/>
      <c r="FK233">
        <f t="shared" si="29"/>
        <v>0</v>
      </c>
      <c r="FL233" s="191">
        <f t="shared" ca="1" si="30"/>
        <v>0</v>
      </c>
      <c r="FM233" s="191">
        <f t="shared" ca="1" si="31"/>
        <v>0</v>
      </c>
      <c r="FN233" s="190">
        <f>AB233*AB$2*IF($FC233="V",1,-1)*IF($Q233="Fixo",(CP233-INDEX('Curva Forward'!$C$5:$AN$13,MATCH(CONCATENATE(BD_COMERCIAL!$K233," ",BD_COMERCIAL!$L233),'Curva Forward'!$B$5:$B$13,0),MATCH(FN$4,'Curva Forward'!$C$4:$AN$4,0))),CP233)</f>
        <v>0</v>
      </c>
      <c r="FO233" s="190">
        <f>AC233*AC$2*IF($FC233="V",1,-1)*IF($Q233="Fixo",(CQ233-INDEX('Curva Forward'!$C$5:$AN$13,MATCH(CONCATENATE(BD_COMERCIAL!$K233," ",BD_COMERCIAL!$L233),'Curva Forward'!$B$5:$B$13,0),MATCH(FO$4,'Curva Forward'!$C$4:$AN$4,0))),CQ233)</f>
        <v>0</v>
      </c>
      <c r="FP233" s="190">
        <f>AD233*AD$2*IF($FC233="V",1,-1)*IF($Q233="Fixo",(CR233-INDEX('Curva Forward'!$C$5:$AN$13,MATCH(CONCATENATE(BD_COMERCIAL!$K233," ",BD_COMERCIAL!$L233),'Curva Forward'!$B$5:$B$13,0),MATCH(FP$4,'Curva Forward'!$C$4:$AN$4,0))),CR233)</f>
        <v>0</v>
      </c>
      <c r="FQ233" s="190">
        <f>AE233*AE$2*IF($FC233="V",1,-1)*IF($Q233="Fixo",(CS233-INDEX('Curva Forward'!$C$5:$AN$13,MATCH(CONCATENATE(BD_COMERCIAL!$K233," ",BD_COMERCIAL!$L233),'Curva Forward'!$B$5:$B$13,0),MATCH(FQ$4,'Curva Forward'!$C$4:$AN$4,0))),CS233)</f>
        <v>0</v>
      </c>
      <c r="FR233" s="190">
        <f>AF233*AF$2*IF($FC233="V",1,-1)*IF($Q233="Fixo",(CT233-INDEX('Curva Forward'!$C$5:$AN$13,MATCH(CONCATENATE(BD_COMERCIAL!$K233," ",BD_COMERCIAL!$L233),'Curva Forward'!$B$5:$B$13,0),MATCH(FR$4,'Curva Forward'!$C$4:$AN$4,0))),CT233)</f>
        <v>0</v>
      </c>
      <c r="FS233" s="190">
        <f>AG233*AG$2*IF($FC233="V",1,-1)*IF($Q233="Fixo",(CU233-INDEX('Curva Forward'!$C$5:$AN$13,MATCH(CONCATENATE(BD_COMERCIAL!$K233," ",BD_COMERCIAL!$L233),'Curva Forward'!$B$5:$B$13,0),MATCH(FS$4,'Curva Forward'!$C$4:$AN$4,0))),CU233)</f>
        <v>0</v>
      </c>
      <c r="FT233" s="190">
        <f>AH233*AH$2*IF($FC233="V",1,-1)*IF($Q233="Fixo",(CV233-INDEX('Curva Forward'!$C$5:$AN$13,MATCH(CONCATENATE(BD_COMERCIAL!$K233," ",BD_COMERCIAL!$L233),'Curva Forward'!$B$5:$B$13,0),MATCH(FT$4,'Curva Forward'!$C$4:$AN$4,0))),CV233)</f>
        <v>0</v>
      </c>
      <c r="FU233" s="190">
        <f>AI233*AI$2*IF($FC233="V",1,-1)*IF($Q233="Fixo",(CW233-INDEX('Curva Forward'!$C$5:$AN$13,MATCH(CONCATENATE(BD_COMERCIAL!$K233," ",BD_COMERCIAL!$L233),'Curva Forward'!$B$5:$B$13,0),MATCH(FU$4,'Curva Forward'!$C$4:$AN$4,0))),CW233)</f>
        <v>0</v>
      </c>
      <c r="FV233" s="190">
        <f>AJ233*AJ$2*IF($FC233="V",1,-1)*IF($Q233="Fixo",(CX233-INDEX('Curva Forward'!$C$5:$AN$13,MATCH(CONCATENATE(BD_COMERCIAL!$K233," ",BD_COMERCIAL!$L233),'Curva Forward'!$B$5:$B$13,0),MATCH(FV$4,'Curva Forward'!$C$4:$AN$4,0))),CX233)</f>
        <v>0</v>
      </c>
      <c r="FW233" s="190">
        <f>AK233*AK$2*IF($FC233="V",1,-1)*IF($Q233="Fixo",(CY233-INDEX('Curva Forward'!$C$5:$AN$13,MATCH(CONCATENATE(BD_COMERCIAL!$K233," ",BD_COMERCIAL!$L233),'Curva Forward'!$B$5:$B$13,0),MATCH(FW$4,'Curva Forward'!$C$4:$AN$4,0))),CY233)</f>
        <v>0</v>
      </c>
      <c r="FX233" s="190">
        <f>AL233*AL$2*IF($FC233="V",1,-1)*IF($Q233="Fixo",(CZ233-INDEX('Curva Forward'!$C$5:$AN$13,MATCH(CONCATENATE(BD_COMERCIAL!$K233," ",BD_COMERCIAL!$L233),'Curva Forward'!$B$5:$B$13,0),MATCH(FX$4,'Curva Forward'!$C$4:$AN$4,0))),CZ233)</f>
        <v>0</v>
      </c>
      <c r="FY233" s="190">
        <f>AM233*AM$2*IF($FC233="V",1,-1)*IF($Q233="Fixo",(DA233-INDEX('Curva Forward'!$C$5:$AN$13,MATCH(CONCATENATE(BD_COMERCIAL!$K233," ",BD_COMERCIAL!$L233),'Curva Forward'!$B$5:$B$13,0),MATCH(FY$4,'Curva Forward'!$C$4:$AN$4,0))),DA233)</f>
        <v>0</v>
      </c>
      <c r="FZ233" s="190">
        <f>AN233*AN$2*IF($FC233="V",1,-1)*IF($Q233="Fixo",(DB233-INDEX('Curva Forward'!$C$5:$AN$13,MATCH(CONCATENATE(BD_COMERCIAL!$K233," ",BD_COMERCIAL!$L233),'Curva Forward'!$B$5:$B$13,0),MATCH(FZ$4,'Curva Forward'!$C$4:$AN$4,0))),DB233)</f>
        <v>0</v>
      </c>
      <c r="GA233" s="190">
        <f>AO233*AO$2*IF($FC233="V",1,-1)*IF($Q233="Fixo",(DC233-INDEX('Curva Forward'!$C$5:$AN$13,MATCH(CONCATENATE(BD_COMERCIAL!$K233," ",BD_COMERCIAL!$L233),'Curva Forward'!$B$5:$B$13,0),MATCH(GA$4,'Curva Forward'!$C$4:$AN$4,0))),DC233)</f>
        <v>0</v>
      </c>
      <c r="GB233" s="190">
        <f>AP233*AP$2*IF($FC233="V",1,-1)*IF($Q233="Fixo",(DD233-INDEX('Curva Forward'!$C$5:$AN$13,MATCH(CONCATENATE(BD_COMERCIAL!$K233," ",BD_COMERCIAL!$L233),'Curva Forward'!$B$5:$B$13,0),MATCH(GB$4,'Curva Forward'!$C$4:$AN$4,0))),DD233)</f>
        <v>0</v>
      </c>
      <c r="GC233" s="190">
        <f>AQ233*AQ$2*IF($FC233="V",1,-1)*IF($Q233="Fixo",(DE233-INDEX('Curva Forward'!$C$5:$AN$13,MATCH(CONCATENATE(BD_COMERCIAL!$K233," ",BD_COMERCIAL!$L233),'Curva Forward'!$B$5:$B$13,0),MATCH(GC$4,'Curva Forward'!$C$4:$AN$4,0))),DE233)</f>
        <v>0</v>
      </c>
      <c r="GD233" s="190">
        <f>AR233*AR$2*IF($FC233="V",1,-1)*IF($Q233="Fixo",(DF233-INDEX('Curva Forward'!$C$5:$AN$13,MATCH(CONCATENATE(BD_COMERCIAL!$K233," ",BD_COMERCIAL!$L233),'Curva Forward'!$B$5:$B$13,0),MATCH(GD$4,'Curva Forward'!$C$4:$AN$4,0))),DF233)</f>
        <v>0</v>
      </c>
      <c r="GE233" s="190">
        <f>AS233*AS$2*IF($FC233="V",1,-1)*IF($Q233="Fixo",(DG233-INDEX('Curva Forward'!$C$5:$AN$13,MATCH(CONCATENATE(BD_COMERCIAL!$K233," ",BD_COMERCIAL!$L233),'Curva Forward'!$B$5:$B$13,0),MATCH(GE$4,'Curva Forward'!$C$4:$AN$4,0))),DG233)</f>
        <v>0</v>
      </c>
      <c r="GF233" s="190">
        <f>AT233*AT$2*IF($FC233="V",1,-1)*IF($Q233="Fixo",(DH233-INDEX('Curva Forward'!$C$5:$AN$13,MATCH(CONCATENATE(BD_COMERCIAL!$K233," ",BD_COMERCIAL!$L233),'Curva Forward'!$B$5:$B$13,0),MATCH(GF$4,'Curva Forward'!$C$4:$AN$4,0))),DH233)</f>
        <v>0</v>
      </c>
      <c r="GG233" s="190">
        <f>AU233*AU$2*IF($FC233="V",1,-1)*IF($Q233="Fixo",(DI233-INDEX('Curva Forward'!$C$5:$AN$13,MATCH(CONCATENATE(BD_COMERCIAL!$K233," ",BD_COMERCIAL!$L233),'Curva Forward'!$B$5:$B$13,0),MATCH(GG$4,'Curva Forward'!$C$4:$AN$4,0))),DI233)</f>
        <v>0</v>
      </c>
      <c r="GH233" s="190">
        <f>AV233*AV$2*IF($FC233="V",1,-1)*IF($Q233="Fixo",(DJ233-INDEX('Curva Forward'!$C$5:$AN$13,MATCH(CONCATENATE(BD_COMERCIAL!$K233," ",BD_COMERCIAL!$L233),'Curva Forward'!$B$5:$B$13,0),MATCH(GH$4,'Curva Forward'!$C$4:$AN$4,0))),DJ233)</f>
        <v>0</v>
      </c>
      <c r="GI233" s="190">
        <f>AW233*AW$2*IF($FC233="V",1,-1)*IF($Q233="Fixo",(DK233-INDEX('Curva Forward'!$C$5:$AN$13,MATCH(CONCATENATE(BD_COMERCIAL!$K233," ",BD_COMERCIAL!$L233),'Curva Forward'!$B$5:$B$13,0),MATCH(GI$4,'Curva Forward'!$C$4:$AN$4,0))),DK233)</f>
        <v>0</v>
      </c>
      <c r="GJ233" s="190">
        <f>AX233*AX$2*IF($FC233="V",1,-1)*IF($Q233="Fixo",(DL233-INDEX('Curva Forward'!$C$5:$AN$13,MATCH(CONCATENATE(BD_COMERCIAL!$K233," ",BD_COMERCIAL!$L233),'Curva Forward'!$B$5:$B$13,0),MATCH(GJ$4,'Curva Forward'!$C$4:$AN$4,0))),DL233)</f>
        <v>0</v>
      </c>
      <c r="GK233" s="190">
        <f>AY233*AY$2*IF($FC233="V",1,-1)*IF($Q233="Fixo",(DM233-INDEX('Curva Forward'!$C$5:$AN$13,MATCH(CONCATENATE(BD_COMERCIAL!$K233," ",BD_COMERCIAL!$L233),'Curva Forward'!$B$5:$B$13,0),MATCH(GK$4,'Curva Forward'!$C$4:$AN$4,0))),DM233)</f>
        <v>0</v>
      </c>
      <c r="GL233" s="190">
        <f>IF(EZ233="",0,CL233*CL$2*IF($FC233="V",1,-1)*IF($Q233="Fixo",(EZ233-INDEX('Curva Forward'!$C$5:$AN$13,MATCH(CONCATENATE(BD_COMERCIAL!$K233," ",BD_COMERCIAL!$L233),'Curva Forward'!$B$5:$B$13,0),MATCH(GL$4,'Curva Forward'!$C$4:$AN$4,0))),EZ233))</f>
        <v>0</v>
      </c>
      <c r="GM233" s="190">
        <f>IF(FA233="",0,CM233*CM$2*IF($FC233="V",1,-1)*IF($Q233="Fixo",(FA233-INDEX('Curva Forward'!$C$5:$AN$13,MATCH(CONCATENATE(BD_COMERCIAL!$K233," ",BD_COMERCIAL!$L233),'Curva Forward'!$B$5:$B$13,0),MATCH(GM$4,'Curva Forward'!$C$4:$AN$4,0))),FA233))</f>
        <v>0</v>
      </c>
      <c r="GN233" s="190">
        <f>IF(FB233="",0,CN233*CN$2*IF($FC233="V",1,-1)*IF($Q233="Fixo",(FB233-INDEX('Curva Forward'!$C$5:$AN$13,MATCH(CONCATENATE(BD_COMERCIAL!$K233," ",BD_COMERCIAL!$L233),'Curva Forward'!$B$5:$B$13,0),MATCH(GN$4,'Curva Forward'!$C$4:$AN$4,0))),FB233))</f>
        <v>0</v>
      </c>
      <c r="GO233" s="191">
        <f t="shared" ca="1" si="32"/>
        <v>0</v>
      </c>
      <c r="GP233" s="191">
        <f t="shared" ca="1" si="33"/>
        <v>0</v>
      </c>
      <c r="GQ233" s="115"/>
      <c r="GR233" s="115"/>
      <c r="GS233"/>
      <c r="GT233" s="65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</row>
    <row r="234" spans="1:236" s="265" customFormat="1" ht="15" customHeight="1" x14ac:dyDescent="0.35">
      <c r="A234" s="251"/>
      <c r="B234" s="275"/>
      <c r="C234" s="253"/>
      <c r="D234" s="254"/>
      <c r="E234" s="254"/>
      <c r="F234" s="255"/>
      <c r="G234" s="256"/>
      <c r="H234" s="255"/>
      <c r="I234" s="254"/>
      <c r="J234" s="257"/>
      <c r="K234" s="256"/>
      <c r="L234" s="252"/>
      <c r="M234" s="258"/>
      <c r="N234" s="259"/>
      <c r="O234" s="256"/>
      <c r="P234" s="252"/>
      <c r="Q234" s="252"/>
      <c r="R234" s="256"/>
      <c r="S234" s="260"/>
      <c r="T234" s="258"/>
      <c r="U234" s="259"/>
      <c r="V234" s="261"/>
      <c r="W234" s="252"/>
      <c r="X234" s="262"/>
      <c r="Y234" s="257"/>
      <c r="Z234" s="263"/>
      <c r="AA234" s="264"/>
      <c r="AB234" s="266"/>
      <c r="AM234" s="251"/>
      <c r="AN234" s="266"/>
      <c r="AY234" s="251"/>
      <c r="AZ234" s="266"/>
      <c r="BK234" s="251"/>
      <c r="BL234" s="266"/>
      <c r="BW234" s="251"/>
      <c r="BX234" s="266"/>
      <c r="CI234" s="251"/>
      <c r="CJ234" s="267"/>
      <c r="CK234" s="267"/>
      <c r="CL234" s="267"/>
      <c r="CM234" s="267"/>
      <c r="CN234" s="267"/>
      <c r="CO234" s="268"/>
      <c r="CP234" s="266"/>
      <c r="DA234" s="251"/>
      <c r="DB234" s="266"/>
      <c r="DM234" s="251"/>
      <c r="DN234" s="266"/>
      <c r="DY234" s="251"/>
      <c r="DZ234" s="266"/>
      <c r="EK234" s="251"/>
      <c r="EL234" s="266"/>
      <c r="EW234" s="251"/>
      <c r="EX234" s="267"/>
      <c r="EY234" s="267"/>
      <c r="EZ234" s="267"/>
      <c r="FA234" s="267"/>
      <c r="FB234" s="269"/>
      <c r="FD234" s="270"/>
      <c r="FF234" s="276"/>
      <c r="FH234" s="206">
        <f t="shared" si="27"/>
        <v>0</v>
      </c>
      <c r="FI234" s="198">
        <f t="shared" si="28"/>
        <v>0</v>
      </c>
      <c r="FJ234"/>
      <c r="FK234">
        <f t="shared" si="29"/>
        <v>0</v>
      </c>
      <c r="FL234" s="191">
        <f t="shared" ca="1" si="30"/>
        <v>0</v>
      </c>
      <c r="FM234" s="191">
        <f t="shared" ca="1" si="31"/>
        <v>0</v>
      </c>
      <c r="FN234" s="190">
        <f>AB234*AB$2*IF($FC234="V",1,-1)*IF($Q234="Fixo",(CP234-INDEX('Curva Forward'!$C$5:$AN$13,MATCH(CONCATENATE(BD_COMERCIAL!$K234," ",BD_COMERCIAL!$L234),'Curva Forward'!$B$5:$B$13,0),MATCH(FN$4,'Curva Forward'!$C$4:$AN$4,0))),CP234)</f>
        <v>0</v>
      </c>
      <c r="FO234" s="190">
        <f>AC234*AC$2*IF($FC234="V",1,-1)*IF($Q234="Fixo",(CQ234-INDEX('Curva Forward'!$C$5:$AN$13,MATCH(CONCATENATE(BD_COMERCIAL!$K234," ",BD_COMERCIAL!$L234),'Curva Forward'!$B$5:$B$13,0),MATCH(FO$4,'Curva Forward'!$C$4:$AN$4,0))),CQ234)</f>
        <v>0</v>
      </c>
      <c r="FP234" s="190">
        <f>AD234*AD$2*IF($FC234="V",1,-1)*IF($Q234="Fixo",(CR234-INDEX('Curva Forward'!$C$5:$AN$13,MATCH(CONCATENATE(BD_COMERCIAL!$K234," ",BD_COMERCIAL!$L234),'Curva Forward'!$B$5:$B$13,0),MATCH(FP$4,'Curva Forward'!$C$4:$AN$4,0))),CR234)</f>
        <v>0</v>
      </c>
      <c r="FQ234" s="190">
        <f>AE234*AE$2*IF($FC234="V",1,-1)*IF($Q234="Fixo",(CS234-INDEX('Curva Forward'!$C$5:$AN$13,MATCH(CONCATENATE(BD_COMERCIAL!$K234," ",BD_COMERCIAL!$L234),'Curva Forward'!$B$5:$B$13,0),MATCH(FQ$4,'Curva Forward'!$C$4:$AN$4,0))),CS234)</f>
        <v>0</v>
      </c>
      <c r="FR234" s="190">
        <f>AF234*AF$2*IF($FC234="V",1,-1)*IF($Q234="Fixo",(CT234-INDEX('Curva Forward'!$C$5:$AN$13,MATCH(CONCATENATE(BD_COMERCIAL!$K234," ",BD_COMERCIAL!$L234),'Curva Forward'!$B$5:$B$13,0),MATCH(FR$4,'Curva Forward'!$C$4:$AN$4,0))),CT234)</f>
        <v>0</v>
      </c>
      <c r="FS234" s="190">
        <f>AG234*AG$2*IF($FC234="V",1,-1)*IF($Q234="Fixo",(CU234-INDEX('Curva Forward'!$C$5:$AN$13,MATCH(CONCATENATE(BD_COMERCIAL!$K234," ",BD_COMERCIAL!$L234),'Curva Forward'!$B$5:$B$13,0),MATCH(FS$4,'Curva Forward'!$C$4:$AN$4,0))),CU234)</f>
        <v>0</v>
      </c>
      <c r="FT234" s="190">
        <f>AH234*AH$2*IF($FC234="V",1,-1)*IF($Q234="Fixo",(CV234-INDEX('Curva Forward'!$C$5:$AN$13,MATCH(CONCATENATE(BD_COMERCIAL!$K234," ",BD_COMERCIAL!$L234),'Curva Forward'!$B$5:$B$13,0),MATCH(FT$4,'Curva Forward'!$C$4:$AN$4,0))),CV234)</f>
        <v>0</v>
      </c>
      <c r="FU234" s="190">
        <f>AI234*AI$2*IF($FC234="V",1,-1)*IF($Q234="Fixo",(CW234-INDEX('Curva Forward'!$C$5:$AN$13,MATCH(CONCATENATE(BD_COMERCIAL!$K234," ",BD_COMERCIAL!$L234),'Curva Forward'!$B$5:$B$13,0),MATCH(FU$4,'Curva Forward'!$C$4:$AN$4,0))),CW234)</f>
        <v>0</v>
      </c>
      <c r="FV234" s="190">
        <f>AJ234*AJ$2*IF($FC234="V",1,-1)*IF($Q234="Fixo",(CX234-INDEX('Curva Forward'!$C$5:$AN$13,MATCH(CONCATENATE(BD_COMERCIAL!$K234," ",BD_COMERCIAL!$L234),'Curva Forward'!$B$5:$B$13,0),MATCH(FV$4,'Curva Forward'!$C$4:$AN$4,0))),CX234)</f>
        <v>0</v>
      </c>
      <c r="FW234" s="190">
        <f>AK234*AK$2*IF($FC234="V",1,-1)*IF($Q234="Fixo",(CY234-INDEX('Curva Forward'!$C$5:$AN$13,MATCH(CONCATENATE(BD_COMERCIAL!$K234," ",BD_COMERCIAL!$L234),'Curva Forward'!$B$5:$B$13,0),MATCH(FW$4,'Curva Forward'!$C$4:$AN$4,0))),CY234)</f>
        <v>0</v>
      </c>
      <c r="FX234" s="190">
        <f>AL234*AL$2*IF($FC234="V",1,-1)*IF($Q234="Fixo",(CZ234-INDEX('Curva Forward'!$C$5:$AN$13,MATCH(CONCATENATE(BD_COMERCIAL!$K234," ",BD_COMERCIAL!$L234),'Curva Forward'!$B$5:$B$13,0),MATCH(FX$4,'Curva Forward'!$C$4:$AN$4,0))),CZ234)</f>
        <v>0</v>
      </c>
      <c r="FY234" s="190">
        <f>AM234*AM$2*IF($FC234="V",1,-1)*IF($Q234="Fixo",(DA234-INDEX('Curva Forward'!$C$5:$AN$13,MATCH(CONCATENATE(BD_COMERCIAL!$K234," ",BD_COMERCIAL!$L234),'Curva Forward'!$B$5:$B$13,0),MATCH(FY$4,'Curva Forward'!$C$4:$AN$4,0))),DA234)</f>
        <v>0</v>
      </c>
      <c r="FZ234" s="190">
        <f>AN234*AN$2*IF($FC234="V",1,-1)*IF($Q234="Fixo",(DB234-INDEX('Curva Forward'!$C$5:$AN$13,MATCH(CONCATENATE(BD_COMERCIAL!$K234," ",BD_COMERCIAL!$L234),'Curva Forward'!$B$5:$B$13,0),MATCH(FZ$4,'Curva Forward'!$C$4:$AN$4,0))),DB234)</f>
        <v>0</v>
      </c>
      <c r="GA234" s="190">
        <f>AO234*AO$2*IF($FC234="V",1,-1)*IF($Q234="Fixo",(DC234-INDEX('Curva Forward'!$C$5:$AN$13,MATCH(CONCATENATE(BD_COMERCIAL!$K234," ",BD_COMERCIAL!$L234),'Curva Forward'!$B$5:$B$13,0),MATCH(GA$4,'Curva Forward'!$C$4:$AN$4,0))),DC234)</f>
        <v>0</v>
      </c>
      <c r="GB234" s="190">
        <f>AP234*AP$2*IF($FC234="V",1,-1)*IF($Q234="Fixo",(DD234-INDEX('Curva Forward'!$C$5:$AN$13,MATCH(CONCATENATE(BD_COMERCIAL!$K234," ",BD_COMERCIAL!$L234),'Curva Forward'!$B$5:$B$13,0),MATCH(GB$4,'Curva Forward'!$C$4:$AN$4,0))),DD234)</f>
        <v>0</v>
      </c>
      <c r="GC234" s="190">
        <f>AQ234*AQ$2*IF($FC234="V",1,-1)*IF($Q234="Fixo",(DE234-INDEX('Curva Forward'!$C$5:$AN$13,MATCH(CONCATENATE(BD_COMERCIAL!$K234," ",BD_COMERCIAL!$L234),'Curva Forward'!$B$5:$B$13,0),MATCH(GC$4,'Curva Forward'!$C$4:$AN$4,0))),DE234)</f>
        <v>0</v>
      </c>
      <c r="GD234" s="190">
        <f>AR234*AR$2*IF($FC234="V",1,-1)*IF($Q234="Fixo",(DF234-INDEX('Curva Forward'!$C$5:$AN$13,MATCH(CONCATENATE(BD_COMERCIAL!$K234," ",BD_COMERCIAL!$L234),'Curva Forward'!$B$5:$B$13,0),MATCH(GD$4,'Curva Forward'!$C$4:$AN$4,0))),DF234)</f>
        <v>0</v>
      </c>
      <c r="GE234" s="190">
        <f>AS234*AS$2*IF($FC234="V",1,-1)*IF($Q234="Fixo",(DG234-INDEX('Curva Forward'!$C$5:$AN$13,MATCH(CONCATENATE(BD_COMERCIAL!$K234," ",BD_COMERCIAL!$L234),'Curva Forward'!$B$5:$B$13,0),MATCH(GE$4,'Curva Forward'!$C$4:$AN$4,0))),DG234)</f>
        <v>0</v>
      </c>
      <c r="GF234" s="190">
        <f>AT234*AT$2*IF($FC234="V",1,-1)*IF($Q234="Fixo",(DH234-INDEX('Curva Forward'!$C$5:$AN$13,MATCH(CONCATENATE(BD_COMERCIAL!$K234," ",BD_COMERCIAL!$L234),'Curva Forward'!$B$5:$B$13,0),MATCH(GF$4,'Curva Forward'!$C$4:$AN$4,0))),DH234)</f>
        <v>0</v>
      </c>
      <c r="GG234" s="190">
        <f>AU234*AU$2*IF($FC234="V",1,-1)*IF($Q234="Fixo",(DI234-INDEX('Curva Forward'!$C$5:$AN$13,MATCH(CONCATENATE(BD_COMERCIAL!$K234," ",BD_COMERCIAL!$L234),'Curva Forward'!$B$5:$B$13,0),MATCH(GG$4,'Curva Forward'!$C$4:$AN$4,0))),DI234)</f>
        <v>0</v>
      </c>
      <c r="GH234" s="190">
        <f>AV234*AV$2*IF($FC234="V",1,-1)*IF($Q234="Fixo",(DJ234-INDEX('Curva Forward'!$C$5:$AN$13,MATCH(CONCATENATE(BD_COMERCIAL!$K234," ",BD_COMERCIAL!$L234),'Curva Forward'!$B$5:$B$13,0),MATCH(GH$4,'Curva Forward'!$C$4:$AN$4,0))),DJ234)</f>
        <v>0</v>
      </c>
      <c r="GI234" s="190">
        <f>AW234*AW$2*IF($FC234="V",1,-1)*IF($Q234="Fixo",(DK234-INDEX('Curva Forward'!$C$5:$AN$13,MATCH(CONCATENATE(BD_COMERCIAL!$K234," ",BD_COMERCIAL!$L234),'Curva Forward'!$B$5:$B$13,0),MATCH(GI$4,'Curva Forward'!$C$4:$AN$4,0))),DK234)</f>
        <v>0</v>
      </c>
      <c r="GJ234" s="190">
        <f>AX234*AX$2*IF($FC234="V",1,-1)*IF($Q234="Fixo",(DL234-INDEX('Curva Forward'!$C$5:$AN$13,MATCH(CONCATENATE(BD_COMERCIAL!$K234," ",BD_COMERCIAL!$L234),'Curva Forward'!$B$5:$B$13,0),MATCH(GJ$4,'Curva Forward'!$C$4:$AN$4,0))),DL234)</f>
        <v>0</v>
      </c>
      <c r="GK234" s="190">
        <f>AY234*AY$2*IF($FC234="V",1,-1)*IF($Q234="Fixo",(DM234-INDEX('Curva Forward'!$C$5:$AN$13,MATCH(CONCATENATE(BD_COMERCIAL!$K234," ",BD_COMERCIAL!$L234),'Curva Forward'!$B$5:$B$13,0),MATCH(GK$4,'Curva Forward'!$C$4:$AN$4,0))),DM234)</f>
        <v>0</v>
      </c>
      <c r="GL234" s="190">
        <f>IF(EZ234="",0,CL234*CL$2*IF($FC234="V",1,-1)*IF($Q234="Fixo",(EZ234-INDEX('Curva Forward'!$C$5:$AN$13,MATCH(CONCATENATE(BD_COMERCIAL!$K234," ",BD_COMERCIAL!$L234),'Curva Forward'!$B$5:$B$13,0),MATCH(GL$4,'Curva Forward'!$C$4:$AN$4,0))),EZ234))</f>
        <v>0</v>
      </c>
      <c r="GM234" s="190">
        <f>IF(FA234="",0,CM234*CM$2*IF($FC234="V",1,-1)*IF($Q234="Fixo",(FA234-INDEX('Curva Forward'!$C$5:$AN$13,MATCH(CONCATENATE(BD_COMERCIAL!$K234," ",BD_COMERCIAL!$L234),'Curva Forward'!$B$5:$B$13,0),MATCH(GM$4,'Curva Forward'!$C$4:$AN$4,0))),FA234))</f>
        <v>0</v>
      </c>
      <c r="GN234" s="190">
        <f>IF(FB234="",0,CN234*CN$2*IF($FC234="V",1,-1)*IF($Q234="Fixo",(FB234-INDEX('Curva Forward'!$C$5:$AN$13,MATCH(CONCATENATE(BD_COMERCIAL!$K234," ",BD_COMERCIAL!$L234),'Curva Forward'!$B$5:$B$13,0),MATCH(GN$4,'Curva Forward'!$C$4:$AN$4,0))),FB234))</f>
        <v>0</v>
      </c>
      <c r="GO234" s="191">
        <f t="shared" ca="1" si="32"/>
        <v>0</v>
      </c>
      <c r="GP234" s="191">
        <f t="shared" ca="1" si="33"/>
        <v>0</v>
      </c>
      <c r="GQ234" s="115"/>
      <c r="GR234" s="115"/>
      <c r="GS234"/>
      <c r="GT234" s="65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</row>
    <row r="235" spans="1:236" s="265" customFormat="1" ht="15" customHeight="1" x14ac:dyDescent="0.35">
      <c r="A235" s="251"/>
      <c r="B235" s="275"/>
      <c r="C235" s="253"/>
      <c r="D235" s="254"/>
      <c r="E235" s="254"/>
      <c r="F235" s="255"/>
      <c r="G235" s="256"/>
      <c r="H235" s="255"/>
      <c r="I235" s="254"/>
      <c r="J235" s="257"/>
      <c r="K235" s="256"/>
      <c r="L235" s="252"/>
      <c r="M235" s="258"/>
      <c r="N235" s="259"/>
      <c r="O235" s="256"/>
      <c r="P235" s="252"/>
      <c r="Q235" s="252"/>
      <c r="R235" s="256"/>
      <c r="S235" s="260"/>
      <c r="T235" s="258"/>
      <c r="U235" s="259"/>
      <c r="V235" s="261"/>
      <c r="W235" s="252"/>
      <c r="X235" s="262"/>
      <c r="Y235" s="257"/>
      <c r="Z235" s="263"/>
      <c r="AA235" s="264"/>
      <c r="AB235" s="266"/>
      <c r="AM235" s="251"/>
      <c r="AN235" s="266"/>
      <c r="AY235" s="251"/>
      <c r="AZ235" s="266"/>
      <c r="BK235" s="251"/>
      <c r="BL235" s="266"/>
      <c r="BW235" s="251"/>
      <c r="BX235" s="266"/>
      <c r="CI235" s="251"/>
      <c r="CJ235" s="267"/>
      <c r="CK235" s="267"/>
      <c r="CL235" s="267"/>
      <c r="CM235" s="267"/>
      <c r="CN235" s="267"/>
      <c r="CO235" s="268"/>
      <c r="CP235" s="266"/>
      <c r="DA235" s="251"/>
      <c r="DB235" s="266"/>
      <c r="DM235" s="251"/>
      <c r="DN235" s="266"/>
      <c r="DY235" s="251"/>
      <c r="DZ235" s="266"/>
      <c r="EK235" s="251"/>
      <c r="EL235" s="266"/>
      <c r="EW235" s="251"/>
      <c r="EX235" s="267"/>
      <c r="EY235" s="267"/>
      <c r="EZ235" s="267"/>
      <c r="FA235" s="267"/>
      <c r="FB235" s="269"/>
      <c r="FD235" s="270"/>
      <c r="FF235" s="276"/>
      <c r="FH235" s="206">
        <f t="shared" si="27"/>
        <v>0</v>
      </c>
      <c r="FI235" s="198">
        <f t="shared" si="28"/>
        <v>0</v>
      </c>
      <c r="FJ235"/>
      <c r="FK235">
        <f t="shared" si="29"/>
        <v>0</v>
      </c>
      <c r="FL235" s="191">
        <f t="shared" ca="1" si="30"/>
        <v>0</v>
      </c>
      <c r="FM235" s="191">
        <f t="shared" ca="1" si="31"/>
        <v>0</v>
      </c>
      <c r="FN235" s="190">
        <f>AB235*AB$2*IF($FC235="V",1,-1)*IF($Q235="Fixo",(CP235-INDEX('Curva Forward'!$C$5:$AN$13,MATCH(CONCATENATE(BD_COMERCIAL!$K235," ",BD_COMERCIAL!$L235),'Curva Forward'!$B$5:$B$13,0),MATCH(FN$4,'Curva Forward'!$C$4:$AN$4,0))),CP235)</f>
        <v>0</v>
      </c>
      <c r="FO235" s="190">
        <f>AC235*AC$2*IF($FC235="V",1,-1)*IF($Q235="Fixo",(CQ235-INDEX('Curva Forward'!$C$5:$AN$13,MATCH(CONCATENATE(BD_COMERCIAL!$K235," ",BD_COMERCIAL!$L235),'Curva Forward'!$B$5:$B$13,0),MATCH(FO$4,'Curva Forward'!$C$4:$AN$4,0))),CQ235)</f>
        <v>0</v>
      </c>
      <c r="FP235" s="190">
        <f>AD235*AD$2*IF($FC235="V",1,-1)*IF($Q235="Fixo",(CR235-INDEX('Curva Forward'!$C$5:$AN$13,MATCH(CONCATENATE(BD_COMERCIAL!$K235," ",BD_COMERCIAL!$L235),'Curva Forward'!$B$5:$B$13,0),MATCH(FP$4,'Curva Forward'!$C$4:$AN$4,0))),CR235)</f>
        <v>0</v>
      </c>
      <c r="FQ235" s="190">
        <f>AE235*AE$2*IF($FC235="V",1,-1)*IF($Q235="Fixo",(CS235-INDEX('Curva Forward'!$C$5:$AN$13,MATCH(CONCATENATE(BD_COMERCIAL!$K235," ",BD_COMERCIAL!$L235),'Curva Forward'!$B$5:$B$13,0),MATCH(FQ$4,'Curva Forward'!$C$4:$AN$4,0))),CS235)</f>
        <v>0</v>
      </c>
      <c r="FR235" s="190">
        <f>AF235*AF$2*IF($FC235="V",1,-1)*IF($Q235="Fixo",(CT235-INDEX('Curva Forward'!$C$5:$AN$13,MATCH(CONCATENATE(BD_COMERCIAL!$K235," ",BD_COMERCIAL!$L235),'Curva Forward'!$B$5:$B$13,0),MATCH(FR$4,'Curva Forward'!$C$4:$AN$4,0))),CT235)</f>
        <v>0</v>
      </c>
      <c r="FS235" s="190">
        <f>AG235*AG$2*IF($FC235="V",1,-1)*IF($Q235="Fixo",(CU235-INDEX('Curva Forward'!$C$5:$AN$13,MATCH(CONCATENATE(BD_COMERCIAL!$K235," ",BD_COMERCIAL!$L235),'Curva Forward'!$B$5:$B$13,0),MATCH(FS$4,'Curva Forward'!$C$4:$AN$4,0))),CU235)</f>
        <v>0</v>
      </c>
      <c r="FT235" s="190">
        <f>AH235*AH$2*IF($FC235="V",1,-1)*IF($Q235="Fixo",(CV235-INDEX('Curva Forward'!$C$5:$AN$13,MATCH(CONCATENATE(BD_COMERCIAL!$K235," ",BD_COMERCIAL!$L235),'Curva Forward'!$B$5:$B$13,0),MATCH(FT$4,'Curva Forward'!$C$4:$AN$4,0))),CV235)</f>
        <v>0</v>
      </c>
      <c r="FU235" s="190">
        <f>AI235*AI$2*IF($FC235="V",1,-1)*IF($Q235="Fixo",(CW235-INDEX('Curva Forward'!$C$5:$AN$13,MATCH(CONCATENATE(BD_COMERCIAL!$K235," ",BD_COMERCIAL!$L235),'Curva Forward'!$B$5:$B$13,0),MATCH(FU$4,'Curva Forward'!$C$4:$AN$4,0))),CW235)</f>
        <v>0</v>
      </c>
      <c r="FV235" s="190">
        <f>AJ235*AJ$2*IF($FC235="V",1,-1)*IF($Q235="Fixo",(CX235-INDEX('Curva Forward'!$C$5:$AN$13,MATCH(CONCATENATE(BD_COMERCIAL!$K235," ",BD_COMERCIAL!$L235),'Curva Forward'!$B$5:$B$13,0),MATCH(FV$4,'Curva Forward'!$C$4:$AN$4,0))),CX235)</f>
        <v>0</v>
      </c>
      <c r="FW235" s="190">
        <f>AK235*AK$2*IF($FC235="V",1,-1)*IF($Q235="Fixo",(CY235-INDEX('Curva Forward'!$C$5:$AN$13,MATCH(CONCATENATE(BD_COMERCIAL!$K235," ",BD_COMERCIAL!$L235),'Curva Forward'!$B$5:$B$13,0),MATCH(FW$4,'Curva Forward'!$C$4:$AN$4,0))),CY235)</f>
        <v>0</v>
      </c>
      <c r="FX235" s="190">
        <f>AL235*AL$2*IF($FC235="V",1,-1)*IF($Q235="Fixo",(CZ235-INDEX('Curva Forward'!$C$5:$AN$13,MATCH(CONCATENATE(BD_COMERCIAL!$K235," ",BD_COMERCIAL!$L235),'Curva Forward'!$B$5:$B$13,0),MATCH(FX$4,'Curva Forward'!$C$4:$AN$4,0))),CZ235)</f>
        <v>0</v>
      </c>
      <c r="FY235" s="190">
        <f>AM235*AM$2*IF($FC235="V",1,-1)*IF($Q235="Fixo",(DA235-INDEX('Curva Forward'!$C$5:$AN$13,MATCH(CONCATENATE(BD_COMERCIAL!$K235," ",BD_COMERCIAL!$L235),'Curva Forward'!$B$5:$B$13,0),MATCH(FY$4,'Curva Forward'!$C$4:$AN$4,0))),DA235)</f>
        <v>0</v>
      </c>
      <c r="FZ235" s="190">
        <f>AN235*AN$2*IF($FC235="V",1,-1)*IF($Q235="Fixo",(DB235-INDEX('Curva Forward'!$C$5:$AN$13,MATCH(CONCATENATE(BD_COMERCIAL!$K235," ",BD_COMERCIAL!$L235),'Curva Forward'!$B$5:$B$13,0),MATCH(FZ$4,'Curva Forward'!$C$4:$AN$4,0))),DB235)</f>
        <v>0</v>
      </c>
      <c r="GA235" s="190">
        <f>AO235*AO$2*IF($FC235="V",1,-1)*IF($Q235="Fixo",(DC235-INDEX('Curva Forward'!$C$5:$AN$13,MATCH(CONCATENATE(BD_COMERCIAL!$K235," ",BD_COMERCIAL!$L235),'Curva Forward'!$B$5:$B$13,0),MATCH(GA$4,'Curva Forward'!$C$4:$AN$4,0))),DC235)</f>
        <v>0</v>
      </c>
      <c r="GB235" s="190">
        <f>AP235*AP$2*IF($FC235="V",1,-1)*IF($Q235="Fixo",(DD235-INDEX('Curva Forward'!$C$5:$AN$13,MATCH(CONCATENATE(BD_COMERCIAL!$K235," ",BD_COMERCIAL!$L235),'Curva Forward'!$B$5:$B$13,0),MATCH(GB$4,'Curva Forward'!$C$4:$AN$4,0))),DD235)</f>
        <v>0</v>
      </c>
      <c r="GC235" s="190">
        <f>AQ235*AQ$2*IF($FC235="V",1,-1)*IF($Q235="Fixo",(DE235-INDEX('Curva Forward'!$C$5:$AN$13,MATCH(CONCATENATE(BD_COMERCIAL!$K235," ",BD_COMERCIAL!$L235),'Curva Forward'!$B$5:$B$13,0),MATCH(GC$4,'Curva Forward'!$C$4:$AN$4,0))),DE235)</f>
        <v>0</v>
      </c>
      <c r="GD235" s="190">
        <f>AR235*AR$2*IF($FC235="V",1,-1)*IF($Q235="Fixo",(DF235-INDEX('Curva Forward'!$C$5:$AN$13,MATCH(CONCATENATE(BD_COMERCIAL!$K235," ",BD_COMERCIAL!$L235),'Curva Forward'!$B$5:$B$13,0),MATCH(GD$4,'Curva Forward'!$C$4:$AN$4,0))),DF235)</f>
        <v>0</v>
      </c>
      <c r="GE235" s="190">
        <f>AS235*AS$2*IF($FC235="V",1,-1)*IF($Q235="Fixo",(DG235-INDEX('Curva Forward'!$C$5:$AN$13,MATCH(CONCATENATE(BD_COMERCIAL!$K235," ",BD_COMERCIAL!$L235),'Curva Forward'!$B$5:$B$13,0),MATCH(GE$4,'Curva Forward'!$C$4:$AN$4,0))),DG235)</f>
        <v>0</v>
      </c>
      <c r="GF235" s="190">
        <f>AT235*AT$2*IF($FC235="V",1,-1)*IF($Q235="Fixo",(DH235-INDEX('Curva Forward'!$C$5:$AN$13,MATCH(CONCATENATE(BD_COMERCIAL!$K235," ",BD_COMERCIAL!$L235),'Curva Forward'!$B$5:$B$13,0),MATCH(GF$4,'Curva Forward'!$C$4:$AN$4,0))),DH235)</f>
        <v>0</v>
      </c>
      <c r="GG235" s="190">
        <f>AU235*AU$2*IF($FC235="V",1,-1)*IF($Q235="Fixo",(DI235-INDEX('Curva Forward'!$C$5:$AN$13,MATCH(CONCATENATE(BD_COMERCIAL!$K235," ",BD_COMERCIAL!$L235),'Curva Forward'!$B$5:$B$13,0),MATCH(GG$4,'Curva Forward'!$C$4:$AN$4,0))),DI235)</f>
        <v>0</v>
      </c>
      <c r="GH235" s="190">
        <f>AV235*AV$2*IF($FC235="V",1,-1)*IF($Q235="Fixo",(DJ235-INDEX('Curva Forward'!$C$5:$AN$13,MATCH(CONCATENATE(BD_COMERCIAL!$K235," ",BD_COMERCIAL!$L235),'Curva Forward'!$B$5:$B$13,0),MATCH(GH$4,'Curva Forward'!$C$4:$AN$4,0))),DJ235)</f>
        <v>0</v>
      </c>
      <c r="GI235" s="190">
        <f>AW235*AW$2*IF($FC235="V",1,-1)*IF($Q235="Fixo",(DK235-INDEX('Curva Forward'!$C$5:$AN$13,MATCH(CONCATENATE(BD_COMERCIAL!$K235," ",BD_COMERCIAL!$L235),'Curva Forward'!$B$5:$B$13,0),MATCH(GI$4,'Curva Forward'!$C$4:$AN$4,0))),DK235)</f>
        <v>0</v>
      </c>
      <c r="GJ235" s="190">
        <f>AX235*AX$2*IF($FC235="V",1,-1)*IF($Q235="Fixo",(DL235-INDEX('Curva Forward'!$C$5:$AN$13,MATCH(CONCATENATE(BD_COMERCIAL!$K235," ",BD_COMERCIAL!$L235),'Curva Forward'!$B$5:$B$13,0),MATCH(GJ$4,'Curva Forward'!$C$4:$AN$4,0))),DL235)</f>
        <v>0</v>
      </c>
      <c r="GK235" s="190">
        <f>AY235*AY$2*IF($FC235="V",1,-1)*IF($Q235="Fixo",(DM235-INDEX('Curva Forward'!$C$5:$AN$13,MATCH(CONCATENATE(BD_COMERCIAL!$K235," ",BD_COMERCIAL!$L235),'Curva Forward'!$B$5:$B$13,0),MATCH(GK$4,'Curva Forward'!$C$4:$AN$4,0))),DM235)</f>
        <v>0</v>
      </c>
      <c r="GL235" s="190">
        <f>IF(EZ235="",0,CL235*CL$2*IF($FC235="V",1,-1)*IF($Q235="Fixo",(EZ235-INDEX('Curva Forward'!$C$5:$AN$13,MATCH(CONCATENATE(BD_COMERCIAL!$K235," ",BD_COMERCIAL!$L235),'Curva Forward'!$B$5:$B$13,0),MATCH(GL$4,'Curva Forward'!$C$4:$AN$4,0))),EZ235))</f>
        <v>0</v>
      </c>
      <c r="GM235" s="190">
        <f>IF(FA235="",0,CM235*CM$2*IF($FC235="V",1,-1)*IF($Q235="Fixo",(FA235-INDEX('Curva Forward'!$C$5:$AN$13,MATCH(CONCATENATE(BD_COMERCIAL!$K235," ",BD_COMERCIAL!$L235),'Curva Forward'!$B$5:$B$13,0),MATCH(GM$4,'Curva Forward'!$C$4:$AN$4,0))),FA235))</f>
        <v>0</v>
      </c>
      <c r="GN235" s="190">
        <f>IF(FB235="",0,CN235*CN$2*IF($FC235="V",1,-1)*IF($Q235="Fixo",(FB235-INDEX('Curva Forward'!$C$5:$AN$13,MATCH(CONCATENATE(BD_COMERCIAL!$K235," ",BD_COMERCIAL!$L235),'Curva Forward'!$B$5:$B$13,0),MATCH(GN$4,'Curva Forward'!$C$4:$AN$4,0))),FB235))</f>
        <v>0</v>
      </c>
      <c r="GO235" s="191">
        <f t="shared" ca="1" si="32"/>
        <v>0</v>
      </c>
      <c r="GP235" s="191">
        <f t="shared" ca="1" si="33"/>
        <v>0</v>
      </c>
      <c r="GQ235" s="115"/>
      <c r="GR235" s="115"/>
      <c r="GS235"/>
      <c r="GT235" s="6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</row>
    <row r="236" spans="1:236" s="265" customFormat="1" ht="15" customHeight="1" x14ac:dyDescent="0.35">
      <c r="A236" s="251"/>
      <c r="B236" s="275"/>
      <c r="C236" s="253"/>
      <c r="D236" s="254"/>
      <c r="E236" s="254"/>
      <c r="F236" s="255"/>
      <c r="G236" s="256"/>
      <c r="H236" s="255"/>
      <c r="I236" s="254"/>
      <c r="J236" s="257"/>
      <c r="K236" s="256"/>
      <c r="L236" s="252"/>
      <c r="M236" s="258"/>
      <c r="N236" s="259"/>
      <c r="O236" s="256"/>
      <c r="P236" s="252"/>
      <c r="Q236" s="252"/>
      <c r="R236" s="256"/>
      <c r="S236" s="260"/>
      <c r="T236" s="258"/>
      <c r="U236" s="259"/>
      <c r="V236" s="261"/>
      <c r="W236" s="252"/>
      <c r="X236" s="262"/>
      <c r="Y236" s="257"/>
      <c r="Z236" s="263"/>
      <c r="AA236" s="264"/>
      <c r="AB236" s="266"/>
      <c r="AM236" s="251"/>
      <c r="AN236" s="266"/>
      <c r="AY236" s="251"/>
      <c r="AZ236" s="266"/>
      <c r="BK236" s="251"/>
      <c r="BL236" s="266"/>
      <c r="BW236" s="251"/>
      <c r="BX236" s="266"/>
      <c r="CI236" s="251"/>
      <c r="CJ236" s="267"/>
      <c r="CK236" s="267"/>
      <c r="CL236" s="267"/>
      <c r="CM236" s="267"/>
      <c r="CN236" s="267"/>
      <c r="CO236" s="268"/>
      <c r="CP236" s="266"/>
      <c r="DA236" s="251"/>
      <c r="DB236" s="266"/>
      <c r="DM236" s="251"/>
      <c r="DN236" s="266"/>
      <c r="DY236" s="251"/>
      <c r="DZ236" s="266"/>
      <c r="EK236" s="251"/>
      <c r="EL236" s="266"/>
      <c r="EW236" s="251"/>
      <c r="EX236" s="267"/>
      <c r="EY236" s="267"/>
      <c r="EZ236" s="267"/>
      <c r="FA236" s="267"/>
      <c r="FB236" s="269"/>
      <c r="FD236" s="270"/>
      <c r="FF236" s="276"/>
      <c r="FH236" s="206">
        <f t="shared" si="27"/>
        <v>0</v>
      </c>
      <c r="FI236" s="198">
        <f t="shared" si="28"/>
        <v>0</v>
      </c>
      <c r="FJ236"/>
      <c r="FK236">
        <f t="shared" si="29"/>
        <v>0</v>
      </c>
      <c r="FL236" s="191">
        <f t="shared" ca="1" si="30"/>
        <v>0</v>
      </c>
      <c r="FM236" s="191">
        <f t="shared" ca="1" si="31"/>
        <v>0</v>
      </c>
      <c r="FN236" s="190">
        <f>AB236*AB$2*IF($FC236="V",1,-1)*IF($Q236="Fixo",(CP236-INDEX('Curva Forward'!$C$5:$AN$13,MATCH(CONCATENATE(BD_COMERCIAL!$K236," ",BD_COMERCIAL!$L236),'Curva Forward'!$B$5:$B$13,0),MATCH(FN$4,'Curva Forward'!$C$4:$AN$4,0))),CP236)</f>
        <v>0</v>
      </c>
      <c r="FO236" s="190">
        <f>AC236*AC$2*IF($FC236="V",1,-1)*IF($Q236="Fixo",(CQ236-INDEX('Curva Forward'!$C$5:$AN$13,MATCH(CONCATENATE(BD_COMERCIAL!$K236," ",BD_COMERCIAL!$L236),'Curva Forward'!$B$5:$B$13,0),MATCH(FO$4,'Curva Forward'!$C$4:$AN$4,0))),CQ236)</f>
        <v>0</v>
      </c>
      <c r="FP236" s="190">
        <f>AD236*AD$2*IF($FC236="V",1,-1)*IF($Q236="Fixo",(CR236-INDEX('Curva Forward'!$C$5:$AN$13,MATCH(CONCATENATE(BD_COMERCIAL!$K236," ",BD_COMERCIAL!$L236),'Curva Forward'!$B$5:$B$13,0),MATCH(FP$4,'Curva Forward'!$C$4:$AN$4,0))),CR236)</f>
        <v>0</v>
      </c>
      <c r="FQ236" s="190">
        <f>AE236*AE$2*IF($FC236="V",1,-1)*IF($Q236="Fixo",(CS236-INDEX('Curva Forward'!$C$5:$AN$13,MATCH(CONCATENATE(BD_COMERCIAL!$K236," ",BD_COMERCIAL!$L236),'Curva Forward'!$B$5:$B$13,0),MATCH(FQ$4,'Curva Forward'!$C$4:$AN$4,0))),CS236)</f>
        <v>0</v>
      </c>
      <c r="FR236" s="190">
        <f>AF236*AF$2*IF($FC236="V",1,-1)*IF($Q236="Fixo",(CT236-INDEX('Curva Forward'!$C$5:$AN$13,MATCH(CONCATENATE(BD_COMERCIAL!$K236," ",BD_COMERCIAL!$L236),'Curva Forward'!$B$5:$B$13,0),MATCH(FR$4,'Curva Forward'!$C$4:$AN$4,0))),CT236)</f>
        <v>0</v>
      </c>
      <c r="FS236" s="190">
        <f>AG236*AG$2*IF($FC236="V",1,-1)*IF($Q236="Fixo",(CU236-INDEX('Curva Forward'!$C$5:$AN$13,MATCH(CONCATENATE(BD_COMERCIAL!$K236," ",BD_COMERCIAL!$L236),'Curva Forward'!$B$5:$B$13,0),MATCH(FS$4,'Curva Forward'!$C$4:$AN$4,0))),CU236)</f>
        <v>0</v>
      </c>
      <c r="FT236" s="190">
        <f>AH236*AH$2*IF($FC236="V",1,-1)*IF($Q236="Fixo",(CV236-INDEX('Curva Forward'!$C$5:$AN$13,MATCH(CONCATENATE(BD_COMERCIAL!$K236," ",BD_COMERCIAL!$L236),'Curva Forward'!$B$5:$B$13,0),MATCH(FT$4,'Curva Forward'!$C$4:$AN$4,0))),CV236)</f>
        <v>0</v>
      </c>
      <c r="FU236" s="190">
        <f>AI236*AI$2*IF($FC236="V",1,-1)*IF($Q236="Fixo",(CW236-INDEX('Curva Forward'!$C$5:$AN$13,MATCH(CONCATENATE(BD_COMERCIAL!$K236," ",BD_COMERCIAL!$L236),'Curva Forward'!$B$5:$B$13,0),MATCH(FU$4,'Curva Forward'!$C$4:$AN$4,0))),CW236)</f>
        <v>0</v>
      </c>
      <c r="FV236" s="190">
        <f>AJ236*AJ$2*IF($FC236="V",1,-1)*IF($Q236="Fixo",(CX236-INDEX('Curva Forward'!$C$5:$AN$13,MATCH(CONCATENATE(BD_COMERCIAL!$K236," ",BD_COMERCIAL!$L236),'Curva Forward'!$B$5:$B$13,0),MATCH(FV$4,'Curva Forward'!$C$4:$AN$4,0))),CX236)</f>
        <v>0</v>
      </c>
      <c r="FW236" s="190">
        <f>AK236*AK$2*IF($FC236="V",1,-1)*IF($Q236="Fixo",(CY236-INDEX('Curva Forward'!$C$5:$AN$13,MATCH(CONCATENATE(BD_COMERCIAL!$K236," ",BD_COMERCIAL!$L236),'Curva Forward'!$B$5:$B$13,0),MATCH(FW$4,'Curva Forward'!$C$4:$AN$4,0))),CY236)</f>
        <v>0</v>
      </c>
      <c r="FX236" s="190">
        <f>AL236*AL$2*IF($FC236="V",1,-1)*IF($Q236="Fixo",(CZ236-INDEX('Curva Forward'!$C$5:$AN$13,MATCH(CONCATENATE(BD_COMERCIAL!$K236," ",BD_COMERCIAL!$L236),'Curva Forward'!$B$5:$B$13,0),MATCH(FX$4,'Curva Forward'!$C$4:$AN$4,0))),CZ236)</f>
        <v>0</v>
      </c>
      <c r="FY236" s="190">
        <f>AM236*AM$2*IF($FC236="V",1,-1)*IF($Q236="Fixo",(DA236-INDEX('Curva Forward'!$C$5:$AN$13,MATCH(CONCATENATE(BD_COMERCIAL!$K236," ",BD_COMERCIAL!$L236),'Curva Forward'!$B$5:$B$13,0),MATCH(FY$4,'Curva Forward'!$C$4:$AN$4,0))),DA236)</f>
        <v>0</v>
      </c>
      <c r="FZ236" s="190">
        <f>AN236*AN$2*IF($FC236="V",1,-1)*IF($Q236="Fixo",(DB236-INDEX('Curva Forward'!$C$5:$AN$13,MATCH(CONCATENATE(BD_COMERCIAL!$K236," ",BD_COMERCIAL!$L236),'Curva Forward'!$B$5:$B$13,0),MATCH(FZ$4,'Curva Forward'!$C$4:$AN$4,0))),DB236)</f>
        <v>0</v>
      </c>
      <c r="GA236" s="190">
        <f>AO236*AO$2*IF($FC236="V",1,-1)*IF($Q236="Fixo",(DC236-INDEX('Curva Forward'!$C$5:$AN$13,MATCH(CONCATENATE(BD_COMERCIAL!$K236," ",BD_COMERCIAL!$L236),'Curva Forward'!$B$5:$B$13,0),MATCH(GA$4,'Curva Forward'!$C$4:$AN$4,0))),DC236)</f>
        <v>0</v>
      </c>
      <c r="GB236" s="190">
        <f>AP236*AP$2*IF($FC236="V",1,-1)*IF($Q236="Fixo",(DD236-INDEX('Curva Forward'!$C$5:$AN$13,MATCH(CONCATENATE(BD_COMERCIAL!$K236," ",BD_COMERCIAL!$L236),'Curva Forward'!$B$5:$B$13,0),MATCH(GB$4,'Curva Forward'!$C$4:$AN$4,0))),DD236)</f>
        <v>0</v>
      </c>
      <c r="GC236" s="190">
        <f>AQ236*AQ$2*IF($FC236="V",1,-1)*IF($Q236="Fixo",(DE236-INDEX('Curva Forward'!$C$5:$AN$13,MATCH(CONCATENATE(BD_COMERCIAL!$K236," ",BD_COMERCIAL!$L236),'Curva Forward'!$B$5:$B$13,0),MATCH(GC$4,'Curva Forward'!$C$4:$AN$4,0))),DE236)</f>
        <v>0</v>
      </c>
      <c r="GD236" s="190">
        <f>AR236*AR$2*IF($FC236="V",1,-1)*IF($Q236="Fixo",(DF236-INDEX('Curva Forward'!$C$5:$AN$13,MATCH(CONCATENATE(BD_COMERCIAL!$K236," ",BD_COMERCIAL!$L236),'Curva Forward'!$B$5:$B$13,0),MATCH(GD$4,'Curva Forward'!$C$4:$AN$4,0))),DF236)</f>
        <v>0</v>
      </c>
      <c r="GE236" s="190">
        <f>AS236*AS$2*IF($FC236="V",1,-1)*IF($Q236="Fixo",(DG236-INDEX('Curva Forward'!$C$5:$AN$13,MATCH(CONCATENATE(BD_COMERCIAL!$K236," ",BD_COMERCIAL!$L236),'Curva Forward'!$B$5:$B$13,0),MATCH(GE$4,'Curva Forward'!$C$4:$AN$4,0))),DG236)</f>
        <v>0</v>
      </c>
      <c r="GF236" s="190">
        <f>AT236*AT$2*IF($FC236="V",1,-1)*IF($Q236="Fixo",(DH236-INDEX('Curva Forward'!$C$5:$AN$13,MATCH(CONCATENATE(BD_COMERCIAL!$K236," ",BD_COMERCIAL!$L236),'Curva Forward'!$B$5:$B$13,0),MATCH(GF$4,'Curva Forward'!$C$4:$AN$4,0))),DH236)</f>
        <v>0</v>
      </c>
      <c r="GG236" s="190">
        <f>AU236*AU$2*IF($FC236="V",1,-1)*IF($Q236="Fixo",(DI236-INDEX('Curva Forward'!$C$5:$AN$13,MATCH(CONCATENATE(BD_COMERCIAL!$K236," ",BD_COMERCIAL!$L236),'Curva Forward'!$B$5:$B$13,0),MATCH(GG$4,'Curva Forward'!$C$4:$AN$4,0))),DI236)</f>
        <v>0</v>
      </c>
      <c r="GH236" s="190">
        <f>AV236*AV$2*IF($FC236="V",1,-1)*IF($Q236="Fixo",(DJ236-INDEX('Curva Forward'!$C$5:$AN$13,MATCH(CONCATENATE(BD_COMERCIAL!$K236," ",BD_COMERCIAL!$L236),'Curva Forward'!$B$5:$B$13,0),MATCH(GH$4,'Curva Forward'!$C$4:$AN$4,0))),DJ236)</f>
        <v>0</v>
      </c>
      <c r="GI236" s="190">
        <f>AW236*AW$2*IF($FC236="V",1,-1)*IF($Q236="Fixo",(DK236-INDEX('Curva Forward'!$C$5:$AN$13,MATCH(CONCATENATE(BD_COMERCIAL!$K236," ",BD_COMERCIAL!$L236),'Curva Forward'!$B$5:$B$13,0),MATCH(GI$4,'Curva Forward'!$C$4:$AN$4,0))),DK236)</f>
        <v>0</v>
      </c>
      <c r="GJ236" s="190">
        <f>AX236*AX$2*IF($FC236="V",1,-1)*IF($Q236="Fixo",(DL236-INDEX('Curva Forward'!$C$5:$AN$13,MATCH(CONCATENATE(BD_COMERCIAL!$K236," ",BD_COMERCIAL!$L236),'Curva Forward'!$B$5:$B$13,0),MATCH(GJ$4,'Curva Forward'!$C$4:$AN$4,0))),DL236)</f>
        <v>0</v>
      </c>
      <c r="GK236" s="190">
        <f>AY236*AY$2*IF($FC236="V",1,-1)*IF($Q236="Fixo",(DM236-INDEX('Curva Forward'!$C$5:$AN$13,MATCH(CONCATENATE(BD_COMERCIAL!$K236," ",BD_COMERCIAL!$L236),'Curva Forward'!$B$5:$B$13,0),MATCH(GK$4,'Curva Forward'!$C$4:$AN$4,0))),DM236)</f>
        <v>0</v>
      </c>
      <c r="GL236" s="190">
        <f>IF(EZ236="",0,CL236*CL$2*IF($FC236="V",1,-1)*IF($Q236="Fixo",(EZ236-INDEX('Curva Forward'!$C$5:$AN$13,MATCH(CONCATENATE(BD_COMERCIAL!$K236," ",BD_COMERCIAL!$L236),'Curva Forward'!$B$5:$B$13,0),MATCH(GL$4,'Curva Forward'!$C$4:$AN$4,0))),EZ236))</f>
        <v>0</v>
      </c>
      <c r="GM236" s="190">
        <f>IF(FA236="",0,CM236*CM$2*IF($FC236="V",1,-1)*IF($Q236="Fixo",(FA236-INDEX('Curva Forward'!$C$5:$AN$13,MATCH(CONCATENATE(BD_COMERCIAL!$K236," ",BD_COMERCIAL!$L236),'Curva Forward'!$B$5:$B$13,0),MATCH(GM$4,'Curva Forward'!$C$4:$AN$4,0))),FA236))</f>
        <v>0</v>
      </c>
      <c r="GN236" s="190">
        <f>IF(FB236="",0,CN236*CN$2*IF($FC236="V",1,-1)*IF($Q236="Fixo",(FB236-INDEX('Curva Forward'!$C$5:$AN$13,MATCH(CONCATENATE(BD_COMERCIAL!$K236," ",BD_COMERCIAL!$L236),'Curva Forward'!$B$5:$B$13,0),MATCH(GN$4,'Curva Forward'!$C$4:$AN$4,0))),FB236))</f>
        <v>0</v>
      </c>
      <c r="GO236" s="191">
        <f t="shared" ca="1" si="32"/>
        <v>0</v>
      </c>
      <c r="GP236" s="191">
        <f t="shared" ca="1" si="33"/>
        <v>0</v>
      </c>
      <c r="GQ236" s="115"/>
      <c r="GR236" s="115"/>
      <c r="GS236"/>
      <c r="GT236" s="65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</row>
    <row r="237" spans="1:236" s="265" customFormat="1" ht="15" customHeight="1" x14ac:dyDescent="0.35">
      <c r="A237" s="251"/>
      <c r="B237" s="275"/>
      <c r="C237" s="253"/>
      <c r="D237" s="254"/>
      <c r="E237" s="254"/>
      <c r="F237" s="255"/>
      <c r="G237" s="256"/>
      <c r="H237" s="255"/>
      <c r="I237" s="254"/>
      <c r="J237" s="257"/>
      <c r="K237" s="256"/>
      <c r="L237" s="252"/>
      <c r="M237" s="258"/>
      <c r="N237" s="259"/>
      <c r="O237" s="256"/>
      <c r="P237" s="252"/>
      <c r="Q237" s="252"/>
      <c r="R237" s="256"/>
      <c r="S237" s="260"/>
      <c r="T237" s="258"/>
      <c r="U237" s="259"/>
      <c r="V237" s="261"/>
      <c r="W237" s="252"/>
      <c r="X237" s="262"/>
      <c r="Y237" s="257"/>
      <c r="Z237" s="263"/>
      <c r="AA237" s="264"/>
      <c r="AB237" s="266"/>
      <c r="AM237" s="251"/>
      <c r="AN237" s="266"/>
      <c r="AY237" s="251"/>
      <c r="AZ237" s="266"/>
      <c r="BK237" s="251"/>
      <c r="BL237" s="266"/>
      <c r="BW237" s="251"/>
      <c r="BX237" s="266"/>
      <c r="CI237" s="251"/>
      <c r="CJ237" s="267"/>
      <c r="CK237" s="267"/>
      <c r="CL237" s="267"/>
      <c r="CM237" s="267"/>
      <c r="CN237" s="267"/>
      <c r="CO237" s="268"/>
      <c r="CP237" s="266"/>
      <c r="DA237" s="251"/>
      <c r="DB237" s="266"/>
      <c r="DM237" s="251"/>
      <c r="DN237" s="266"/>
      <c r="DY237" s="251"/>
      <c r="DZ237" s="266"/>
      <c r="EK237" s="251"/>
      <c r="EL237" s="266"/>
      <c r="EW237" s="251"/>
      <c r="EX237" s="267"/>
      <c r="EY237" s="267"/>
      <c r="EZ237" s="267"/>
      <c r="FA237" s="267"/>
      <c r="FB237" s="269"/>
      <c r="FD237" s="270"/>
      <c r="FF237" s="276"/>
      <c r="FH237" s="206">
        <f t="shared" si="27"/>
        <v>0</v>
      </c>
      <c r="FI237" s="198">
        <f t="shared" si="28"/>
        <v>0</v>
      </c>
      <c r="FJ237"/>
      <c r="FK237">
        <f t="shared" si="29"/>
        <v>0</v>
      </c>
      <c r="FL237" s="191">
        <f t="shared" ca="1" si="30"/>
        <v>0</v>
      </c>
      <c r="FM237" s="191">
        <f t="shared" ca="1" si="31"/>
        <v>0</v>
      </c>
      <c r="FN237" s="190">
        <f>AB237*AB$2*IF($FC237="V",1,-1)*IF($Q237="Fixo",(CP237-INDEX('Curva Forward'!$C$5:$AN$13,MATCH(CONCATENATE(BD_COMERCIAL!$K237," ",BD_COMERCIAL!$L237),'Curva Forward'!$B$5:$B$13,0),MATCH(FN$4,'Curva Forward'!$C$4:$AN$4,0))),CP237)</f>
        <v>0</v>
      </c>
      <c r="FO237" s="190">
        <f>AC237*AC$2*IF($FC237="V",1,-1)*IF($Q237="Fixo",(CQ237-INDEX('Curva Forward'!$C$5:$AN$13,MATCH(CONCATENATE(BD_COMERCIAL!$K237," ",BD_COMERCIAL!$L237),'Curva Forward'!$B$5:$B$13,0),MATCH(FO$4,'Curva Forward'!$C$4:$AN$4,0))),CQ237)</f>
        <v>0</v>
      </c>
      <c r="FP237" s="190">
        <f>AD237*AD$2*IF($FC237="V",1,-1)*IF($Q237="Fixo",(CR237-INDEX('Curva Forward'!$C$5:$AN$13,MATCH(CONCATENATE(BD_COMERCIAL!$K237," ",BD_COMERCIAL!$L237),'Curva Forward'!$B$5:$B$13,0),MATCH(FP$4,'Curva Forward'!$C$4:$AN$4,0))),CR237)</f>
        <v>0</v>
      </c>
      <c r="FQ237" s="190">
        <f>AE237*AE$2*IF($FC237="V",1,-1)*IF($Q237="Fixo",(CS237-INDEX('Curva Forward'!$C$5:$AN$13,MATCH(CONCATENATE(BD_COMERCIAL!$K237," ",BD_COMERCIAL!$L237),'Curva Forward'!$B$5:$B$13,0),MATCH(FQ$4,'Curva Forward'!$C$4:$AN$4,0))),CS237)</f>
        <v>0</v>
      </c>
      <c r="FR237" s="190">
        <f>AF237*AF$2*IF($FC237="V",1,-1)*IF($Q237="Fixo",(CT237-INDEX('Curva Forward'!$C$5:$AN$13,MATCH(CONCATENATE(BD_COMERCIAL!$K237," ",BD_COMERCIAL!$L237),'Curva Forward'!$B$5:$B$13,0),MATCH(FR$4,'Curva Forward'!$C$4:$AN$4,0))),CT237)</f>
        <v>0</v>
      </c>
      <c r="FS237" s="190">
        <f>AG237*AG$2*IF($FC237="V",1,-1)*IF($Q237="Fixo",(CU237-INDEX('Curva Forward'!$C$5:$AN$13,MATCH(CONCATENATE(BD_COMERCIAL!$K237," ",BD_COMERCIAL!$L237),'Curva Forward'!$B$5:$B$13,0),MATCH(FS$4,'Curva Forward'!$C$4:$AN$4,0))),CU237)</f>
        <v>0</v>
      </c>
      <c r="FT237" s="190">
        <f>AH237*AH$2*IF($FC237="V",1,-1)*IF($Q237="Fixo",(CV237-INDEX('Curva Forward'!$C$5:$AN$13,MATCH(CONCATENATE(BD_COMERCIAL!$K237," ",BD_COMERCIAL!$L237),'Curva Forward'!$B$5:$B$13,0),MATCH(FT$4,'Curva Forward'!$C$4:$AN$4,0))),CV237)</f>
        <v>0</v>
      </c>
      <c r="FU237" s="190">
        <f>AI237*AI$2*IF($FC237="V",1,-1)*IF($Q237="Fixo",(CW237-INDEX('Curva Forward'!$C$5:$AN$13,MATCH(CONCATENATE(BD_COMERCIAL!$K237," ",BD_COMERCIAL!$L237),'Curva Forward'!$B$5:$B$13,0),MATCH(FU$4,'Curva Forward'!$C$4:$AN$4,0))),CW237)</f>
        <v>0</v>
      </c>
      <c r="FV237" s="190">
        <f>AJ237*AJ$2*IF($FC237="V",1,-1)*IF($Q237="Fixo",(CX237-INDEX('Curva Forward'!$C$5:$AN$13,MATCH(CONCATENATE(BD_COMERCIAL!$K237," ",BD_COMERCIAL!$L237),'Curva Forward'!$B$5:$B$13,0),MATCH(FV$4,'Curva Forward'!$C$4:$AN$4,0))),CX237)</f>
        <v>0</v>
      </c>
      <c r="FW237" s="190">
        <f>AK237*AK$2*IF($FC237="V",1,-1)*IF($Q237="Fixo",(CY237-INDEX('Curva Forward'!$C$5:$AN$13,MATCH(CONCATENATE(BD_COMERCIAL!$K237," ",BD_COMERCIAL!$L237),'Curva Forward'!$B$5:$B$13,0),MATCH(FW$4,'Curva Forward'!$C$4:$AN$4,0))),CY237)</f>
        <v>0</v>
      </c>
      <c r="FX237" s="190">
        <f>AL237*AL$2*IF($FC237="V",1,-1)*IF($Q237="Fixo",(CZ237-INDEX('Curva Forward'!$C$5:$AN$13,MATCH(CONCATENATE(BD_COMERCIAL!$K237," ",BD_COMERCIAL!$L237),'Curva Forward'!$B$5:$B$13,0),MATCH(FX$4,'Curva Forward'!$C$4:$AN$4,0))),CZ237)</f>
        <v>0</v>
      </c>
      <c r="FY237" s="190">
        <f>AM237*AM$2*IF($FC237="V",1,-1)*IF($Q237="Fixo",(DA237-INDEX('Curva Forward'!$C$5:$AN$13,MATCH(CONCATENATE(BD_COMERCIAL!$K237," ",BD_COMERCIAL!$L237),'Curva Forward'!$B$5:$B$13,0),MATCH(FY$4,'Curva Forward'!$C$4:$AN$4,0))),DA237)</f>
        <v>0</v>
      </c>
      <c r="FZ237" s="190">
        <f>AN237*AN$2*IF($FC237="V",1,-1)*IF($Q237="Fixo",(DB237-INDEX('Curva Forward'!$C$5:$AN$13,MATCH(CONCATENATE(BD_COMERCIAL!$K237," ",BD_COMERCIAL!$L237),'Curva Forward'!$B$5:$B$13,0),MATCH(FZ$4,'Curva Forward'!$C$4:$AN$4,0))),DB237)</f>
        <v>0</v>
      </c>
      <c r="GA237" s="190">
        <f>AO237*AO$2*IF($FC237="V",1,-1)*IF($Q237="Fixo",(DC237-INDEX('Curva Forward'!$C$5:$AN$13,MATCH(CONCATENATE(BD_COMERCIAL!$K237," ",BD_COMERCIAL!$L237),'Curva Forward'!$B$5:$B$13,0),MATCH(GA$4,'Curva Forward'!$C$4:$AN$4,0))),DC237)</f>
        <v>0</v>
      </c>
      <c r="GB237" s="190">
        <f>AP237*AP$2*IF($FC237="V",1,-1)*IF($Q237="Fixo",(DD237-INDEX('Curva Forward'!$C$5:$AN$13,MATCH(CONCATENATE(BD_COMERCIAL!$K237," ",BD_COMERCIAL!$L237),'Curva Forward'!$B$5:$B$13,0),MATCH(GB$4,'Curva Forward'!$C$4:$AN$4,0))),DD237)</f>
        <v>0</v>
      </c>
      <c r="GC237" s="190">
        <f>AQ237*AQ$2*IF($FC237="V",1,-1)*IF($Q237="Fixo",(DE237-INDEX('Curva Forward'!$C$5:$AN$13,MATCH(CONCATENATE(BD_COMERCIAL!$K237," ",BD_COMERCIAL!$L237),'Curva Forward'!$B$5:$B$13,0),MATCH(GC$4,'Curva Forward'!$C$4:$AN$4,0))),DE237)</f>
        <v>0</v>
      </c>
      <c r="GD237" s="190">
        <f>AR237*AR$2*IF($FC237="V",1,-1)*IF($Q237="Fixo",(DF237-INDEX('Curva Forward'!$C$5:$AN$13,MATCH(CONCATENATE(BD_COMERCIAL!$K237," ",BD_COMERCIAL!$L237),'Curva Forward'!$B$5:$B$13,0),MATCH(GD$4,'Curva Forward'!$C$4:$AN$4,0))),DF237)</f>
        <v>0</v>
      </c>
      <c r="GE237" s="190">
        <f>AS237*AS$2*IF($FC237="V",1,-1)*IF($Q237="Fixo",(DG237-INDEX('Curva Forward'!$C$5:$AN$13,MATCH(CONCATENATE(BD_COMERCIAL!$K237," ",BD_COMERCIAL!$L237),'Curva Forward'!$B$5:$B$13,0),MATCH(GE$4,'Curva Forward'!$C$4:$AN$4,0))),DG237)</f>
        <v>0</v>
      </c>
      <c r="GF237" s="190">
        <f>AT237*AT$2*IF($FC237="V",1,-1)*IF($Q237="Fixo",(DH237-INDEX('Curva Forward'!$C$5:$AN$13,MATCH(CONCATENATE(BD_COMERCIAL!$K237," ",BD_COMERCIAL!$L237),'Curva Forward'!$B$5:$B$13,0),MATCH(GF$4,'Curva Forward'!$C$4:$AN$4,0))),DH237)</f>
        <v>0</v>
      </c>
      <c r="GG237" s="190">
        <f>AU237*AU$2*IF($FC237="V",1,-1)*IF($Q237="Fixo",(DI237-INDEX('Curva Forward'!$C$5:$AN$13,MATCH(CONCATENATE(BD_COMERCIAL!$K237," ",BD_COMERCIAL!$L237),'Curva Forward'!$B$5:$B$13,0),MATCH(GG$4,'Curva Forward'!$C$4:$AN$4,0))),DI237)</f>
        <v>0</v>
      </c>
      <c r="GH237" s="190">
        <f>AV237*AV$2*IF($FC237="V",1,-1)*IF($Q237="Fixo",(DJ237-INDEX('Curva Forward'!$C$5:$AN$13,MATCH(CONCATENATE(BD_COMERCIAL!$K237," ",BD_COMERCIAL!$L237),'Curva Forward'!$B$5:$B$13,0),MATCH(GH$4,'Curva Forward'!$C$4:$AN$4,0))),DJ237)</f>
        <v>0</v>
      </c>
      <c r="GI237" s="190">
        <f>AW237*AW$2*IF($FC237="V",1,-1)*IF($Q237="Fixo",(DK237-INDEX('Curva Forward'!$C$5:$AN$13,MATCH(CONCATENATE(BD_COMERCIAL!$K237," ",BD_COMERCIAL!$L237),'Curva Forward'!$B$5:$B$13,0),MATCH(GI$4,'Curva Forward'!$C$4:$AN$4,0))),DK237)</f>
        <v>0</v>
      </c>
      <c r="GJ237" s="190">
        <f>AX237*AX$2*IF($FC237="V",1,-1)*IF($Q237="Fixo",(DL237-INDEX('Curva Forward'!$C$5:$AN$13,MATCH(CONCATENATE(BD_COMERCIAL!$K237," ",BD_COMERCIAL!$L237),'Curva Forward'!$B$5:$B$13,0),MATCH(GJ$4,'Curva Forward'!$C$4:$AN$4,0))),DL237)</f>
        <v>0</v>
      </c>
      <c r="GK237" s="190">
        <f>AY237*AY$2*IF($FC237="V",1,-1)*IF($Q237="Fixo",(DM237-INDEX('Curva Forward'!$C$5:$AN$13,MATCH(CONCATENATE(BD_COMERCIAL!$K237," ",BD_COMERCIAL!$L237),'Curva Forward'!$B$5:$B$13,0),MATCH(GK$4,'Curva Forward'!$C$4:$AN$4,0))),DM237)</f>
        <v>0</v>
      </c>
      <c r="GL237" s="190">
        <f>IF(EZ237="",0,CL237*CL$2*IF($FC237="V",1,-1)*IF($Q237="Fixo",(EZ237-INDEX('Curva Forward'!$C$5:$AN$13,MATCH(CONCATENATE(BD_COMERCIAL!$K237," ",BD_COMERCIAL!$L237),'Curva Forward'!$B$5:$B$13,0),MATCH(GL$4,'Curva Forward'!$C$4:$AN$4,0))),EZ237))</f>
        <v>0</v>
      </c>
      <c r="GM237" s="190">
        <f>IF(FA237="",0,CM237*CM$2*IF($FC237="V",1,-1)*IF($Q237="Fixo",(FA237-INDEX('Curva Forward'!$C$5:$AN$13,MATCH(CONCATENATE(BD_COMERCIAL!$K237," ",BD_COMERCIAL!$L237),'Curva Forward'!$B$5:$B$13,0),MATCH(GM$4,'Curva Forward'!$C$4:$AN$4,0))),FA237))</f>
        <v>0</v>
      </c>
      <c r="GN237" s="190">
        <f>IF(FB237="",0,CN237*CN$2*IF($FC237="V",1,-1)*IF($Q237="Fixo",(FB237-INDEX('Curva Forward'!$C$5:$AN$13,MATCH(CONCATENATE(BD_COMERCIAL!$K237," ",BD_COMERCIAL!$L237),'Curva Forward'!$B$5:$B$13,0),MATCH(GN$4,'Curva Forward'!$C$4:$AN$4,0))),FB237))</f>
        <v>0</v>
      </c>
      <c r="GO237" s="191">
        <f t="shared" ca="1" si="32"/>
        <v>0</v>
      </c>
      <c r="GP237" s="191">
        <f t="shared" ca="1" si="33"/>
        <v>0</v>
      </c>
      <c r="GQ237" s="115"/>
      <c r="GR237" s="115"/>
      <c r="GS237"/>
      <c r="GT237" s="65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</row>
    <row r="238" spans="1:236" s="265" customFormat="1" ht="15" customHeight="1" x14ac:dyDescent="0.35">
      <c r="A238" s="251"/>
      <c r="B238" s="275"/>
      <c r="C238" s="253"/>
      <c r="D238" s="254"/>
      <c r="E238" s="254"/>
      <c r="F238" s="255"/>
      <c r="G238" s="256"/>
      <c r="H238" s="255"/>
      <c r="I238" s="254"/>
      <c r="J238" s="257"/>
      <c r="K238" s="256"/>
      <c r="L238" s="252"/>
      <c r="M238" s="258"/>
      <c r="N238" s="259"/>
      <c r="O238" s="256"/>
      <c r="P238" s="252"/>
      <c r="Q238" s="252"/>
      <c r="R238" s="256"/>
      <c r="S238" s="260"/>
      <c r="T238" s="258"/>
      <c r="U238" s="259"/>
      <c r="V238" s="261"/>
      <c r="W238" s="252"/>
      <c r="X238" s="262"/>
      <c r="Y238" s="257"/>
      <c r="Z238" s="263"/>
      <c r="AA238" s="264"/>
      <c r="AB238" s="266"/>
      <c r="AM238" s="251"/>
      <c r="AN238" s="266"/>
      <c r="AY238" s="251"/>
      <c r="AZ238" s="266"/>
      <c r="BK238" s="251"/>
      <c r="BL238" s="266"/>
      <c r="BW238" s="251"/>
      <c r="BX238" s="266"/>
      <c r="CI238" s="251"/>
      <c r="CJ238" s="267"/>
      <c r="CK238" s="267"/>
      <c r="CL238" s="267"/>
      <c r="CM238" s="267"/>
      <c r="CN238" s="267"/>
      <c r="CO238" s="268"/>
      <c r="CP238" s="266"/>
      <c r="DA238" s="251"/>
      <c r="DB238" s="266"/>
      <c r="DM238" s="251"/>
      <c r="DN238" s="266"/>
      <c r="DY238" s="251"/>
      <c r="DZ238" s="266"/>
      <c r="EK238" s="251"/>
      <c r="EL238" s="266"/>
      <c r="EW238" s="251"/>
      <c r="EX238" s="267"/>
      <c r="EY238" s="267"/>
      <c r="EZ238" s="267"/>
      <c r="FA238" s="267"/>
      <c r="FB238" s="269"/>
      <c r="FD238" s="270"/>
      <c r="FF238" s="276"/>
      <c r="FH238" s="206">
        <f t="shared" si="27"/>
        <v>0</v>
      </c>
      <c r="FI238" s="198">
        <f t="shared" si="28"/>
        <v>0</v>
      </c>
      <c r="FJ238"/>
      <c r="FK238">
        <f t="shared" si="29"/>
        <v>0</v>
      </c>
      <c r="FL238" s="191">
        <f t="shared" ca="1" si="30"/>
        <v>0</v>
      </c>
      <c r="FM238" s="191">
        <f t="shared" ca="1" si="31"/>
        <v>0</v>
      </c>
      <c r="FN238" s="190">
        <f>AB238*AB$2*IF($FC238="V",1,-1)*IF($Q238="Fixo",(CP238-INDEX('Curva Forward'!$C$5:$AN$13,MATCH(CONCATENATE(BD_COMERCIAL!$K238," ",BD_COMERCIAL!$L238),'Curva Forward'!$B$5:$B$13,0),MATCH(FN$4,'Curva Forward'!$C$4:$AN$4,0))),CP238)</f>
        <v>0</v>
      </c>
      <c r="FO238" s="190">
        <f>AC238*AC$2*IF($FC238="V",1,-1)*IF($Q238="Fixo",(CQ238-INDEX('Curva Forward'!$C$5:$AN$13,MATCH(CONCATENATE(BD_COMERCIAL!$K238," ",BD_COMERCIAL!$L238),'Curva Forward'!$B$5:$B$13,0),MATCH(FO$4,'Curva Forward'!$C$4:$AN$4,0))),CQ238)</f>
        <v>0</v>
      </c>
      <c r="FP238" s="190">
        <f>AD238*AD$2*IF($FC238="V",1,-1)*IF($Q238="Fixo",(CR238-INDEX('Curva Forward'!$C$5:$AN$13,MATCH(CONCATENATE(BD_COMERCIAL!$K238," ",BD_COMERCIAL!$L238),'Curva Forward'!$B$5:$B$13,0),MATCH(FP$4,'Curva Forward'!$C$4:$AN$4,0))),CR238)</f>
        <v>0</v>
      </c>
      <c r="FQ238" s="190">
        <f>AE238*AE$2*IF($FC238="V",1,-1)*IF($Q238="Fixo",(CS238-INDEX('Curva Forward'!$C$5:$AN$13,MATCH(CONCATENATE(BD_COMERCIAL!$K238," ",BD_COMERCIAL!$L238),'Curva Forward'!$B$5:$B$13,0),MATCH(FQ$4,'Curva Forward'!$C$4:$AN$4,0))),CS238)</f>
        <v>0</v>
      </c>
      <c r="FR238" s="190">
        <f>AF238*AF$2*IF($FC238="V",1,-1)*IF($Q238="Fixo",(CT238-INDEX('Curva Forward'!$C$5:$AN$13,MATCH(CONCATENATE(BD_COMERCIAL!$K238," ",BD_COMERCIAL!$L238),'Curva Forward'!$B$5:$B$13,0),MATCH(FR$4,'Curva Forward'!$C$4:$AN$4,0))),CT238)</f>
        <v>0</v>
      </c>
      <c r="FS238" s="190">
        <f>AG238*AG$2*IF($FC238="V",1,-1)*IF($Q238="Fixo",(CU238-INDEX('Curva Forward'!$C$5:$AN$13,MATCH(CONCATENATE(BD_COMERCIAL!$K238," ",BD_COMERCIAL!$L238),'Curva Forward'!$B$5:$B$13,0),MATCH(FS$4,'Curva Forward'!$C$4:$AN$4,0))),CU238)</f>
        <v>0</v>
      </c>
      <c r="FT238" s="190">
        <f>AH238*AH$2*IF($FC238="V",1,-1)*IF($Q238="Fixo",(CV238-INDEX('Curva Forward'!$C$5:$AN$13,MATCH(CONCATENATE(BD_COMERCIAL!$K238," ",BD_COMERCIAL!$L238),'Curva Forward'!$B$5:$B$13,0),MATCH(FT$4,'Curva Forward'!$C$4:$AN$4,0))),CV238)</f>
        <v>0</v>
      </c>
      <c r="FU238" s="190">
        <f>AI238*AI$2*IF($FC238="V",1,-1)*IF($Q238="Fixo",(CW238-INDEX('Curva Forward'!$C$5:$AN$13,MATCH(CONCATENATE(BD_COMERCIAL!$K238," ",BD_COMERCIAL!$L238),'Curva Forward'!$B$5:$B$13,0),MATCH(FU$4,'Curva Forward'!$C$4:$AN$4,0))),CW238)</f>
        <v>0</v>
      </c>
      <c r="FV238" s="190">
        <f>AJ238*AJ$2*IF($FC238="V",1,-1)*IF($Q238="Fixo",(CX238-INDEX('Curva Forward'!$C$5:$AN$13,MATCH(CONCATENATE(BD_COMERCIAL!$K238," ",BD_COMERCIAL!$L238),'Curva Forward'!$B$5:$B$13,0),MATCH(FV$4,'Curva Forward'!$C$4:$AN$4,0))),CX238)</f>
        <v>0</v>
      </c>
      <c r="FW238" s="190">
        <f>AK238*AK$2*IF($FC238="V",1,-1)*IF($Q238="Fixo",(CY238-INDEX('Curva Forward'!$C$5:$AN$13,MATCH(CONCATENATE(BD_COMERCIAL!$K238," ",BD_COMERCIAL!$L238),'Curva Forward'!$B$5:$B$13,0),MATCH(FW$4,'Curva Forward'!$C$4:$AN$4,0))),CY238)</f>
        <v>0</v>
      </c>
      <c r="FX238" s="190">
        <f>AL238*AL$2*IF($FC238="V",1,-1)*IF($Q238="Fixo",(CZ238-INDEX('Curva Forward'!$C$5:$AN$13,MATCH(CONCATENATE(BD_COMERCIAL!$K238," ",BD_COMERCIAL!$L238),'Curva Forward'!$B$5:$B$13,0),MATCH(FX$4,'Curva Forward'!$C$4:$AN$4,0))),CZ238)</f>
        <v>0</v>
      </c>
      <c r="FY238" s="190">
        <f>AM238*AM$2*IF($FC238="V",1,-1)*IF($Q238="Fixo",(DA238-INDEX('Curva Forward'!$C$5:$AN$13,MATCH(CONCATENATE(BD_COMERCIAL!$K238," ",BD_COMERCIAL!$L238),'Curva Forward'!$B$5:$B$13,0),MATCH(FY$4,'Curva Forward'!$C$4:$AN$4,0))),DA238)</f>
        <v>0</v>
      </c>
      <c r="FZ238" s="190">
        <f>AN238*AN$2*IF($FC238="V",1,-1)*IF($Q238="Fixo",(DB238-INDEX('Curva Forward'!$C$5:$AN$13,MATCH(CONCATENATE(BD_COMERCIAL!$K238," ",BD_COMERCIAL!$L238),'Curva Forward'!$B$5:$B$13,0),MATCH(FZ$4,'Curva Forward'!$C$4:$AN$4,0))),DB238)</f>
        <v>0</v>
      </c>
      <c r="GA238" s="190">
        <f>AO238*AO$2*IF($FC238="V",1,-1)*IF($Q238="Fixo",(DC238-INDEX('Curva Forward'!$C$5:$AN$13,MATCH(CONCATENATE(BD_COMERCIAL!$K238," ",BD_COMERCIAL!$L238),'Curva Forward'!$B$5:$B$13,0),MATCH(GA$4,'Curva Forward'!$C$4:$AN$4,0))),DC238)</f>
        <v>0</v>
      </c>
      <c r="GB238" s="190">
        <f>AP238*AP$2*IF($FC238="V",1,-1)*IF($Q238="Fixo",(DD238-INDEX('Curva Forward'!$C$5:$AN$13,MATCH(CONCATENATE(BD_COMERCIAL!$K238," ",BD_COMERCIAL!$L238),'Curva Forward'!$B$5:$B$13,0),MATCH(GB$4,'Curva Forward'!$C$4:$AN$4,0))),DD238)</f>
        <v>0</v>
      </c>
      <c r="GC238" s="190">
        <f>AQ238*AQ$2*IF($FC238="V",1,-1)*IF($Q238="Fixo",(DE238-INDEX('Curva Forward'!$C$5:$AN$13,MATCH(CONCATENATE(BD_COMERCIAL!$K238," ",BD_COMERCIAL!$L238),'Curva Forward'!$B$5:$B$13,0),MATCH(GC$4,'Curva Forward'!$C$4:$AN$4,0))),DE238)</f>
        <v>0</v>
      </c>
      <c r="GD238" s="190">
        <f>AR238*AR$2*IF($FC238="V",1,-1)*IF($Q238="Fixo",(DF238-INDEX('Curva Forward'!$C$5:$AN$13,MATCH(CONCATENATE(BD_COMERCIAL!$K238," ",BD_COMERCIAL!$L238),'Curva Forward'!$B$5:$B$13,0),MATCH(GD$4,'Curva Forward'!$C$4:$AN$4,0))),DF238)</f>
        <v>0</v>
      </c>
      <c r="GE238" s="190">
        <f>AS238*AS$2*IF($FC238="V",1,-1)*IF($Q238="Fixo",(DG238-INDEX('Curva Forward'!$C$5:$AN$13,MATCH(CONCATENATE(BD_COMERCIAL!$K238," ",BD_COMERCIAL!$L238),'Curva Forward'!$B$5:$B$13,0),MATCH(GE$4,'Curva Forward'!$C$4:$AN$4,0))),DG238)</f>
        <v>0</v>
      </c>
      <c r="GF238" s="190">
        <f>AT238*AT$2*IF($FC238="V",1,-1)*IF($Q238="Fixo",(DH238-INDEX('Curva Forward'!$C$5:$AN$13,MATCH(CONCATENATE(BD_COMERCIAL!$K238," ",BD_COMERCIAL!$L238),'Curva Forward'!$B$5:$B$13,0),MATCH(GF$4,'Curva Forward'!$C$4:$AN$4,0))),DH238)</f>
        <v>0</v>
      </c>
      <c r="GG238" s="190">
        <f>AU238*AU$2*IF($FC238="V",1,-1)*IF($Q238="Fixo",(DI238-INDEX('Curva Forward'!$C$5:$AN$13,MATCH(CONCATENATE(BD_COMERCIAL!$K238," ",BD_COMERCIAL!$L238),'Curva Forward'!$B$5:$B$13,0),MATCH(GG$4,'Curva Forward'!$C$4:$AN$4,0))),DI238)</f>
        <v>0</v>
      </c>
      <c r="GH238" s="190">
        <f>AV238*AV$2*IF($FC238="V",1,-1)*IF($Q238="Fixo",(DJ238-INDEX('Curva Forward'!$C$5:$AN$13,MATCH(CONCATENATE(BD_COMERCIAL!$K238," ",BD_COMERCIAL!$L238),'Curva Forward'!$B$5:$B$13,0),MATCH(GH$4,'Curva Forward'!$C$4:$AN$4,0))),DJ238)</f>
        <v>0</v>
      </c>
      <c r="GI238" s="190">
        <f>AW238*AW$2*IF($FC238="V",1,-1)*IF($Q238="Fixo",(DK238-INDEX('Curva Forward'!$C$5:$AN$13,MATCH(CONCATENATE(BD_COMERCIAL!$K238," ",BD_COMERCIAL!$L238),'Curva Forward'!$B$5:$B$13,0),MATCH(GI$4,'Curva Forward'!$C$4:$AN$4,0))),DK238)</f>
        <v>0</v>
      </c>
      <c r="GJ238" s="190">
        <f>AX238*AX$2*IF($FC238="V",1,-1)*IF($Q238="Fixo",(DL238-INDEX('Curva Forward'!$C$5:$AN$13,MATCH(CONCATENATE(BD_COMERCIAL!$K238," ",BD_COMERCIAL!$L238),'Curva Forward'!$B$5:$B$13,0),MATCH(GJ$4,'Curva Forward'!$C$4:$AN$4,0))),DL238)</f>
        <v>0</v>
      </c>
      <c r="GK238" s="190">
        <f>AY238*AY$2*IF($FC238="V",1,-1)*IF($Q238="Fixo",(DM238-INDEX('Curva Forward'!$C$5:$AN$13,MATCH(CONCATENATE(BD_COMERCIAL!$K238," ",BD_COMERCIAL!$L238),'Curva Forward'!$B$5:$B$13,0),MATCH(GK$4,'Curva Forward'!$C$4:$AN$4,0))),DM238)</f>
        <v>0</v>
      </c>
      <c r="GL238" s="190">
        <f>IF(EZ238="",0,CL238*CL$2*IF($FC238="V",1,-1)*IF($Q238="Fixo",(EZ238-INDEX('Curva Forward'!$C$5:$AN$13,MATCH(CONCATENATE(BD_COMERCIAL!$K238," ",BD_COMERCIAL!$L238),'Curva Forward'!$B$5:$B$13,0),MATCH(GL$4,'Curva Forward'!$C$4:$AN$4,0))),EZ238))</f>
        <v>0</v>
      </c>
      <c r="GM238" s="190">
        <f>IF(FA238="",0,CM238*CM$2*IF($FC238="V",1,-1)*IF($Q238="Fixo",(FA238-INDEX('Curva Forward'!$C$5:$AN$13,MATCH(CONCATENATE(BD_COMERCIAL!$K238," ",BD_COMERCIAL!$L238),'Curva Forward'!$B$5:$B$13,0),MATCH(GM$4,'Curva Forward'!$C$4:$AN$4,0))),FA238))</f>
        <v>0</v>
      </c>
      <c r="GN238" s="190">
        <f>IF(FB238="",0,CN238*CN$2*IF($FC238="V",1,-1)*IF($Q238="Fixo",(FB238-INDEX('Curva Forward'!$C$5:$AN$13,MATCH(CONCATENATE(BD_COMERCIAL!$K238," ",BD_COMERCIAL!$L238),'Curva Forward'!$B$5:$B$13,0),MATCH(GN$4,'Curva Forward'!$C$4:$AN$4,0))),FB238))</f>
        <v>0</v>
      </c>
      <c r="GO238" s="191">
        <f t="shared" ca="1" si="32"/>
        <v>0</v>
      </c>
      <c r="GP238" s="191">
        <f t="shared" ca="1" si="33"/>
        <v>0</v>
      </c>
      <c r="GQ238" s="115"/>
      <c r="GR238" s="115"/>
      <c r="GS238"/>
      <c r="GT238" s="65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</row>
    <row r="239" spans="1:236" s="265" customFormat="1" ht="15" customHeight="1" x14ac:dyDescent="0.35">
      <c r="A239" s="251"/>
      <c r="B239" s="275"/>
      <c r="C239" s="253"/>
      <c r="D239" s="254"/>
      <c r="E239" s="254"/>
      <c r="F239" s="255"/>
      <c r="G239" s="256"/>
      <c r="H239" s="255"/>
      <c r="I239" s="254"/>
      <c r="J239" s="257"/>
      <c r="K239" s="256"/>
      <c r="L239" s="252"/>
      <c r="M239" s="258"/>
      <c r="N239" s="259"/>
      <c r="O239" s="256"/>
      <c r="P239" s="252"/>
      <c r="Q239" s="252"/>
      <c r="R239" s="256"/>
      <c r="S239" s="260"/>
      <c r="T239" s="258"/>
      <c r="U239" s="259"/>
      <c r="V239" s="261"/>
      <c r="W239" s="252"/>
      <c r="X239" s="262"/>
      <c r="Y239" s="257"/>
      <c r="Z239" s="263"/>
      <c r="AA239" s="264"/>
      <c r="AB239" s="266"/>
      <c r="AM239" s="251"/>
      <c r="AN239" s="266"/>
      <c r="AY239" s="251"/>
      <c r="AZ239" s="266"/>
      <c r="BK239" s="251"/>
      <c r="BL239" s="266"/>
      <c r="BW239" s="251"/>
      <c r="BX239" s="266"/>
      <c r="CI239" s="251"/>
      <c r="CJ239" s="267"/>
      <c r="CK239" s="267"/>
      <c r="CL239" s="267"/>
      <c r="CM239" s="267"/>
      <c r="CN239" s="267"/>
      <c r="CO239" s="268"/>
      <c r="CP239" s="266"/>
      <c r="DA239" s="251"/>
      <c r="DB239" s="266"/>
      <c r="DM239" s="251"/>
      <c r="DN239" s="266"/>
      <c r="DY239" s="251"/>
      <c r="DZ239" s="266"/>
      <c r="EK239" s="251"/>
      <c r="EL239" s="266"/>
      <c r="EW239" s="251"/>
      <c r="EX239" s="267"/>
      <c r="EY239" s="267"/>
      <c r="EZ239" s="267"/>
      <c r="FA239" s="267"/>
      <c r="FB239" s="269"/>
      <c r="FD239" s="270"/>
      <c r="FF239" s="276"/>
      <c r="FH239" s="206">
        <f t="shared" si="27"/>
        <v>0</v>
      </c>
      <c r="FI239" s="198">
        <f t="shared" si="28"/>
        <v>0</v>
      </c>
      <c r="FJ239"/>
      <c r="FK239">
        <f t="shared" si="29"/>
        <v>0</v>
      </c>
      <c r="FL239" s="191">
        <f t="shared" ca="1" si="30"/>
        <v>0</v>
      </c>
      <c r="FM239" s="191">
        <f t="shared" ca="1" si="31"/>
        <v>0</v>
      </c>
      <c r="FN239" s="190">
        <f>AB239*AB$2*IF($FC239="V",1,-1)*IF($Q239="Fixo",(CP239-INDEX('Curva Forward'!$C$5:$AN$13,MATCH(CONCATENATE(BD_COMERCIAL!$K239," ",BD_COMERCIAL!$L239),'Curva Forward'!$B$5:$B$13,0),MATCH(FN$4,'Curva Forward'!$C$4:$AN$4,0))),CP239)</f>
        <v>0</v>
      </c>
      <c r="FO239" s="190">
        <f>AC239*AC$2*IF($FC239="V",1,-1)*IF($Q239="Fixo",(CQ239-INDEX('Curva Forward'!$C$5:$AN$13,MATCH(CONCATENATE(BD_COMERCIAL!$K239," ",BD_COMERCIAL!$L239),'Curva Forward'!$B$5:$B$13,0),MATCH(FO$4,'Curva Forward'!$C$4:$AN$4,0))),CQ239)</f>
        <v>0</v>
      </c>
      <c r="FP239" s="190">
        <f>AD239*AD$2*IF($FC239="V",1,-1)*IF($Q239="Fixo",(CR239-INDEX('Curva Forward'!$C$5:$AN$13,MATCH(CONCATENATE(BD_COMERCIAL!$K239," ",BD_COMERCIAL!$L239),'Curva Forward'!$B$5:$B$13,0),MATCH(FP$4,'Curva Forward'!$C$4:$AN$4,0))),CR239)</f>
        <v>0</v>
      </c>
      <c r="FQ239" s="190">
        <f>AE239*AE$2*IF($FC239="V",1,-1)*IF($Q239="Fixo",(CS239-INDEX('Curva Forward'!$C$5:$AN$13,MATCH(CONCATENATE(BD_COMERCIAL!$K239," ",BD_COMERCIAL!$L239),'Curva Forward'!$B$5:$B$13,0),MATCH(FQ$4,'Curva Forward'!$C$4:$AN$4,0))),CS239)</f>
        <v>0</v>
      </c>
      <c r="FR239" s="190">
        <f>AF239*AF$2*IF($FC239="V",1,-1)*IF($Q239="Fixo",(CT239-INDEX('Curva Forward'!$C$5:$AN$13,MATCH(CONCATENATE(BD_COMERCIAL!$K239," ",BD_COMERCIAL!$L239),'Curva Forward'!$B$5:$B$13,0),MATCH(FR$4,'Curva Forward'!$C$4:$AN$4,0))),CT239)</f>
        <v>0</v>
      </c>
      <c r="FS239" s="190">
        <f>AG239*AG$2*IF($FC239="V",1,-1)*IF($Q239="Fixo",(CU239-INDEX('Curva Forward'!$C$5:$AN$13,MATCH(CONCATENATE(BD_COMERCIAL!$K239," ",BD_COMERCIAL!$L239),'Curva Forward'!$B$5:$B$13,0),MATCH(FS$4,'Curva Forward'!$C$4:$AN$4,0))),CU239)</f>
        <v>0</v>
      </c>
      <c r="FT239" s="190">
        <f>AH239*AH$2*IF($FC239="V",1,-1)*IF($Q239="Fixo",(CV239-INDEX('Curva Forward'!$C$5:$AN$13,MATCH(CONCATENATE(BD_COMERCIAL!$K239," ",BD_COMERCIAL!$L239),'Curva Forward'!$B$5:$B$13,0),MATCH(FT$4,'Curva Forward'!$C$4:$AN$4,0))),CV239)</f>
        <v>0</v>
      </c>
      <c r="FU239" s="190">
        <f>AI239*AI$2*IF($FC239="V",1,-1)*IF($Q239="Fixo",(CW239-INDEX('Curva Forward'!$C$5:$AN$13,MATCH(CONCATENATE(BD_COMERCIAL!$K239," ",BD_COMERCIAL!$L239),'Curva Forward'!$B$5:$B$13,0),MATCH(FU$4,'Curva Forward'!$C$4:$AN$4,0))),CW239)</f>
        <v>0</v>
      </c>
      <c r="FV239" s="190">
        <f>AJ239*AJ$2*IF($FC239="V",1,-1)*IF($Q239="Fixo",(CX239-INDEX('Curva Forward'!$C$5:$AN$13,MATCH(CONCATENATE(BD_COMERCIAL!$K239," ",BD_COMERCIAL!$L239),'Curva Forward'!$B$5:$B$13,0),MATCH(FV$4,'Curva Forward'!$C$4:$AN$4,0))),CX239)</f>
        <v>0</v>
      </c>
      <c r="FW239" s="190">
        <f>AK239*AK$2*IF($FC239="V",1,-1)*IF($Q239="Fixo",(CY239-INDEX('Curva Forward'!$C$5:$AN$13,MATCH(CONCATENATE(BD_COMERCIAL!$K239," ",BD_COMERCIAL!$L239),'Curva Forward'!$B$5:$B$13,0),MATCH(FW$4,'Curva Forward'!$C$4:$AN$4,0))),CY239)</f>
        <v>0</v>
      </c>
      <c r="FX239" s="190">
        <f>AL239*AL$2*IF($FC239="V",1,-1)*IF($Q239="Fixo",(CZ239-INDEX('Curva Forward'!$C$5:$AN$13,MATCH(CONCATENATE(BD_COMERCIAL!$K239," ",BD_COMERCIAL!$L239),'Curva Forward'!$B$5:$B$13,0),MATCH(FX$4,'Curva Forward'!$C$4:$AN$4,0))),CZ239)</f>
        <v>0</v>
      </c>
      <c r="FY239" s="190">
        <f>AM239*AM$2*IF($FC239="V",1,-1)*IF($Q239="Fixo",(DA239-INDEX('Curva Forward'!$C$5:$AN$13,MATCH(CONCATENATE(BD_COMERCIAL!$K239," ",BD_COMERCIAL!$L239),'Curva Forward'!$B$5:$B$13,0),MATCH(FY$4,'Curva Forward'!$C$4:$AN$4,0))),DA239)</f>
        <v>0</v>
      </c>
      <c r="FZ239" s="190">
        <f>AN239*AN$2*IF($FC239="V",1,-1)*IF($Q239="Fixo",(DB239-INDEX('Curva Forward'!$C$5:$AN$13,MATCH(CONCATENATE(BD_COMERCIAL!$K239," ",BD_COMERCIAL!$L239),'Curva Forward'!$B$5:$B$13,0),MATCH(FZ$4,'Curva Forward'!$C$4:$AN$4,0))),DB239)</f>
        <v>0</v>
      </c>
      <c r="GA239" s="190">
        <f>AO239*AO$2*IF($FC239="V",1,-1)*IF($Q239="Fixo",(DC239-INDEX('Curva Forward'!$C$5:$AN$13,MATCH(CONCATENATE(BD_COMERCIAL!$K239," ",BD_COMERCIAL!$L239),'Curva Forward'!$B$5:$B$13,0),MATCH(GA$4,'Curva Forward'!$C$4:$AN$4,0))),DC239)</f>
        <v>0</v>
      </c>
      <c r="GB239" s="190">
        <f>AP239*AP$2*IF($FC239="V",1,-1)*IF($Q239="Fixo",(DD239-INDEX('Curva Forward'!$C$5:$AN$13,MATCH(CONCATENATE(BD_COMERCIAL!$K239," ",BD_COMERCIAL!$L239),'Curva Forward'!$B$5:$B$13,0),MATCH(GB$4,'Curva Forward'!$C$4:$AN$4,0))),DD239)</f>
        <v>0</v>
      </c>
      <c r="GC239" s="190">
        <f>AQ239*AQ$2*IF($FC239="V",1,-1)*IF($Q239="Fixo",(DE239-INDEX('Curva Forward'!$C$5:$AN$13,MATCH(CONCATENATE(BD_COMERCIAL!$K239," ",BD_COMERCIAL!$L239),'Curva Forward'!$B$5:$B$13,0),MATCH(GC$4,'Curva Forward'!$C$4:$AN$4,0))),DE239)</f>
        <v>0</v>
      </c>
      <c r="GD239" s="190">
        <f>AR239*AR$2*IF($FC239="V",1,-1)*IF($Q239="Fixo",(DF239-INDEX('Curva Forward'!$C$5:$AN$13,MATCH(CONCATENATE(BD_COMERCIAL!$K239," ",BD_COMERCIAL!$L239),'Curva Forward'!$B$5:$B$13,0),MATCH(GD$4,'Curva Forward'!$C$4:$AN$4,0))),DF239)</f>
        <v>0</v>
      </c>
      <c r="GE239" s="190">
        <f>AS239*AS$2*IF($FC239="V",1,-1)*IF($Q239="Fixo",(DG239-INDEX('Curva Forward'!$C$5:$AN$13,MATCH(CONCATENATE(BD_COMERCIAL!$K239," ",BD_COMERCIAL!$L239),'Curva Forward'!$B$5:$B$13,0),MATCH(GE$4,'Curva Forward'!$C$4:$AN$4,0))),DG239)</f>
        <v>0</v>
      </c>
      <c r="GF239" s="190">
        <f>AT239*AT$2*IF($FC239="V",1,-1)*IF($Q239="Fixo",(DH239-INDEX('Curva Forward'!$C$5:$AN$13,MATCH(CONCATENATE(BD_COMERCIAL!$K239," ",BD_COMERCIAL!$L239),'Curva Forward'!$B$5:$B$13,0),MATCH(GF$4,'Curva Forward'!$C$4:$AN$4,0))),DH239)</f>
        <v>0</v>
      </c>
      <c r="GG239" s="190">
        <f>AU239*AU$2*IF($FC239="V",1,-1)*IF($Q239="Fixo",(DI239-INDEX('Curva Forward'!$C$5:$AN$13,MATCH(CONCATENATE(BD_COMERCIAL!$K239," ",BD_COMERCIAL!$L239),'Curva Forward'!$B$5:$B$13,0),MATCH(GG$4,'Curva Forward'!$C$4:$AN$4,0))),DI239)</f>
        <v>0</v>
      </c>
      <c r="GH239" s="190">
        <f>AV239*AV$2*IF($FC239="V",1,-1)*IF($Q239="Fixo",(DJ239-INDEX('Curva Forward'!$C$5:$AN$13,MATCH(CONCATENATE(BD_COMERCIAL!$K239," ",BD_COMERCIAL!$L239),'Curva Forward'!$B$5:$B$13,0),MATCH(GH$4,'Curva Forward'!$C$4:$AN$4,0))),DJ239)</f>
        <v>0</v>
      </c>
      <c r="GI239" s="190">
        <f>AW239*AW$2*IF($FC239="V",1,-1)*IF($Q239="Fixo",(DK239-INDEX('Curva Forward'!$C$5:$AN$13,MATCH(CONCATENATE(BD_COMERCIAL!$K239," ",BD_COMERCIAL!$L239),'Curva Forward'!$B$5:$B$13,0),MATCH(GI$4,'Curva Forward'!$C$4:$AN$4,0))),DK239)</f>
        <v>0</v>
      </c>
      <c r="GJ239" s="190">
        <f>AX239*AX$2*IF($FC239="V",1,-1)*IF($Q239="Fixo",(DL239-INDEX('Curva Forward'!$C$5:$AN$13,MATCH(CONCATENATE(BD_COMERCIAL!$K239," ",BD_COMERCIAL!$L239),'Curva Forward'!$B$5:$B$13,0),MATCH(GJ$4,'Curva Forward'!$C$4:$AN$4,0))),DL239)</f>
        <v>0</v>
      </c>
      <c r="GK239" s="190">
        <f>AY239*AY$2*IF($FC239="V",1,-1)*IF($Q239="Fixo",(DM239-INDEX('Curva Forward'!$C$5:$AN$13,MATCH(CONCATENATE(BD_COMERCIAL!$K239," ",BD_COMERCIAL!$L239),'Curva Forward'!$B$5:$B$13,0),MATCH(GK$4,'Curva Forward'!$C$4:$AN$4,0))),DM239)</f>
        <v>0</v>
      </c>
      <c r="GL239" s="190">
        <f>IF(EZ239="",0,CL239*CL$2*IF($FC239="V",1,-1)*IF($Q239="Fixo",(EZ239-INDEX('Curva Forward'!$C$5:$AN$13,MATCH(CONCATENATE(BD_COMERCIAL!$K239," ",BD_COMERCIAL!$L239),'Curva Forward'!$B$5:$B$13,0),MATCH(GL$4,'Curva Forward'!$C$4:$AN$4,0))),EZ239))</f>
        <v>0</v>
      </c>
      <c r="GM239" s="190">
        <f>IF(FA239="",0,CM239*CM$2*IF($FC239="V",1,-1)*IF($Q239="Fixo",(FA239-INDEX('Curva Forward'!$C$5:$AN$13,MATCH(CONCATENATE(BD_COMERCIAL!$K239," ",BD_COMERCIAL!$L239),'Curva Forward'!$B$5:$B$13,0),MATCH(GM$4,'Curva Forward'!$C$4:$AN$4,0))),FA239))</f>
        <v>0</v>
      </c>
      <c r="GN239" s="190">
        <f>IF(FB239="",0,CN239*CN$2*IF($FC239="V",1,-1)*IF($Q239="Fixo",(FB239-INDEX('Curva Forward'!$C$5:$AN$13,MATCH(CONCATENATE(BD_COMERCIAL!$K239," ",BD_COMERCIAL!$L239),'Curva Forward'!$B$5:$B$13,0),MATCH(GN$4,'Curva Forward'!$C$4:$AN$4,0))),FB239))</f>
        <v>0</v>
      </c>
      <c r="GO239" s="191">
        <f t="shared" ca="1" si="32"/>
        <v>0</v>
      </c>
      <c r="GP239" s="191">
        <f t="shared" ca="1" si="33"/>
        <v>0</v>
      </c>
      <c r="GQ239" s="115"/>
      <c r="GR239" s="115"/>
      <c r="GS239"/>
      <c r="GT239" s="65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</row>
    <row r="240" spans="1:236" s="265" customFormat="1" ht="15" customHeight="1" x14ac:dyDescent="0.35">
      <c r="A240" s="251"/>
      <c r="B240" s="275"/>
      <c r="C240" s="253"/>
      <c r="D240" s="254"/>
      <c r="E240" s="254"/>
      <c r="F240" s="255"/>
      <c r="G240" s="256"/>
      <c r="H240" s="255"/>
      <c r="I240" s="254"/>
      <c r="J240" s="257"/>
      <c r="K240" s="256"/>
      <c r="L240" s="252"/>
      <c r="M240" s="258"/>
      <c r="N240" s="259"/>
      <c r="O240" s="256"/>
      <c r="P240" s="252"/>
      <c r="Q240" s="252"/>
      <c r="R240" s="256"/>
      <c r="S240" s="260"/>
      <c r="T240" s="258"/>
      <c r="U240" s="259"/>
      <c r="V240" s="261"/>
      <c r="W240" s="252"/>
      <c r="X240" s="262"/>
      <c r="Y240" s="257"/>
      <c r="Z240" s="263"/>
      <c r="AA240" s="264"/>
      <c r="AB240" s="266"/>
      <c r="AM240" s="251"/>
      <c r="AN240" s="266"/>
      <c r="AY240" s="251"/>
      <c r="AZ240" s="266"/>
      <c r="BK240" s="251"/>
      <c r="BL240" s="266"/>
      <c r="BW240" s="251"/>
      <c r="BX240" s="266"/>
      <c r="CI240" s="251"/>
      <c r="CJ240" s="267"/>
      <c r="CK240" s="267"/>
      <c r="CL240" s="267"/>
      <c r="CM240" s="267"/>
      <c r="CN240" s="267"/>
      <c r="CO240" s="268"/>
      <c r="CP240" s="266"/>
      <c r="DA240" s="251"/>
      <c r="DB240" s="266"/>
      <c r="DM240" s="251"/>
      <c r="DN240" s="266"/>
      <c r="DY240" s="251"/>
      <c r="DZ240" s="266"/>
      <c r="EK240" s="251"/>
      <c r="EL240" s="266"/>
      <c r="EW240" s="251"/>
      <c r="EX240" s="267"/>
      <c r="EY240" s="267"/>
      <c r="EZ240" s="267"/>
      <c r="FA240" s="267"/>
      <c r="FB240" s="269"/>
      <c r="FD240" s="270"/>
      <c r="FF240" s="276"/>
      <c r="FH240" s="206">
        <f t="shared" si="27"/>
        <v>0</v>
      </c>
      <c r="FI240" s="198">
        <f t="shared" si="28"/>
        <v>0</v>
      </c>
      <c r="FJ240"/>
      <c r="FK240">
        <f t="shared" si="29"/>
        <v>0</v>
      </c>
      <c r="FL240" s="191">
        <f t="shared" ca="1" si="30"/>
        <v>0</v>
      </c>
      <c r="FM240" s="191">
        <f t="shared" ca="1" si="31"/>
        <v>0</v>
      </c>
      <c r="FN240" s="190">
        <f>AB240*AB$2*IF($FC240="V",1,-1)*IF($Q240="Fixo",(CP240-INDEX('Curva Forward'!$C$5:$AN$13,MATCH(CONCATENATE(BD_COMERCIAL!$K240," ",BD_COMERCIAL!$L240),'Curva Forward'!$B$5:$B$13,0),MATCH(FN$4,'Curva Forward'!$C$4:$AN$4,0))),CP240)</f>
        <v>0</v>
      </c>
      <c r="FO240" s="190">
        <f>AC240*AC$2*IF($FC240="V",1,-1)*IF($Q240="Fixo",(CQ240-INDEX('Curva Forward'!$C$5:$AN$13,MATCH(CONCATENATE(BD_COMERCIAL!$K240," ",BD_COMERCIAL!$L240),'Curva Forward'!$B$5:$B$13,0),MATCH(FO$4,'Curva Forward'!$C$4:$AN$4,0))),CQ240)</f>
        <v>0</v>
      </c>
      <c r="FP240" s="190">
        <f>AD240*AD$2*IF($FC240="V",1,-1)*IF($Q240="Fixo",(CR240-INDEX('Curva Forward'!$C$5:$AN$13,MATCH(CONCATENATE(BD_COMERCIAL!$K240," ",BD_COMERCIAL!$L240),'Curva Forward'!$B$5:$B$13,0),MATCH(FP$4,'Curva Forward'!$C$4:$AN$4,0))),CR240)</f>
        <v>0</v>
      </c>
      <c r="FQ240" s="190">
        <f>AE240*AE$2*IF($FC240="V",1,-1)*IF($Q240="Fixo",(CS240-INDEX('Curva Forward'!$C$5:$AN$13,MATCH(CONCATENATE(BD_COMERCIAL!$K240," ",BD_COMERCIAL!$L240),'Curva Forward'!$B$5:$B$13,0),MATCH(FQ$4,'Curva Forward'!$C$4:$AN$4,0))),CS240)</f>
        <v>0</v>
      </c>
      <c r="FR240" s="190">
        <f>AF240*AF$2*IF($FC240="V",1,-1)*IF($Q240="Fixo",(CT240-INDEX('Curva Forward'!$C$5:$AN$13,MATCH(CONCATENATE(BD_COMERCIAL!$K240," ",BD_COMERCIAL!$L240),'Curva Forward'!$B$5:$B$13,0),MATCH(FR$4,'Curva Forward'!$C$4:$AN$4,0))),CT240)</f>
        <v>0</v>
      </c>
      <c r="FS240" s="190">
        <f>AG240*AG$2*IF($FC240="V",1,-1)*IF($Q240="Fixo",(CU240-INDEX('Curva Forward'!$C$5:$AN$13,MATCH(CONCATENATE(BD_COMERCIAL!$K240," ",BD_COMERCIAL!$L240),'Curva Forward'!$B$5:$B$13,0),MATCH(FS$4,'Curva Forward'!$C$4:$AN$4,0))),CU240)</f>
        <v>0</v>
      </c>
      <c r="FT240" s="190">
        <f>AH240*AH$2*IF($FC240="V",1,-1)*IF($Q240="Fixo",(CV240-INDEX('Curva Forward'!$C$5:$AN$13,MATCH(CONCATENATE(BD_COMERCIAL!$K240," ",BD_COMERCIAL!$L240),'Curva Forward'!$B$5:$B$13,0),MATCH(FT$4,'Curva Forward'!$C$4:$AN$4,0))),CV240)</f>
        <v>0</v>
      </c>
      <c r="FU240" s="190">
        <f>AI240*AI$2*IF($FC240="V",1,-1)*IF($Q240="Fixo",(CW240-INDEX('Curva Forward'!$C$5:$AN$13,MATCH(CONCATENATE(BD_COMERCIAL!$K240," ",BD_COMERCIAL!$L240),'Curva Forward'!$B$5:$B$13,0),MATCH(FU$4,'Curva Forward'!$C$4:$AN$4,0))),CW240)</f>
        <v>0</v>
      </c>
      <c r="FV240" s="190">
        <f>AJ240*AJ$2*IF($FC240="V",1,-1)*IF($Q240="Fixo",(CX240-INDEX('Curva Forward'!$C$5:$AN$13,MATCH(CONCATENATE(BD_COMERCIAL!$K240," ",BD_COMERCIAL!$L240),'Curva Forward'!$B$5:$B$13,0),MATCH(FV$4,'Curva Forward'!$C$4:$AN$4,0))),CX240)</f>
        <v>0</v>
      </c>
      <c r="FW240" s="190">
        <f>AK240*AK$2*IF($FC240="V",1,-1)*IF($Q240="Fixo",(CY240-INDEX('Curva Forward'!$C$5:$AN$13,MATCH(CONCATENATE(BD_COMERCIAL!$K240," ",BD_COMERCIAL!$L240),'Curva Forward'!$B$5:$B$13,0),MATCH(FW$4,'Curva Forward'!$C$4:$AN$4,0))),CY240)</f>
        <v>0</v>
      </c>
      <c r="FX240" s="190">
        <f>AL240*AL$2*IF($FC240="V",1,-1)*IF($Q240="Fixo",(CZ240-INDEX('Curva Forward'!$C$5:$AN$13,MATCH(CONCATENATE(BD_COMERCIAL!$K240," ",BD_COMERCIAL!$L240),'Curva Forward'!$B$5:$B$13,0),MATCH(FX$4,'Curva Forward'!$C$4:$AN$4,0))),CZ240)</f>
        <v>0</v>
      </c>
      <c r="FY240" s="190">
        <f>AM240*AM$2*IF($FC240="V",1,-1)*IF($Q240="Fixo",(DA240-INDEX('Curva Forward'!$C$5:$AN$13,MATCH(CONCATENATE(BD_COMERCIAL!$K240," ",BD_COMERCIAL!$L240),'Curva Forward'!$B$5:$B$13,0),MATCH(FY$4,'Curva Forward'!$C$4:$AN$4,0))),DA240)</f>
        <v>0</v>
      </c>
      <c r="FZ240" s="190">
        <f>AN240*AN$2*IF($FC240="V",1,-1)*IF($Q240="Fixo",(DB240-INDEX('Curva Forward'!$C$5:$AN$13,MATCH(CONCATENATE(BD_COMERCIAL!$K240," ",BD_COMERCIAL!$L240),'Curva Forward'!$B$5:$B$13,0),MATCH(FZ$4,'Curva Forward'!$C$4:$AN$4,0))),DB240)</f>
        <v>0</v>
      </c>
      <c r="GA240" s="190">
        <f>AO240*AO$2*IF($FC240="V",1,-1)*IF($Q240="Fixo",(DC240-INDEX('Curva Forward'!$C$5:$AN$13,MATCH(CONCATENATE(BD_COMERCIAL!$K240," ",BD_COMERCIAL!$L240),'Curva Forward'!$B$5:$B$13,0),MATCH(GA$4,'Curva Forward'!$C$4:$AN$4,0))),DC240)</f>
        <v>0</v>
      </c>
      <c r="GB240" s="190">
        <f>AP240*AP$2*IF($FC240="V",1,-1)*IF($Q240="Fixo",(DD240-INDEX('Curva Forward'!$C$5:$AN$13,MATCH(CONCATENATE(BD_COMERCIAL!$K240," ",BD_COMERCIAL!$L240),'Curva Forward'!$B$5:$B$13,0),MATCH(GB$4,'Curva Forward'!$C$4:$AN$4,0))),DD240)</f>
        <v>0</v>
      </c>
      <c r="GC240" s="190">
        <f>AQ240*AQ$2*IF($FC240="V",1,-1)*IF($Q240="Fixo",(DE240-INDEX('Curva Forward'!$C$5:$AN$13,MATCH(CONCATENATE(BD_COMERCIAL!$K240," ",BD_COMERCIAL!$L240),'Curva Forward'!$B$5:$B$13,0),MATCH(GC$4,'Curva Forward'!$C$4:$AN$4,0))),DE240)</f>
        <v>0</v>
      </c>
      <c r="GD240" s="190">
        <f>AR240*AR$2*IF($FC240="V",1,-1)*IF($Q240="Fixo",(DF240-INDEX('Curva Forward'!$C$5:$AN$13,MATCH(CONCATENATE(BD_COMERCIAL!$K240," ",BD_COMERCIAL!$L240),'Curva Forward'!$B$5:$B$13,0),MATCH(GD$4,'Curva Forward'!$C$4:$AN$4,0))),DF240)</f>
        <v>0</v>
      </c>
      <c r="GE240" s="190">
        <f>AS240*AS$2*IF($FC240="V",1,-1)*IF($Q240="Fixo",(DG240-INDEX('Curva Forward'!$C$5:$AN$13,MATCH(CONCATENATE(BD_COMERCIAL!$K240," ",BD_COMERCIAL!$L240),'Curva Forward'!$B$5:$B$13,0),MATCH(GE$4,'Curva Forward'!$C$4:$AN$4,0))),DG240)</f>
        <v>0</v>
      </c>
      <c r="GF240" s="190">
        <f>AT240*AT$2*IF($FC240="V",1,-1)*IF($Q240="Fixo",(DH240-INDEX('Curva Forward'!$C$5:$AN$13,MATCH(CONCATENATE(BD_COMERCIAL!$K240," ",BD_COMERCIAL!$L240),'Curva Forward'!$B$5:$B$13,0),MATCH(GF$4,'Curva Forward'!$C$4:$AN$4,0))),DH240)</f>
        <v>0</v>
      </c>
      <c r="GG240" s="190">
        <f>AU240*AU$2*IF($FC240="V",1,-1)*IF($Q240="Fixo",(DI240-INDEX('Curva Forward'!$C$5:$AN$13,MATCH(CONCATENATE(BD_COMERCIAL!$K240," ",BD_COMERCIAL!$L240),'Curva Forward'!$B$5:$B$13,0),MATCH(GG$4,'Curva Forward'!$C$4:$AN$4,0))),DI240)</f>
        <v>0</v>
      </c>
      <c r="GH240" s="190">
        <f>AV240*AV$2*IF($FC240="V",1,-1)*IF($Q240="Fixo",(DJ240-INDEX('Curva Forward'!$C$5:$AN$13,MATCH(CONCATENATE(BD_COMERCIAL!$K240," ",BD_COMERCIAL!$L240),'Curva Forward'!$B$5:$B$13,0),MATCH(GH$4,'Curva Forward'!$C$4:$AN$4,0))),DJ240)</f>
        <v>0</v>
      </c>
      <c r="GI240" s="190">
        <f>AW240*AW$2*IF($FC240="V",1,-1)*IF($Q240="Fixo",(DK240-INDEX('Curva Forward'!$C$5:$AN$13,MATCH(CONCATENATE(BD_COMERCIAL!$K240," ",BD_COMERCIAL!$L240),'Curva Forward'!$B$5:$B$13,0),MATCH(GI$4,'Curva Forward'!$C$4:$AN$4,0))),DK240)</f>
        <v>0</v>
      </c>
      <c r="GJ240" s="190">
        <f>AX240*AX$2*IF($FC240="V",1,-1)*IF($Q240="Fixo",(DL240-INDEX('Curva Forward'!$C$5:$AN$13,MATCH(CONCATENATE(BD_COMERCIAL!$K240," ",BD_COMERCIAL!$L240),'Curva Forward'!$B$5:$B$13,0),MATCH(GJ$4,'Curva Forward'!$C$4:$AN$4,0))),DL240)</f>
        <v>0</v>
      </c>
      <c r="GK240" s="190">
        <f>AY240*AY$2*IF($FC240="V",1,-1)*IF($Q240="Fixo",(DM240-INDEX('Curva Forward'!$C$5:$AN$13,MATCH(CONCATENATE(BD_COMERCIAL!$K240," ",BD_COMERCIAL!$L240),'Curva Forward'!$B$5:$B$13,0),MATCH(GK$4,'Curva Forward'!$C$4:$AN$4,0))),DM240)</f>
        <v>0</v>
      </c>
      <c r="GL240" s="190">
        <f>IF(EZ240="",0,CL240*CL$2*IF($FC240="V",1,-1)*IF($Q240="Fixo",(EZ240-INDEX('Curva Forward'!$C$5:$AN$13,MATCH(CONCATENATE(BD_COMERCIAL!$K240," ",BD_COMERCIAL!$L240),'Curva Forward'!$B$5:$B$13,0),MATCH(GL$4,'Curva Forward'!$C$4:$AN$4,0))),EZ240))</f>
        <v>0</v>
      </c>
      <c r="GM240" s="190">
        <f>IF(FA240="",0,CM240*CM$2*IF($FC240="V",1,-1)*IF($Q240="Fixo",(FA240-INDEX('Curva Forward'!$C$5:$AN$13,MATCH(CONCATENATE(BD_COMERCIAL!$K240," ",BD_COMERCIAL!$L240),'Curva Forward'!$B$5:$B$13,0),MATCH(GM$4,'Curva Forward'!$C$4:$AN$4,0))),FA240))</f>
        <v>0</v>
      </c>
      <c r="GN240" s="190">
        <f>IF(FB240="",0,CN240*CN$2*IF($FC240="V",1,-1)*IF($Q240="Fixo",(FB240-INDEX('Curva Forward'!$C$5:$AN$13,MATCH(CONCATENATE(BD_COMERCIAL!$K240," ",BD_COMERCIAL!$L240),'Curva Forward'!$B$5:$B$13,0),MATCH(GN$4,'Curva Forward'!$C$4:$AN$4,0))),FB240))</f>
        <v>0</v>
      </c>
      <c r="GO240" s="191">
        <f t="shared" ca="1" si="32"/>
        <v>0</v>
      </c>
      <c r="GP240" s="191">
        <f t="shared" ca="1" si="33"/>
        <v>0</v>
      </c>
      <c r="GQ240" s="115"/>
      <c r="GR240" s="115"/>
      <c r="GS240"/>
      <c r="GT240" s="65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</row>
    <row r="241" spans="1:236" s="265" customFormat="1" ht="15" customHeight="1" x14ac:dyDescent="0.35">
      <c r="A241" s="251"/>
      <c r="B241" s="275"/>
      <c r="C241" s="253"/>
      <c r="D241" s="254"/>
      <c r="E241" s="254"/>
      <c r="F241" s="255"/>
      <c r="G241" s="256"/>
      <c r="H241" s="255"/>
      <c r="I241" s="254"/>
      <c r="J241" s="257"/>
      <c r="K241" s="256"/>
      <c r="L241" s="252"/>
      <c r="M241" s="258"/>
      <c r="N241" s="259"/>
      <c r="O241" s="256"/>
      <c r="P241" s="252"/>
      <c r="Q241" s="252"/>
      <c r="R241" s="256"/>
      <c r="S241" s="260"/>
      <c r="T241" s="258"/>
      <c r="U241" s="259"/>
      <c r="V241" s="261"/>
      <c r="W241" s="252"/>
      <c r="X241" s="262"/>
      <c r="Y241" s="257"/>
      <c r="Z241" s="263"/>
      <c r="AA241" s="264"/>
      <c r="AB241" s="266"/>
      <c r="AM241" s="251"/>
      <c r="AN241" s="266"/>
      <c r="AY241" s="251"/>
      <c r="AZ241" s="266"/>
      <c r="BK241" s="251"/>
      <c r="BL241" s="266"/>
      <c r="BW241" s="251"/>
      <c r="BX241" s="266"/>
      <c r="CI241" s="251"/>
      <c r="CJ241" s="267"/>
      <c r="CK241" s="267"/>
      <c r="CL241" s="267"/>
      <c r="CM241" s="267"/>
      <c r="CN241" s="267"/>
      <c r="CO241" s="268"/>
      <c r="CP241" s="266"/>
      <c r="DA241" s="251"/>
      <c r="DB241" s="266"/>
      <c r="DM241" s="251"/>
      <c r="DN241" s="266"/>
      <c r="DY241" s="251"/>
      <c r="DZ241" s="266"/>
      <c r="EK241" s="251"/>
      <c r="EL241" s="266"/>
      <c r="EW241" s="251"/>
      <c r="EX241" s="267"/>
      <c r="EY241" s="267"/>
      <c r="EZ241" s="267"/>
      <c r="FA241" s="267"/>
      <c r="FB241" s="269"/>
      <c r="FD241" s="270"/>
      <c r="FF241" s="276"/>
      <c r="FH241" s="206">
        <f t="shared" si="27"/>
        <v>0</v>
      </c>
      <c r="FI241" s="198">
        <f t="shared" si="28"/>
        <v>0</v>
      </c>
      <c r="FJ241"/>
      <c r="FK241">
        <f t="shared" si="29"/>
        <v>0</v>
      </c>
      <c r="FL241" s="191">
        <f t="shared" ca="1" si="30"/>
        <v>0</v>
      </c>
      <c r="FM241" s="191">
        <f t="shared" ca="1" si="31"/>
        <v>0</v>
      </c>
      <c r="FN241" s="190">
        <f>AB241*AB$2*IF($FC241="V",1,-1)*IF($Q241="Fixo",(CP241-INDEX('Curva Forward'!$C$5:$AN$13,MATCH(CONCATENATE(BD_COMERCIAL!$K241," ",BD_COMERCIAL!$L241),'Curva Forward'!$B$5:$B$13,0),MATCH(FN$4,'Curva Forward'!$C$4:$AN$4,0))),CP241)</f>
        <v>0</v>
      </c>
      <c r="FO241" s="190">
        <f>AC241*AC$2*IF($FC241="V",1,-1)*IF($Q241="Fixo",(CQ241-INDEX('Curva Forward'!$C$5:$AN$13,MATCH(CONCATENATE(BD_COMERCIAL!$K241," ",BD_COMERCIAL!$L241),'Curva Forward'!$B$5:$B$13,0),MATCH(FO$4,'Curva Forward'!$C$4:$AN$4,0))),CQ241)</f>
        <v>0</v>
      </c>
      <c r="FP241" s="190">
        <f>AD241*AD$2*IF($FC241="V",1,-1)*IF($Q241="Fixo",(CR241-INDEX('Curva Forward'!$C$5:$AN$13,MATCH(CONCATENATE(BD_COMERCIAL!$K241," ",BD_COMERCIAL!$L241),'Curva Forward'!$B$5:$B$13,0),MATCH(FP$4,'Curva Forward'!$C$4:$AN$4,0))),CR241)</f>
        <v>0</v>
      </c>
      <c r="FQ241" s="190">
        <f>AE241*AE$2*IF($FC241="V",1,-1)*IF($Q241="Fixo",(CS241-INDEX('Curva Forward'!$C$5:$AN$13,MATCH(CONCATENATE(BD_COMERCIAL!$K241," ",BD_COMERCIAL!$L241),'Curva Forward'!$B$5:$B$13,0),MATCH(FQ$4,'Curva Forward'!$C$4:$AN$4,0))),CS241)</f>
        <v>0</v>
      </c>
      <c r="FR241" s="190">
        <f>AF241*AF$2*IF($FC241="V",1,-1)*IF($Q241="Fixo",(CT241-INDEX('Curva Forward'!$C$5:$AN$13,MATCH(CONCATENATE(BD_COMERCIAL!$K241," ",BD_COMERCIAL!$L241),'Curva Forward'!$B$5:$B$13,0),MATCH(FR$4,'Curva Forward'!$C$4:$AN$4,0))),CT241)</f>
        <v>0</v>
      </c>
      <c r="FS241" s="190">
        <f>AG241*AG$2*IF($FC241="V",1,-1)*IF($Q241="Fixo",(CU241-INDEX('Curva Forward'!$C$5:$AN$13,MATCH(CONCATENATE(BD_COMERCIAL!$K241," ",BD_COMERCIAL!$L241),'Curva Forward'!$B$5:$B$13,0),MATCH(FS$4,'Curva Forward'!$C$4:$AN$4,0))),CU241)</f>
        <v>0</v>
      </c>
      <c r="FT241" s="190">
        <f>AH241*AH$2*IF($FC241="V",1,-1)*IF($Q241="Fixo",(CV241-INDEX('Curva Forward'!$C$5:$AN$13,MATCH(CONCATENATE(BD_COMERCIAL!$K241," ",BD_COMERCIAL!$L241),'Curva Forward'!$B$5:$B$13,0),MATCH(FT$4,'Curva Forward'!$C$4:$AN$4,0))),CV241)</f>
        <v>0</v>
      </c>
      <c r="FU241" s="190">
        <f>AI241*AI$2*IF($FC241="V",1,-1)*IF($Q241="Fixo",(CW241-INDEX('Curva Forward'!$C$5:$AN$13,MATCH(CONCATENATE(BD_COMERCIAL!$K241," ",BD_COMERCIAL!$L241),'Curva Forward'!$B$5:$B$13,0),MATCH(FU$4,'Curva Forward'!$C$4:$AN$4,0))),CW241)</f>
        <v>0</v>
      </c>
      <c r="FV241" s="190">
        <f>AJ241*AJ$2*IF($FC241="V",1,-1)*IF($Q241="Fixo",(CX241-INDEX('Curva Forward'!$C$5:$AN$13,MATCH(CONCATENATE(BD_COMERCIAL!$K241," ",BD_COMERCIAL!$L241),'Curva Forward'!$B$5:$B$13,0),MATCH(FV$4,'Curva Forward'!$C$4:$AN$4,0))),CX241)</f>
        <v>0</v>
      </c>
      <c r="FW241" s="190">
        <f>AK241*AK$2*IF($FC241="V",1,-1)*IF($Q241="Fixo",(CY241-INDEX('Curva Forward'!$C$5:$AN$13,MATCH(CONCATENATE(BD_COMERCIAL!$K241," ",BD_COMERCIAL!$L241),'Curva Forward'!$B$5:$B$13,0),MATCH(FW$4,'Curva Forward'!$C$4:$AN$4,0))),CY241)</f>
        <v>0</v>
      </c>
      <c r="FX241" s="190">
        <f>AL241*AL$2*IF($FC241="V",1,-1)*IF($Q241="Fixo",(CZ241-INDEX('Curva Forward'!$C$5:$AN$13,MATCH(CONCATENATE(BD_COMERCIAL!$K241," ",BD_COMERCIAL!$L241),'Curva Forward'!$B$5:$B$13,0),MATCH(FX$4,'Curva Forward'!$C$4:$AN$4,0))),CZ241)</f>
        <v>0</v>
      </c>
      <c r="FY241" s="190">
        <f>AM241*AM$2*IF($FC241="V",1,-1)*IF($Q241="Fixo",(DA241-INDEX('Curva Forward'!$C$5:$AN$13,MATCH(CONCATENATE(BD_COMERCIAL!$K241," ",BD_COMERCIAL!$L241),'Curva Forward'!$B$5:$B$13,0),MATCH(FY$4,'Curva Forward'!$C$4:$AN$4,0))),DA241)</f>
        <v>0</v>
      </c>
      <c r="FZ241" s="190">
        <f>AN241*AN$2*IF($FC241="V",1,-1)*IF($Q241="Fixo",(DB241-INDEX('Curva Forward'!$C$5:$AN$13,MATCH(CONCATENATE(BD_COMERCIAL!$K241," ",BD_COMERCIAL!$L241),'Curva Forward'!$B$5:$B$13,0),MATCH(FZ$4,'Curva Forward'!$C$4:$AN$4,0))),DB241)</f>
        <v>0</v>
      </c>
      <c r="GA241" s="190">
        <f>AO241*AO$2*IF($FC241="V",1,-1)*IF($Q241="Fixo",(DC241-INDEX('Curva Forward'!$C$5:$AN$13,MATCH(CONCATENATE(BD_COMERCIAL!$K241," ",BD_COMERCIAL!$L241),'Curva Forward'!$B$5:$B$13,0),MATCH(GA$4,'Curva Forward'!$C$4:$AN$4,0))),DC241)</f>
        <v>0</v>
      </c>
      <c r="GB241" s="190">
        <f>AP241*AP$2*IF($FC241="V",1,-1)*IF($Q241="Fixo",(DD241-INDEX('Curva Forward'!$C$5:$AN$13,MATCH(CONCATENATE(BD_COMERCIAL!$K241," ",BD_COMERCIAL!$L241),'Curva Forward'!$B$5:$B$13,0),MATCH(GB$4,'Curva Forward'!$C$4:$AN$4,0))),DD241)</f>
        <v>0</v>
      </c>
      <c r="GC241" s="190">
        <f>AQ241*AQ$2*IF($FC241="V",1,-1)*IF($Q241="Fixo",(DE241-INDEX('Curva Forward'!$C$5:$AN$13,MATCH(CONCATENATE(BD_COMERCIAL!$K241," ",BD_COMERCIAL!$L241),'Curva Forward'!$B$5:$B$13,0),MATCH(GC$4,'Curva Forward'!$C$4:$AN$4,0))),DE241)</f>
        <v>0</v>
      </c>
      <c r="GD241" s="190">
        <f>AR241*AR$2*IF($FC241="V",1,-1)*IF($Q241="Fixo",(DF241-INDEX('Curva Forward'!$C$5:$AN$13,MATCH(CONCATENATE(BD_COMERCIAL!$K241," ",BD_COMERCIAL!$L241),'Curva Forward'!$B$5:$B$13,0),MATCH(GD$4,'Curva Forward'!$C$4:$AN$4,0))),DF241)</f>
        <v>0</v>
      </c>
      <c r="GE241" s="190">
        <f>AS241*AS$2*IF($FC241="V",1,-1)*IF($Q241="Fixo",(DG241-INDEX('Curva Forward'!$C$5:$AN$13,MATCH(CONCATENATE(BD_COMERCIAL!$K241," ",BD_COMERCIAL!$L241),'Curva Forward'!$B$5:$B$13,0),MATCH(GE$4,'Curva Forward'!$C$4:$AN$4,0))),DG241)</f>
        <v>0</v>
      </c>
      <c r="GF241" s="190">
        <f>AT241*AT$2*IF($FC241="V",1,-1)*IF($Q241="Fixo",(DH241-INDEX('Curva Forward'!$C$5:$AN$13,MATCH(CONCATENATE(BD_COMERCIAL!$K241," ",BD_COMERCIAL!$L241),'Curva Forward'!$B$5:$B$13,0),MATCH(GF$4,'Curva Forward'!$C$4:$AN$4,0))),DH241)</f>
        <v>0</v>
      </c>
      <c r="GG241" s="190">
        <f>AU241*AU$2*IF($FC241="V",1,-1)*IF($Q241="Fixo",(DI241-INDEX('Curva Forward'!$C$5:$AN$13,MATCH(CONCATENATE(BD_COMERCIAL!$K241," ",BD_COMERCIAL!$L241),'Curva Forward'!$B$5:$B$13,0),MATCH(GG$4,'Curva Forward'!$C$4:$AN$4,0))),DI241)</f>
        <v>0</v>
      </c>
      <c r="GH241" s="190">
        <f>AV241*AV$2*IF($FC241="V",1,-1)*IF($Q241="Fixo",(DJ241-INDEX('Curva Forward'!$C$5:$AN$13,MATCH(CONCATENATE(BD_COMERCIAL!$K241," ",BD_COMERCIAL!$L241),'Curva Forward'!$B$5:$B$13,0),MATCH(GH$4,'Curva Forward'!$C$4:$AN$4,0))),DJ241)</f>
        <v>0</v>
      </c>
      <c r="GI241" s="190">
        <f>AW241*AW$2*IF($FC241="V",1,-1)*IF($Q241="Fixo",(DK241-INDEX('Curva Forward'!$C$5:$AN$13,MATCH(CONCATENATE(BD_COMERCIAL!$K241," ",BD_COMERCIAL!$L241),'Curva Forward'!$B$5:$B$13,0),MATCH(GI$4,'Curva Forward'!$C$4:$AN$4,0))),DK241)</f>
        <v>0</v>
      </c>
      <c r="GJ241" s="190">
        <f>AX241*AX$2*IF($FC241="V",1,-1)*IF($Q241="Fixo",(DL241-INDEX('Curva Forward'!$C$5:$AN$13,MATCH(CONCATENATE(BD_COMERCIAL!$K241," ",BD_COMERCIAL!$L241),'Curva Forward'!$B$5:$B$13,0),MATCH(GJ$4,'Curva Forward'!$C$4:$AN$4,0))),DL241)</f>
        <v>0</v>
      </c>
      <c r="GK241" s="190">
        <f>AY241*AY$2*IF($FC241="V",1,-1)*IF($Q241="Fixo",(DM241-INDEX('Curva Forward'!$C$5:$AN$13,MATCH(CONCATENATE(BD_COMERCIAL!$K241," ",BD_COMERCIAL!$L241),'Curva Forward'!$B$5:$B$13,0),MATCH(GK$4,'Curva Forward'!$C$4:$AN$4,0))),DM241)</f>
        <v>0</v>
      </c>
      <c r="GL241" s="190">
        <f>IF(EZ241="",0,CL241*CL$2*IF($FC241="V",1,-1)*IF($Q241="Fixo",(EZ241-INDEX('Curva Forward'!$C$5:$AN$13,MATCH(CONCATENATE(BD_COMERCIAL!$K241," ",BD_COMERCIAL!$L241),'Curva Forward'!$B$5:$B$13,0),MATCH(GL$4,'Curva Forward'!$C$4:$AN$4,0))),EZ241))</f>
        <v>0</v>
      </c>
      <c r="GM241" s="190">
        <f>IF(FA241="",0,CM241*CM$2*IF($FC241="V",1,-1)*IF($Q241="Fixo",(FA241-INDEX('Curva Forward'!$C$5:$AN$13,MATCH(CONCATENATE(BD_COMERCIAL!$K241," ",BD_COMERCIAL!$L241),'Curva Forward'!$B$5:$B$13,0),MATCH(GM$4,'Curva Forward'!$C$4:$AN$4,0))),FA241))</f>
        <v>0</v>
      </c>
      <c r="GN241" s="190">
        <f>IF(FB241="",0,CN241*CN$2*IF($FC241="V",1,-1)*IF($Q241="Fixo",(FB241-INDEX('Curva Forward'!$C$5:$AN$13,MATCH(CONCATENATE(BD_COMERCIAL!$K241," ",BD_COMERCIAL!$L241),'Curva Forward'!$B$5:$B$13,0),MATCH(GN$4,'Curva Forward'!$C$4:$AN$4,0))),FB241))</f>
        <v>0</v>
      </c>
      <c r="GO241" s="191">
        <f t="shared" ca="1" si="32"/>
        <v>0</v>
      </c>
      <c r="GP241" s="191">
        <f t="shared" ca="1" si="33"/>
        <v>0</v>
      </c>
      <c r="GQ241" s="115"/>
      <c r="GR241" s="115"/>
      <c r="GS241"/>
      <c r="GT241" s="65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</row>
    <row r="242" spans="1:236" s="265" customFormat="1" ht="15" customHeight="1" x14ac:dyDescent="0.35">
      <c r="A242" s="251"/>
      <c r="B242" s="275"/>
      <c r="C242" s="253"/>
      <c r="D242" s="254"/>
      <c r="E242" s="254"/>
      <c r="F242" s="255"/>
      <c r="G242" s="256"/>
      <c r="H242" s="255"/>
      <c r="I242" s="254"/>
      <c r="J242" s="257"/>
      <c r="K242" s="256"/>
      <c r="L242" s="252"/>
      <c r="M242" s="258"/>
      <c r="N242" s="259"/>
      <c r="O242" s="256"/>
      <c r="P242" s="252"/>
      <c r="Q242" s="252"/>
      <c r="R242" s="256"/>
      <c r="S242" s="260"/>
      <c r="T242" s="258"/>
      <c r="U242" s="259"/>
      <c r="V242" s="261"/>
      <c r="W242" s="252"/>
      <c r="X242" s="262"/>
      <c r="Y242" s="257"/>
      <c r="Z242" s="263"/>
      <c r="AA242" s="264"/>
      <c r="AB242" s="266"/>
      <c r="AM242" s="251"/>
      <c r="AN242" s="266"/>
      <c r="AY242" s="251"/>
      <c r="AZ242" s="266"/>
      <c r="BK242" s="251"/>
      <c r="BL242" s="266"/>
      <c r="BW242" s="251"/>
      <c r="BX242" s="266"/>
      <c r="CI242" s="251"/>
      <c r="CJ242" s="267"/>
      <c r="CK242" s="267"/>
      <c r="CL242" s="267"/>
      <c r="CM242" s="267"/>
      <c r="CN242" s="267"/>
      <c r="CO242" s="268"/>
      <c r="CP242" s="266"/>
      <c r="DA242" s="251"/>
      <c r="DB242" s="266"/>
      <c r="DM242" s="251"/>
      <c r="DN242" s="266"/>
      <c r="DY242" s="251"/>
      <c r="DZ242" s="266"/>
      <c r="EK242" s="251"/>
      <c r="EL242" s="266"/>
      <c r="EW242" s="251"/>
      <c r="EX242" s="267"/>
      <c r="EY242" s="267"/>
      <c r="EZ242" s="267"/>
      <c r="FA242" s="267"/>
      <c r="FB242" s="269"/>
      <c r="FD242" s="270"/>
      <c r="FF242" s="276"/>
      <c r="FH242" s="206">
        <f t="shared" si="27"/>
        <v>0</v>
      </c>
      <c r="FI242" s="198">
        <f t="shared" si="28"/>
        <v>0</v>
      </c>
      <c r="FJ242"/>
      <c r="FK242">
        <f t="shared" si="29"/>
        <v>0</v>
      </c>
      <c r="FL242" s="191">
        <f t="shared" ca="1" si="30"/>
        <v>0</v>
      </c>
      <c r="FM242" s="191">
        <f t="shared" ca="1" si="31"/>
        <v>0</v>
      </c>
      <c r="FN242" s="190">
        <f>AB242*AB$2*IF($FC242="V",1,-1)*IF($Q242="Fixo",(CP242-INDEX('Curva Forward'!$C$5:$AN$13,MATCH(CONCATENATE(BD_COMERCIAL!$K242," ",BD_COMERCIAL!$L242),'Curva Forward'!$B$5:$B$13,0),MATCH(FN$4,'Curva Forward'!$C$4:$AN$4,0))),CP242)</f>
        <v>0</v>
      </c>
      <c r="FO242" s="190">
        <f>AC242*AC$2*IF($FC242="V",1,-1)*IF($Q242="Fixo",(CQ242-INDEX('Curva Forward'!$C$5:$AN$13,MATCH(CONCATENATE(BD_COMERCIAL!$K242," ",BD_COMERCIAL!$L242),'Curva Forward'!$B$5:$B$13,0),MATCH(FO$4,'Curva Forward'!$C$4:$AN$4,0))),CQ242)</f>
        <v>0</v>
      </c>
      <c r="FP242" s="190">
        <f>AD242*AD$2*IF($FC242="V",1,-1)*IF($Q242="Fixo",(CR242-INDEX('Curva Forward'!$C$5:$AN$13,MATCH(CONCATENATE(BD_COMERCIAL!$K242," ",BD_COMERCIAL!$L242),'Curva Forward'!$B$5:$B$13,0),MATCH(FP$4,'Curva Forward'!$C$4:$AN$4,0))),CR242)</f>
        <v>0</v>
      </c>
      <c r="FQ242" s="190">
        <f>AE242*AE$2*IF($FC242="V",1,-1)*IF($Q242="Fixo",(CS242-INDEX('Curva Forward'!$C$5:$AN$13,MATCH(CONCATENATE(BD_COMERCIAL!$K242," ",BD_COMERCIAL!$L242),'Curva Forward'!$B$5:$B$13,0),MATCH(FQ$4,'Curva Forward'!$C$4:$AN$4,0))),CS242)</f>
        <v>0</v>
      </c>
      <c r="FR242" s="190">
        <f>AF242*AF$2*IF($FC242="V",1,-1)*IF($Q242="Fixo",(CT242-INDEX('Curva Forward'!$C$5:$AN$13,MATCH(CONCATENATE(BD_COMERCIAL!$K242," ",BD_COMERCIAL!$L242),'Curva Forward'!$B$5:$B$13,0),MATCH(FR$4,'Curva Forward'!$C$4:$AN$4,0))),CT242)</f>
        <v>0</v>
      </c>
      <c r="FS242" s="190">
        <f>AG242*AG$2*IF($FC242="V",1,-1)*IF($Q242="Fixo",(CU242-INDEX('Curva Forward'!$C$5:$AN$13,MATCH(CONCATENATE(BD_COMERCIAL!$K242," ",BD_COMERCIAL!$L242),'Curva Forward'!$B$5:$B$13,0),MATCH(FS$4,'Curva Forward'!$C$4:$AN$4,0))),CU242)</f>
        <v>0</v>
      </c>
      <c r="FT242" s="190">
        <f>AH242*AH$2*IF($FC242="V",1,-1)*IF($Q242="Fixo",(CV242-INDEX('Curva Forward'!$C$5:$AN$13,MATCH(CONCATENATE(BD_COMERCIAL!$K242," ",BD_COMERCIAL!$L242),'Curva Forward'!$B$5:$B$13,0),MATCH(FT$4,'Curva Forward'!$C$4:$AN$4,0))),CV242)</f>
        <v>0</v>
      </c>
      <c r="FU242" s="190">
        <f>AI242*AI$2*IF($FC242="V",1,-1)*IF($Q242="Fixo",(CW242-INDEX('Curva Forward'!$C$5:$AN$13,MATCH(CONCATENATE(BD_COMERCIAL!$K242," ",BD_COMERCIAL!$L242),'Curva Forward'!$B$5:$B$13,0),MATCH(FU$4,'Curva Forward'!$C$4:$AN$4,0))),CW242)</f>
        <v>0</v>
      </c>
      <c r="FV242" s="190">
        <f>AJ242*AJ$2*IF($FC242="V",1,-1)*IF($Q242="Fixo",(CX242-INDEX('Curva Forward'!$C$5:$AN$13,MATCH(CONCATENATE(BD_COMERCIAL!$K242," ",BD_COMERCIAL!$L242),'Curva Forward'!$B$5:$B$13,0),MATCH(FV$4,'Curva Forward'!$C$4:$AN$4,0))),CX242)</f>
        <v>0</v>
      </c>
      <c r="FW242" s="190">
        <f>AK242*AK$2*IF($FC242="V",1,-1)*IF($Q242="Fixo",(CY242-INDEX('Curva Forward'!$C$5:$AN$13,MATCH(CONCATENATE(BD_COMERCIAL!$K242," ",BD_COMERCIAL!$L242),'Curva Forward'!$B$5:$B$13,0),MATCH(FW$4,'Curva Forward'!$C$4:$AN$4,0))),CY242)</f>
        <v>0</v>
      </c>
      <c r="FX242" s="190">
        <f>AL242*AL$2*IF($FC242="V",1,-1)*IF($Q242="Fixo",(CZ242-INDEX('Curva Forward'!$C$5:$AN$13,MATCH(CONCATENATE(BD_COMERCIAL!$K242," ",BD_COMERCIAL!$L242),'Curva Forward'!$B$5:$B$13,0),MATCH(FX$4,'Curva Forward'!$C$4:$AN$4,0))),CZ242)</f>
        <v>0</v>
      </c>
      <c r="FY242" s="190">
        <f>AM242*AM$2*IF($FC242="V",1,-1)*IF($Q242="Fixo",(DA242-INDEX('Curva Forward'!$C$5:$AN$13,MATCH(CONCATENATE(BD_COMERCIAL!$K242," ",BD_COMERCIAL!$L242),'Curva Forward'!$B$5:$B$13,0),MATCH(FY$4,'Curva Forward'!$C$4:$AN$4,0))),DA242)</f>
        <v>0</v>
      </c>
      <c r="FZ242" s="190">
        <f>AN242*AN$2*IF($FC242="V",1,-1)*IF($Q242="Fixo",(DB242-INDEX('Curva Forward'!$C$5:$AN$13,MATCH(CONCATENATE(BD_COMERCIAL!$K242," ",BD_COMERCIAL!$L242),'Curva Forward'!$B$5:$B$13,0),MATCH(FZ$4,'Curva Forward'!$C$4:$AN$4,0))),DB242)</f>
        <v>0</v>
      </c>
      <c r="GA242" s="190">
        <f>AO242*AO$2*IF($FC242="V",1,-1)*IF($Q242="Fixo",(DC242-INDEX('Curva Forward'!$C$5:$AN$13,MATCH(CONCATENATE(BD_COMERCIAL!$K242," ",BD_COMERCIAL!$L242),'Curva Forward'!$B$5:$B$13,0),MATCH(GA$4,'Curva Forward'!$C$4:$AN$4,0))),DC242)</f>
        <v>0</v>
      </c>
      <c r="GB242" s="190">
        <f>AP242*AP$2*IF($FC242="V",1,-1)*IF($Q242="Fixo",(DD242-INDEX('Curva Forward'!$C$5:$AN$13,MATCH(CONCATENATE(BD_COMERCIAL!$K242," ",BD_COMERCIAL!$L242),'Curva Forward'!$B$5:$B$13,0),MATCH(GB$4,'Curva Forward'!$C$4:$AN$4,0))),DD242)</f>
        <v>0</v>
      </c>
      <c r="GC242" s="190">
        <f>AQ242*AQ$2*IF($FC242="V",1,-1)*IF($Q242="Fixo",(DE242-INDEX('Curva Forward'!$C$5:$AN$13,MATCH(CONCATENATE(BD_COMERCIAL!$K242," ",BD_COMERCIAL!$L242),'Curva Forward'!$B$5:$B$13,0),MATCH(GC$4,'Curva Forward'!$C$4:$AN$4,0))),DE242)</f>
        <v>0</v>
      </c>
      <c r="GD242" s="190">
        <f>AR242*AR$2*IF($FC242="V",1,-1)*IF($Q242="Fixo",(DF242-INDEX('Curva Forward'!$C$5:$AN$13,MATCH(CONCATENATE(BD_COMERCIAL!$K242," ",BD_COMERCIAL!$L242),'Curva Forward'!$B$5:$B$13,0),MATCH(GD$4,'Curva Forward'!$C$4:$AN$4,0))),DF242)</f>
        <v>0</v>
      </c>
      <c r="GE242" s="190">
        <f>AS242*AS$2*IF($FC242="V",1,-1)*IF($Q242="Fixo",(DG242-INDEX('Curva Forward'!$C$5:$AN$13,MATCH(CONCATENATE(BD_COMERCIAL!$K242," ",BD_COMERCIAL!$L242),'Curva Forward'!$B$5:$B$13,0),MATCH(GE$4,'Curva Forward'!$C$4:$AN$4,0))),DG242)</f>
        <v>0</v>
      </c>
      <c r="GF242" s="190">
        <f>AT242*AT$2*IF($FC242="V",1,-1)*IF($Q242="Fixo",(DH242-INDEX('Curva Forward'!$C$5:$AN$13,MATCH(CONCATENATE(BD_COMERCIAL!$K242," ",BD_COMERCIAL!$L242),'Curva Forward'!$B$5:$B$13,0),MATCH(GF$4,'Curva Forward'!$C$4:$AN$4,0))),DH242)</f>
        <v>0</v>
      </c>
      <c r="GG242" s="190">
        <f>AU242*AU$2*IF($FC242="V",1,-1)*IF($Q242="Fixo",(DI242-INDEX('Curva Forward'!$C$5:$AN$13,MATCH(CONCATENATE(BD_COMERCIAL!$K242," ",BD_COMERCIAL!$L242),'Curva Forward'!$B$5:$B$13,0),MATCH(GG$4,'Curva Forward'!$C$4:$AN$4,0))),DI242)</f>
        <v>0</v>
      </c>
      <c r="GH242" s="190">
        <f>AV242*AV$2*IF($FC242="V",1,-1)*IF($Q242="Fixo",(DJ242-INDEX('Curva Forward'!$C$5:$AN$13,MATCH(CONCATENATE(BD_COMERCIAL!$K242," ",BD_COMERCIAL!$L242),'Curva Forward'!$B$5:$B$13,0),MATCH(GH$4,'Curva Forward'!$C$4:$AN$4,0))),DJ242)</f>
        <v>0</v>
      </c>
      <c r="GI242" s="190">
        <f>AW242*AW$2*IF($FC242="V",1,-1)*IF($Q242="Fixo",(DK242-INDEX('Curva Forward'!$C$5:$AN$13,MATCH(CONCATENATE(BD_COMERCIAL!$K242," ",BD_COMERCIAL!$L242),'Curva Forward'!$B$5:$B$13,0),MATCH(GI$4,'Curva Forward'!$C$4:$AN$4,0))),DK242)</f>
        <v>0</v>
      </c>
      <c r="GJ242" s="190">
        <f>AX242*AX$2*IF($FC242="V",1,-1)*IF($Q242="Fixo",(DL242-INDEX('Curva Forward'!$C$5:$AN$13,MATCH(CONCATENATE(BD_COMERCIAL!$K242," ",BD_COMERCIAL!$L242),'Curva Forward'!$B$5:$B$13,0),MATCH(GJ$4,'Curva Forward'!$C$4:$AN$4,0))),DL242)</f>
        <v>0</v>
      </c>
      <c r="GK242" s="190">
        <f>AY242*AY$2*IF($FC242="V",1,-1)*IF($Q242="Fixo",(DM242-INDEX('Curva Forward'!$C$5:$AN$13,MATCH(CONCATENATE(BD_COMERCIAL!$K242," ",BD_COMERCIAL!$L242),'Curva Forward'!$B$5:$B$13,0),MATCH(GK$4,'Curva Forward'!$C$4:$AN$4,0))),DM242)</f>
        <v>0</v>
      </c>
      <c r="GL242" s="190">
        <f>IF(EZ242="",0,CL242*CL$2*IF($FC242="V",1,-1)*IF($Q242="Fixo",(EZ242-INDEX('Curva Forward'!$C$5:$AN$13,MATCH(CONCATENATE(BD_COMERCIAL!$K242," ",BD_COMERCIAL!$L242),'Curva Forward'!$B$5:$B$13,0),MATCH(GL$4,'Curva Forward'!$C$4:$AN$4,0))),EZ242))</f>
        <v>0</v>
      </c>
      <c r="GM242" s="190">
        <f>IF(FA242="",0,CM242*CM$2*IF($FC242="V",1,-1)*IF($Q242="Fixo",(FA242-INDEX('Curva Forward'!$C$5:$AN$13,MATCH(CONCATENATE(BD_COMERCIAL!$K242," ",BD_COMERCIAL!$L242),'Curva Forward'!$B$5:$B$13,0),MATCH(GM$4,'Curva Forward'!$C$4:$AN$4,0))),FA242))</f>
        <v>0</v>
      </c>
      <c r="GN242" s="190">
        <f>IF(FB242="",0,CN242*CN$2*IF($FC242="V",1,-1)*IF($Q242="Fixo",(FB242-INDEX('Curva Forward'!$C$5:$AN$13,MATCH(CONCATENATE(BD_COMERCIAL!$K242," ",BD_COMERCIAL!$L242),'Curva Forward'!$B$5:$B$13,0),MATCH(GN$4,'Curva Forward'!$C$4:$AN$4,0))),FB242))</f>
        <v>0</v>
      </c>
      <c r="GO242" s="191">
        <f t="shared" ca="1" si="32"/>
        <v>0</v>
      </c>
      <c r="GP242" s="191">
        <f t="shared" ca="1" si="33"/>
        <v>0</v>
      </c>
      <c r="GQ242" s="115"/>
      <c r="GR242" s="115"/>
      <c r="GS242"/>
      <c r="GT242" s="65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</row>
    <row r="243" spans="1:236" s="265" customFormat="1" ht="15" customHeight="1" x14ac:dyDescent="0.35">
      <c r="A243" s="251"/>
      <c r="B243" s="275"/>
      <c r="C243" s="253"/>
      <c r="D243" s="254"/>
      <c r="E243" s="254"/>
      <c r="F243" s="255"/>
      <c r="G243" s="256"/>
      <c r="H243" s="255"/>
      <c r="I243" s="254"/>
      <c r="J243" s="257"/>
      <c r="K243" s="256"/>
      <c r="L243" s="252"/>
      <c r="M243" s="258"/>
      <c r="N243" s="259"/>
      <c r="O243" s="256"/>
      <c r="P243" s="252"/>
      <c r="Q243" s="252"/>
      <c r="R243" s="256"/>
      <c r="S243" s="260"/>
      <c r="T243" s="258"/>
      <c r="U243" s="259"/>
      <c r="V243" s="261"/>
      <c r="W243" s="252"/>
      <c r="X243" s="262"/>
      <c r="Y243" s="257"/>
      <c r="Z243" s="263"/>
      <c r="AA243" s="264"/>
      <c r="AB243" s="266"/>
      <c r="AM243" s="251"/>
      <c r="AN243" s="266"/>
      <c r="AY243" s="251"/>
      <c r="AZ243" s="266"/>
      <c r="BK243" s="251"/>
      <c r="BL243" s="266"/>
      <c r="BW243" s="251"/>
      <c r="BX243" s="266"/>
      <c r="CI243" s="251"/>
      <c r="CJ243" s="267"/>
      <c r="CK243" s="267"/>
      <c r="CL243" s="267"/>
      <c r="CM243" s="267"/>
      <c r="CN243" s="267"/>
      <c r="CO243" s="268"/>
      <c r="CP243" s="266"/>
      <c r="DA243" s="251"/>
      <c r="DB243" s="266"/>
      <c r="DM243" s="251"/>
      <c r="DN243" s="266"/>
      <c r="DY243" s="251"/>
      <c r="DZ243" s="266"/>
      <c r="EK243" s="251"/>
      <c r="EL243" s="266"/>
      <c r="EW243" s="251"/>
      <c r="EX243" s="267"/>
      <c r="EY243" s="267"/>
      <c r="EZ243" s="267"/>
      <c r="FA243" s="267"/>
      <c r="FB243" s="269"/>
      <c r="FD243" s="270"/>
      <c r="FF243" s="276"/>
      <c r="FH243" s="206">
        <f t="shared" si="27"/>
        <v>0</v>
      </c>
      <c r="FI243" s="198">
        <f t="shared" si="28"/>
        <v>0</v>
      </c>
      <c r="FJ243"/>
      <c r="FK243">
        <f t="shared" si="29"/>
        <v>0</v>
      </c>
      <c r="FL243" s="191">
        <f t="shared" ca="1" si="30"/>
        <v>0</v>
      </c>
      <c r="FM243" s="191">
        <f t="shared" ca="1" si="31"/>
        <v>0</v>
      </c>
      <c r="FN243" s="190">
        <f>AB243*AB$2*IF($FC243="V",1,-1)*IF($Q243="Fixo",(CP243-INDEX('Curva Forward'!$C$5:$AN$13,MATCH(CONCATENATE(BD_COMERCIAL!$K243," ",BD_COMERCIAL!$L243),'Curva Forward'!$B$5:$B$13,0),MATCH(FN$4,'Curva Forward'!$C$4:$AN$4,0))),CP243)</f>
        <v>0</v>
      </c>
      <c r="FO243" s="190">
        <f>AC243*AC$2*IF($FC243="V",1,-1)*IF($Q243="Fixo",(CQ243-INDEX('Curva Forward'!$C$5:$AN$13,MATCH(CONCATENATE(BD_COMERCIAL!$K243," ",BD_COMERCIAL!$L243),'Curva Forward'!$B$5:$B$13,0),MATCH(FO$4,'Curva Forward'!$C$4:$AN$4,0))),CQ243)</f>
        <v>0</v>
      </c>
      <c r="FP243" s="190">
        <f>AD243*AD$2*IF($FC243="V",1,-1)*IF($Q243="Fixo",(CR243-INDEX('Curva Forward'!$C$5:$AN$13,MATCH(CONCATENATE(BD_COMERCIAL!$K243," ",BD_COMERCIAL!$L243),'Curva Forward'!$B$5:$B$13,0),MATCH(FP$4,'Curva Forward'!$C$4:$AN$4,0))),CR243)</f>
        <v>0</v>
      </c>
      <c r="FQ243" s="190">
        <f>AE243*AE$2*IF($FC243="V",1,-1)*IF($Q243="Fixo",(CS243-INDEX('Curva Forward'!$C$5:$AN$13,MATCH(CONCATENATE(BD_COMERCIAL!$K243," ",BD_COMERCIAL!$L243),'Curva Forward'!$B$5:$B$13,0),MATCH(FQ$4,'Curva Forward'!$C$4:$AN$4,0))),CS243)</f>
        <v>0</v>
      </c>
      <c r="FR243" s="190">
        <f>AF243*AF$2*IF($FC243="V",1,-1)*IF($Q243="Fixo",(CT243-INDEX('Curva Forward'!$C$5:$AN$13,MATCH(CONCATENATE(BD_COMERCIAL!$K243," ",BD_COMERCIAL!$L243),'Curva Forward'!$B$5:$B$13,0),MATCH(FR$4,'Curva Forward'!$C$4:$AN$4,0))),CT243)</f>
        <v>0</v>
      </c>
      <c r="FS243" s="190">
        <f>AG243*AG$2*IF($FC243="V",1,-1)*IF($Q243="Fixo",(CU243-INDEX('Curva Forward'!$C$5:$AN$13,MATCH(CONCATENATE(BD_COMERCIAL!$K243," ",BD_COMERCIAL!$L243),'Curva Forward'!$B$5:$B$13,0),MATCH(FS$4,'Curva Forward'!$C$4:$AN$4,0))),CU243)</f>
        <v>0</v>
      </c>
      <c r="FT243" s="190">
        <f>AH243*AH$2*IF($FC243="V",1,-1)*IF($Q243="Fixo",(CV243-INDEX('Curva Forward'!$C$5:$AN$13,MATCH(CONCATENATE(BD_COMERCIAL!$K243," ",BD_COMERCIAL!$L243),'Curva Forward'!$B$5:$B$13,0),MATCH(FT$4,'Curva Forward'!$C$4:$AN$4,0))),CV243)</f>
        <v>0</v>
      </c>
      <c r="FU243" s="190">
        <f>AI243*AI$2*IF($FC243="V",1,-1)*IF($Q243="Fixo",(CW243-INDEX('Curva Forward'!$C$5:$AN$13,MATCH(CONCATENATE(BD_COMERCIAL!$K243," ",BD_COMERCIAL!$L243),'Curva Forward'!$B$5:$B$13,0),MATCH(FU$4,'Curva Forward'!$C$4:$AN$4,0))),CW243)</f>
        <v>0</v>
      </c>
      <c r="FV243" s="190">
        <f>AJ243*AJ$2*IF($FC243="V",1,-1)*IF($Q243="Fixo",(CX243-INDEX('Curva Forward'!$C$5:$AN$13,MATCH(CONCATENATE(BD_COMERCIAL!$K243," ",BD_COMERCIAL!$L243),'Curva Forward'!$B$5:$B$13,0),MATCH(FV$4,'Curva Forward'!$C$4:$AN$4,0))),CX243)</f>
        <v>0</v>
      </c>
      <c r="FW243" s="190">
        <f>AK243*AK$2*IF($FC243="V",1,-1)*IF($Q243="Fixo",(CY243-INDEX('Curva Forward'!$C$5:$AN$13,MATCH(CONCATENATE(BD_COMERCIAL!$K243," ",BD_COMERCIAL!$L243),'Curva Forward'!$B$5:$B$13,0),MATCH(FW$4,'Curva Forward'!$C$4:$AN$4,0))),CY243)</f>
        <v>0</v>
      </c>
      <c r="FX243" s="190">
        <f>AL243*AL$2*IF($FC243="V",1,-1)*IF($Q243="Fixo",(CZ243-INDEX('Curva Forward'!$C$5:$AN$13,MATCH(CONCATENATE(BD_COMERCIAL!$K243," ",BD_COMERCIAL!$L243),'Curva Forward'!$B$5:$B$13,0),MATCH(FX$4,'Curva Forward'!$C$4:$AN$4,0))),CZ243)</f>
        <v>0</v>
      </c>
      <c r="FY243" s="190">
        <f>AM243*AM$2*IF($FC243="V",1,-1)*IF($Q243="Fixo",(DA243-INDEX('Curva Forward'!$C$5:$AN$13,MATCH(CONCATENATE(BD_COMERCIAL!$K243," ",BD_COMERCIAL!$L243),'Curva Forward'!$B$5:$B$13,0),MATCH(FY$4,'Curva Forward'!$C$4:$AN$4,0))),DA243)</f>
        <v>0</v>
      </c>
      <c r="FZ243" s="190">
        <f>AN243*AN$2*IF($FC243="V",1,-1)*IF($Q243="Fixo",(DB243-INDEX('Curva Forward'!$C$5:$AN$13,MATCH(CONCATENATE(BD_COMERCIAL!$K243," ",BD_COMERCIAL!$L243),'Curva Forward'!$B$5:$B$13,0),MATCH(FZ$4,'Curva Forward'!$C$4:$AN$4,0))),DB243)</f>
        <v>0</v>
      </c>
      <c r="GA243" s="190">
        <f>AO243*AO$2*IF($FC243="V",1,-1)*IF($Q243="Fixo",(DC243-INDEX('Curva Forward'!$C$5:$AN$13,MATCH(CONCATENATE(BD_COMERCIAL!$K243," ",BD_COMERCIAL!$L243),'Curva Forward'!$B$5:$B$13,0),MATCH(GA$4,'Curva Forward'!$C$4:$AN$4,0))),DC243)</f>
        <v>0</v>
      </c>
      <c r="GB243" s="190">
        <f>AP243*AP$2*IF($FC243="V",1,-1)*IF($Q243="Fixo",(DD243-INDEX('Curva Forward'!$C$5:$AN$13,MATCH(CONCATENATE(BD_COMERCIAL!$K243," ",BD_COMERCIAL!$L243),'Curva Forward'!$B$5:$B$13,0),MATCH(GB$4,'Curva Forward'!$C$4:$AN$4,0))),DD243)</f>
        <v>0</v>
      </c>
      <c r="GC243" s="190">
        <f>AQ243*AQ$2*IF($FC243="V",1,-1)*IF($Q243="Fixo",(DE243-INDEX('Curva Forward'!$C$5:$AN$13,MATCH(CONCATENATE(BD_COMERCIAL!$K243," ",BD_COMERCIAL!$L243),'Curva Forward'!$B$5:$B$13,0),MATCH(GC$4,'Curva Forward'!$C$4:$AN$4,0))),DE243)</f>
        <v>0</v>
      </c>
      <c r="GD243" s="190">
        <f>AR243*AR$2*IF($FC243="V",1,-1)*IF($Q243="Fixo",(DF243-INDEX('Curva Forward'!$C$5:$AN$13,MATCH(CONCATENATE(BD_COMERCIAL!$K243," ",BD_COMERCIAL!$L243),'Curva Forward'!$B$5:$B$13,0),MATCH(GD$4,'Curva Forward'!$C$4:$AN$4,0))),DF243)</f>
        <v>0</v>
      </c>
      <c r="GE243" s="190">
        <f>AS243*AS$2*IF($FC243="V",1,-1)*IF($Q243="Fixo",(DG243-INDEX('Curva Forward'!$C$5:$AN$13,MATCH(CONCATENATE(BD_COMERCIAL!$K243," ",BD_COMERCIAL!$L243),'Curva Forward'!$B$5:$B$13,0),MATCH(GE$4,'Curva Forward'!$C$4:$AN$4,0))),DG243)</f>
        <v>0</v>
      </c>
      <c r="GF243" s="190">
        <f>AT243*AT$2*IF($FC243="V",1,-1)*IF($Q243="Fixo",(DH243-INDEX('Curva Forward'!$C$5:$AN$13,MATCH(CONCATENATE(BD_COMERCIAL!$K243," ",BD_COMERCIAL!$L243),'Curva Forward'!$B$5:$B$13,0),MATCH(GF$4,'Curva Forward'!$C$4:$AN$4,0))),DH243)</f>
        <v>0</v>
      </c>
      <c r="GG243" s="190">
        <f>AU243*AU$2*IF($FC243="V",1,-1)*IF($Q243="Fixo",(DI243-INDEX('Curva Forward'!$C$5:$AN$13,MATCH(CONCATENATE(BD_COMERCIAL!$K243," ",BD_COMERCIAL!$L243),'Curva Forward'!$B$5:$B$13,0),MATCH(GG$4,'Curva Forward'!$C$4:$AN$4,0))),DI243)</f>
        <v>0</v>
      </c>
      <c r="GH243" s="190">
        <f>AV243*AV$2*IF($FC243="V",1,-1)*IF($Q243="Fixo",(DJ243-INDEX('Curva Forward'!$C$5:$AN$13,MATCH(CONCATENATE(BD_COMERCIAL!$K243," ",BD_COMERCIAL!$L243),'Curva Forward'!$B$5:$B$13,0),MATCH(GH$4,'Curva Forward'!$C$4:$AN$4,0))),DJ243)</f>
        <v>0</v>
      </c>
      <c r="GI243" s="190">
        <f>AW243*AW$2*IF($FC243="V",1,-1)*IF($Q243="Fixo",(DK243-INDEX('Curva Forward'!$C$5:$AN$13,MATCH(CONCATENATE(BD_COMERCIAL!$K243," ",BD_COMERCIAL!$L243),'Curva Forward'!$B$5:$B$13,0),MATCH(GI$4,'Curva Forward'!$C$4:$AN$4,0))),DK243)</f>
        <v>0</v>
      </c>
      <c r="GJ243" s="190">
        <f>AX243*AX$2*IF($FC243="V",1,-1)*IF($Q243="Fixo",(DL243-INDEX('Curva Forward'!$C$5:$AN$13,MATCH(CONCATENATE(BD_COMERCIAL!$K243," ",BD_COMERCIAL!$L243),'Curva Forward'!$B$5:$B$13,0),MATCH(GJ$4,'Curva Forward'!$C$4:$AN$4,0))),DL243)</f>
        <v>0</v>
      </c>
      <c r="GK243" s="190">
        <f>AY243*AY$2*IF($FC243="V",1,-1)*IF($Q243="Fixo",(DM243-INDEX('Curva Forward'!$C$5:$AN$13,MATCH(CONCATENATE(BD_COMERCIAL!$K243," ",BD_COMERCIAL!$L243),'Curva Forward'!$B$5:$B$13,0),MATCH(GK$4,'Curva Forward'!$C$4:$AN$4,0))),DM243)</f>
        <v>0</v>
      </c>
      <c r="GL243" s="190">
        <f>IF(EZ243="",0,CL243*CL$2*IF($FC243="V",1,-1)*IF($Q243="Fixo",(EZ243-INDEX('Curva Forward'!$C$5:$AN$13,MATCH(CONCATENATE(BD_COMERCIAL!$K243," ",BD_COMERCIAL!$L243),'Curva Forward'!$B$5:$B$13,0),MATCH(GL$4,'Curva Forward'!$C$4:$AN$4,0))),EZ243))</f>
        <v>0</v>
      </c>
      <c r="GM243" s="190">
        <f>IF(FA243="",0,CM243*CM$2*IF($FC243="V",1,-1)*IF($Q243="Fixo",(FA243-INDEX('Curva Forward'!$C$5:$AN$13,MATCH(CONCATENATE(BD_COMERCIAL!$K243," ",BD_COMERCIAL!$L243),'Curva Forward'!$B$5:$B$13,0),MATCH(GM$4,'Curva Forward'!$C$4:$AN$4,0))),FA243))</f>
        <v>0</v>
      </c>
      <c r="GN243" s="190">
        <f>IF(FB243="",0,CN243*CN$2*IF($FC243="V",1,-1)*IF($Q243="Fixo",(FB243-INDEX('Curva Forward'!$C$5:$AN$13,MATCH(CONCATENATE(BD_COMERCIAL!$K243," ",BD_COMERCIAL!$L243),'Curva Forward'!$B$5:$B$13,0),MATCH(GN$4,'Curva Forward'!$C$4:$AN$4,0))),FB243))</f>
        <v>0</v>
      </c>
      <c r="GO243" s="191">
        <f t="shared" ca="1" si="32"/>
        <v>0</v>
      </c>
      <c r="GP243" s="191">
        <f t="shared" ca="1" si="33"/>
        <v>0</v>
      </c>
      <c r="GQ243" s="115"/>
      <c r="GR243" s="115"/>
      <c r="GS243"/>
      <c r="GT243" s="65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</row>
    <row r="244" spans="1:236" s="265" customFormat="1" ht="15" customHeight="1" x14ac:dyDescent="0.35">
      <c r="A244" s="251"/>
      <c r="B244" s="275"/>
      <c r="C244" s="253"/>
      <c r="D244" s="254"/>
      <c r="E244" s="254"/>
      <c r="F244" s="255"/>
      <c r="G244" s="256"/>
      <c r="H244" s="255"/>
      <c r="I244" s="254"/>
      <c r="J244" s="257"/>
      <c r="K244" s="256"/>
      <c r="L244" s="252"/>
      <c r="M244" s="258"/>
      <c r="N244" s="259"/>
      <c r="O244" s="256"/>
      <c r="P244" s="252"/>
      <c r="Q244" s="252"/>
      <c r="R244" s="256"/>
      <c r="S244" s="260"/>
      <c r="T244" s="258"/>
      <c r="U244" s="259"/>
      <c r="V244" s="261"/>
      <c r="W244" s="252"/>
      <c r="X244" s="262"/>
      <c r="Y244" s="257"/>
      <c r="Z244" s="263"/>
      <c r="AA244" s="264"/>
      <c r="AB244" s="266"/>
      <c r="AM244" s="251"/>
      <c r="AN244" s="266"/>
      <c r="AY244" s="251"/>
      <c r="AZ244" s="266"/>
      <c r="BK244" s="251"/>
      <c r="BL244" s="266"/>
      <c r="BW244" s="251"/>
      <c r="BX244" s="266"/>
      <c r="CI244" s="251"/>
      <c r="CJ244" s="267"/>
      <c r="CK244" s="267"/>
      <c r="CL244" s="267"/>
      <c r="CM244" s="267"/>
      <c r="CN244" s="267"/>
      <c r="CO244" s="268"/>
      <c r="CP244" s="266"/>
      <c r="DA244" s="251"/>
      <c r="DB244" s="266"/>
      <c r="DM244" s="251"/>
      <c r="DN244" s="266"/>
      <c r="DY244" s="251"/>
      <c r="DZ244" s="266"/>
      <c r="EK244" s="251"/>
      <c r="EL244" s="266"/>
      <c r="EW244" s="251"/>
      <c r="EX244" s="267"/>
      <c r="EY244" s="267"/>
      <c r="EZ244" s="267"/>
      <c r="FA244" s="267"/>
      <c r="FB244" s="269"/>
      <c r="FD244" s="270"/>
      <c r="FF244" s="276"/>
      <c r="FH244" s="206">
        <f t="shared" si="27"/>
        <v>0</v>
      </c>
      <c r="FI244" s="198">
        <f t="shared" si="28"/>
        <v>0</v>
      </c>
      <c r="FJ244"/>
      <c r="FK244">
        <f t="shared" si="29"/>
        <v>0</v>
      </c>
      <c r="FL244" s="191">
        <f t="shared" ca="1" si="30"/>
        <v>0</v>
      </c>
      <c r="FM244" s="191">
        <f t="shared" ca="1" si="31"/>
        <v>0</v>
      </c>
      <c r="FN244" s="190">
        <f>AB244*AB$2*IF($FC244="V",1,-1)*IF($Q244="Fixo",(CP244-INDEX('Curva Forward'!$C$5:$AN$13,MATCH(CONCATENATE(BD_COMERCIAL!$K244," ",BD_COMERCIAL!$L244),'Curva Forward'!$B$5:$B$13,0),MATCH(FN$4,'Curva Forward'!$C$4:$AN$4,0))),CP244)</f>
        <v>0</v>
      </c>
      <c r="FO244" s="190">
        <f>AC244*AC$2*IF($FC244="V",1,-1)*IF($Q244="Fixo",(CQ244-INDEX('Curva Forward'!$C$5:$AN$13,MATCH(CONCATENATE(BD_COMERCIAL!$K244," ",BD_COMERCIAL!$L244),'Curva Forward'!$B$5:$B$13,0),MATCH(FO$4,'Curva Forward'!$C$4:$AN$4,0))),CQ244)</f>
        <v>0</v>
      </c>
      <c r="FP244" s="190">
        <f>AD244*AD$2*IF($FC244="V",1,-1)*IF($Q244="Fixo",(CR244-INDEX('Curva Forward'!$C$5:$AN$13,MATCH(CONCATENATE(BD_COMERCIAL!$K244," ",BD_COMERCIAL!$L244),'Curva Forward'!$B$5:$B$13,0),MATCH(FP$4,'Curva Forward'!$C$4:$AN$4,0))),CR244)</f>
        <v>0</v>
      </c>
      <c r="FQ244" s="190">
        <f>AE244*AE$2*IF($FC244="V",1,-1)*IF($Q244="Fixo",(CS244-INDEX('Curva Forward'!$C$5:$AN$13,MATCH(CONCATENATE(BD_COMERCIAL!$K244," ",BD_COMERCIAL!$L244),'Curva Forward'!$B$5:$B$13,0),MATCH(FQ$4,'Curva Forward'!$C$4:$AN$4,0))),CS244)</f>
        <v>0</v>
      </c>
      <c r="FR244" s="190">
        <f>AF244*AF$2*IF($FC244="V",1,-1)*IF($Q244="Fixo",(CT244-INDEX('Curva Forward'!$C$5:$AN$13,MATCH(CONCATENATE(BD_COMERCIAL!$K244," ",BD_COMERCIAL!$L244),'Curva Forward'!$B$5:$B$13,0),MATCH(FR$4,'Curva Forward'!$C$4:$AN$4,0))),CT244)</f>
        <v>0</v>
      </c>
      <c r="FS244" s="190">
        <f>AG244*AG$2*IF($FC244="V",1,-1)*IF($Q244="Fixo",(CU244-INDEX('Curva Forward'!$C$5:$AN$13,MATCH(CONCATENATE(BD_COMERCIAL!$K244," ",BD_COMERCIAL!$L244),'Curva Forward'!$B$5:$B$13,0),MATCH(FS$4,'Curva Forward'!$C$4:$AN$4,0))),CU244)</f>
        <v>0</v>
      </c>
      <c r="FT244" s="190">
        <f>AH244*AH$2*IF($FC244="V",1,-1)*IF($Q244="Fixo",(CV244-INDEX('Curva Forward'!$C$5:$AN$13,MATCH(CONCATENATE(BD_COMERCIAL!$K244," ",BD_COMERCIAL!$L244),'Curva Forward'!$B$5:$B$13,0),MATCH(FT$4,'Curva Forward'!$C$4:$AN$4,0))),CV244)</f>
        <v>0</v>
      </c>
      <c r="FU244" s="190">
        <f>AI244*AI$2*IF($FC244="V",1,-1)*IF($Q244="Fixo",(CW244-INDEX('Curva Forward'!$C$5:$AN$13,MATCH(CONCATENATE(BD_COMERCIAL!$K244," ",BD_COMERCIAL!$L244),'Curva Forward'!$B$5:$B$13,0),MATCH(FU$4,'Curva Forward'!$C$4:$AN$4,0))),CW244)</f>
        <v>0</v>
      </c>
      <c r="FV244" s="190">
        <f>AJ244*AJ$2*IF($FC244="V",1,-1)*IF($Q244="Fixo",(CX244-INDEX('Curva Forward'!$C$5:$AN$13,MATCH(CONCATENATE(BD_COMERCIAL!$K244," ",BD_COMERCIAL!$L244),'Curva Forward'!$B$5:$B$13,0),MATCH(FV$4,'Curva Forward'!$C$4:$AN$4,0))),CX244)</f>
        <v>0</v>
      </c>
      <c r="FW244" s="190">
        <f>AK244*AK$2*IF($FC244="V",1,-1)*IF($Q244="Fixo",(CY244-INDEX('Curva Forward'!$C$5:$AN$13,MATCH(CONCATENATE(BD_COMERCIAL!$K244," ",BD_COMERCIAL!$L244),'Curva Forward'!$B$5:$B$13,0),MATCH(FW$4,'Curva Forward'!$C$4:$AN$4,0))),CY244)</f>
        <v>0</v>
      </c>
      <c r="FX244" s="190">
        <f>AL244*AL$2*IF($FC244="V",1,-1)*IF($Q244="Fixo",(CZ244-INDEX('Curva Forward'!$C$5:$AN$13,MATCH(CONCATENATE(BD_COMERCIAL!$K244," ",BD_COMERCIAL!$L244),'Curva Forward'!$B$5:$B$13,0),MATCH(FX$4,'Curva Forward'!$C$4:$AN$4,0))),CZ244)</f>
        <v>0</v>
      </c>
      <c r="FY244" s="190">
        <f>AM244*AM$2*IF($FC244="V",1,-1)*IF($Q244="Fixo",(DA244-INDEX('Curva Forward'!$C$5:$AN$13,MATCH(CONCATENATE(BD_COMERCIAL!$K244," ",BD_COMERCIAL!$L244),'Curva Forward'!$B$5:$B$13,0),MATCH(FY$4,'Curva Forward'!$C$4:$AN$4,0))),DA244)</f>
        <v>0</v>
      </c>
      <c r="FZ244" s="190">
        <f>AN244*AN$2*IF($FC244="V",1,-1)*IF($Q244="Fixo",(DB244-INDEX('Curva Forward'!$C$5:$AN$13,MATCH(CONCATENATE(BD_COMERCIAL!$K244," ",BD_COMERCIAL!$L244),'Curva Forward'!$B$5:$B$13,0),MATCH(FZ$4,'Curva Forward'!$C$4:$AN$4,0))),DB244)</f>
        <v>0</v>
      </c>
      <c r="GA244" s="190">
        <f>AO244*AO$2*IF($FC244="V",1,-1)*IF($Q244="Fixo",(DC244-INDEX('Curva Forward'!$C$5:$AN$13,MATCH(CONCATENATE(BD_COMERCIAL!$K244," ",BD_COMERCIAL!$L244),'Curva Forward'!$B$5:$B$13,0),MATCH(GA$4,'Curva Forward'!$C$4:$AN$4,0))),DC244)</f>
        <v>0</v>
      </c>
      <c r="GB244" s="190">
        <f>AP244*AP$2*IF($FC244="V",1,-1)*IF($Q244="Fixo",(DD244-INDEX('Curva Forward'!$C$5:$AN$13,MATCH(CONCATENATE(BD_COMERCIAL!$K244," ",BD_COMERCIAL!$L244),'Curva Forward'!$B$5:$B$13,0),MATCH(GB$4,'Curva Forward'!$C$4:$AN$4,0))),DD244)</f>
        <v>0</v>
      </c>
      <c r="GC244" s="190">
        <f>AQ244*AQ$2*IF($FC244="V",1,-1)*IF($Q244="Fixo",(DE244-INDEX('Curva Forward'!$C$5:$AN$13,MATCH(CONCATENATE(BD_COMERCIAL!$K244," ",BD_COMERCIAL!$L244),'Curva Forward'!$B$5:$B$13,0),MATCH(GC$4,'Curva Forward'!$C$4:$AN$4,0))),DE244)</f>
        <v>0</v>
      </c>
      <c r="GD244" s="190">
        <f>AR244*AR$2*IF($FC244="V",1,-1)*IF($Q244="Fixo",(DF244-INDEX('Curva Forward'!$C$5:$AN$13,MATCH(CONCATENATE(BD_COMERCIAL!$K244," ",BD_COMERCIAL!$L244),'Curva Forward'!$B$5:$B$13,0),MATCH(GD$4,'Curva Forward'!$C$4:$AN$4,0))),DF244)</f>
        <v>0</v>
      </c>
      <c r="GE244" s="190">
        <f>AS244*AS$2*IF($FC244="V",1,-1)*IF($Q244="Fixo",(DG244-INDEX('Curva Forward'!$C$5:$AN$13,MATCH(CONCATENATE(BD_COMERCIAL!$K244," ",BD_COMERCIAL!$L244),'Curva Forward'!$B$5:$B$13,0),MATCH(GE$4,'Curva Forward'!$C$4:$AN$4,0))),DG244)</f>
        <v>0</v>
      </c>
      <c r="GF244" s="190">
        <f>AT244*AT$2*IF($FC244="V",1,-1)*IF($Q244="Fixo",(DH244-INDEX('Curva Forward'!$C$5:$AN$13,MATCH(CONCATENATE(BD_COMERCIAL!$K244," ",BD_COMERCIAL!$L244),'Curva Forward'!$B$5:$B$13,0),MATCH(GF$4,'Curva Forward'!$C$4:$AN$4,0))),DH244)</f>
        <v>0</v>
      </c>
      <c r="GG244" s="190">
        <f>AU244*AU$2*IF($FC244="V",1,-1)*IF($Q244="Fixo",(DI244-INDEX('Curva Forward'!$C$5:$AN$13,MATCH(CONCATENATE(BD_COMERCIAL!$K244," ",BD_COMERCIAL!$L244),'Curva Forward'!$B$5:$B$13,0),MATCH(GG$4,'Curva Forward'!$C$4:$AN$4,0))),DI244)</f>
        <v>0</v>
      </c>
      <c r="GH244" s="190">
        <f>AV244*AV$2*IF($FC244="V",1,-1)*IF($Q244="Fixo",(DJ244-INDEX('Curva Forward'!$C$5:$AN$13,MATCH(CONCATENATE(BD_COMERCIAL!$K244," ",BD_COMERCIAL!$L244),'Curva Forward'!$B$5:$B$13,0),MATCH(GH$4,'Curva Forward'!$C$4:$AN$4,0))),DJ244)</f>
        <v>0</v>
      </c>
      <c r="GI244" s="190">
        <f>AW244*AW$2*IF($FC244="V",1,-1)*IF($Q244="Fixo",(DK244-INDEX('Curva Forward'!$C$5:$AN$13,MATCH(CONCATENATE(BD_COMERCIAL!$K244," ",BD_COMERCIAL!$L244),'Curva Forward'!$B$5:$B$13,0),MATCH(GI$4,'Curva Forward'!$C$4:$AN$4,0))),DK244)</f>
        <v>0</v>
      </c>
      <c r="GJ244" s="190">
        <f>AX244*AX$2*IF($FC244="V",1,-1)*IF($Q244="Fixo",(DL244-INDEX('Curva Forward'!$C$5:$AN$13,MATCH(CONCATENATE(BD_COMERCIAL!$K244," ",BD_COMERCIAL!$L244),'Curva Forward'!$B$5:$B$13,0),MATCH(GJ$4,'Curva Forward'!$C$4:$AN$4,0))),DL244)</f>
        <v>0</v>
      </c>
      <c r="GK244" s="190">
        <f>AY244*AY$2*IF($FC244="V",1,-1)*IF($Q244="Fixo",(DM244-INDEX('Curva Forward'!$C$5:$AN$13,MATCH(CONCATENATE(BD_COMERCIAL!$K244," ",BD_COMERCIAL!$L244),'Curva Forward'!$B$5:$B$13,0),MATCH(GK$4,'Curva Forward'!$C$4:$AN$4,0))),DM244)</f>
        <v>0</v>
      </c>
      <c r="GL244" s="190">
        <f>IF(EZ244="",0,CL244*CL$2*IF($FC244="V",1,-1)*IF($Q244="Fixo",(EZ244-INDEX('Curva Forward'!$C$5:$AN$13,MATCH(CONCATENATE(BD_COMERCIAL!$K244," ",BD_COMERCIAL!$L244),'Curva Forward'!$B$5:$B$13,0),MATCH(GL$4,'Curva Forward'!$C$4:$AN$4,0))),EZ244))</f>
        <v>0</v>
      </c>
      <c r="GM244" s="190">
        <f>IF(FA244="",0,CM244*CM$2*IF($FC244="V",1,-1)*IF($Q244="Fixo",(FA244-INDEX('Curva Forward'!$C$5:$AN$13,MATCH(CONCATENATE(BD_COMERCIAL!$K244," ",BD_COMERCIAL!$L244),'Curva Forward'!$B$5:$B$13,0),MATCH(GM$4,'Curva Forward'!$C$4:$AN$4,0))),FA244))</f>
        <v>0</v>
      </c>
      <c r="GN244" s="190">
        <f>IF(FB244="",0,CN244*CN$2*IF($FC244="V",1,-1)*IF($Q244="Fixo",(FB244-INDEX('Curva Forward'!$C$5:$AN$13,MATCH(CONCATENATE(BD_COMERCIAL!$K244," ",BD_COMERCIAL!$L244),'Curva Forward'!$B$5:$B$13,0),MATCH(GN$4,'Curva Forward'!$C$4:$AN$4,0))),FB244))</f>
        <v>0</v>
      </c>
      <c r="GO244" s="191">
        <f t="shared" ca="1" si="32"/>
        <v>0</v>
      </c>
      <c r="GP244" s="191">
        <f t="shared" ca="1" si="33"/>
        <v>0</v>
      </c>
      <c r="GQ244" s="115"/>
      <c r="GR244" s="115"/>
      <c r="GS244"/>
      <c r="GT244" s="65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</row>
    <row r="245" spans="1:236" s="265" customFormat="1" ht="15" customHeight="1" x14ac:dyDescent="0.35">
      <c r="A245" s="251"/>
      <c r="B245" s="275"/>
      <c r="C245" s="253"/>
      <c r="D245" s="254"/>
      <c r="E245" s="254"/>
      <c r="F245" s="255"/>
      <c r="G245" s="256"/>
      <c r="H245" s="255"/>
      <c r="I245" s="254"/>
      <c r="J245" s="257"/>
      <c r="K245" s="256"/>
      <c r="L245" s="252"/>
      <c r="M245" s="258"/>
      <c r="N245" s="259"/>
      <c r="O245" s="256"/>
      <c r="P245" s="252"/>
      <c r="Q245" s="252"/>
      <c r="R245" s="256"/>
      <c r="S245" s="260"/>
      <c r="T245" s="258"/>
      <c r="U245" s="259"/>
      <c r="V245" s="261"/>
      <c r="W245" s="252"/>
      <c r="X245" s="262"/>
      <c r="Y245" s="257"/>
      <c r="Z245" s="263"/>
      <c r="AA245" s="264"/>
      <c r="AB245" s="266"/>
      <c r="AM245" s="251"/>
      <c r="AN245" s="266"/>
      <c r="AY245" s="251"/>
      <c r="AZ245" s="266"/>
      <c r="BK245" s="251"/>
      <c r="BL245" s="266"/>
      <c r="BW245" s="251"/>
      <c r="BX245" s="266"/>
      <c r="CI245" s="251"/>
      <c r="CJ245" s="267"/>
      <c r="CK245" s="267"/>
      <c r="CL245" s="267"/>
      <c r="CM245" s="267"/>
      <c r="CN245" s="267"/>
      <c r="CO245" s="268"/>
      <c r="CP245" s="266"/>
      <c r="DA245" s="251"/>
      <c r="DB245" s="266"/>
      <c r="DM245" s="251"/>
      <c r="DN245" s="266"/>
      <c r="DY245" s="251"/>
      <c r="DZ245" s="266"/>
      <c r="EK245" s="251"/>
      <c r="EL245" s="266"/>
      <c r="EW245" s="251"/>
      <c r="EX245" s="267"/>
      <c r="EY245" s="267"/>
      <c r="EZ245" s="267"/>
      <c r="FA245" s="267"/>
      <c r="FB245" s="269"/>
      <c r="FD245" s="270"/>
      <c r="FF245" s="276"/>
      <c r="FH245" s="206">
        <f t="shared" si="27"/>
        <v>0</v>
      </c>
      <c r="FI245" s="198">
        <f t="shared" si="28"/>
        <v>0</v>
      </c>
      <c r="FJ245"/>
      <c r="FK245">
        <f t="shared" si="29"/>
        <v>0</v>
      </c>
      <c r="FL245" s="191">
        <f t="shared" ca="1" si="30"/>
        <v>0</v>
      </c>
      <c r="FM245" s="191">
        <f t="shared" ca="1" si="31"/>
        <v>0</v>
      </c>
      <c r="FN245" s="190">
        <f>AB245*AB$2*IF($FC245="V",1,-1)*IF($Q245="Fixo",(CP245-INDEX('Curva Forward'!$C$5:$AN$13,MATCH(CONCATENATE(BD_COMERCIAL!$K245," ",BD_COMERCIAL!$L245),'Curva Forward'!$B$5:$B$13,0),MATCH(FN$4,'Curva Forward'!$C$4:$AN$4,0))),CP245)</f>
        <v>0</v>
      </c>
      <c r="FO245" s="190">
        <f>AC245*AC$2*IF($FC245="V",1,-1)*IF($Q245="Fixo",(CQ245-INDEX('Curva Forward'!$C$5:$AN$13,MATCH(CONCATENATE(BD_COMERCIAL!$K245," ",BD_COMERCIAL!$L245),'Curva Forward'!$B$5:$B$13,0),MATCH(FO$4,'Curva Forward'!$C$4:$AN$4,0))),CQ245)</f>
        <v>0</v>
      </c>
      <c r="FP245" s="190">
        <f>AD245*AD$2*IF($FC245="V",1,-1)*IF($Q245="Fixo",(CR245-INDEX('Curva Forward'!$C$5:$AN$13,MATCH(CONCATENATE(BD_COMERCIAL!$K245," ",BD_COMERCIAL!$L245),'Curva Forward'!$B$5:$B$13,0),MATCH(FP$4,'Curva Forward'!$C$4:$AN$4,0))),CR245)</f>
        <v>0</v>
      </c>
      <c r="FQ245" s="190">
        <f>AE245*AE$2*IF($FC245="V",1,-1)*IF($Q245="Fixo",(CS245-INDEX('Curva Forward'!$C$5:$AN$13,MATCH(CONCATENATE(BD_COMERCIAL!$K245," ",BD_COMERCIAL!$L245),'Curva Forward'!$B$5:$B$13,0),MATCH(FQ$4,'Curva Forward'!$C$4:$AN$4,0))),CS245)</f>
        <v>0</v>
      </c>
      <c r="FR245" s="190">
        <f>AF245*AF$2*IF($FC245="V",1,-1)*IF($Q245="Fixo",(CT245-INDEX('Curva Forward'!$C$5:$AN$13,MATCH(CONCATENATE(BD_COMERCIAL!$K245," ",BD_COMERCIAL!$L245),'Curva Forward'!$B$5:$B$13,0),MATCH(FR$4,'Curva Forward'!$C$4:$AN$4,0))),CT245)</f>
        <v>0</v>
      </c>
      <c r="FS245" s="190">
        <f>AG245*AG$2*IF($FC245="V",1,-1)*IF($Q245="Fixo",(CU245-INDEX('Curva Forward'!$C$5:$AN$13,MATCH(CONCATENATE(BD_COMERCIAL!$K245," ",BD_COMERCIAL!$L245),'Curva Forward'!$B$5:$B$13,0),MATCH(FS$4,'Curva Forward'!$C$4:$AN$4,0))),CU245)</f>
        <v>0</v>
      </c>
      <c r="FT245" s="190">
        <f>AH245*AH$2*IF($FC245="V",1,-1)*IF($Q245="Fixo",(CV245-INDEX('Curva Forward'!$C$5:$AN$13,MATCH(CONCATENATE(BD_COMERCIAL!$K245," ",BD_COMERCIAL!$L245),'Curva Forward'!$B$5:$B$13,0),MATCH(FT$4,'Curva Forward'!$C$4:$AN$4,0))),CV245)</f>
        <v>0</v>
      </c>
      <c r="FU245" s="190">
        <f>AI245*AI$2*IF($FC245="V",1,-1)*IF($Q245="Fixo",(CW245-INDEX('Curva Forward'!$C$5:$AN$13,MATCH(CONCATENATE(BD_COMERCIAL!$K245," ",BD_COMERCIAL!$L245),'Curva Forward'!$B$5:$B$13,0),MATCH(FU$4,'Curva Forward'!$C$4:$AN$4,0))),CW245)</f>
        <v>0</v>
      </c>
      <c r="FV245" s="190">
        <f>AJ245*AJ$2*IF($FC245="V",1,-1)*IF($Q245="Fixo",(CX245-INDEX('Curva Forward'!$C$5:$AN$13,MATCH(CONCATENATE(BD_COMERCIAL!$K245," ",BD_COMERCIAL!$L245),'Curva Forward'!$B$5:$B$13,0),MATCH(FV$4,'Curva Forward'!$C$4:$AN$4,0))),CX245)</f>
        <v>0</v>
      </c>
      <c r="FW245" s="190">
        <f>AK245*AK$2*IF($FC245="V",1,-1)*IF($Q245="Fixo",(CY245-INDEX('Curva Forward'!$C$5:$AN$13,MATCH(CONCATENATE(BD_COMERCIAL!$K245," ",BD_COMERCIAL!$L245),'Curva Forward'!$B$5:$B$13,0),MATCH(FW$4,'Curva Forward'!$C$4:$AN$4,0))),CY245)</f>
        <v>0</v>
      </c>
      <c r="FX245" s="190">
        <f>AL245*AL$2*IF($FC245="V",1,-1)*IF($Q245="Fixo",(CZ245-INDEX('Curva Forward'!$C$5:$AN$13,MATCH(CONCATENATE(BD_COMERCIAL!$K245," ",BD_COMERCIAL!$L245),'Curva Forward'!$B$5:$B$13,0),MATCH(FX$4,'Curva Forward'!$C$4:$AN$4,0))),CZ245)</f>
        <v>0</v>
      </c>
      <c r="FY245" s="190">
        <f>AM245*AM$2*IF($FC245="V",1,-1)*IF($Q245="Fixo",(DA245-INDEX('Curva Forward'!$C$5:$AN$13,MATCH(CONCATENATE(BD_COMERCIAL!$K245," ",BD_COMERCIAL!$L245),'Curva Forward'!$B$5:$B$13,0),MATCH(FY$4,'Curva Forward'!$C$4:$AN$4,0))),DA245)</f>
        <v>0</v>
      </c>
      <c r="FZ245" s="190">
        <f>AN245*AN$2*IF($FC245="V",1,-1)*IF($Q245="Fixo",(DB245-INDEX('Curva Forward'!$C$5:$AN$13,MATCH(CONCATENATE(BD_COMERCIAL!$K245," ",BD_COMERCIAL!$L245),'Curva Forward'!$B$5:$B$13,0),MATCH(FZ$4,'Curva Forward'!$C$4:$AN$4,0))),DB245)</f>
        <v>0</v>
      </c>
      <c r="GA245" s="190">
        <f>AO245*AO$2*IF($FC245="V",1,-1)*IF($Q245="Fixo",(DC245-INDEX('Curva Forward'!$C$5:$AN$13,MATCH(CONCATENATE(BD_COMERCIAL!$K245," ",BD_COMERCIAL!$L245),'Curva Forward'!$B$5:$B$13,0),MATCH(GA$4,'Curva Forward'!$C$4:$AN$4,0))),DC245)</f>
        <v>0</v>
      </c>
      <c r="GB245" s="190">
        <f>AP245*AP$2*IF($FC245="V",1,-1)*IF($Q245="Fixo",(DD245-INDEX('Curva Forward'!$C$5:$AN$13,MATCH(CONCATENATE(BD_COMERCIAL!$K245," ",BD_COMERCIAL!$L245),'Curva Forward'!$B$5:$B$13,0),MATCH(GB$4,'Curva Forward'!$C$4:$AN$4,0))),DD245)</f>
        <v>0</v>
      </c>
      <c r="GC245" s="190">
        <f>AQ245*AQ$2*IF($FC245="V",1,-1)*IF($Q245="Fixo",(DE245-INDEX('Curva Forward'!$C$5:$AN$13,MATCH(CONCATENATE(BD_COMERCIAL!$K245," ",BD_COMERCIAL!$L245),'Curva Forward'!$B$5:$B$13,0),MATCH(GC$4,'Curva Forward'!$C$4:$AN$4,0))),DE245)</f>
        <v>0</v>
      </c>
      <c r="GD245" s="190">
        <f>AR245*AR$2*IF($FC245="V",1,-1)*IF($Q245="Fixo",(DF245-INDEX('Curva Forward'!$C$5:$AN$13,MATCH(CONCATENATE(BD_COMERCIAL!$K245," ",BD_COMERCIAL!$L245),'Curva Forward'!$B$5:$B$13,0),MATCH(GD$4,'Curva Forward'!$C$4:$AN$4,0))),DF245)</f>
        <v>0</v>
      </c>
      <c r="GE245" s="190">
        <f>AS245*AS$2*IF($FC245="V",1,-1)*IF($Q245="Fixo",(DG245-INDEX('Curva Forward'!$C$5:$AN$13,MATCH(CONCATENATE(BD_COMERCIAL!$K245," ",BD_COMERCIAL!$L245),'Curva Forward'!$B$5:$B$13,0),MATCH(GE$4,'Curva Forward'!$C$4:$AN$4,0))),DG245)</f>
        <v>0</v>
      </c>
      <c r="GF245" s="190">
        <f>AT245*AT$2*IF($FC245="V",1,-1)*IF($Q245="Fixo",(DH245-INDEX('Curva Forward'!$C$5:$AN$13,MATCH(CONCATENATE(BD_COMERCIAL!$K245," ",BD_COMERCIAL!$L245),'Curva Forward'!$B$5:$B$13,0),MATCH(GF$4,'Curva Forward'!$C$4:$AN$4,0))),DH245)</f>
        <v>0</v>
      </c>
      <c r="GG245" s="190">
        <f>AU245*AU$2*IF($FC245="V",1,-1)*IF($Q245="Fixo",(DI245-INDEX('Curva Forward'!$C$5:$AN$13,MATCH(CONCATENATE(BD_COMERCIAL!$K245," ",BD_COMERCIAL!$L245),'Curva Forward'!$B$5:$B$13,0),MATCH(GG$4,'Curva Forward'!$C$4:$AN$4,0))),DI245)</f>
        <v>0</v>
      </c>
      <c r="GH245" s="190">
        <f>AV245*AV$2*IF($FC245="V",1,-1)*IF($Q245="Fixo",(DJ245-INDEX('Curva Forward'!$C$5:$AN$13,MATCH(CONCATENATE(BD_COMERCIAL!$K245," ",BD_COMERCIAL!$L245),'Curva Forward'!$B$5:$B$13,0),MATCH(GH$4,'Curva Forward'!$C$4:$AN$4,0))),DJ245)</f>
        <v>0</v>
      </c>
      <c r="GI245" s="190">
        <f>AW245*AW$2*IF($FC245="V",1,-1)*IF($Q245="Fixo",(DK245-INDEX('Curva Forward'!$C$5:$AN$13,MATCH(CONCATENATE(BD_COMERCIAL!$K245," ",BD_COMERCIAL!$L245),'Curva Forward'!$B$5:$B$13,0),MATCH(GI$4,'Curva Forward'!$C$4:$AN$4,0))),DK245)</f>
        <v>0</v>
      </c>
      <c r="GJ245" s="190">
        <f>AX245*AX$2*IF($FC245="V",1,-1)*IF($Q245="Fixo",(DL245-INDEX('Curva Forward'!$C$5:$AN$13,MATCH(CONCATENATE(BD_COMERCIAL!$K245," ",BD_COMERCIAL!$L245),'Curva Forward'!$B$5:$B$13,0),MATCH(GJ$4,'Curva Forward'!$C$4:$AN$4,0))),DL245)</f>
        <v>0</v>
      </c>
      <c r="GK245" s="190">
        <f>AY245*AY$2*IF($FC245="V",1,-1)*IF($Q245="Fixo",(DM245-INDEX('Curva Forward'!$C$5:$AN$13,MATCH(CONCATENATE(BD_COMERCIAL!$K245," ",BD_COMERCIAL!$L245),'Curva Forward'!$B$5:$B$13,0),MATCH(GK$4,'Curva Forward'!$C$4:$AN$4,0))),DM245)</f>
        <v>0</v>
      </c>
      <c r="GL245" s="190">
        <f>IF(EZ245="",0,CL245*CL$2*IF($FC245="V",1,-1)*IF($Q245="Fixo",(EZ245-INDEX('Curva Forward'!$C$5:$AN$13,MATCH(CONCATENATE(BD_COMERCIAL!$K245," ",BD_COMERCIAL!$L245),'Curva Forward'!$B$5:$B$13,0),MATCH(GL$4,'Curva Forward'!$C$4:$AN$4,0))),EZ245))</f>
        <v>0</v>
      </c>
      <c r="GM245" s="190">
        <f>IF(FA245="",0,CM245*CM$2*IF($FC245="V",1,-1)*IF($Q245="Fixo",(FA245-INDEX('Curva Forward'!$C$5:$AN$13,MATCH(CONCATENATE(BD_COMERCIAL!$K245," ",BD_COMERCIAL!$L245),'Curva Forward'!$B$5:$B$13,0),MATCH(GM$4,'Curva Forward'!$C$4:$AN$4,0))),FA245))</f>
        <v>0</v>
      </c>
      <c r="GN245" s="190">
        <f>IF(FB245="",0,CN245*CN$2*IF($FC245="V",1,-1)*IF($Q245="Fixo",(FB245-INDEX('Curva Forward'!$C$5:$AN$13,MATCH(CONCATENATE(BD_COMERCIAL!$K245," ",BD_COMERCIAL!$L245),'Curva Forward'!$B$5:$B$13,0),MATCH(GN$4,'Curva Forward'!$C$4:$AN$4,0))),FB245))</f>
        <v>0</v>
      </c>
      <c r="GO245" s="191">
        <f t="shared" ca="1" si="32"/>
        <v>0</v>
      </c>
      <c r="GP245" s="191">
        <f t="shared" ca="1" si="33"/>
        <v>0</v>
      </c>
      <c r="GQ245" s="115"/>
      <c r="GR245" s="115"/>
      <c r="GS245"/>
      <c r="GT245" s="6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</row>
    <row r="246" spans="1:236" s="265" customFormat="1" ht="15" customHeight="1" x14ac:dyDescent="0.35">
      <c r="A246" s="251"/>
      <c r="B246" s="275"/>
      <c r="C246" s="253"/>
      <c r="D246" s="254"/>
      <c r="E246" s="254"/>
      <c r="F246" s="255"/>
      <c r="G246" s="256"/>
      <c r="H246" s="255"/>
      <c r="I246" s="254"/>
      <c r="J246" s="257"/>
      <c r="K246" s="256"/>
      <c r="L246" s="252"/>
      <c r="M246" s="258"/>
      <c r="N246" s="259"/>
      <c r="O246" s="256"/>
      <c r="P246" s="252"/>
      <c r="Q246" s="252"/>
      <c r="R246" s="256"/>
      <c r="S246" s="260"/>
      <c r="T246" s="258"/>
      <c r="U246" s="259"/>
      <c r="V246" s="261"/>
      <c r="W246" s="252"/>
      <c r="X246" s="262"/>
      <c r="Y246" s="257"/>
      <c r="Z246" s="263"/>
      <c r="AA246" s="264"/>
      <c r="AB246" s="266"/>
      <c r="AM246" s="251"/>
      <c r="AN246" s="266"/>
      <c r="AY246" s="251"/>
      <c r="AZ246" s="266"/>
      <c r="BK246" s="251"/>
      <c r="BL246" s="266"/>
      <c r="BW246" s="251"/>
      <c r="BX246" s="266"/>
      <c r="CI246" s="251"/>
      <c r="CJ246" s="267"/>
      <c r="CK246" s="267"/>
      <c r="CL246" s="267"/>
      <c r="CM246" s="267"/>
      <c r="CN246" s="267"/>
      <c r="CO246" s="268"/>
      <c r="CP246" s="266"/>
      <c r="DA246" s="251"/>
      <c r="DB246" s="266"/>
      <c r="DM246" s="251"/>
      <c r="DN246" s="266"/>
      <c r="DY246" s="251"/>
      <c r="DZ246" s="266"/>
      <c r="EK246" s="251"/>
      <c r="EL246" s="266"/>
      <c r="EW246" s="251"/>
      <c r="EX246" s="267"/>
      <c r="EY246" s="267"/>
      <c r="EZ246" s="267"/>
      <c r="FA246" s="267"/>
      <c r="FB246" s="269"/>
      <c r="FD246" s="270"/>
      <c r="FF246" s="276"/>
      <c r="FH246" s="206">
        <f t="shared" si="27"/>
        <v>0</v>
      </c>
      <c r="FI246" s="198">
        <f t="shared" si="28"/>
        <v>0</v>
      </c>
      <c r="FJ246"/>
      <c r="FK246">
        <f t="shared" si="29"/>
        <v>0</v>
      </c>
      <c r="FL246" s="191">
        <f t="shared" ca="1" si="30"/>
        <v>0</v>
      </c>
      <c r="FM246" s="191">
        <f t="shared" ca="1" si="31"/>
        <v>0</v>
      </c>
      <c r="FN246" s="190">
        <f>AB246*AB$2*IF($FC246="V",1,-1)*IF($Q246="Fixo",(CP246-INDEX('Curva Forward'!$C$5:$AN$13,MATCH(CONCATENATE(BD_COMERCIAL!$K246," ",BD_COMERCIAL!$L246),'Curva Forward'!$B$5:$B$13,0),MATCH(FN$4,'Curva Forward'!$C$4:$AN$4,0))),CP246)</f>
        <v>0</v>
      </c>
      <c r="FO246" s="190">
        <f>AC246*AC$2*IF($FC246="V",1,-1)*IF($Q246="Fixo",(CQ246-INDEX('Curva Forward'!$C$5:$AN$13,MATCH(CONCATENATE(BD_COMERCIAL!$K246," ",BD_COMERCIAL!$L246),'Curva Forward'!$B$5:$B$13,0),MATCH(FO$4,'Curva Forward'!$C$4:$AN$4,0))),CQ246)</f>
        <v>0</v>
      </c>
      <c r="FP246" s="190">
        <f>AD246*AD$2*IF($FC246="V",1,-1)*IF($Q246="Fixo",(CR246-INDEX('Curva Forward'!$C$5:$AN$13,MATCH(CONCATENATE(BD_COMERCIAL!$K246," ",BD_COMERCIAL!$L246),'Curva Forward'!$B$5:$B$13,0),MATCH(FP$4,'Curva Forward'!$C$4:$AN$4,0))),CR246)</f>
        <v>0</v>
      </c>
      <c r="FQ246" s="190">
        <f>AE246*AE$2*IF($FC246="V",1,-1)*IF($Q246="Fixo",(CS246-INDEX('Curva Forward'!$C$5:$AN$13,MATCH(CONCATENATE(BD_COMERCIAL!$K246," ",BD_COMERCIAL!$L246),'Curva Forward'!$B$5:$B$13,0),MATCH(FQ$4,'Curva Forward'!$C$4:$AN$4,0))),CS246)</f>
        <v>0</v>
      </c>
      <c r="FR246" s="190">
        <f>AF246*AF$2*IF($FC246="V",1,-1)*IF($Q246="Fixo",(CT246-INDEX('Curva Forward'!$C$5:$AN$13,MATCH(CONCATENATE(BD_COMERCIAL!$K246," ",BD_COMERCIAL!$L246),'Curva Forward'!$B$5:$B$13,0),MATCH(FR$4,'Curva Forward'!$C$4:$AN$4,0))),CT246)</f>
        <v>0</v>
      </c>
      <c r="FS246" s="190">
        <f>AG246*AG$2*IF($FC246="V",1,-1)*IF($Q246="Fixo",(CU246-INDEX('Curva Forward'!$C$5:$AN$13,MATCH(CONCATENATE(BD_COMERCIAL!$K246," ",BD_COMERCIAL!$L246),'Curva Forward'!$B$5:$B$13,0),MATCH(FS$4,'Curva Forward'!$C$4:$AN$4,0))),CU246)</f>
        <v>0</v>
      </c>
      <c r="FT246" s="190">
        <f>AH246*AH$2*IF($FC246="V",1,-1)*IF($Q246="Fixo",(CV246-INDEX('Curva Forward'!$C$5:$AN$13,MATCH(CONCATENATE(BD_COMERCIAL!$K246," ",BD_COMERCIAL!$L246),'Curva Forward'!$B$5:$B$13,0),MATCH(FT$4,'Curva Forward'!$C$4:$AN$4,0))),CV246)</f>
        <v>0</v>
      </c>
      <c r="FU246" s="190">
        <f>AI246*AI$2*IF($FC246="V",1,-1)*IF($Q246="Fixo",(CW246-INDEX('Curva Forward'!$C$5:$AN$13,MATCH(CONCATENATE(BD_COMERCIAL!$K246," ",BD_COMERCIAL!$L246),'Curva Forward'!$B$5:$B$13,0),MATCH(FU$4,'Curva Forward'!$C$4:$AN$4,0))),CW246)</f>
        <v>0</v>
      </c>
      <c r="FV246" s="190">
        <f>AJ246*AJ$2*IF($FC246="V",1,-1)*IF($Q246="Fixo",(CX246-INDEX('Curva Forward'!$C$5:$AN$13,MATCH(CONCATENATE(BD_COMERCIAL!$K246," ",BD_COMERCIAL!$L246),'Curva Forward'!$B$5:$B$13,0),MATCH(FV$4,'Curva Forward'!$C$4:$AN$4,0))),CX246)</f>
        <v>0</v>
      </c>
      <c r="FW246" s="190">
        <f>AK246*AK$2*IF($FC246="V",1,-1)*IF($Q246="Fixo",(CY246-INDEX('Curva Forward'!$C$5:$AN$13,MATCH(CONCATENATE(BD_COMERCIAL!$K246," ",BD_COMERCIAL!$L246),'Curva Forward'!$B$5:$B$13,0),MATCH(FW$4,'Curva Forward'!$C$4:$AN$4,0))),CY246)</f>
        <v>0</v>
      </c>
      <c r="FX246" s="190">
        <f>AL246*AL$2*IF($FC246="V",1,-1)*IF($Q246="Fixo",(CZ246-INDEX('Curva Forward'!$C$5:$AN$13,MATCH(CONCATENATE(BD_COMERCIAL!$K246," ",BD_COMERCIAL!$L246),'Curva Forward'!$B$5:$B$13,0),MATCH(FX$4,'Curva Forward'!$C$4:$AN$4,0))),CZ246)</f>
        <v>0</v>
      </c>
      <c r="FY246" s="190">
        <f>AM246*AM$2*IF($FC246="V",1,-1)*IF($Q246="Fixo",(DA246-INDEX('Curva Forward'!$C$5:$AN$13,MATCH(CONCATENATE(BD_COMERCIAL!$K246," ",BD_COMERCIAL!$L246),'Curva Forward'!$B$5:$B$13,0),MATCH(FY$4,'Curva Forward'!$C$4:$AN$4,0))),DA246)</f>
        <v>0</v>
      </c>
      <c r="FZ246" s="190">
        <f>AN246*AN$2*IF($FC246="V",1,-1)*IF($Q246="Fixo",(DB246-INDEX('Curva Forward'!$C$5:$AN$13,MATCH(CONCATENATE(BD_COMERCIAL!$K246," ",BD_COMERCIAL!$L246),'Curva Forward'!$B$5:$B$13,0),MATCH(FZ$4,'Curva Forward'!$C$4:$AN$4,0))),DB246)</f>
        <v>0</v>
      </c>
      <c r="GA246" s="190">
        <f>AO246*AO$2*IF($FC246="V",1,-1)*IF($Q246="Fixo",(DC246-INDEX('Curva Forward'!$C$5:$AN$13,MATCH(CONCATENATE(BD_COMERCIAL!$K246," ",BD_COMERCIAL!$L246),'Curva Forward'!$B$5:$B$13,0),MATCH(GA$4,'Curva Forward'!$C$4:$AN$4,0))),DC246)</f>
        <v>0</v>
      </c>
      <c r="GB246" s="190">
        <f>AP246*AP$2*IF($FC246="V",1,-1)*IF($Q246="Fixo",(DD246-INDEX('Curva Forward'!$C$5:$AN$13,MATCH(CONCATENATE(BD_COMERCIAL!$K246," ",BD_COMERCIAL!$L246),'Curva Forward'!$B$5:$B$13,0),MATCH(GB$4,'Curva Forward'!$C$4:$AN$4,0))),DD246)</f>
        <v>0</v>
      </c>
      <c r="GC246" s="190">
        <f>AQ246*AQ$2*IF($FC246="V",1,-1)*IF($Q246="Fixo",(DE246-INDEX('Curva Forward'!$C$5:$AN$13,MATCH(CONCATENATE(BD_COMERCIAL!$K246," ",BD_COMERCIAL!$L246),'Curva Forward'!$B$5:$B$13,0),MATCH(GC$4,'Curva Forward'!$C$4:$AN$4,0))),DE246)</f>
        <v>0</v>
      </c>
      <c r="GD246" s="190">
        <f>AR246*AR$2*IF($FC246="V",1,-1)*IF($Q246="Fixo",(DF246-INDEX('Curva Forward'!$C$5:$AN$13,MATCH(CONCATENATE(BD_COMERCIAL!$K246," ",BD_COMERCIAL!$L246),'Curva Forward'!$B$5:$B$13,0),MATCH(GD$4,'Curva Forward'!$C$4:$AN$4,0))),DF246)</f>
        <v>0</v>
      </c>
      <c r="GE246" s="190">
        <f>AS246*AS$2*IF($FC246="V",1,-1)*IF($Q246="Fixo",(DG246-INDEX('Curva Forward'!$C$5:$AN$13,MATCH(CONCATENATE(BD_COMERCIAL!$K246," ",BD_COMERCIAL!$L246),'Curva Forward'!$B$5:$B$13,0),MATCH(GE$4,'Curva Forward'!$C$4:$AN$4,0))),DG246)</f>
        <v>0</v>
      </c>
      <c r="GF246" s="190">
        <f>AT246*AT$2*IF($FC246="V",1,-1)*IF($Q246="Fixo",(DH246-INDEX('Curva Forward'!$C$5:$AN$13,MATCH(CONCATENATE(BD_COMERCIAL!$K246," ",BD_COMERCIAL!$L246),'Curva Forward'!$B$5:$B$13,0),MATCH(GF$4,'Curva Forward'!$C$4:$AN$4,0))),DH246)</f>
        <v>0</v>
      </c>
      <c r="GG246" s="190">
        <f>AU246*AU$2*IF($FC246="V",1,-1)*IF($Q246="Fixo",(DI246-INDEX('Curva Forward'!$C$5:$AN$13,MATCH(CONCATENATE(BD_COMERCIAL!$K246," ",BD_COMERCIAL!$L246),'Curva Forward'!$B$5:$B$13,0),MATCH(GG$4,'Curva Forward'!$C$4:$AN$4,0))),DI246)</f>
        <v>0</v>
      </c>
      <c r="GH246" s="190">
        <f>AV246*AV$2*IF($FC246="V",1,-1)*IF($Q246="Fixo",(DJ246-INDEX('Curva Forward'!$C$5:$AN$13,MATCH(CONCATENATE(BD_COMERCIAL!$K246," ",BD_COMERCIAL!$L246),'Curva Forward'!$B$5:$B$13,0),MATCH(GH$4,'Curva Forward'!$C$4:$AN$4,0))),DJ246)</f>
        <v>0</v>
      </c>
      <c r="GI246" s="190">
        <f>AW246*AW$2*IF($FC246="V",1,-1)*IF($Q246="Fixo",(DK246-INDEX('Curva Forward'!$C$5:$AN$13,MATCH(CONCATENATE(BD_COMERCIAL!$K246," ",BD_COMERCIAL!$L246),'Curva Forward'!$B$5:$B$13,0),MATCH(GI$4,'Curva Forward'!$C$4:$AN$4,0))),DK246)</f>
        <v>0</v>
      </c>
      <c r="GJ246" s="190">
        <f>AX246*AX$2*IF($FC246="V",1,-1)*IF($Q246="Fixo",(DL246-INDEX('Curva Forward'!$C$5:$AN$13,MATCH(CONCATENATE(BD_COMERCIAL!$K246," ",BD_COMERCIAL!$L246),'Curva Forward'!$B$5:$B$13,0),MATCH(GJ$4,'Curva Forward'!$C$4:$AN$4,0))),DL246)</f>
        <v>0</v>
      </c>
      <c r="GK246" s="190">
        <f>AY246*AY$2*IF($FC246="V",1,-1)*IF($Q246="Fixo",(DM246-INDEX('Curva Forward'!$C$5:$AN$13,MATCH(CONCATENATE(BD_COMERCIAL!$K246," ",BD_COMERCIAL!$L246),'Curva Forward'!$B$5:$B$13,0),MATCH(GK$4,'Curva Forward'!$C$4:$AN$4,0))),DM246)</f>
        <v>0</v>
      </c>
      <c r="GL246" s="190">
        <f>IF(EZ246="",0,CL246*CL$2*IF($FC246="V",1,-1)*IF($Q246="Fixo",(EZ246-INDEX('Curva Forward'!$C$5:$AN$13,MATCH(CONCATENATE(BD_COMERCIAL!$K246," ",BD_COMERCIAL!$L246),'Curva Forward'!$B$5:$B$13,0),MATCH(GL$4,'Curva Forward'!$C$4:$AN$4,0))),EZ246))</f>
        <v>0</v>
      </c>
      <c r="GM246" s="190">
        <f>IF(FA246="",0,CM246*CM$2*IF($FC246="V",1,-1)*IF($Q246="Fixo",(FA246-INDEX('Curva Forward'!$C$5:$AN$13,MATCH(CONCATENATE(BD_COMERCIAL!$K246," ",BD_COMERCIAL!$L246),'Curva Forward'!$B$5:$B$13,0),MATCH(GM$4,'Curva Forward'!$C$4:$AN$4,0))),FA246))</f>
        <v>0</v>
      </c>
      <c r="GN246" s="190">
        <f>IF(FB246="",0,CN246*CN$2*IF($FC246="V",1,-1)*IF($Q246="Fixo",(FB246-INDEX('Curva Forward'!$C$5:$AN$13,MATCH(CONCATENATE(BD_COMERCIAL!$K246," ",BD_COMERCIAL!$L246),'Curva Forward'!$B$5:$B$13,0),MATCH(GN$4,'Curva Forward'!$C$4:$AN$4,0))),FB246))</f>
        <v>0</v>
      </c>
      <c r="GO246" s="191">
        <f t="shared" ca="1" si="32"/>
        <v>0</v>
      </c>
      <c r="GP246" s="191">
        <f t="shared" ca="1" si="33"/>
        <v>0</v>
      </c>
      <c r="GQ246" s="115"/>
      <c r="GR246" s="115"/>
      <c r="GS246"/>
      <c r="GT246" s="65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</row>
    <row r="247" spans="1:236" s="265" customFormat="1" ht="15" customHeight="1" x14ac:dyDescent="0.35">
      <c r="A247" s="251"/>
      <c r="B247" s="275"/>
      <c r="C247" s="253"/>
      <c r="D247" s="254"/>
      <c r="E247" s="254"/>
      <c r="F247" s="255"/>
      <c r="G247" s="256"/>
      <c r="H247" s="255"/>
      <c r="I247" s="254"/>
      <c r="J247" s="257"/>
      <c r="K247" s="256"/>
      <c r="L247" s="252"/>
      <c r="M247" s="258"/>
      <c r="N247" s="259"/>
      <c r="O247" s="256"/>
      <c r="P247" s="252"/>
      <c r="Q247" s="252"/>
      <c r="R247" s="256"/>
      <c r="S247" s="260"/>
      <c r="T247" s="258"/>
      <c r="U247" s="259"/>
      <c r="V247" s="261"/>
      <c r="W247" s="252"/>
      <c r="X247" s="262"/>
      <c r="Y247" s="257"/>
      <c r="Z247" s="263"/>
      <c r="AA247" s="264"/>
      <c r="AB247" s="266"/>
      <c r="AM247" s="251"/>
      <c r="AN247" s="266"/>
      <c r="AY247" s="251"/>
      <c r="AZ247" s="266"/>
      <c r="BK247" s="251"/>
      <c r="BL247" s="266"/>
      <c r="BW247" s="251"/>
      <c r="BX247" s="266"/>
      <c r="CI247" s="251"/>
      <c r="CJ247" s="267"/>
      <c r="CK247" s="267"/>
      <c r="CL247" s="267"/>
      <c r="CM247" s="267"/>
      <c r="CN247" s="267"/>
      <c r="CO247" s="268"/>
      <c r="CP247" s="266"/>
      <c r="DA247" s="251"/>
      <c r="DB247" s="266"/>
      <c r="DM247" s="251"/>
      <c r="DN247" s="266"/>
      <c r="DY247" s="251"/>
      <c r="DZ247" s="266"/>
      <c r="EK247" s="251"/>
      <c r="EL247" s="266"/>
      <c r="EW247" s="251"/>
      <c r="EX247" s="267"/>
      <c r="EY247" s="267"/>
      <c r="EZ247" s="267"/>
      <c r="FA247" s="267"/>
      <c r="FB247" s="269"/>
      <c r="FD247" s="270"/>
      <c r="FF247" s="276"/>
      <c r="FH247" s="206">
        <f t="shared" si="27"/>
        <v>0</v>
      </c>
      <c r="FI247" s="198">
        <f t="shared" si="28"/>
        <v>0</v>
      </c>
      <c r="FJ247"/>
      <c r="FK247">
        <f t="shared" si="29"/>
        <v>0</v>
      </c>
      <c r="FL247" s="191">
        <f t="shared" ca="1" si="30"/>
        <v>0</v>
      </c>
      <c r="FM247" s="191">
        <f t="shared" ca="1" si="31"/>
        <v>0</v>
      </c>
      <c r="FN247" s="190">
        <f>AB247*AB$2*IF($FC247="V",1,-1)*IF($Q247="Fixo",(CP247-INDEX('Curva Forward'!$C$5:$AN$13,MATCH(CONCATENATE(BD_COMERCIAL!$K247," ",BD_COMERCIAL!$L247),'Curva Forward'!$B$5:$B$13,0),MATCH(FN$4,'Curva Forward'!$C$4:$AN$4,0))),CP247)</f>
        <v>0</v>
      </c>
      <c r="FO247" s="190">
        <f>AC247*AC$2*IF($FC247="V",1,-1)*IF($Q247="Fixo",(CQ247-INDEX('Curva Forward'!$C$5:$AN$13,MATCH(CONCATENATE(BD_COMERCIAL!$K247," ",BD_COMERCIAL!$L247),'Curva Forward'!$B$5:$B$13,0),MATCH(FO$4,'Curva Forward'!$C$4:$AN$4,0))),CQ247)</f>
        <v>0</v>
      </c>
      <c r="FP247" s="190">
        <f>AD247*AD$2*IF($FC247="V",1,-1)*IF($Q247="Fixo",(CR247-INDEX('Curva Forward'!$C$5:$AN$13,MATCH(CONCATENATE(BD_COMERCIAL!$K247," ",BD_COMERCIAL!$L247),'Curva Forward'!$B$5:$B$13,0),MATCH(FP$4,'Curva Forward'!$C$4:$AN$4,0))),CR247)</f>
        <v>0</v>
      </c>
      <c r="FQ247" s="190">
        <f>AE247*AE$2*IF($FC247="V",1,-1)*IF($Q247="Fixo",(CS247-INDEX('Curva Forward'!$C$5:$AN$13,MATCH(CONCATENATE(BD_COMERCIAL!$K247," ",BD_COMERCIAL!$L247),'Curva Forward'!$B$5:$B$13,0),MATCH(FQ$4,'Curva Forward'!$C$4:$AN$4,0))),CS247)</f>
        <v>0</v>
      </c>
      <c r="FR247" s="190">
        <f>AF247*AF$2*IF($FC247="V",1,-1)*IF($Q247="Fixo",(CT247-INDEX('Curva Forward'!$C$5:$AN$13,MATCH(CONCATENATE(BD_COMERCIAL!$K247," ",BD_COMERCIAL!$L247),'Curva Forward'!$B$5:$B$13,0),MATCH(FR$4,'Curva Forward'!$C$4:$AN$4,0))),CT247)</f>
        <v>0</v>
      </c>
      <c r="FS247" s="190">
        <f>AG247*AG$2*IF($FC247="V",1,-1)*IF($Q247="Fixo",(CU247-INDEX('Curva Forward'!$C$5:$AN$13,MATCH(CONCATENATE(BD_COMERCIAL!$K247," ",BD_COMERCIAL!$L247),'Curva Forward'!$B$5:$B$13,0),MATCH(FS$4,'Curva Forward'!$C$4:$AN$4,0))),CU247)</f>
        <v>0</v>
      </c>
      <c r="FT247" s="190">
        <f>AH247*AH$2*IF($FC247="V",1,-1)*IF($Q247="Fixo",(CV247-INDEX('Curva Forward'!$C$5:$AN$13,MATCH(CONCATENATE(BD_COMERCIAL!$K247," ",BD_COMERCIAL!$L247),'Curva Forward'!$B$5:$B$13,0),MATCH(FT$4,'Curva Forward'!$C$4:$AN$4,0))),CV247)</f>
        <v>0</v>
      </c>
      <c r="FU247" s="190">
        <f>AI247*AI$2*IF($FC247="V",1,-1)*IF($Q247="Fixo",(CW247-INDEX('Curva Forward'!$C$5:$AN$13,MATCH(CONCATENATE(BD_COMERCIAL!$K247," ",BD_COMERCIAL!$L247),'Curva Forward'!$B$5:$B$13,0),MATCH(FU$4,'Curva Forward'!$C$4:$AN$4,0))),CW247)</f>
        <v>0</v>
      </c>
      <c r="FV247" s="190">
        <f>AJ247*AJ$2*IF($FC247="V",1,-1)*IF($Q247="Fixo",(CX247-INDEX('Curva Forward'!$C$5:$AN$13,MATCH(CONCATENATE(BD_COMERCIAL!$K247," ",BD_COMERCIAL!$L247),'Curva Forward'!$B$5:$B$13,0),MATCH(FV$4,'Curva Forward'!$C$4:$AN$4,0))),CX247)</f>
        <v>0</v>
      </c>
      <c r="FW247" s="190">
        <f>AK247*AK$2*IF($FC247="V",1,-1)*IF($Q247="Fixo",(CY247-INDEX('Curva Forward'!$C$5:$AN$13,MATCH(CONCATENATE(BD_COMERCIAL!$K247," ",BD_COMERCIAL!$L247),'Curva Forward'!$B$5:$B$13,0),MATCH(FW$4,'Curva Forward'!$C$4:$AN$4,0))),CY247)</f>
        <v>0</v>
      </c>
      <c r="FX247" s="190">
        <f>AL247*AL$2*IF($FC247="V",1,-1)*IF($Q247="Fixo",(CZ247-INDEX('Curva Forward'!$C$5:$AN$13,MATCH(CONCATENATE(BD_COMERCIAL!$K247," ",BD_COMERCIAL!$L247),'Curva Forward'!$B$5:$B$13,0),MATCH(FX$4,'Curva Forward'!$C$4:$AN$4,0))),CZ247)</f>
        <v>0</v>
      </c>
      <c r="FY247" s="190">
        <f>AM247*AM$2*IF($FC247="V",1,-1)*IF($Q247="Fixo",(DA247-INDEX('Curva Forward'!$C$5:$AN$13,MATCH(CONCATENATE(BD_COMERCIAL!$K247," ",BD_COMERCIAL!$L247),'Curva Forward'!$B$5:$B$13,0),MATCH(FY$4,'Curva Forward'!$C$4:$AN$4,0))),DA247)</f>
        <v>0</v>
      </c>
      <c r="FZ247" s="190">
        <f>AN247*AN$2*IF($FC247="V",1,-1)*IF($Q247="Fixo",(DB247-INDEX('Curva Forward'!$C$5:$AN$13,MATCH(CONCATENATE(BD_COMERCIAL!$K247," ",BD_COMERCIAL!$L247),'Curva Forward'!$B$5:$B$13,0),MATCH(FZ$4,'Curva Forward'!$C$4:$AN$4,0))),DB247)</f>
        <v>0</v>
      </c>
      <c r="GA247" s="190">
        <f>AO247*AO$2*IF($FC247="V",1,-1)*IF($Q247="Fixo",(DC247-INDEX('Curva Forward'!$C$5:$AN$13,MATCH(CONCATENATE(BD_COMERCIAL!$K247," ",BD_COMERCIAL!$L247),'Curva Forward'!$B$5:$B$13,0),MATCH(GA$4,'Curva Forward'!$C$4:$AN$4,0))),DC247)</f>
        <v>0</v>
      </c>
      <c r="GB247" s="190">
        <f>AP247*AP$2*IF($FC247="V",1,-1)*IF($Q247="Fixo",(DD247-INDEX('Curva Forward'!$C$5:$AN$13,MATCH(CONCATENATE(BD_COMERCIAL!$K247," ",BD_COMERCIAL!$L247),'Curva Forward'!$B$5:$B$13,0),MATCH(GB$4,'Curva Forward'!$C$4:$AN$4,0))),DD247)</f>
        <v>0</v>
      </c>
      <c r="GC247" s="190">
        <f>AQ247*AQ$2*IF($FC247="V",1,-1)*IF($Q247="Fixo",(DE247-INDEX('Curva Forward'!$C$5:$AN$13,MATCH(CONCATENATE(BD_COMERCIAL!$K247," ",BD_COMERCIAL!$L247),'Curva Forward'!$B$5:$B$13,0),MATCH(GC$4,'Curva Forward'!$C$4:$AN$4,0))),DE247)</f>
        <v>0</v>
      </c>
      <c r="GD247" s="190">
        <f>AR247*AR$2*IF($FC247="V",1,-1)*IF($Q247="Fixo",(DF247-INDEX('Curva Forward'!$C$5:$AN$13,MATCH(CONCATENATE(BD_COMERCIAL!$K247," ",BD_COMERCIAL!$L247),'Curva Forward'!$B$5:$B$13,0),MATCH(GD$4,'Curva Forward'!$C$4:$AN$4,0))),DF247)</f>
        <v>0</v>
      </c>
      <c r="GE247" s="190">
        <f>AS247*AS$2*IF($FC247="V",1,-1)*IF($Q247="Fixo",(DG247-INDEX('Curva Forward'!$C$5:$AN$13,MATCH(CONCATENATE(BD_COMERCIAL!$K247," ",BD_COMERCIAL!$L247),'Curva Forward'!$B$5:$B$13,0),MATCH(GE$4,'Curva Forward'!$C$4:$AN$4,0))),DG247)</f>
        <v>0</v>
      </c>
      <c r="GF247" s="190">
        <f>AT247*AT$2*IF($FC247="V",1,-1)*IF($Q247="Fixo",(DH247-INDEX('Curva Forward'!$C$5:$AN$13,MATCH(CONCATENATE(BD_COMERCIAL!$K247," ",BD_COMERCIAL!$L247),'Curva Forward'!$B$5:$B$13,0),MATCH(GF$4,'Curva Forward'!$C$4:$AN$4,0))),DH247)</f>
        <v>0</v>
      </c>
      <c r="GG247" s="190">
        <f>AU247*AU$2*IF($FC247="V",1,-1)*IF($Q247="Fixo",(DI247-INDEX('Curva Forward'!$C$5:$AN$13,MATCH(CONCATENATE(BD_COMERCIAL!$K247," ",BD_COMERCIAL!$L247),'Curva Forward'!$B$5:$B$13,0),MATCH(GG$4,'Curva Forward'!$C$4:$AN$4,0))),DI247)</f>
        <v>0</v>
      </c>
      <c r="GH247" s="190">
        <f>AV247*AV$2*IF($FC247="V",1,-1)*IF($Q247="Fixo",(DJ247-INDEX('Curva Forward'!$C$5:$AN$13,MATCH(CONCATENATE(BD_COMERCIAL!$K247," ",BD_COMERCIAL!$L247),'Curva Forward'!$B$5:$B$13,0),MATCH(GH$4,'Curva Forward'!$C$4:$AN$4,0))),DJ247)</f>
        <v>0</v>
      </c>
      <c r="GI247" s="190">
        <f>AW247*AW$2*IF($FC247="V",1,-1)*IF($Q247="Fixo",(DK247-INDEX('Curva Forward'!$C$5:$AN$13,MATCH(CONCATENATE(BD_COMERCIAL!$K247," ",BD_COMERCIAL!$L247),'Curva Forward'!$B$5:$B$13,0),MATCH(GI$4,'Curva Forward'!$C$4:$AN$4,0))),DK247)</f>
        <v>0</v>
      </c>
      <c r="GJ247" s="190">
        <f>AX247*AX$2*IF($FC247="V",1,-1)*IF($Q247="Fixo",(DL247-INDEX('Curva Forward'!$C$5:$AN$13,MATCH(CONCATENATE(BD_COMERCIAL!$K247," ",BD_COMERCIAL!$L247),'Curva Forward'!$B$5:$B$13,0),MATCH(GJ$4,'Curva Forward'!$C$4:$AN$4,0))),DL247)</f>
        <v>0</v>
      </c>
      <c r="GK247" s="190">
        <f>AY247*AY$2*IF($FC247="V",1,-1)*IF($Q247="Fixo",(DM247-INDEX('Curva Forward'!$C$5:$AN$13,MATCH(CONCATENATE(BD_COMERCIAL!$K247," ",BD_COMERCIAL!$L247),'Curva Forward'!$B$5:$B$13,0),MATCH(GK$4,'Curva Forward'!$C$4:$AN$4,0))),DM247)</f>
        <v>0</v>
      </c>
      <c r="GL247" s="190">
        <f>IF(EZ247="",0,CL247*CL$2*IF($FC247="V",1,-1)*IF($Q247="Fixo",(EZ247-INDEX('Curva Forward'!$C$5:$AN$13,MATCH(CONCATENATE(BD_COMERCIAL!$K247," ",BD_COMERCIAL!$L247),'Curva Forward'!$B$5:$B$13,0),MATCH(GL$4,'Curva Forward'!$C$4:$AN$4,0))),EZ247))</f>
        <v>0</v>
      </c>
      <c r="GM247" s="190">
        <f>IF(FA247="",0,CM247*CM$2*IF($FC247="V",1,-1)*IF($Q247="Fixo",(FA247-INDEX('Curva Forward'!$C$5:$AN$13,MATCH(CONCATENATE(BD_COMERCIAL!$K247," ",BD_COMERCIAL!$L247),'Curva Forward'!$B$5:$B$13,0),MATCH(GM$4,'Curva Forward'!$C$4:$AN$4,0))),FA247))</f>
        <v>0</v>
      </c>
      <c r="GN247" s="190">
        <f>IF(FB247="",0,CN247*CN$2*IF($FC247="V",1,-1)*IF($Q247="Fixo",(FB247-INDEX('Curva Forward'!$C$5:$AN$13,MATCH(CONCATENATE(BD_COMERCIAL!$K247," ",BD_COMERCIAL!$L247),'Curva Forward'!$B$5:$B$13,0),MATCH(GN$4,'Curva Forward'!$C$4:$AN$4,0))),FB247))</f>
        <v>0</v>
      </c>
      <c r="GO247" s="191">
        <f t="shared" ca="1" si="32"/>
        <v>0</v>
      </c>
      <c r="GP247" s="191">
        <f t="shared" ca="1" si="33"/>
        <v>0</v>
      </c>
      <c r="GQ247" s="115"/>
      <c r="GR247" s="115"/>
      <c r="GS247"/>
      <c r="GT247" s="65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</row>
    <row r="248" spans="1:236" s="265" customFormat="1" ht="15" customHeight="1" x14ac:dyDescent="0.35">
      <c r="A248" s="251"/>
      <c r="B248" s="275"/>
      <c r="C248" s="253"/>
      <c r="D248" s="254"/>
      <c r="E248" s="254"/>
      <c r="F248" s="255"/>
      <c r="G248" s="256"/>
      <c r="H248" s="255"/>
      <c r="I248" s="254"/>
      <c r="J248" s="257"/>
      <c r="K248" s="256"/>
      <c r="L248" s="252"/>
      <c r="M248" s="258"/>
      <c r="N248" s="259"/>
      <c r="O248" s="256"/>
      <c r="P248" s="252"/>
      <c r="Q248" s="252"/>
      <c r="R248" s="256"/>
      <c r="S248" s="260"/>
      <c r="T248" s="258"/>
      <c r="U248" s="259"/>
      <c r="V248" s="261"/>
      <c r="W248" s="252"/>
      <c r="X248" s="262"/>
      <c r="Y248" s="257"/>
      <c r="Z248" s="263"/>
      <c r="AA248" s="264"/>
      <c r="AB248" s="266"/>
      <c r="AM248" s="251"/>
      <c r="AN248" s="266"/>
      <c r="AY248" s="251"/>
      <c r="AZ248" s="266"/>
      <c r="BK248" s="251"/>
      <c r="BL248" s="266"/>
      <c r="BW248" s="251"/>
      <c r="BX248" s="266"/>
      <c r="CI248" s="251"/>
      <c r="CJ248" s="267"/>
      <c r="CK248" s="267"/>
      <c r="CL248" s="267"/>
      <c r="CM248" s="267"/>
      <c r="CN248" s="267"/>
      <c r="CO248" s="268"/>
      <c r="CP248" s="266"/>
      <c r="DA248" s="251"/>
      <c r="DB248" s="266"/>
      <c r="DM248" s="251"/>
      <c r="DN248" s="266"/>
      <c r="DY248" s="251"/>
      <c r="DZ248" s="266"/>
      <c r="EK248" s="251"/>
      <c r="EL248" s="266"/>
      <c r="EW248" s="251"/>
      <c r="EX248" s="267"/>
      <c r="EY248" s="267"/>
      <c r="EZ248" s="267"/>
      <c r="FA248" s="267"/>
      <c r="FB248" s="269"/>
      <c r="FD248" s="270"/>
      <c r="FF248" s="276"/>
      <c r="FH248" s="206">
        <f t="shared" si="27"/>
        <v>0</v>
      </c>
      <c r="FI248" s="198">
        <f t="shared" si="28"/>
        <v>0</v>
      </c>
      <c r="FJ248"/>
      <c r="FK248">
        <f t="shared" si="29"/>
        <v>0</v>
      </c>
      <c r="FL248" s="191">
        <f t="shared" ca="1" si="30"/>
        <v>0</v>
      </c>
      <c r="FM248" s="191">
        <f t="shared" ca="1" si="31"/>
        <v>0</v>
      </c>
      <c r="FN248" s="190">
        <f>AB248*AB$2*IF($FC248="V",1,-1)*IF($Q248="Fixo",(CP248-INDEX('Curva Forward'!$C$5:$AN$13,MATCH(CONCATENATE(BD_COMERCIAL!$K248," ",BD_COMERCIAL!$L248),'Curva Forward'!$B$5:$B$13,0),MATCH(FN$4,'Curva Forward'!$C$4:$AN$4,0))),CP248)</f>
        <v>0</v>
      </c>
      <c r="FO248" s="190">
        <f>AC248*AC$2*IF($FC248="V",1,-1)*IF($Q248="Fixo",(CQ248-INDEX('Curva Forward'!$C$5:$AN$13,MATCH(CONCATENATE(BD_COMERCIAL!$K248," ",BD_COMERCIAL!$L248),'Curva Forward'!$B$5:$B$13,0),MATCH(FO$4,'Curva Forward'!$C$4:$AN$4,0))),CQ248)</f>
        <v>0</v>
      </c>
      <c r="FP248" s="190">
        <f>AD248*AD$2*IF($FC248="V",1,-1)*IF($Q248="Fixo",(CR248-INDEX('Curva Forward'!$C$5:$AN$13,MATCH(CONCATENATE(BD_COMERCIAL!$K248," ",BD_COMERCIAL!$L248),'Curva Forward'!$B$5:$B$13,0),MATCH(FP$4,'Curva Forward'!$C$4:$AN$4,0))),CR248)</f>
        <v>0</v>
      </c>
      <c r="FQ248" s="190">
        <f>AE248*AE$2*IF($FC248="V",1,-1)*IF($Q248="Fixo",(CS248-INDEX('Curva Forward'!$C$5:$AN$13,MATCH(CONCATENATE(BD_COMERCIAL!$K248," ",BD_COMERCIAL!$L248),'Curva Forward'!$B$5:$B$13,0),MATCH(FQ$4,'Curva Forward'!$C$4:$AN$4,0))),CS248)</f>
        <v>0</v>
      </c>
      <c r="FR248" s="190">
        <f>AF248*AF$2*IF($FC248="V",1,-1)*IF($Q248="Fixo",(CT248-INDEX('Curva Forward'!$C$5:$AN$13,MATCH(CONCATENATE(BD_COMERCIAL!$K248," ",BD_COMERCIAL!$L248),'Curva Forward'!$B$5:$B$13,0),MATCH(FR$4,'Curva Forward'!$C$4:$AN$4,0))),CT248)</f>
        <v>0</v>
      </c>
      <c r="FS248" s="190">
        <f>AG248*AG$2*IF($FC248="V",1,-1)*IF($Q248="Fixo",(CU248-INDEX('Curva Forward'!$C$5:$AN$13,MATCH(CONCATENATE(BD_COMERCIAL!$K248," ",BD_COMERCIAL!$L248),'Curva Forward'!$B$5:$B$13,0),MATCH(FS$4,'Curva Forward'!$C$4:$AN$4,0))),CU248)</f>
        <v>0</v>
      </c>
      <c r="FT248" s="190">
        <f>AH248*AH$2*IF($FC248="V",1,-1)*IF($Q248="Fixo",(CV248-INDEX('Curva Forward'!$C$5:$AN$13,MATCH(CONCATENATE(BD_COMERCIAL!$K248," ",BD_COMERCIAL!$L248),'Curva Forward'!$B$5:$B$13,0),MATCH(FT$4,'Curva Forward'!$C$4:$AN$4,0))),CV248)</f>
        <v>0</v>
      </c>
      <c r="FU248" s="190">
        <f>AI248*AI$2*IF($FC248="V",1,-1)*IF($Q248="Fixo",(CW248-INDEX('Curva Forward'!$C$5:$AN$13,MATCH(CONCATENATE(BD_COMERCIAL!$K248," ",BD_COMERCIAL!$L248),'Curva Forward'!$B$5:$B$13,0),MATCH(FU$4,'Curva Forward'!$C$4:$AN$4,0))),CW248)</f>
        <v>0</v>
      </c>
      <c r="FV248" s="190">
        <f>AJ248*AJ$2*IF($FC248="V",1,-1)*IF($Q248="Fixo",(CX248-INDEX('Curva Forward'!$C$5:$AN$13,MATCH(CONCATENATE(BD_COMERCIAL!$K248," ",BD_COMERCIAL!$L248),'Curva Forward'!$B$5:$B$13,0),MATCH(FV$4,'Curva Forward'!$C$4:$AN$4,0))),CX248)</f>
        <v>0</v>
      </c>
      <c r="FW248" s="190">
        <f>AK248*AK$2*IF($FC248="V",1,-1)*IF($Q248="Fixo",(CY248-INDEX('Curva Forward'!$C$5:$AN$13,MATCH(CONCATENATE(BD_COMERCIAL!$K248," ",BD_COMERCIAL!$L248),'Curva Forward'!$B$5:$B$13,0),MATCH(FW$4,'Curva Forward'!$C$4:$AN$4,0))),CY248)</f>
        <v>0</v>
      </c>
      <c r="FX248" s="190">
        <f>AL248*AL$2*IF($FC248="V",1,-1)*IF($Q248="Fixo",(CZ248-INDEX('Curva Forward'!$C$5:$AN$13,MATCH(CONCATENATE(BD_COMERCIAL!$K248," ",BD_COMERCIAL!$L248),'Curva Forward'!$B$5:$B$13,0),MATCH(FX$4,'Curva Forward'!$C$4:$AN$4,0))),CZ248)</f>
        <v>0</v>
      </c>
      <c r="FY248" s="190">
        <f>AM248*AM$2*IF($FC248="V",1,-1)*IF($Q248="Fixo",(DA248-INDEX('Curva Forward'!$C$5:$AN$13,MATCH(CONCATENATE(BD_COMERCIAL!$K248," ",BD_COMERCIAL!$L248),'Curva Forward'!$B$5:$B$13,0),MATCH(FY$4,'Curva Forward'!$C$4:$AN$4,0))),DA248)</f>
        <v>0</v>
      </c>
      <c r="FZ248" s="190">
        <f>AN248*AN$2*IF($FC248="V",1,-1)*IF($Q248="Fixo",(DB248-INDEX('Curva Forward'!$C$5:$AN$13,MATCH(CONCATENATE(BD_COMERCIAL!$K248," ",BD_COMERCIAL!$L248),'Curva Forward'!$B$5:$B$13,0),MATCH(FZ$4,'Curva Forward'!$C$4:$AN$4,0))),DB248)</f>
        <v>0</v>
      </c>
      <c r="GA248" s="190">
        <f>AO248*AO$2*IF($FC248="V",1,-1)*IF($Q248="Fixo",(DC248-INDEX('Curva Forward'!$C$5:$AN$13,MATCH(CONCATENATE(BD_COMERCIAL!$K248," ",BD_COMERCIAL!$L248),'Curva Forward'!$B$5:$B$13,0),MATCH(GA$4,'Curva Forward'!$C$4:$AN$4,0))),DC248)</f>
        <v>0</v>
      </c>
      <c r="GB248" s="190">
        <f>AP248*AP$2*IF($FC248="V",1,-1)*IF($Q248="Fixo",(DD248-INDEX('Curva Forward'!$C$5:$AN$13,MATCH(CONCATENATE(BD_COMERCIAL!$K248," ",BD_COMERCIAL!$L248),'Curva Forward'!$B$5:$B$13,0),MATCH(GB$4,'Curva Forward'!$C$4:$AN$4,0))),DD248)</f>
        <v>0</v>
      </c>
      <c r="GC248" s="190">
        <f>AQ248*AQ$2*IF($FC248="V",1,-1)*IF($Q248="Fixo",(DE248-INDEX('Curva Forward'!$C$5:$AN$13,MATCH(CONCATENATE(BD_COMERCIAL!$K248," ",BD_COMERCIAL!$L248),'Curva Forward'!$B$5:$B$13,0),MATCH(GC$4,'Curva Forward'!$C$4:$AN$4,0))),DE248)</f>
        <v>0</v>
      </c>
      <c r="GD248" s="190">
        <f>AR248*AR$2*IF($FC248="V",1,-1)*IF($Q248="Fixo",(DF248-INDEX('Curva Forward'!$C$5:$AN$13,MATCH(CONCATENATE(BD_COMERCIAL!$K248," ",BD_COMERCIAL!$L248),'Curva Forward'!$B$5:$B$13,0),MATCH(GD$4,'Curva Forward'!$C$4:$AN$4,0))),DF248)</f>
        <v>0</v>
      </c>
      <c r="GE248" s="190">
        <f>AS248*AS$2*IF($FC248="V",1,-1)*IF($Q248="Fixo",(DG248-INDEX('Curva Forward'!$C$5:$AN$13,MATCH(CONCATENATE(BD_COMERCIAL!$K248," ",BD_COMERCIAL!$L248),'Curva Forward'!$B$5:$B$13,0),MATCH(GE$4,'Curva Forward'!$C$4:$AN$4,0))),DG248)</f>
        <v>0</v>
      </c>
      <c r="GF248" s="190">
        <f>AT248*AT$2*IF($FC248="V",1,-1)*IF($Q248="Fixo",(DH248-INDEX('Curva Forward'!$C$5:$AN$13,MATCH(CONCATENATE(BD_COMERCIAL!$K248," ",BD_COMERCIAL!$L248),'Curva Forward'!$B$5:$B$13,0),MATCH(GF$4,'Curva Forward'!$C$4:$AN$4,0))),DH248)</f>
        <v>0</v>
      </c>
      <c r="GG248" s="190">
        <f>AU248*AU$2*IF($FC248="V",1,-1)*IF($Q248="Fixo",(DI248-INDEX('Curva Forward'!$C$5:$AN$13,MATCH(CONCATENATE(BD_COMERCIAL!$K248," ",BD_COMERCIAL!$L248),'Curva Forward'!$B$5:$B$13,0),MATCH(GG$4,'Curva Forward'!$C$4:$AN$4,0))),DI248)</f>
        <v>0</v>
      </c>
      <c r="GH248" s="190">
        <f>AV248*AV$2*IF($FC248="V",1,-1)*IF($Q248="Fixo",(DJ248-INDEX('Curva Forward'!$C$5:$AN$13,MATCH(CONCATENATE(BD_COMERCIAL!$K248," ",BD_COMERCIAL!$L248),'Curva Forward'!$B$5:$B$13,0),MATCH(GH$4,'Curva Forward'!$C$4:$AN$4,0))),DJ248)</f>
        <v>0</v>
      </c>
      <c r="GI248" s="190">
        <f>AW248*AW$2*IF($FC248="V",1,-1)*IF($Q248="Fixo",(DK248-INDEX('Curva Forward'!$C$5:$AN$13,MATCH(CONCATENATE(BD_COMERCIAL!$K248," ",BD_COMERCIAL!$L248),'Curva Forward'!$B$5:$B$13,0),MATCH(GI$4,'Curva Forward'!$C$4:$AN$4,0))),DK248)</f>
        <v>0</v>
      </c>
      <c r="GJ248" s="190">
        <f>AX248*AX$2*IF($FC248="V",1,-1)*IF($Q248="Fixo",(DL248-INDEX('Curva Forward'!$C$5:$AN$13,MATCH(CONCATENATE(BD_COMERCIAL!$K248," ",BD_COMERCIAL!$L248),'Curva Forward'!$B$5:$B$13,0),MATCH(GJ$4,'Curva Forward'!$C$4:$AN$4,0))),DL248)</f>
        <v>0</v>
      </c>
      <c r="GK248" s="190">
        <f>AY248*AY$2*IF($FC248="V",1,-1)*IF($Q248="Fixo",(DM248-INDEX('Curva Forward'!$C$5:$AN$13,MATCH(CONCATENATE(BD_COMERCIAL!$K248," ",BD_COMERCIAL!$L248),'Curva Forward'!$B$5:$B$13,0),MATCH(GK$4,'Curva Forward'!$C$4:$AN$4,0))),DM248)</f>
        <v>0</v>
      </c>
      <c r="GL248" s="190">
        <f>IF(EZ248="",0,CL248*CL$2*IF($FC248="V",1,-1)*IF($Q248="Fixo",(EZ248-INDEX('Curva Forward'!$C$5:$AN$13,MATCH(CONCATENATE(BD_COMERCIAL!$K248," ",BD_COMERCIAL!$L248),'Curva Forward'!$B$5:$B$13,0),MATCH(GL$4,'Curva Forward'!$C$4:$AN$4,0))),EZ248))</f>
        <v>0</v>
      </c>
      <c r="GM248" s="190">
        <f>IF(FA248="",0,CM248*CM$2*IF($FC248="V",1,-1)*IF($Q248="Fixo",(FA248-INDEX('Curva Forward'!$C$5:$AN$13,MATCH(CONCATENATE(BD_COMERCIAL!$K248," ",BD_COMERCIAL!$L248),'Curva Forward'!$B$5:$B$13,0),MATCH(GM$4,'Curva Forward'!$C$4:$AN$4,0))),FA248))</f>
        <v>0</v>
      </c>
      <c r="GN248" s="190">
        <f>IF(FB248="",0,CN248*CN$2*IF($FC248="V",1,-1)*IF($Q248="Fixo",(FB248-INDEX('Curva Forward'!$C$5:$AN$13,MATCH(CONCATENATE(BD_COMERCIAL!$K248," ",BD_COMERCIAL!$L248),'Curva Forward'!$B$5:$B$13,0),MATCH(GN$4,'Curva Forward'!$C$4:$AN$4,0))),FB248))</f>
        <v>0</v>
      </c>
      <c r="GO248" s="191">
        <f t="shared" ca="1" si="32"/>
        <v>0</v>
      </c>
      <c r="GP248" s="191">
        <f t="shared" ca="1" si="33"/>
        <v>0</v>
      </c>
      <c r="GQ248" s="115"/>
      <c r="GR248" s="115"/>
      <c r="GS248"/>
      <c r="GT248" s="65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</row>
    <row r="249" spans="1:236" s="265" customFormat="1" ht="15" customHeight="1" x14ac:dyDescent="0.35">
      <c r="A249" s="251"/>
      <c r="B249" s="275"/>
      <c r="C249" s="253"/>
      <c r="D249" s="254"/>
      <c r="E249" s="254"/>
      <c r="F249" s="255"/>
      <c r="G249" s="256"/>
      <c r="H249" s="255"/>
      <c r="I249" s="254"/>
      <c r="J249" s="257"/>
      <c r="K249" s="256"/>
      <c r="L249" s="252"/>
      <c r="M249" s="258"/>
      <c r="N249" s="259"/>
      <c r="O249" s="256"/>
      <c r="P249" s="252"/>
      <c r="Q249" s="252"/>
      <c r="R249" s="256"/>
      <c r="S249" s="260"/>
      <c r="T249" s="258"/>
      <c r="U249" s="259"/>
      <c r="V249" s="261"/>
      <c r="W249" s="252"/>
      <c r="X249" s="262"/>
      <c r="Y249" s="257"/>
      <c r="Z249" s="263"/>
      <c r="AA249" s="264"/>
      <c r="AB249" s="266"/>
      <c r="AM249" s="251"/>
      <c r="AN249" s="266"/>
      <c r="AY249" s="251"/>
      <c r="AZ249" s="266"/>
      <c r="BK249" s="251"/>
      <c r="BL249" s="266"/>
      <c r="BW249" s="251"/>
      <c r="BX249" s="266"/>
      <c r="CI249" s="251"/>
      <c r="CJ249" s="267"/>
      <c r="CK249" s="267"/>
      <c r="CL249" s="267"/>
      <c r="CM249" s="267"/>
      <c r="CN249" s="267"/>
      <c r="CO249" s="268"/>
      <c r="CP249" s="266"/>
      <c r="DA249" s="251"/>
      <c r="DB249" s="266"/>
      <c r="DM249" s="251"/>
      <c r="DN249" s="266"/>
      <c r="DY249" s="251"/>
      <c r="DZ249" s="266"/>
      <c r="EK249" s="251"/>
      <c r="EL249" s="266"/>
      <c r="EW249" s="251"/>
      <c r="EX249" s="267"/>
      <c r="EY249" s="267"/>
      <c r="EZ249" s="267"/>
      <c r="FA249" s="267"/>
      <c r="FB249" s="269"/>
      <c r="FD249" s="270"/>
      <c r="FF249" s="276"/>
      <c r="FH249" s="206">
        <f t="shared" si="27"/>
        <v>0</v>
      </c>
      <c r="FI249" s="198">
        <f t="shared" si="28"/>
        <v>0</v>
      </c>
      <c r="FJ249"/>
      <c r="FK249">
        <f t="shared" si="29"/>
        <v>0</v>
      </c>
      <c r="FL249" s="191">
        <f t="shared" ca="1" si="30"/>
        <v>0</v>
      </c>
      <c r="FM249" s="191">
        <f t="shared" ca="1" si="31"/>
        <v>0</v>
      </c>
      <c r="FN249" s="190">
        <f>AB249*AB$2*IF($FC249="V",1,-1)*IF($Q249="Fixo",(CP249-INDEX('Curva Forward'!$C$5:$AN$13,MATCH(CONCATENATE(BD_COMERCIAL!$K249," ",BD_COMERCIAL!$L249),'Curva Forward'!$B$5:$B$13,0),MATCH(FN$4,'Curva Forward'!$C$4:$AN$4,0))),CP249)</f>
        <v>0</v>
      </c>
      <c r="FO249" s="190">
        <f>AC249*AC$2*IF($FC249="V",1,-1)*IF($Q249="Fixo",(CQ249-INDEX('Curva Forward'!$C$5:$AN$13,MATCH(CONCATENATE(BD_COMERCIAL!$K249," ",BD_COMERCIAL!$L249),'Curva Forward'!$B$5:$B$13,0),MATCH(FO$4,'Curva Forward'!$C$4:$AN$4,0))),CQ249)</f>
        <v>0</v>
      </c>
      <c r="FP249" s="190">
        <f>AD249*AD$2*IF($FC249="V",1,-1)*IF($Q249="Fixo",(CR249-INDEX('Curva Forward'!$C$5:$AN$13,MATCH(CONCATENATE(BD_COMERCIAL!$K249," ",BD_COMERCIAL!$L249),'Curva Forward'!$B$5:$B$13,0),MATCH(FP$4,'Curva Forward'!$C$4:$AN$4,0))),CR249)</f>
        <v>0</v>
      </c>
      <c r="FQ249" s="190">
        <f>AE249*AE$2*IF($FC249="V",1,-1)*IF($Q249="Fixo",(CS249-INDEX('Curva Forward'!$C$5:$AN$13,MATCH(CONCATENATE(BD_COMERCIAL!$K249," ",BD_COMERCIAL!$L249),'Curva Forward'!$B$5:$B$13,0),MATCH(FQ$4,'Curva Forward'!$C$4:$AN$4,0))),CS249)</f>
        <v>0</v>
      </c>
      <c r="FR249" s="190">
        <f>AF249*AF$2*IF($FC249="V",1,-1)*IF($Q249="Fixo",(CT249-INDEX('Curva Forward'!$C$5:$AN$13,MATCH(CONCATENATE(BD_COMERCIAL!$K249," ",BD_COMERCIAL!$L249),'Curva Forward'!$B$5:$B$13,0),MATCH(FR$4,'Curva Forward'!$C$4:$AN$4,0))),CT249)</f>
        <v>0</v>
      </c>
      <c r="FS249" s="190">
        <f>AG249*AG$2*IF($FC249="V",1,-1)*IF($Q249="Fixo",(CU249-INDEX('Curva Forward'!$C$5:$AN$13,MATCH(CONCATENATE(BD_COMERCIAL!$K249," ",BD_COMERCIAL!$L249),'Curva Forward'!$B$5:$B$13,0),MATCH(FS$4,'Curva Forward'!$C$4:$AN$4,0))),CU249)</f>
        <v>0</v>
      </c>
      <c r="FT249" s="190">
        <f>AH249*AH$2*IF($FC249="V",1,-1)*IF($Q249="Fixo",(CV249-INDEX('Curva Forward'!$C$5:$AN$13,MATCH(CONCATENATE(BD_COMERCIAL!$K249," ",BD_COMERCIAL!$L249),'Curva Forward'!$B$5:$B$13,0),MATCH(FT$4,'Curva Forward'!$C$4:$AN$4,0))),CV249)</f>
        <v>0</v>
      </c>
      <c r="FU249" s="190">
        <f>AI249*AI$2*IF($FC249="V",1,-1)*IF($Q249="Fixo",(CW249-INDEX('Curva Forward'!$C$5:$AN$13,MATCH(CONCATENATE(BD_COMERCIAL!$K249," ",BD_COMERCIAL!$L249),'Curva Forward'!$B$5:$B$13,0),MATCH(FU$4,'Curva Forward'!$C$4:$AN$4,0))),CW249)</f>
        <v>0</v>
      </c>
      <c r="FV249" s="190">
        <f>AJ249*AJ$2*IF($FC249="V",1,-1)*IF($Q249="Fixo",(CX249-INDEX('Curva Forward'!$C$5:$AN$13,MATCH(CONCATENATE(BD_COMERCIAL!$K249," ",BD_COMERCIAL!$L249),'Curva Forward'!$B$5:$B$13,0),MATCH(FV$4,'Curva Forward'!$C$4:$AN$4,0))),CX249)</f>
        <v>0</v>
      </c>
      <c r="FW249" s="190">
        <f>AK249*AK$2*IF($FC249="V",1,-1)*IF($Q249="Fixo",(CY249-INDEX('Curva Forward'!$C$5:$AN$13,MATCH(CONCATENATE(BD_COMERCIAL!$K249," ",BD_COMERCIAL!$L249),'Curva Forward'!$B$5:$B$13,0),MATCH(FW$4,'Curva Forward'!$C$4:$AN$4,0))),CY249)</f>
        <v>0</v>
      </c>
      <c r="FX249" s="190">
        <f>AL249*AL$2*IF($FC249="V",1,-1)*IF($Q249="Fixo",(CZ249-INDEX('Curva Forward'!$C$5:$AN$13,MATCH(CONCATENATE(BD_COMERCIAL!$K249," ",BD_COMERCIAL!$L249),'Curva Forward'!$B$5:$B$13,0),MATCH(FX$4,'Curva Forward'!$C$4:$AN$4,0))),CZ249)</f>
        <v>0</v>
      </c>
      <c r="FY249" s="190">
        <f>AM249*AM$2*IF($FC249="V",1,-1)*IF($Q249="Fixo",(DA249-INDEX('Curva Forward'!$C$5:$AN$13,MATCH(CONCATENATE(BD_COMERCIAL!$K249," ",BD_COMERCIAL!$L249),'Curva Forward'!$B$5:$B$13,0),MATCH(FY$4,'Curva Forward'!$C$4:$AN$4,0))),DA249)</f>
        <v>0</v>
      </c>
      <c r="FZ249" s="190">
        <f>AN249*AN$2*IF($FC249="V",1,-1)*IF($Q249="Fixo",(DB249-INDEX('Curva Forward'!$C$5:$AN$13,MATCH(CONCATENATE(BD_COMERCIAL!$K249," ",BD_COMERCIAL!$L249),'Curva Forward'!$B$5:$B$13,0),MATCH(FZ$4,'Curva Forward'!$C$4:$AN$4,0))),DB249)</f>
        <v>0</v>
      </c>
      <c r="GA249" s="190">
        <f>AO249*AO$2*IF($FC249="V",1,-1)*IF($Q249="Fixo",(DC249-INDEX('Curva Forward'!$C$5:$AN$13,MATCH(CONCATENATE(BD_COMERCIAL!$K249," ",BD_COMERCIAL!$L249),'Curva Forward'!$B$5:$B$13,0),MATCH(GA$4,'Curva Forward'!$C$4:$AN$4,0))),DC249)</f>
        <v>0</v>
      </c>
      <c r="GB249" s="190">
        <f>AP249*AP$2*IF($FC249="V",1,-1)*IF($Q249="Fixo",(DD249-INDEX('Curva Forward'!$C$5:$AN$13,MATCH(CONCATENATE(BD_COMERCIAL!$K249," ",BD_COMERCIAL!$L249),'Curva Forward'!$B$5:$B$13,0),MATCH(GB$4,'Curva Forward'!$C$4:$AN$4,0))),DD249)</f>
        <v>0</v>
      </c>
      <c r="GC249" s="190">
        <f>AQ249*AQ$2*IF($FC249="V",1,-1)*IF($Q249="Fixo",(DE249-INDEX('Curva Forward'!$C$5:$AN$13,MATCH(CONCATENATE(BD_COMERCIAL!$K249," ",BD_COMERCIAL!$L249),'Curva Forward'!$B$5:$B$13,0),MATCH(GC$4,'Curva Forward'!$C$4:$AN$4,0))),DE249)</f>
        <v>0</v>
      </c>
      <c r="GD249" s="190">
        <f>AR249*AR$2*IF($FC249="V",1,-1)*IF($Q249="Fixo",(DF249-INDEX('Curva Forward'!$C$5:$AN$13,MATCH(CONCATENATE(BD_COMERCIAL!$K249," ",BD_COMERCIAL!$L249),'Curva Forward'!$B$5:$B$13,0),MATCH(GD$4,'Curva Forward'!$C$4:$AN$4,0))),DF249)</f>
        <v>0</v>
      </c>
      <c r="GE249" s="190">
        <f>AS249*AS$2*IF($FC249="V",1,-1)*IF($Q249="Fixo",(DG249-INDEX('Curva Forward'!$C$5:$AN$13,MATCH(CONCATENATE(BD_COMERCIAL!$K249," ",BD_COMERCIAL!$L249),'Curva Forward'!$B$5:$B$13,0),MATCH(GE$4,'Curva Forward'!$C$4:$AN$4,0))),DG249)</f>
        <v>0</v>
      </c>
      <c r="GF249" s="190">
        <f>AT249*AT$2*IF($FC249="V",1,-1)*IF($Q249="Fixo",(DH249-INDEX('Curva Forward'!$C$5:$AN$13,MATCH(CONCATENATE(BD_COMERCIAL!$K249," ",BD_COMERCIAL!$L249),'Curva Forward'!$B$5:$B$13,0),MATCH(GF$4,'Curva Forward'!$C$4:$AN$4,0))),DH249)</f>
        <v>0</v>
      </c>
      <c r="GG249" s="190">
        <f>AU249*AU$2*IF($FC249="V",1,-1)*IF($Q249="Fixo",(DI249-INDEX('Curva Forward'!$C$5:$AN$13,MATCH(CONCATENATE(BD_COMERCIAL!$K249," ",BD_COMERCIAL!$L249),'Curva Forward'!$B$5:$B$13,0),MATCH(GG$4,'Curva Forward'!$C$4:$AN$4,0))),DI249)</f>
        <v>0</v>
      </c>
      <c r="GH249" s="190">
        <f>AV249*AV$2*IF($FC249="V",1,-1)*IF($Q249="Fixo",(DJ249-INDEX('Curva Forward'!$C$5:$AN$13,MATCH(CONCATENATE(BD_COMERCIAL!$K249," ",BD_COMERCIAL!$L249),'Curva Forward'!$B$5:$B$13,0),MATCH(GH$4,'Curva Forward'!$C$4:$AN$4,0))),DJ249)</f>
        <v>0</v>
      </c>
      <c r="GI249" s="190">
        <f>AW249*AW$2*IF($FC249="V",1,-1)*IF($Q249="Fixo",(DK249-INDEX('Curva Forward'!$C$5:$AN$13,MATCH(CONCATENATE(BD_COMERCIAL!$K249," ",BD_COMERCIAL!$L249),'Curva Forward'!$B$5:$B$13,0),MATCH(GI$4,'Curva Forward'!$C$4:$AN$4,0))),DK249)</f>
        <v>0</v>
      </c>
      <c r="GJ249" s="190">
        <f>AX249*AX$2*IF($FC249="V",1,-1)*IF($Q249="Fixo",(DL249-INDEX('Curva Forward'!$C$5:$AN$13,MATCH(CONCATENATE(BD_COMERCIAL!$K249," ",BD_COMERCIAL!$L249),'Curva Forward'!$B$5:$B$13,0),MATCH(GJ$4,'Curva Forward'!$C$4:$AN$4,0))),DL249)</f>
        <v>0</v>
      </c>
      <c r="GK249" s="190">
        <f>AY249*AY$2*IF($FC249="V",1,-1)*IF($Q249="Fixo",(DM249-INDEX('Curva Forward'!$C$5:$AN$13,MATCH(CONCATENATE(BD_COMERCIAL!$K249," ",BD_COMERCIAL!$L249),'Curva Forward'!$B$5:$B$13,0),MATCH(GK$4,'Curva Forward'!$C$4:$AN$4,0))),DM249)</f>
        <v>0</v>
      </c>
      <c r="GL249" s="190">
        <f>IF(EZ249="",0,CL249*CL$2*IF($FC249="V",1,-1)*IF($Q249="Fixo",(EZ249-INDEX('Curva Forward'!$C$5:$AN$13,MATCH(CONCATENATE(BD_COMERCIAL!$K249," ",BD_COMERCIAL!$L249),'Curva Forward'!$B$5:$B$13,0),MATCH(GL$4,'Curva Forward'!$C$4:$AN$4,0))),EZ249))</f>
        <v>0</v>
      </c>
      <c r="GM249" s="190">
        <f>IF(FA249="",0,CM249*CM$2*IF($FC249="V",1,-1)*IF($Q249="Fixo",(FA249-INDEX('Curva Forward'!$C$5:$AN$13,MATCH(CONCATENATE(BD_COMERCIAL!$K249," ",BD_COMERCIAL!$L249),'Curva Forward'!$B$5:$B$13,0),MATCH(GM$4,'Curva Forward'!$C$4:$AN$4,0))),FA249))</f>
        <v>0</v>
      </c>
      <c r="GN249" s="190">
        <f>IF(FB249="",0,CN249*CN$2*IF($FC249="V",1,-1)*IF($Q249="Fixo",(FB249-INDEX('Curva Forward'!$C$5:$AN$13,MATCH(CONCATENATE(BD_COMERCIAL!$K249," ",BD_COMERCIAL!$L249),'Curva Forward'!$B$5:$B$13,0),MATCH(GN$4,'Curva Forward'!$C$4:$AN$4,0))),FB249))</f>
        <v>0</v>
      </c>
      <c r="GO249" s="191">
        <f t="shared" ca="1" si="32"/>
        <v>0</v>
      </c>
      <c r="GP249" s="191">
        <f t="shared" ca="1" si="33"/>
        <v>0</v>
      </c>
      <c r="GQ249" s="115"/>
      <c r="GR249" s="115"/>
      <c r="GS249"/>
      <c r="GT249" s="65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</row>
    <row r="250" spans="1:236" s="265" customFormat="1" ht="15" customHeight="1" x14ac:dyDescent="0.35">
      <c r="A250" s="251"/>
      <c r="B250" s="275"/>
      <c r="C250" s="253"/>
      <c r="D250" s="254"/>
      <c r="E250" s="254"/>
      <c r="F250" s="255"/>
      <c r="G250" s="256"/>
      <c r="H250" s="255"/>
      <c r="I250" s="254"/>
      <c r="J250" s="257"/>
      <c r="K250" s="256"/>
      <c r="L250" s="252"/>
      <c r="M250" s="258"/>
      <c r="N250" s="259"/>
      <c r="O250" s="256"/>
      <c r="P250" s="252"/>
      <c r="Q250" s="252"/>
      <c r="R250" s="256"/>
      <c r="S250" s="260"/>
      <c r="T250" s="258"/>
      <c r="U250" s="259"/>
      <c r="V250" s="261"/>
      <c r="W250" s="252"/>
      <c r="X250" s="262"/>
      <c r="Y250" s="257"/>
      <c r="Z250" s="263"/>
      <c r="AA250" s="264"/>
      <c r="AB250" s="266"/>
      <c r="AM250" s="251"/>
      <c r="AN250" s="266"/>
      <c r="AY250" s="251"/>
      <c r="AZ250" s="266"/>
      <c r="BK250" s="251"/>
      <c r="BL250" s="266"/>
      <c r="BW250" s="251"/>
      <c r="BX250" s="266"/>
      <c r="CI250" s="251"/>
      <c r="CJ250" s="267"/>
      <c r="CK250" s="267"/>
      <c r="CL250" s="267"/>
      <c r="CM250" s="267"/>
      <c r="CN250" s="267"/>
      <c r="CO250" s="268"/>
      <c r="CP250" s="266"/>
      <c r="DA250" s="251"/>
      <c r="DB250" s="266"/>
      <c r="DM250" s="251"/>
      <c r="DN250" s="266"/>
      <c r="DY250" s="251"/>
      <c r="DZ250" s="266"/>
      <c r="EK250" s="251"/>
      <c r="EL250" s="266"/>
      <c r="EW250" s="251"/>
      <c r="EX250" s="267"/>
      <c r="EY250" s="267"/>
      <c r="EZ250" s="267"/>
      <c r="FA250" s="267"/>
      <c r="FB250" s="269"/>
      <c r="FD250" s="270"/>
      <c r="FF250" s="276"/>
      <c r="FH250" s="206">
        <f t="shared" si="27"/>
        <v>0</v>
      </c>
      <c r="FI250" s="198">
        <f t="shared" si="28"/>
        <v>0</v>
      </c>
      <c r="FJ250"/>
      <c r="FK250">
        <f t="shared" si="29"/>
        <v>0</v>
      </c>
      <c r="FL250" s="191">
        <f t="shared" ca="1" si="30"/>
        <v>0</v>
      </c>
      <c r="FM250" s="191">
        <f t="shared" ca="1" si="31"/>
        <v>0</v>
      </c>
      <c r="FN250" s="190">
        <f>AB250*AB$2*IF($FC250="V",1,-1)*IF($Q250="Fixo",(CP250-INDEX('Curva Forward'!$C$5:$AN$13,MATCH(CONCATENATE(BD_COMERCIAL!$K250," ",BD_COMERCIAL!$L250),'Curva Forward'!$B$5:$B$13,0),MATCH(FN$4,'Curva Forward'!$C$4:$AN$4,0))),CP250)</f>
        <v>0</v>
      </c>
      <c r="FO250" s="190">
        <f>AC250*AC$2*IF($FC250="V",1,-1)*IF($Q250="Fixo",(CQ250-INDEX('Curva Forward'!$C$5:$AN$13,MATCH(CONCATENATE(BD_COMERCIAL!$K250," ",BD_COMERCIAL!$L250),'Curva Forward'!$B$5:$B$13,0),MATCH(FO$4,'Curva Forward'!$C$4:$AN$4,0))),CQ250)</f>
        <v>0</v>
      </c>
      <c r="FP250" s="190">
        <f>AD250*AD$2*IF($FC250="V",1,-1)*IF($Q250="Fixo",(CR250-INDEX('Curva Forward'!$C$5:$AN$13,MATCH(CONCATENATE(BD_COMERCIAL!$K250," ",BD_COMERCIAL!$L250),'Curva Forward'!$B$5:$B$13,0),MATCH(FP$4,'Curva Forward'!$C$4:$AN$4,0))),CR250)</f>
        <v>0</v>
      </c>
      <c r="FQ250" s="190">
        <f>AE250*AE$2*IF($FC250="V",1,-1)*IF($Q250="Fixo",(CS250-INDEX('Curva Forward'!$C$5:$AN$13,MATCH(CONCATENATE(BD_COMERCIAL!$K250," ",BD_COMERCIAL!$L250),'Curva Forward'!$B$5:$B$13,0),MATCH(FQ$4,'Curva Forward'!$C$4:$AN$4,0))),CS250)</f>
        <v>0</v>
      </c>
      <c r="FR250" s="190">
        <f>AF250*AF$2*IF($FC250="V",1,-1)*IF($Q250="Fixo",(CT250-INDEX('Curva Forward'!$C$5:$AN$13,MATCH(CONCATENATE(BD_COMERCIAL!$K250," ",BD_COMERCIAL!$L250),'Curva Forward'!$B$5:$B$13,0),MATCH(FR$4,'Curva Forward'!$C$4:$AN$4,0))),CT250)</f>
        <v>0</v>
      </c>
      <c r="FS250" s="190">
        <f>AG250*AG$2*IF($FC250="V",1,-1)*IF($Q250="Fixo",(CU250-INDEX('Curva Forward'!$C$5:$AN$13,MATCH(CONCATENATE(BD_COMERCIAL!$K250," ",BD_COMERCIAL!$L250),'Curva Forward'!$B$5:$B$13,0),MATCH(FS$4,'Curva Forward'!$C$4:$AN$4,0))),CU250)</f>
        <v>0</v>
      </c>
      <c r="FT250" s="190">
        <f>AH250*AH$2*IF($FC250="V",1,-1)*IF($Q250="Fixo",(CV250-INDEX('Curva Forward'!$C$5:$AN$13,MATCH(CONCATENATE(BD_COMERCIAL!$K250," ",BD_COMERCIAL!$L250),'Curva Forward'!$B$5:$B$13,0),MATCH(FT$4,'Curva Forward'!$C$4:$AN$4,0))),CV250)</f>
        <v>0</v>
      </c>
      <c r="FU250" s="190">
        <f>AI250*AI$2*IF($FC250="V",1,-1)*IF($Q250="Fixo",(CW250-INDEX('Curva Forward'!$C$5:$AN$13,MATCH(CONCATENATE(BD_COMERCIAL!$K250," ",BD_COMERCIAL!$L250),'Curva Forward'!$B$5:$B$13,0),MATCH(FU$4,'Curva Forward'!$C$4:$AN$4,0))),CW250)</f>
        <v>0</v>
      </c>
      <c r="FV250" s="190">
        <f>AJ250*AJ$2*IF($FC250="V",1,-1)*IF($Q250="Fixo",(CX250-INDEX('Curva Forward'!$C$5:$AN$13,MATCH(CONCATENATE(BD_COMERCIAL!$K250," ",BD_COMERCIAL!$L250),'Curva Forward'!$B$5:$B$13,0),MATCH(FV$4,'Curva Forward'!$C$4:$AN$4,0))),CX250)</f>
        <v>0</v>
      </c>
      <c r="FW250" s="190">
        <f>AK250*AK$2*IF($FC250="V",1,-1)*IF($Q250="Fixo",(CY250-INDEX('Curva Forward'!$C$5:$AN$13,MATCH(CONCATENATE(BD_COMERCIAL!$K250," ",BD_COMERCIAL!$L250),'Curva Forward'!$B$5:$B$13,0),MATCH(FW$4,'Curva Forward'!$C$4:$AN$4,0))),CY250)</f>
        <v>0</v>
      </c>
      <c r="FX250" s="190">
        <f>AL250*AL$2*IF($FC250="V",1,-1)*IF($Q250="Fixo",(CZ250-INDEX('Curva Forward'!$C$5:$AN$13,MATCH(CONCATENATE(BD_COMERCIAL!$K250," ",BD_COMERCIAL!$L250),'Curva Forward'!$B$5:$B$13,0),MATCH(FX$4,'Curva Forward'!$C$4:$AN$4,0))),CZ250)</f>
        <v>0</v>
      </c>
      <c r="FY250" s="190">
        <f>AM250*AM$2*IF($FC250="V",1,-1)*IF($Q250="Fixo",(DA250-INDEX('Curva Forward'!$C$5:$AN$13,MATCH(CONCATENATE(BD_COMERCIAL!$K250," ",BD_COMERCIAL!$L250),'Curva Forward'!$B$5:$B$13,0),MATCH(FY$4,'Curva Forward'!$C$4:$AN$4,0))),DA250)</f>
        <v>0</v>
      </c>
      <c r="FZ250" s="190">
        <f>AN250*AN$2*IF($FC250="V",1,-1)*IF($Q250="Fixo",(DB250-INDEX('Curva Forward'!$C$5:$AN$13,MATCH(CONCATENATE(BD_COMERCIAL!$K250," ",BD_COMERCIAL!$L250),'Curva Forward'!$B$5:$B$13,0),MATCH(FZ$4,'Curva Forward'!$C$4:$AN$4,0))),DB250)</f>
        <v>0</v>
      </c>
      <c r="GA250" s="190">
        <f>AO250*AO$2*IF($FC250="V",1,-1)*IF($Q250="Fixo",(DC250-INDEX('Curva Forward'!$C$5:$AN$13,MATCH(CONCATENATE(BD_COMERCIAL!$K250," ",BD_COMERCIAL!$L250),'Curva Forward'!$B$5:$B$13,0),MATCH(GA$4,'Curva Forward'!$C$4:$AN$4,0))),DC250)</f>
        <v>0</v>
      </c>
      <c r="GB250" s="190">
        <f>AP250*AP$2*IF($FC250="V",1,-1)*IF($Q250="Fixo",(DD250-INDEX('Curva Forward'!$C$5:$AN$13,MATCH(CONCATENATE(BD_COMERCIAL!$K250," ",BD_COMERCIAL!$L250),'Curva Forward'!$B$5:$B$13,0),MATCH(GB$4,'Curva Forward'!$C$4:$AN$4,0))),DD250)</f>
        <v>0</v>
      </c>
      <c r="GC250" s="190">
        <f>AQ250*AQ$2*IF($FC250="V",1,-1)*IF($Q250="Fixo",(DE250-INDEX('Curva Forward'!$C$5:$AN$13,MATCH(CONCATENATE(BD_COMERCIAL!$K250," ",BD_COMERCIAL!$L250),'Curva Forward'!$B$5:$B$13,0),MATCH(GC$4,'Curva Forward'!$C$4:$AN$4,0))),DE250)</f>
        <v>0</v>
      </c>
      <c r="GD250" s="190">
        <f>AR250*AR$2*IF($FC250="V",1,-1)*IF($Q250="Fixo",(DF250-INDEX('Curva Forward'!$C$5:$AN$13,MATCH(CONCATENATE(BD_COMERCIAL!$K250," ",BD_COMERCIAL!$L250),'Curva Forward'!$B$5:$B$13,0),MATCH(GD$4,'Curva Forward'!$C$4:$AN$4,0))),DF250)</f>
        <v>0</v>
      </c>
      <c r="GE250" s="190">
        <f>AS250*AS$2*IF($FC250="V",1,-1)*IF($Q250="Fixo",(DG250-INDEX('Curva Forward'!$C$5:$AN$13,MATCH(CONCATENATE(BD_COMERCIAL!$K250," ",BD_COMERCIAL!$L250),'Curva Forward'!$B$5:$B$13,0),MATCH(GE$4,'Curva Forward'!$C$4:$AN$4,0))),DG250)</f>
        <v>0</v>
      </c>
      <c r="GF250" s="190">
        <f>AT250*AT$2*IF($FC250="V",1,-1)*IF($Q250="Fixo",(DH250-INDEX('Curva Forward'!$C$5:$AN$13,MATCH(CONCATENATE(BD_COMERCIAL!$K250," ",BD_COMERCIAL!$L250),'Curva Forward'!$B$5:$B$13,0),MATCH(GF$4,'Curva Forward'!$C$4:$AN$4,0))),DH250)</f>
        <v>0</v>
      </c>
      <c r="GG250" s="190">
        <f>AU250*AU$2*IF($FC250="V",1,-1)*IF($Q250="Fixo",(DI250-INDEX('Curva Forward'!$C$5:$AN$13,MATCH(CONCATENATE(BD_COMERCIAL!$K250," ",BD_COMERCIAL!$L250),'Curva Forward'!$B$5:$B$13,0),MATCH(GG$4,'Curva Forward'!$C$4:$AN$4,0))),DI250)</f>
        <v>0</v>
      </c>
      <c r="GH250" s="190">
        <f>AV250*AV$2*IF($FC250="V",1,-1)*IF($Q250="Fixo",(DJ250-INDEX('Curva Forward'!$C$5:$AN$13,MATCH(CONCATENATE(BD_COMERCIAL!$K250," ",BD_COMERCIAL!$L250),'Curva Forward'!$B$5:$B$13,0),MATCH(GH$4,'Curva Forward'!$C$4:$AN$4,0))),DJ250)</f>
        <v>0</v>
      </c>
      <c r="GI250" s="190">
        <f>AW250*AW$2*IF($FC250="V",1,-1)*IF($Q250="Fixo",(DK250-INDEX('Curva Forward'!$C$5:$AN$13,MATCH(CONCATENATE(BD_COMERCIAL!$K250," ",BD_COMERCIAL!$L250),'Curva Forward'!$B$5:$B$13,0),MATCH(GI$4,'Curva Forward'!$C$4:$AN$4,0))),DK250)</f>
        <v>0</v>
      </c>
      <c r="GJ250" s="190">
        <f>AX250*AX$2*IF($FC250="V",1,-1)*IF($Q250="Fixo",(DL250-INDEX('Curva Forward'!$C$5:$AN$13,MATCH(CONCATENATE(BD_COMERCIAL!$K250," ",BD_COMERCIAL!$L250),'Curva Forward'!$B$5:$B$13,0),MATCH(GJ$4,'Curva Forward'!$C$4:$AN$4,0))),DL250)</f>
        <v>0</v>
      </c>
      <c r="GK250" s="190">
        <f>AY250*AY$2*IF($FC250="V",1,-1)*IF($Q250="Fixo",(DM250-INDEX('Curva Forward'!$C$5:$AN$13,MATCH(CONCATENATE(BD_COMERCIAL!$K250," ",BD_COMERCIAL!$L250),'Curva Forward'!$B$5:$B$13,0),MATCH(GK$4,'Curva Forward'!$C$4:$AN$4,0))),DM250)</f>
        <v>0</v>
      </c>
      <c r="GL250" s="190">
        <f>IF(EZ250="",0,CL250*CL$2*IF($FC250="V",1,-1)*IF($Q250="Fixo",(EZ250-INDEX('Curva Forward'!$C$5:$AN$13,MATCH(CONCATENATE(BD_COMERCIAL!$K250," ",BD_COMERCIAL!$L250),'Curva Forward'!$B$5:$B$13,0),MATCH(GL$4,'Curva Forward'!$C$4:$AN$4,0))),EZ250))</f>
        <v>0</v>
      </c>
      <c r="GM250" s="190">
        <f>IF(FA250="",0,CM250*CM$2*IF($FC250="V",1,-1)*IF($Q250="Fixo",(FA250-INDEX('Curva Forward'!$C$5:$AN$13,MATCH(CONCATENATE(BD_COMERCIAL!$K250," ",BD_COMERCIAL!$L250),'Curva Forward'!$B$5:$B$13,0),MATCH(GM$4,'Curva Forward'!$C$4:$AN$4,0))),FA250))</f>
        <v>0</v>
      </c>
      <c r="GN250" s="190">
        <f>IF(FB250="",0,CN250*CN$2*IF($FC250="V",1,-1)*IF($Q250="Fixo",(FB250-INDEX('Curva Forward'!$C$5:$AN$13,MATCH(CONCATENATE(BD_COMERCIAL!$K250," ",BD_COMERCIAL!$L250),'Curva Forward'!$B$5:$B$13,0),MATCH(GN$4,'Curva Forward'!$C$4:$AN$4,0))),FB250))</f>
        <v>0</v>
      </c>
      <c r="GO250" s="191">
        <f t="shared" ca="1" si="32"/>
        <v>0</v>
      </c>
      <c r="GP250" s="191">
        <f t="shared" ca="1" si="33"/>
        <v>0</v>
      </c>
      <c r="GQ250" s="115"/>
      <c r="GR250" s="115"/>
      <c r="GS250"/>
      <c r="GT250" s="65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</row>
    <row r="251" spans="1:236" s="265" customFormat="1" ht="15" customHeight="1" x14ac:dyDescent="0.35">
      <c r="A251" s="251"/>
      <c r="B251" s="275"/>
      <c r="C251" s="253"/>
      <c r="D251" s="254"/>
      <c r="E251" s="254"/>
      <c r="F251" s="255"/>
      <c r="G251" s="256"/>
      <c r="H251" s="255"/>
      <c r="I251" s="254"/>
      <c r="J251" s="257"/>
      <c r="K251" s="256"/>
      <c r="L251" s="252"/>
      <c r="M251" s="258"/>
      <c r="N251" s="259"/>
      <c r="O251" s="256"/>
      <c r="P251" s="252"/>
      <c r="Q251" s="252"/>
      <c r="R251" s="256"/>
      <c r="S251" s="260"/>
      <c r="T251" s="258"/>
      <c r="U251" s="259"/>
      <c r="V251" s="261"/>
      <c r="W251" s="252"/>
      <c r="X251" s="262"/>
      <c r="Y251" s="257"/>
      <c r="Z251" s="263"/>
      <c r="AA251" s="264"/>
      <c r="AB251" s="266"/>
      <c r="AM251" s="251"/>
      <c r="AN251" s="266"/>
      <c r="AY251" s="251"/>
      <c r="AZ251" s="266"/>
      <c r="BK251" s="251"/>
      <c r="BL251" s="266"/>
      <c r="BW251" s="251"/>
      <c r="BX251" s="266"/>
      <c r="CI251" s="251"/>
      <c r="CJ251" s="267"/>
      <c r="CK251" s="267"/>
      <c r="CL251" s="267"/>
      <c r="CM251" s="267"/>
      <c r="CN251" s="267"/>
      <c r="CO251" s="268"/>
      <c r="CP251" s="266"/>
      <c r="DA251" s="251"/>
      <c r="DB251" s="266"/>
      <c r="DM251" s="251"/>
      <c r="DN251" s="266"/>
      <c r="DY251" s="251"/>
      <c r="DZ251" s="266"/>
      <c r="EK251" s="251"/>
      <c r="EL251" s="266"/>
      <c r="EW251" s="251"/>
      <c r="EX251" s="267"/>
      <c r="EY251" s="267"/>
      <c r="EZ251" s="267"/>
      <c r="FA251" s="267"/>
      <c r="FB251" s="269"/>
      <c r="FD251" s="270"/>
      <c r="FF251" s="276"/>
      <c r="FH251" s="206">
        <f t="shared" si="27"/>
        <v>0</v>
      </c>
      <c r="FI251" s="198">
        <f t="shared" si="28"/>
        <v>0</v>
      </c>
      <c r="FJ251"/>
      <c r="FK251">
        <f t="shared" si="29"/>
        <v>0</v>
      </c>
      <c r="FL251" s="191">
        <f t="shared" ca="1" si="30"/>
        <v>0</v>
      </c>
      <c r="FM251" s="191">
        <f t="shared" ca="1" si="31"/>
        <v>0</v>
      </c>
      <c r="FN251" s="190">
        <f>AB251*AB$2*IF($FC251="V",1,-1)*IF($Q251="Fixo",(CP251-INDEX('Curva Forward'!$C$5:$AN$13,MATCH(CONCATENATE(BD_COMERCIAL!$K251," ",BD_COMERCIAL!$L251),'Curva Forward'!$B$5:$B$13,0),MATCH(FN$4,'Curva Forward'!$C$4:$AN$4,0))),CP251)</f>
        <v>0</v>
      </c>
      <c r="FO251" s="190">
        <f>AC251*AC$2*IF($FC251="V",1,-1)*IF($Q251="Fixo",(CQ251-INDEX('Curva Forward'!$C$5:$AN$13,MATCH(CONCATENATE(BD_COMERCIAL!$K251," ",BD_COMERCIAL!$L251),'Curva Forward'!$B$5:$B$13,0),MATCH(FO$4,'Curva Forward'!$C$4:$AN$4,0))),CQ251)</f>
        <v>0</v>
      </c>
      <c r="FP251" s="190">
        <f>AD251*AD$2*IF($FC251="V",1,-1)*IF($Q251="Fixo",(CR251-INDEX('Curva Forward'!$C$5:$AN$13,MATCH(CONCATENATE(BD_COMERCIAL!$K251," ",BD_COMERCIAL!$L251),'Curva Forward'!$B$5:$B$13,0),MATCH(FP$4,'Curva Forward'!$C$4:$AN$4,0))),CR251)</f>
        <v>0</v>
      </c>
      <c r="FQ251" s="190">
        <f>AE251*AE$2*IF($FC251="V",1,-1)*IF($Q251="Fixo",(CS251-INDEX('Curva Forward'!$C$5:$AN$13,MATCH(CONCATENATE(BD_COMERCIAL!$K251," ",BD_COMERCIAL!$L251),'Curva Forward'!$B$5:$B$13,0),MATCH(FQ$4,'Curva Forward'!$C$4:$AN$4,0))),CS251)</f>
        <v>0</v>
      </c>
      <c r="FR251" s="190">
        <f>AF251*AF$2*IF($FC251="V",1,-1)*IF($Q251="Fixo",(CT251-INDEX('Curva Forward'!$C$5:$AN$13,MATCH(CONCATENATE(BD_COMERCIAL!$K251," ",BD_COMERCIAL!$L251),'Curva Forward'!$B$5:$B$13,0),MATCH(FR$4,'Curva Forward'!$C$4:$AN$4,0))),CT251)</f>
        <v>0</v>
      </c>
      <c r="FS251" s="190">
        <f>AG251*AG$2*IF($FC251="V",1,-1)*IF($Q251="Fixo",(CU251-INDEX('Curva Forward'!$C$5:$AN$13,MATCH(CONCATENATE(BD_COMERCIAL!$K251," ",BD_COMERCIAL!$L251),'Curva Forward'!$B$5:$B$13,0),MATCH(FS$4,'Curva Forward'!$C$4:$AN$4,0))),CU251)</f>
        <v>0</v>
      </c>
      <c r="FT251" s="190">
        <f>AH251*AH$2*IF($FC251="V",1,-1)*IF($Q251="Fixo",(CV251-INDEX('Curva Forward'!$C$5:$AN$13,MATCH(CONCATENATE(BD_COMERCIAL!$K251," ",BD_COMERCIAL!$L251),'Curva Forward'!$B$5:$B$13,0),MATCH(FT$4,'Curva Forward'!$C$4:$AN$4,0))),CV251)</f>
        <v>0</v>
      </c>
      <c r="FU251" s="190">
        <f>AI251*AI$2*IF($FC251="V",1,-1)*IF($Q251="Fixo",(CW251-INDEX('Curva Forward'!$C$5:$AN$13,MATCH(CONCATENATE(BD_COMERCIAL!$K251," ",BD_COMERCIAL!$L251),'Curva Forward'!$B$5:$B$13,0),MATCH(FU$4,'Curva Forward'!$C$4:$AN$4,0))),CW251)</f>
        <v>0</v>
      </c>
      <c r="FV251" s="190">
        <f>AJ251*AJ$2*IF($FC251="V",1,-1)*IF($Q251="Fixo",(CX251-INDEX('Curva Forward'!$C$5:$AN$13,MATCH(CONCATENATE(BD_COMERCIAL!$K251," ",BD_COMERCIAL!$L251),'Curva Forward'!$B$5:$B$13,0),MATCH(FV$4,'Curva Forward'!$C$4:$AN$4,0))),CX251)</f>
        <v>0</v>
      </c>
      <c r="FW251" s="190">
        <f>AK251*AK$2*IF($FC251="V",1,-1)*IF($Q251="Fixo",(CY251-INDEX('Curva Forward'!$C$5:$AN$13,MATCH(CONCATENATE(BD_COMERCIAL!$K251," ",BD_COMERCIAL!$L251),'Curva Forward'!$B$5:$B$13,0),MATCH(FW$4,'Curva Forward'!$C$4:$AN$4,0))),CY251)</f>
        <v>0</v>
      </c>
      <c r="FX251" s="190">
        <f>AL251*AL$2*IF($FC251="V",1,-1)*IF($Q251="Fixo",(CZ251-INDEX('Curva Forward'!$C$5:$AN$13,MATCH(CONCATENATE(BD_COMERCIAL!$K251," ",BD_COMERCIAL!$L251),'Curva Forward'!$B$5:$B$13,0),MATCH(FX$4,'Curva Forward'!$C$4:$AN$4,0))),CZ251)</f>
        <v>0</v>
      </c>
      <c r="FY251" s="190">
        <f>AM251*AM$2*IF($FC251="V",1,-1)*IF($Q251="Fixo",(DA251-INDEX('Curva Forward'!$C$5:$AN$13,MATCH(CONCATENATE(BD_COMERCIAL!$K251," ",BD_COMERCIAL!$L251),'Curva Forward'!$B$5:$B$13,0),MATCH(FY$4,'Curva Forward'!$C$4:$AN$4,0))),DA251)</f>
        <v>0</v>
      </c>
      <c r="FZ251" s="190">
        <f>AN251*AN$2*IF($FC251="V",1,-1)*IF($Q251="Fixo",(DB251-INDEX('Curva Forward'!$C$5:$AN$13,MATCH(CONCATENATE(BD_COMERCIAL!$K251," ",BD_COMERCIAL!$L251),'Curva Forward'!$B$5:$B$13,0),MATCH(FZ$4,'Curva Forward'!$C$4:$AN$4,0))),DB251)</f>
        <v>0</v>
      </c>
      <c r="GA251" s="190">
        <f>AO251*AO$2*IF($FC251="V",1,-1)*IF($Q251="Fixo",(DC251-INDEX('Curva Forward'!$C$5:$AN$13,MATCH(CONCATENATE(BD_COMERCIAL!$K251," ",BD_COMERCIAL!$L251),'Curva Forward'!$B$5:$B$13,0),MATCH(GA$4,'Curva Forward'!$C$4:$AN$4,0))),DC251)</f>
        <v>0</v>
      </c>
      <c r="GB251" s="190">
        <f>AP251*AP$2*IF($FC251="V",1,-1)*IF($Q251="Fixo",(DD251-INDEX('Curva Forward'!$C$5:$AN$13,MATCH(CONCATENATE(BD_COMERCIAL!$K251," ",BD_COMERCIAL!$L251),'Curva Forward'!$B$5:$B$13,0),MATCH(GB$4,'Curva Forward'!$C$4:$AN$4,0))),DD251)</f>
        <v>0</v>
      </c>
      <c r="GC251" s="190">
        <f>AQ251*AQ$2*IF($FC251="V",1,-1)*IF($Q251="Fixo",(DE251-INDEX('Curva Forward'!$C$5:$AN$13,MATCH(CONCATENATE(BD_COMERCIAL!$K251," ",BD_COMERCIAL!$L251),'Curva Forward'!$B$5:$B$13,0),MATCH(GC$4,'Curva Forward'!$C$4:$AN$4,0))),DE251)</f>
        <v>0</v>
      </c>
      <c r="GD251" s="190">
        <f>AR251*AR$2*IF($FC251="V",1,-1)*IF($Q251="Fixo",(DF251-INDEX('Curva Forward'!$C$5:$AN$13,MATCH(CONCATENATE(BD_COMERCIAL!$K251," ",BD_COMERCIAL!$L251),'Curva Forward'!$B$5:$B$13,0),MATCH(GD$4,'Curva Forward'!$C$4:$AN$4,0))),DF251)</f>
        <v>0</v>
      </c>
      <c r="GE251" s="190">
        <f>AS251*AS$2*IF($FC251="V",1,-1)*IF($Q251="Fixo",(DG251-INDEX('Curva Forward'!$C$5:$AN$13,MATCH(CONCATENATE(BD_COMERCIAL!$K251," ",BD_COMERCIAL!$L251),'Curva Forward'!$B$5:$B$13,0),MATCH(GE$4,'Curva Forward'!$C$4:$AN$4,0))),DG251)</f>
        <v>0</v>
      </c>
      <c r="GF251" s="190">
        <f>AT251*AT$2*IF($FC251="V",1,-1)*IF($Q251="Fixo",(DH251-INDEX('Curva Forward'!$C$5:$AN$13,MATCH(CONCATENATE(BD_COMERCIAL!$K251," ",BD_COMERCIAL!$L251),'Curva Forward'!$B$5:$B$13,0),MATCH(GF$4,'Curva Forward'!$C$4:$AN$4,0))),DH251)</f>
        <v>0</v>
      </c>
      <c r="GG251" s="190">
        <f>AU251*AU$2*IF($FC251="V",1,-1)*IF($Q251="Fixo",(DI251-INDEX('Curva Forward'!$C$5:$AN$13,MATCH(CONCATENATE(BD_COMERCIAL!$K251," ",BD_COMERCIAL!$L251),'Curva Forward'!$B$5:$B$13,0),MATCH(GG$4,'Curva Forward'!$C$4:$AN$4,0))),DI251)</f>
        <v>0</v>
      </c>
      <c r="GH251" s="190">
        <f>AV251*AV$2*IF($FC251="V",1,-1)*IF($Q251="Fixo",(DJ251-INDEX('Curva Forward'!$C$5:$AN$13,MATCH(CONCATENATE(BD_COMERCIAL!$K251," ",BD_COMERCIAL!$L251),'Curva Forward'!$B$5:$B$13,0),MATCH(GH$4,'Curva Forward'!$C$4:$AN$4,0))),DJ251)</f>
        <v>0</v>
      </c>
      <c r="GI251" s="190">
        <f>AW251*AW$2*IF($FC251="V",1,-1)*IF($Q251="Fixo",(DK251-INDEX('Curva Forward'!$C$5:$AN$13,MATCH(CONCATENATE(BD_COMERCIAL!$K251," ",BD_COMERCIAL!$L251),'Curva Forward'!$B$5:$B$13,0),MATCH(GI$4,'Curva Forward'!$C$4:$AN$4,0))),DK251)</f>
        <v>0</v>
      </c>
      <c r="GJ251" s="190">
        <f>AX251*AX$2*IF($FC251="V",1,-1)*IF($Q251="Fixo",(DL251-INDEX('Curva Forward'!$C$5:$AN$13,MATCH(CONCATENATE(BD_COMERCIAL!$K251," ",BD_COMERCIAL!$L251),'Curva Forward'!$B$5:$B$13,0),MATCH(GJ$4,'Curva Forward'!$C$4:$AN$4,0))),DL251)</f>
        <v>0</v>
      </c>
      <c r="GK251" s="190">
        <f>AY251*AY$2*IF($FC251="V",1,-1)*IF($Q251="Fixo",(DM251-INDEX('Curva Forward'!$C$5:$AN$13,MATCH(CONCATENATE(BD_COMERCIAL!$K251," ",BD_COMERCIAL!$L251),'Curva Forward'!$B$5:$B$13,0),MATCH(GK$4,'Curva Forward'!$C$4:$AN$4,0))),DM251)</f>
        <v>0</v>
      </c>
      <c r="GL251" s="190">
        <f>IF(EZ251="",0,CL251*CL$2*IF($FC251="V",1,-1)*IF($Q251="Fixo",(EZ251-INDEX('Curva Forward'!$C$5:$AN$13,MATCH(CONCATENATE(BD_COMERCIAL!$K251," ",BD_COMERCIAL!$L251),'Curva Forward'!$B$5:$B$13,0),MATCH(GL$4,'Curva Forward'!$C$4:$AN$4,0))),EZ251))</f>
        <v>0</v>
      </c>
      <c r="GM251" s="190">
        <f>IF(FA251="",0,CM251*CM$2*IF($FC251="V",1,-1)*IF($Q251="Fixo",(FA251-INDEX('Curva Forward'!$C$5:$AN$13,MATCH(CONCATENATE(BD_COMERCIAL!$K251," ",BD_COMERCIAL!$L251),'Curva Forward'!$B$5:$B$13,0),MATCH(GM$4,'Curva Forward'!$C$4:$AN$4,0))),FA251))</f>
        <v>0</v>
      </c>
      <c r="GN251" s="190">
        <f>IF(FB251="",0,CN251*CN$2*IF($FC251="V",1,-1)*IF($Q251="Fixo",(FB251-INDEX('Curva Forward'!$C$5:$AN$13,MATCH(CONCATENATE(BD_COMERCIAL!$K251," ",BD_COMERCIAL!$L251),'Curva Forward'!$B$5:$B$13,0),MATCH(GN$4,'Curva Forward'!$C$4:$AN$4,0))),FB251))</f>
        <v>0</v>
      </c>
      <c r="GO251" s="191">
        <f t="shared" ca="1" si="32"/>
        <v>0</v>
      </c>
      <c r="GP251" s="191">
        <f t="shared" ca="1" si="33"/>
        <v>0</v>
      </c>
      <c r="GQ251" s="115"/>
      <c r="GR251" s="115"/>
      <c r="GS251"/>
      <c r="GT251" s="65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</row>
    <row r="252" spans="1:236" s="265" customFormat="1" ht="15" customHeight="1" x14ac:dyDescent="0.35">
      <c r="A252" s="251"/>
      <c r="B252" s="275"/>
      <c r="C252" s="253"/>
      <c r="D252" s="254"/>
      <c r="E252" s="254"/>
      <c r="F252" s="255"/>
      <c r="G252" s="256"/>
      <c r="H252" s="255"/>
      <c r="I252" s="254"/>
      <c r="J252" s="257"/>
      <c r="K252" s="256"/>
      <c r="L252" s="252"/>
      <c r="M252" s="258"/>
      <c r="N252" s="259"/>
      <c r="O252" s="256"/>
      <c r="P252" s="252"/>
      <c r="Q252" s="252"/>
      <c r="R252" s="256"/>
      <c r="S252" s="260"/>
      <c r="T252" s="258"/>
      <c r="U252" s="259"/>
      <c r="V252" s="261"/>
      <c r="W252" s="252"/>
      <c r="X252" s="262"/>
      <c r="Y252" s="257"/>
      <c r="Z252" s="263"/>
      <c r="AA252" s="264"/>
      <c r="AB252" s="266"/>
      <c r="AM252" s="251"/>
      <c r="AN252" s="266"/>
      <c r="AY252" s="251"/>
      <c r="AZ252" s="266"/>
      <c r="BK252" s="251"/>
      <c r="BL252" s="266"/>
      <c r="BW252" s="251"/>
      <c r="BX252" s="266"/>
      <c r="CI252" s="251"/>
      <c r="CJ252" s="267"/>
      <c r="CK252" s="267"/>
      <c r="CL252" s="267"/>
      <c r="CM252" s="267"/>
      <c r="CN252" s="267"/>
      <c r="CO252" s="268"/>
      <c r="CP252" s="266"/>
      <c r="DA252" s="251"/>
      <c r="DB252" s="266"/>
      <c r="DM252" s="251"/>
      <c r="DN252" s="266"/>
      <c r="DY252" s="251"/>
      <c r="DZ252" s="266"/>
      <c r="EK252" s="251"/>
      <c r="EL252" s="266"/>
      <c r="EW252" s="251"/>
      <c r="EX252" s="267"/>
      <c r="EY252" s="267"/>
      <c r="EZ252" s="267"/>
      <c r="FA252" s="267"/>
      <c r="FB252" s="269"/>
      <c r="FD252" s="270"/>
      <c r="FF252" s="276"/>
      <c r="FH252" s="206">
        <f t="shared" si="27"/>
        <v>0</v>
      </c>
      <c r="FI252" s="198">
        <f t="shared" si="28"/>
        <v>0</v>
      </c>
      <c r="FJ252"/>
      <c r="FK252">
        <f t="shared" si="29"/>
        <v>0</v>
      </c>
      <c r="FL252" s="191">
        <f t="shared" ca="1" si="30"/>
        <v>0</v>
      </c>
      <c r="FM252" s="191">
        <f t="shared" ca="1" si="31"/>
        <v>0</v>
      </c>
      <c r="FN252" s="190">
        <f>AB252*AB$2*IF($FC252="V",1,-1)*IF($Q252="Fixo",(CP252-INDEX('Curva Forward'!$C$5:$AN$13,MATCH(CONCATENATE(BD_COMERCIAL!$K252," ",BD_COMERCIAL!$L252),'Curva Forward'!$B$5:$B$13,0),MATCH(FN$4,'Curva Forward'!$C$4:$AN$4,0))),CP252)</f>
        <v>0</v>
      </c>
      <c r="FO252" s="190">
        <f>AC252*AC$2*IF($FC252="V",1,-1)*IF($Q252="Fixo",(CQ252-INDEX('Curva Forward'!$C$5:$AN$13,MATCH(CONCATENATE(BD_COMERCIAL!$K252," ",BD_COMERCIAL!$L252),'Curva Forward'!$B$5:$B$13,0),MATCH(FO$4,'Curva Forward'!$C$4:$AN$4,0))),CQ252)</f>
        <v>0</v>
      </c>
      <c r="FP252" s="190">
        <f>AD252*AD$2*IF($FC252="V",1,-1)*IF($Q252="Fixo",(CR252-INDEX('Curva Forward'!$C$5:$AN$13,MATCH(CONCATENATE(BD_COMERCIAL!$K252," ",BD_COMERCIAL!$L252),'Curva Forward'!$B$5:$B$13,0),MATCH(FP$4,'Curva Forward'!$C$4:$AN$4,0))),CR252)</f>
        <v>0</v>
      </c>
      <c r="FQ252" s="190">
        <f>AE252*AE$2*IF($FC252="V",1,-1)*IF($Q252="Fixo",(CS252-INDEX('Curva Forward'!$C$5:$AN$13,MATCH(CONCATENATE(BD_COMERCIAL!$K252," ",BD_COMERCIAL!$L252),'Curva Forward'!$B$5:$B$13,0),MATCH(FQ$4,'Curva Forward'!$C$4:$AN$4,0))),CS252)</f>
        <v>0</v>
      </c>
      <c r="FR252" s="190">
        <f>AF252*AF$2*IF($FC252="V",1,-1)*IF($Q252="Fixo",(CT252-INDEX('Curva Forward'!$C$5:$AN$13,MATCH(CONCATENATE(BD_COMERCIAL!$K252," ",BD_COMERCIAL!$L252),'Curva Forward'!$B$5:$B$13,0),MATCH(FR$4,'Curva Forward'!$C$4:$AN$4,0))),CT252)</f>
        <v>0</v>
      </c>
      <c r="FS252" s="190">
        <f>AG252*AG$2*IF($FC252="V",1,-1)*IF($Q252="Fixo",(CU252-INDEX('Curva Forward'!$C$5:$AN$13,MATCH(CONCATENATE(BD_COMERCIAL!$K252," ",BD_COMERCIAL!$L252),'Curva Forward'!$B$5:$B$13,0),MATCH(FS$4,'Curva Forward'!$C$4:$AN$4,0))),CU252)</f>
        <v>0</v>
      </c>
      <c r="FT252" s="190">
        <f>AH252*AH$2*IF($FC252="V",1,-1)*IF($Q252="Fixo",(CV252-INDEX('Curva Forward'!$C$5:$AN$13,MATCH(CONCATENATE(BD_COMERCIAL!$K252," ",BD_COMERCIAL!$L252),'Curva Forward'!$B$5:$B$13,0),MATCH(FT$4,'Curva Forward'!$C$4:$AN$4,0))),CV252)</f>
        <v>0</v>
      </c>
      <c r="FU252" s="190">
        <f>AI252*AI$2*IF($FC252="V",1,-1)*IF($Q252="Fixo",(CW252-INDEX('Curva Forward'!$C$5:$AN$13,MATCH(CONCATENATE(BD_COMERCIAL!$K252," ",BD_COMERCIAL!$L252),'Curva Forward'!$B$5:$B$13,0),MATCH(FU$4,'Curva Forward'!$C$4:$AN$4,0))),CW252)</f>
        <v>0</v>
      </c>
      <c r="FV252" s="190">
        <f>AJ252*AJ$2*IF($FC252="V",1,-1)*IF($Q252="Fixo",(CX252-INDEX('Curva Forward'!$C$5:$AN$13,MATCH(CONCATENATE(BD_COMERCIAL!$K252," ",BD_COMERCIAL!$L252),'Curva Forward'!$B$5:$B$13,0),MATCH(FV$4,'Curva Forward'!$C$4:$AN$4,0))),CX252)</f>
        <v>0</v>
      </c>
      <c r="FW252" s="190">
        <f>AK252*AK$2*IF($FC252="V",1,-1)*IF($Q252="Fixo",(CY252-INDEX('Curva Forward'!$C$5:$AN$13,MATCH(CONCATENATE(BD_COMERCIAL!$K252," ",BD_COMERCIAL!$L252),'Curva Forward'!$B$5:$B$13,0),MATCH(FW$4,'Curva Forward'!$C$4:$AN$4,0))),CY252)</f>
        <v>0</v>
      </c>
      <c r="FX252" s="190">
        <f>AL252*AL$2*IF($FC252="V",1,-1)*IF($Q252="Fixo",(CZ252-INDEX('Curva Forward'!$C$5:$AN$13,MATCH(CONCATENATE(BD_COMERCIAL!$K252," ",BD_COMERCIAL!$L252),'Curva Forward'!$B$5:$B$13,0),MATCH(FX$4,'Curva Forward'!$C$4:$AN$4,0))),CZ252)</f>
        <v>0</v>
      </c>
      <c r="FY252" s="190">
        <f>AM252*AM$2*IF($FC252="V",1,-1)*IF($Q252="Fixo",(DA252-INDEX('Curva Forward'!$C$5:$AN$13,MATCH(CONCATENATE(BD_COMERCIAL!$K252," ",BD_COMERCIAL!$L252),'Curva Forward'!$B$5:$B$13,0),MATCH(FY$4,'Curva Forward'!$C$4:$AN$4,0))),DA252)</f>
        <v>0</v>
      </c>
      <c r="FZ252" s="190">
        <f>AN252*AN$2*IF($FC252="V",1,-1)*IF($Q252="Fixo",(DB252-INDEX('Curva Forward'!$C$5:$AN$13,MATCH(CONCATENATE(BD_COMERCIAL!$K252," ",BD_COMERCIAL!$L252),'Curva Forward'!$B$5:$B$13,0),MATCH(FZ$4,'Curva Forward'!$C$4:$AN$4,0))),DB252)</f>
        <v>0</v>
      </c>
      <c r="GA252" s="190">
        <f>AO252*AO$2*IF($FC252="V",1,-1)*IF($Q252="Fixo",(DC252-INDEX('Curva Forward'!$C$5:$AN$13,MATCH(CONCATENATE(BD_COMERCIAL!$K252," ",BD_COMERCIAL!$L252),'Curva Forward'!$B$5:$B$13,0),MATCH(GA$4,'Curva Forward'!$C$4:$AN$4,0))),DC252)</f>
        <v>0</v>
      </c>
      <c r="GB252" s="190">
        <f>AP252*AP$2*IF($FC252="V",1,-1)*IF($Q252="Fixo",(DD252-INDEX('Curva Forward'!$C$5:$AN$13,MATCH(CONCATENATE(BD_COMERCIAL!$K252," ",BD_COMERCIAL!$L252),'Curva Forward'!$B$5:$B$13,0),MATCH(GB$4,'Curva Forward'!$C$4:$AN$4,0))),DD252)</f>
        <v>0</v>
      </c>
      <c r="GC252" s="190">
        <f>AQ252*AQ$2*IF($FC252="V",1,-1)*IF($Q252="Fixo",(DE252-INDEX('Curva Forward'!$C$5:$AN$13,MATCH(CONCATENATE(BD_COMERCIAL!$K252," ",BD_COMERCIAL!$L252),'Curva Forward'!$B$5:$B$13,0),MATCH(GC$4,'Curva Forward'!$C$4:$AN$4,0))),DE252)</f>
        <v>0</v>
      </c>
      <c r="GD252" s="190">
        <f>AR252*AR$2*IF($FC252="V",1,-1)*IF($Q252="Fixo",(DF252-INDEX('Curva Forward'!$C$5:$AN$13,MATCH(CONCATENATE(BD_COMERCIAL!$K252," ",BD_COMERCIAL!$L252),'Curva Forward'!$B$5:$B$13,0),MATCH(GD$4,'Curva Forward'!$C$4:$AN$4,0))),DF252)</f>
        <v>0</v>
      </c>
      <c r="GE252" s="190">
        <f>AS252*AS$2*IF($FC252="V",1,-1)*IF($Q252="Fixo",(DG252-INDEX('Curva Forward'!$C$5:$AN$13,MATCH(CONCATENATE(BD_COMERCIAL!$K252," ",BD_COMERCIAL!$L252),'Curva Forward'!$B$5:$B$13,0),MATCH(GE$4,'Curva Forward'!$C$4:$AN$4,0))),DG252)</f>
        <v>0</v>
      </c>
      <c r="GF252" s="190">
        <f>AT252*AT$2*IF($FC252="V",1,-1)*IF($Q252="Fixo",(DH252-INDEX('Curva Forward'!$C$5:$AN$13,MATCH(CONCATENATE(BD_COMERCIAL!$K252," ",BD_COMERCIAL!$L252),'Curva Forward'!$B$5:$B$13,0),MATCH(GF$4,'Curva Forward'!$C$4:$AN$4,0))),DH252)</f>
        <v>0</v>
      </c>
      <c r="GG252" s="190">
        <f>AU252*AU$2*IF($FC252="V",1,-1)*IF($Q252="Fixo",(DI252-INDEX('Curva Forward'!$C$5:$AN$13,MATCH(CONCATENATE(BD_COMERCIAL!$K252," ",BD_COMERCIAL!$L252),'Curva Forward'!$B$5:$B$13,0),MATCH(GG$4,'Curva Forward'!$C$4:$AN$4,0))),DI252)</f>
        <v>0</v>
      </c>
      <c r="GH252" s="190">
        <f>AV252*AV$2*IF($FC252="V",1,-1)*IF($Q252="Fixo",(DJ252-INDEX('Curva Forward'!$C$5:$AN$13,MATCH(CONCATENATE(BD_COMERCIAL!$K252," ",BD_COMERCIAL!$L252),'Curva Forward'!$B$5:$B$13,0),MATCH(GH$4,'Curva Forward'!$C$4:$AN$4,0))),DJ252)</f>
        <v>0</v>
      </c>
      <c r="GI252" s="190">
        <f>AW252*AW$2*IF($FC252="V",1,-1)*IF($Q252="Fixo",(DK252-INDEX('Curva Forward'!$C$5:$AN$13,MATCH(CONCATENATE(BD_COMERCIAL!$K252," ",BD_COMERCIAL!$L252),'Curva Forward'!$B$5:$B$13,0),MATCH(GI$4,'Curva Forward'!$C$4:$AN$4,0))),DK252)</f>
        <v>0</v>
      </c>
      <c r="GJ252" s="190">
        <f>AX252*AX$2*IF($FC252="V",1,-1)*IF($Q252="Fixo",(DL252-INDEX('Curva Forward'!$C$5:$AN$13,MATCH(CONCATENATE(BD_COMERCIAL!$K252," ",BD_COMERCIAL!$L252),'Curva Forward'!$B$5:$B$13,0),MATCH(GJ$4,'Curva Forward'!$C$4:$AN$4,0))),DL252)</f>
        <v>0</v>
      </c>
      <c r="GK252" s="190">
        <f>AY252*AY$2*IF($FC252="V",1,-1)*IF($Q252="Fixo",(DM252-INDEX('Curva Forward'!$C$5:$AN$13,MATCH(CONCATENATE(BD_COMERCIAL!$K252," ",BD_COMERCIAL!$L252),'Curva Forward'!$B$5:$B$13,0),MATCH(GK$4,'Curva Forward'!$C$4:$AN$4,0))),DM252)</f>
        <v>0</v>
      </c>
      <c r="GL252" s="190">
        <f>IF(EZ252="",0,CL252*CL$2*IF($FC252="V",1,-1)*IF($Q252="Fixo",(EZ252-INDEX('Curva Forward'!$C$5:$AN$13,MATCH(CONCATENATE(BD_COMERCIAL!$K252," ",BD_COMERCIAL!$L252),'Curva Forward'!$B$5:$B$13,0),MATCH(GL$4,'Curva Forward'!$C$4:$AN$4,0))),EZ252))</f>
        <v>0</v>
      </c>
      <c r="GM252" s="190">
        <f>IF(FA252="",0,CM252*CM$2*IF($FC252="V",1,-1)*IF($Q252="Fixo",(FA252-INDEX('Curva Forward'!$C$5:$AN$13,MATCH(CONCATENATE(BD_COMERCIAL!$K252," ",BD_COMERCIAL!$L252),'Curva Forward'!$B$5:$B$13,0),MATCH(GM$4,'Curva Forward'!$C$4:$AN$4,0))),FA252))</f>
        <v>0</v>
      </c>
      <c r="GN252" s="190">
        <f>IF(FB252="",0,CN252*CN$2*IF($FC252="V",1,-1)*IF($Q252="Fixo",(FB252-INDEX('Curva Forward'!$C$5:$AN$13,MATCH(CONCATENATE(BD_COMERCIAL!$K252," ",BD_COMERCIAL!$L252),'Curva Forward'!$B$5:$B$13,0),MATCH(GN$4,'Curva Forward'!$C$4:$AN$4,0))),FB252))</f>
        <v>0</v>
      </c>
      <c r="GO252" s="191">
        <f t="shared" ca="1" si="32"/>
        <v>0</v>
      </c>
      <c r="GP252" s="191">
        <f t="shared" ca="1" si="33"/>
        <v>0</v>
      </c>
      <c r="GQ252" s="115"/>
      <c r="GR252" s="115"/>
      <c r="GS252"/>
      <c r="GT252" s="65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</row>
    <row r="253" spans="1:236" s="265" customFormat="1" ht="15" customHeight="1" x14ac:dyDescent="0.35">
      <c r="A253" s="251"/>
      <c r="B253" s="275"/>
      <c r="C253" s="253"/>
      <c r="D253" s="254"/>
      <c r="E253" s="254"/>
      <c r="F253" s="255"/>
      <c r="G253" s="256"/>
      <c r="H253" s="255"/>
      <c r="I253" s="254"/>
      <c r="J253" s="257"/>
      <c r="K253" s="256"/>
      <c r="L253" s="252"/>
      <c r="M253" s="258"/>
      <c r="N253" s="259"/>
      <c r="O253" s="256"/>
      <c r="P253" s="252"/>
      <c r="Q253" s="252"/>
      <c r="R253" s="256"/>
      <c r="S253" s="260"/>
      <c r="T253" s="258"/>
      <c r="U253" s="259"/>
      <c r="V253" s="261"/>
      <c r="W253" s="252"/>
      <c r="X253" s="262"/>
      <c r="Y253" s="257"/>
      <c r="Z253" s="263"/>
      <c r="AA253" s="264"/>
      <c r="AB253" s="266"/>
      <c r="AM253" s="251"/>
      <c r="AN253" s="266"/>
      <c r="AY253" s="251"/>
      <c r="AZ253" s="266"/>
      <c r="BK253" s="251"/>
      <c r="BL253" s="266"/>
      <c r="BW253" s="251"/>
      <c r="BX253" s="266"/>
      <c r="CI253" s="251"/>
      <c r="CJ253" s="267"/>
      <c r="CK253" s="267"/>
      <c r="CL253" s="267"/>
      <c r="CM253" s="267"/>
      <c r="CN253" s="267"/>
      <c r="CO253" s="268"/>
      <c r="CP253" s="266"/>
      <c r="DA253" s="251"/>
      <c r="DB253" s="266"/>
      <c r="DM253" s="251"/>
      <c r="DN253" s="266"/>
      <c r="DY253" s="251"/>
      <c r="DZ253" s="266"/>
      <c r="EK253" s="251"/>
      <c r="EL253" s="266"/>
      <c r="EW253" s="251"/>
      <c r="EX253" s="267"/>
      <c r="EY253" s="267"/>
      <c r="EZ253" s="267"/>
      <c r="FA253" s="267"/>
      <c r="FB253" s="269"/>
      <c r="FD253" s="270"/>
      <c r="FF253" s="276"/>
      <c r="FH253" s="206">
        <f t="shared" si="27"/>
        <v>0</v>
      </c>
      <c r="FI253" s="198">
        <f t="shared" si="28"/>
        <v>0</v>
      </c>
      <c r="FJ253"/>
      <c r="FK253">
        <f t="shared" si="29"/>
        <v>0</v>
      </c>
      <c r="FL253" s="191">
        <f t="shared" ca="1" si="30"/>
        <v>0</v>
      </c>
      <c r="FM253" s="191">
        <f t="shared" ca="1" si="31"/>
        <v>0</v>
      </c>
      <c r="FN253" s="190">
        <f>AB253*AB$2*IF($FC253="V",1,-1)*IF($Q253="Fixo",(CP253-INDEX('Curva Forward'!$C$5:$AN$13,MATCH(CONCATENATE(BD_COMERCIAL!$K253," ",BD_COMERCIAL!$L253),'Curva Forward'!$B$5:$B$13,0),MATCH(FN$4,'Curva Forward'!$C$4:$AN$4,0))),CP253)</f>
        <v>0</v>
      </c>
      <c r="FO253" s="190">
        <f>AC253*AC$2*IF($FC253="V",1,-1)*IF($Q253="Fixo",(CQ253-INDEX('Curva Forward'!$C$5:$AN$13,MATCH(CONCATENATE(BD_COMERCIAL!$K253," ",BD_COMERCIAL!$L253),'Curva Forward'!$B$5:$B$13,0),MATCH(FO$4,'Curva Forward'!$C$4:$AN$4,0))),CQ253)</f>
        <v>0</v>
      </c>
      <c r="FP253" s="190">
        <f>AD253*AD$2*IF($FC253="V",1,-1)*IF($Q253="Fixo",(CR253-INDEX('Curva Forward'!$C$5:$AN$13,MATCH(CONCATENATE(BD_COMERCIAL!$K253," ",BD_COMERCIAL!$L253),'Curva Forward'!$B$5:$B$13,0),MATCH(FP$4,'Curva Forward'!$C$4:$AN$4,0))),CR253)</f>
        <v>0</v>
      </c>
      <c r="FQ253" s="190">
        <f>AE253*AE$2*IF($FC253="V",1,-1)*IF($Q253="Fixo",(CS253-INDEX('Curva Forward'!$C$5:$AN$13,MATCH(CONCATENATE(BD_COMERCIAL!$K253," ",BD_COMERCIAL!$L253),'Curva Forward'!$B$5:$B$13,0),MATCH(FQ$4,'Curva Forward'!$C$4:$AN$4,0))),CS253)</f>
        <v>0</v>
      </c>
      <c r="FR253" s="190">
        <f>AF253*AF$2*IF($FC253="V",1,-1)*IF($Q253="Fixo",(CT253-INDEX('Curva Forward'!$C$5:$AN$13,MATCH(CONCATENATE(BD_COMERCIAL!$K253," ",BD_COMERCIAL!$L253),'Curva Forward'!$B$5:$B$13,0),MATCH(FR$4,'Curva Forward'!$C$4:$AN$4,0))),CT253)</f>
        <v>0</v>
      </c>
      <c r="FS253" s="190">
        <f>AG253*AG$2*IF($FC253="V",1,-1)*IF($Q253="Fixo",(CU253-INDEX('Curva Forward'!$C$5:$AN$13,MATCH(CONCATENATE(BD_COMERCIAL!$K253," ",BD_COMERCIAL!$L253),'Curva Forward'!$B$5:$B$13,0),MATCH(FS$4,'Curva Forward'!$C$4:$AN$4,0))),CU253)</f>
        <v>0</v>
      </c>
      <c r="FT253" s="190">
        <f>AH253*AH$2*IF($FC253="V",1,-1)*IF($Q253="Fixo",(CV253-INDEX('Curva Forward'!$C$5:$AN$13,MATCH(CONCATENATE(BD_COMERCIAL!$K253," ",BD_COMERCIAL!$L253),'Curva Forward'!$B$5:$B$13,0),MATCH(FT$4,'Curva Forward'!$C$4:$AN$4,0))),CV253)</f>
        <v>0</v>
      </c>
      <c r="FU253" s="190">
        <f>AI253*AI$2*IF($FC253="V",1,-1)*IF($Q253="Fixo",(CW253-INDEX('Curva Forward'!$C$5:$AN$13,MATCH(CONCATENATE(BD_COMERCIAL!$K253," ",BD_COMERCIAL!$L253),'Curva Forward'!$B$5:$B$13,0),MATCH(FU$4,'Curva Forward'!$C$4:$AN$4,0))),CW253)</f>
        <v>0</v>
      </c>
      <c r="FV253" s="190">
        <f>AJ253*AJ$2*IF($FC253="V",1,-1)*IF($Q253="Fixo",(CX253-INDEX('Curva Forward'!$C$5:$AN$13,MATCH(CONCATENATE(BD_COMERCIAL!$K253," ",BD_COMERCIAL!$L253),'Curva Forward'!$B$5:$B$13,0),MATCH(FV$4,'Curva Forward'!$C$4:$AN$4,0))),CX253)</f>
        <v>0</v>
      </c>
      <c r="FW253" s="190">
        <f>AK253*AK$2*IF($FC253="V",1,-1)*IF($Q253="Fixo",(CY253-INDEX('Curva Forward'!$C$5:$AN$13,MATCH(CONCATENATE(BD_COMERCIAL!$K253," ",BD_COMERCIAL!$L253),'Curva Forward'!$B$5:$B$13,0),MATCH(FW$4,'Curva Forward'!$C$4:$AN$4,0))),CY253)</f>
        <v>0</v>
      </c>
      <c r="FX253" s="190">
        <f>AL253*AL$2*IF($FC253="V",1,-1)*IF($Q253="Fixo",(CZ253-INDEX('Curva Forward'!$C$5:$AN$13,MATCH(CONCATENATE(BD_COMERCIAL!$K253," ",BD_COMERCIAL!$L253),'Curva Forward'!$B$5:$B$13,0),MATCH(FX$4,'Curva Forward'!$C$4:$AN$4,0))),CZ253)</f>
        <v>0</v>
      </c>
      <c r="FY253" s="190">
        <f>AM253*AM$2*IF($FC253="V",1,-1)*IF($Q253="Fixo",(DA253-INDEX('Curva Forward'!$C$5:$AN$13,MATCH(CONCATENATE(BD_COMERCIAL!$K253," ",BD_COMERCIAL!$L253),'Curva Forward'!$B$5:$B$13,0),MATCH(FY$4,'Curva Forward'!$C$4:$AN$4,0))),DA253)</f>
        <v>0</v>
      </c>
      <c r="FZ253" s="190">
        <f>AN253*AN$2*IF($FC253="V",1,-1)*IF($Q253="Fixo",(DB253-INDEX('Curva Forward'!$C$5:$AN$13,MATCH(CONCATENATE(BD_COMERCIAL!$K253," ",BD_COMERCIAL!$L253),'Curva Forward'!$B$5:$B$13,0),MATCH(FZ$4,'Curva Forward'!$C$4:$AN$4,0))),DB253)</f>
        <v>0</v>
      </c>
      <c r="GA253" s="190">
        <f>AO253*AO$2*IF($FC253="V",1,-1)*IF($Q253="Fixo",(DC253-INDEX('Curva Forward'!$C$5:$AN$13,MATCH(CONCATENATE(BD_COMERCIAL!$K253," ",BD_COMERCIAL!$L253),'Curva Forward'!$B$5:$B$13,0),MATCH(GA$4,'Curva Forward'!$C$4:$AN$4,0))),DC253)</f>
        <v>0</v>
      </c>
      <c r="GB253" s="190">
        <f>AP253*AP$2*IF($FC253="V",1,-1)*IF($Q253="Fixo",(DD253-INDEX('Curva Forward'!$C$5:$AN$13,MATCH(CONCATENATE(BD_COMERCIAL!$K253," ",BD_COMERCIAL!$L253),'Curva Forward'!$B$5:$B$13,0),MATCH(GB$4,'Curva Forward'!$C$4:$AN$4,0))),DD253)</f>
        <v>0</v>
      </c>
      <c r="GC253" s="190">
        <f>AQ253*AQ$2*IF($FC253="V",1,-1)*IF($Q253="Fixo",(DE253-INDEX('Curva Forward'!$C$5:$AN$13,MATCH(CONCATENATE(BD_COMERCIAL!$K253," ",BD_COMERCIAL!$L253),'Curva Forward'!$B$5:$B$13,0),MATCH(GC$4,'Curva Forward'!$C$4:$AN$4,0))),DE253)</f>
        <v>0</v>
      </c>
      <c r="GD253" s="190">
        <f>AR253*AR$2*IF($FC253="V",1,-1)*IF($Q253="Fixo",(DF253-INDEX('Curva Forward'!$C$5:$AN$13,MATCH(CONCATENATE(BD_COMERCIAL!$K253," ",BD_COMERCIAL!$L253),'Curva Forward'!$B$5:$B$13,0),MATCH(GD$4,'Curva Forward'!$C$4:$AN$4,0))),DF253)</f>
        <v>0</v>
      </c>
      <c r="GE253" s="190">
        <f>AS253*AS$2*IF($FC253="V",1,-1)*IF($Q253="Fixo",(DG253-INDEX('Curva Forward'!$C$5:$AN$13,MATCH(CONCATENATE(BD_COMERCIAL!$K253," ",BD_COMERCIAL!$L253),'Curva Forward'!$B$5:$B$13,0),MATCH(GE$4,'Curva Forward'!$C$4:$AN$4,0))),DG253)</f>
        <v>0</v>
      </c>
      <c r="GF253" s="190">
        <f>AT253*AT$2*IF($FC253="V",1,-1)*IF($Q253="Fixo",(DH253-INDEX('Curva Forward'!$C$5:$AN$13,MATCH(CONCATENATE(BD_COMERCIAL!$K253," ",BD_COMERCIAL!$L253),'Curva Forward'!$B$5:$B$13,0),MATCH(GF$4,'Curva Forward'!$C$4:$AN$4,0))),DH253)</f>
        <v>0</v>
      </c>
      <c r="GG253" s="190">
        <f>AU253*AU$2*IF($FC253="V",1,-1)*IF($Q253="Fixo",(DI253-INDEX('Curva Forward'!$C$5:$AN$13,MATCH(CONCATENATE(BD_COMERCIAL!$K253," ",BD_COMERCIAL!$L253),'Curva Forward'!$B$5:$B$13,0),MATCH(GG$4,'Curva Forward'!$C$4:$AN$4,0))),DI253)</f>
        <v>0</v>
      </c>
      <c r="GH253" s="190">
        <f>AV253*AV$2*IF($FC253="V",1,-1)*IF($Q253="Fixo",(DJ253-INDEX('Curva Forward'!$C$5:$AN$13,MATCH(CONCATENATE(BD_COMERCIAL!$K253," ",BD_COMERCIAL!$L253),'Curva Forward'!$B$5:$B$13,0),MATCH(GH$4,'Curva Forward'!$C$4:$AN$4,0))),DJ253)</f>
        <v>0</v>
      </c>
      <c r="GI253" s="190">
        <f>AW253*AW$2*IF($FC253="V",1,-1)*IF($Q253="Fixo",(DK253-INDEX('Curva Forward'!$C$5:$AN$13,MATCH(CONCATENATE(BD_COMERCIAL!$K253," ",BD_COMERCIAL!$L253),'Curva Forward'!$B$5:$B$13,0),MATCH(GI$4,'Curva Forward'!$C$4:$AN$4,0))),DK253)</f>
        <v>0</v>
      </c>
      <c r="GJ253" s="190">
        <f>AX253*AX$2*IF($FC253="V",1,-1)*IF($Q253="Fixo",(DL253-INDEX('Curva Forward'!$C$5:$AN$13,MATCH(CONCATENATE(BD_COMERCIAL!$K253," ",BD_COMERCIAL!$L253),'Curva Forward'!$B$5:$B$13,0),MATCH(GJ$4,'Curva Forward'!$C$4:$AN$4,0))),DL253)</f>
        <v>0</v>
      </c>
      <c r="GK253" s="190">
        <f>AY253*AY$2*IF($FC253="V",1,-1)*IF($Q253="Fixo",(DM253-INDEX('Curva Forward'!$C$5:$AN$13,MATCH(CONCATENATE(BD_COMERCIAL!$K253," ",BD_COMERCIAL!$L253),'Curva Forward'!$B$5:$B$13,0),MATCH(GK$4,'Curva Forward'!$C$4:$AN$4,0))),DM253)</f>
        <v>0</v>
      </c>
      <c r="GL253" s="190">
        <f>IF(EZ253="",0,CL253*CL$2*IF($FC253="V",1,-1)*IF($Q253="Fixo",(EZ253-INDEX('Curva Forward'!$C$5:$AN$13,MATCH(CONCATENATE(BD_COMERCIAL!$K253," ",BD_COMERCIAL!$L253),'Curva Forward'!$B$5:$B$13,0),MATCH(GL$4,'Curva Forward'!$C$4:$AN$4,0))),EZ253))</f>
        <v>0</v>
      </c>
      <c r="GM253" s="190">
        <f>IF(FA253="",0,CM253*CM$2*IF($FC253="V",1,-1)*IF($Q253="Fixo",(FA253-INDEX('Curva Forward'!$C$5:$AN$13,MATCH(CONCATENATE(BD_COMERCIAL!$K253," ",BD_COMERCIAL!$L253),'Curva Forward'!$B$5:$B$13,0),MATCH(GM$4,'Curva Forward'!$C$4:$AN$4,0))),FA253))</f>
        <v>0</v>
      </c>
      <c r="GN253" s="190">
        <f>IF(FB253="",0,CN253*CN$2*IF($FC253="V",1,-1)*IF($Q253="Fixo",(FB253-INDEX('Curva Forward'!$C$5:$AN$13,MATCH(CONCATENATE(BD_COMERCIAL!$K253," ",BD_COMERCIAL!$L253),'Curva Forward'!$B$5:$B$13,0),MATCH(GN$4,'Curva Forward'!$C$4:$AN$4,0))),FB253))</f>
        <v>0</v>
      </c>
      <c r="GO253" s="191">
        <f t="shared" ca="1" si="32"/>
        <v>0</v>
      </c>
      <c r="GP253" s="191">
        <f t="shared" ca="1" si="33"/>
        <v>0</v>
      </c>
      <c r="GQ253" s="115"/>
      <c r="GR253" s="115"/>
      <c r="GS253"/>
      <c r="GT253" s="65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</row>
    <row r="254" spans="1:236" s="265" customFormat="1" ht="15" customHeight="1" x14ac:dyDescent="0.35">
      <c r="A254" s="251"/>
      <c r="B254" s="275"/>
      <c r="C254" s="253"/>
      <c r="D254" s="254"/>
      <c r="E254" s="254"/>
      <c r="F254" s="255"/>
      <c r="G254" s="256"/>
      <c r="H254" s="255"/>
      <c r="I254" s="254"/>
      <c r="J254" s="257"/>
      <c r="K254" s="256"/>
      <c r="L254" s="252"/>
      <c r="M254" s="258"/>
      <c r="N254" s="259"/>
      <c r="O254" s="256"/>
      <c r="P254" s="252"/>
      <c r="Q254" s="252"/>
      <c r="R254" s="256"/>
      <c r="S254" s="260"/>
      <c r="T254" s="258"/>
      <c r="U254" s="259"/>
      <c r="V254" s="261"/>
      <c r="W254" s="252"/>
      <c r="X254" s="262"/>
      <c r="Y254" s="257"/>
      <c r="Z254" s="263"/>
      <c r="AA254" s="264"/>
      <c r="AB254" s="266"/>
      <c r="AM254" s="251"/>
      <c r="AN254" s="266"/>
      <c r="AY254" s="251"/>
      <c r="AZ254" s="266"/>
      <c r="BK254" s="251"/>
      <c r="BL254" s="266"/>
      <c r="BW254" s="251"/>
      <c r="BX254" s="266"/>
      <c r="CI254" s="251"/>
      <c r="CJ254" s="267"/>
      <c r="CK254" s="267"/>
      <c r="CL254" s="267"/>
      <c r="CM254" s="267"/>
      <c r="CN254" s="267"/>
      <c r="CO254" s="268"/>
      <c r="CP254" s="266"/>
      <c r="DA254" s="251"/>
      <c r="DB254" s="266"/>
      <c r="DM254" s="251"/>
      <c r="DN254" s="266"/>
      <c r="DY254" s="251"/>
      <c r="DZ254" s="266"/>
      <c r="EK254" s="251"/>
      <c r="EL254" s="266"/>
      <c r="EW254" s="251"/>
      <c r="EX254" s="267"/>
      <c r="EY254" s="267"/>
      <c r="EZ254" s="267"/>
      <c r="FA254" s="267"/>
      <c r="FB254" s="269"/>
      <c r="FD254" s="270"/>
      <c r="FF254" s="276"/>
      <c r="FH254" s="206">
        <f t="shared" si="27"/>
        <v>0</v>
      </c>
      <c r="FI254" s="198">
        <f t="shared" si="28"/>
        <v>0</v>
      </c>
      <c r="FJ254"/>
      <c r="FK254">
        <f t="shared" si="29"/>
        <v>0</v>
      </c>
      <c r="FL254" s="191">
        <f t="shared" ca="1" si="30"/>
        <v>0</v>
      </c>
      <c r="FM254" s="191">
        <f t="shared" ca="1" si="31"/>
        <v>0</v>
      </c>
      <c r="FN254" s="190">
        <f>AB254*AB$2*IF($FC254="V",1,-1)*IF($Q254="Fixo",(CP254-INDEX('Curva Forward'!$C$5:$AN$13,MATCH(CONCATENATE(BD_COMERCIAL!$K254," ",BD_COMERCIAL!$L254),'Curva Forward'!$B$5:$B$13,0),MATCH(FN$4,'Curva Forward'!$C$4:$AN$4,0))),CP254)</f>
        <v>0</v>
      </c>
      <c r="FO254" s="190">
        <f>AC254*AC$2*IF($FC254="V",1,-1)*IF($Q254="Fixo",(CQ254-INDEX('Curva Forward'!$C$5:$AN$13,MATCH(CONCATENATE(BD_COMERCIAL!$K254," ",BD_COMERCIAL!$L254),'Curva Forward'!$B$5:$B$13,0),MATCH(FO$4,'Curva Forward'!$C$4:$AN$4,0))),CQ254)</f>
        <v>0</v>
      </c>
      <c r="FP254" s="190">
        <f>AD254*AD$2*IF($FC254="V",1,-1)*IF($Q254="Fixo",(CR254-INDEX('Curva Forward'!$C$5:$AN$13,MATCH(CONCATENATE(BD_COMERCIAL!$K254," ",BD_COMERCIAL!$L254),'Curva Forward'!$B$5:$B$13,0),MATCH(FP$4,'Curva Forward'!$C$4:$AN$4,0))),CR254)</f>
        <v>0</v>
      </c>
      <c r="FQ254" s="190">
        <f>AE254*AE$2*IF($FC254="V",1,-1)*IF($Q254="Fixo",(CS254-INDEX('Curva Forward'!$C$5:$AN$13,MATCH(CONCATENATE(BD_COMERCIAL!$K254," ",BD_COMERCIAL!$L254),'Curva Forward'!$B$5:$B$13,0),MATCH(FQ$4,'Curva Forward'!$C$4:$AN$4,0))),CS254)</f>
        <v>0</v>
      </c>
      <c r="FR254" s="190">
        <f>AF254*AF$2*IF($FC254="V",1,-1)*IF($Q254="Fixo",(CT254-INDEX('Curva Forward'!$C$5:$AN$13,MATCH(CONCATENATE(BD_COMERCIAL!$K254," ",BD_COMERCIAL!$L254),'Curva Forward'!$B$5:$B$13,0),MATCH(FR$4,'Curva Forward'!$C$4:$AN$4,0))),CT254)</f>
        <v>0</v>
      </c>
      <c r="FS254" s="190">
        <f>AG254*AG$2*IF($FC254="V",1,-1)*IF($Q254="Fixo",(CU254-INDEX('Curva Forward'!$C$5:$AN$13,MATCH(CONCATENATE(BD_COMERCIAL!$K254," ",BD_COMERCIAL!$L254),'Curva Forward'!$B$5:$B$13,0),MATCH(FS$4,'Curva Forward'!$C$4:$AN$4,0))),CU254)</f>
        <v>0</v>
      </c>
      <c r="FT254" s="190">
        <f>AH254*AH$2*IF($FC254="V",1,-1)*IF($Q254="Fixo",(CV254-INDEX('Curva Forward'!$C$5:$AN$13,MATCH(CONCATENATE(BD_COMERCIAL!$K254," ",BD_COMERCIAL!$L254),'Curva Forward'!$B$5:$B$13,0),MATCH(FT$4,'Curva Forward'!$C$4:$AN$4,0))),CV254)</f>
        <v>0</v>
      </c>
      <c r="FU254" s="190">
        <f>AI254*AI$2*IF($FC254="V",1,-1)*IF($Q254="Fixo",(CW254-INDEX('Curva Forward'!$C$5:$AN$13,MATCH(CONCATENATE(BD_COMERCIAL!$K254," ",BD_COMERCIAL!$L254),'Curva Forward'!$B$5:$B$13,0),MATCH(FU$4,'Curva Forward'!$C$4:$AN$4,0))),CW254)</f>
        <v>0</v>
      </c>
      <c r="FV254" s="190">
        <f>AJ254*AJ$2*IF($FC254="V",1,-1)*IF($Q254="Fixo",(CX254-INDEX('Curva Forward'!$C$5:$AN$13,MATCH(CONCATENATE(BD_COMERCIAL!$K254," ",BD_COMERCIAL!$L254),'Curva Forward'!$B$5:$B$13,0),MATCH(FV$4,'Curva Forward'!$C$4:$AN$4,0))),CX254)</f>
        <v>0</v>
      </c>
      <c r="FW254" s="190">
        <f>AK254*AK$2*IF($FC254="V",1,-1)*IF($Q254="Fixo",(CY254-INDEX('Curva Forward'!$C$5:$AN$13,MATCH(CONCATENATE(BD_COMERCIAL!$K254," ",BD_COMERCIAL!$L254),'Curva Forward'!$B$5:$B$13,0),MATCH(FW$4,'Curva Forward'!$C$4:$AN$4,0))),CY254)</f>
        <v>0</v>
      </c>
      <c r="FX254" s="190">
        <f>AL254*AL$2*IF($FC254="V",1,-1)*IF($Q254="Fixo",(CZ254-INDEX('Curva Forward'!$C$5:$AN$13,MATCH(CONCATENATE(BD_COMERCIAL!$K254," ",BD_COMERCIAL!$L254),'Curva Forward'!$B$5:$B$13,0),MATCH(FX$4,'Curva Forward'!$C$4:$AN$4,0))),CZ254)</f>
        <v>0</v>
      </c>
      <c r="FY254" s="190">
        <f>AM254*AM$2*IF($FC254="V",1,-1)*IF($Q254="Fixo",(DA254-INDEX('Curva Forward'!$C$5:$AN$13,MATCH(CONCATENATE(BD_COMERCIAL!$K254," ",BD_COMERCIAL!$L254),'Curva Forward'!$B$5:$B$13,0),MATCH(FY$4,'Curva Forward'!$C$4:$AN$4,0))),DA254)</f>
        <v>0</v>
      </c>
      <c r="FZ254" s="190">
        <f>AN254*AN$2*IF($FC254="V",1,-1)*IF($Q254="Fixo",(DB254-INDEX('Curva Forward'!$C$5:$AN$13,MATCH(CONCATENATE(BD_COMERCIAL!$K254," ",BD_COMERCIAL!$L254),'Curva Forward'!$B$5:$B$13,0),MATCH(FZ$4,'Curva Forward'!$C$4:$AN$4,0))),DB254)</f>
        <v>0</v>
      </c>
      <c r="GA254" s="190">
        <f>AO254*AO$2*IF($FC254="V",1,-1)*IF($Q254="Fixo",(DC254-INDEX('Curva Forward'!$C$5:$AN$13,MATCH(CONCATENATE(BD_COMERCIAL!$K254," ",BD_COMERCIAL!$L254),'Curva Forward'!$B$5:$B$13,0),MATCH(GA$4,'Curva Forward'!$C$4:$AN$4,0))),DC254)</f>
        <v>0</v>
      </c>
      <c r="GB254" s="190">
        <f>AP254*AP$2*IF($FC254="V",1,-1)*IF($Q254="Fixo",(DD254-INDEX('Curva Forward'!$C$5:$AN$13,MATCH(CONCATENATE(BD_COMERCIAL!$K254," ",BD_COMERCIAL!$L254),'Curva Forward'!$B$5:$B$13,0),MATCH(GB$4,'Curva Forward'!$C$4:$AN$4,0))),DD254)</f>
        <v>0</v>
      </c>
      <c r="GC254" s="190">
        <f>AQ254*AQ$2*IF($FC254="V",1,-1)*IF($Q254="Fixo",(DE254-INDEX('Curva Forward'!$C$5:$AN$13,MATCH(CONCATENATE(BD_COMERCIAL!$K254," ",BD_COMERCIAL!$L254),'Curva Forward'!$B$5:$B$13,0),MATCH(GC$4,'Curva Forward'!$C$4:$AN$4,0))),DE254)</f>
        <v>0</v>
      </c>
      <c r="GD254" s="190">
        <f>AR254*AR$2*IF($FC254="V",1,-1)*IF($Q254="Fixo",(DF254-INDEX('Curva Forward'!$C$5:$AN$13,MATCH(CONCATENATE(BD_COMERCIAL!$K254," ",BD_COMERCIAL!$L254),'Curva Forward'!$B$5:$B$13,0),MATCH(GD$4,'Curva Forward'!$C$4:$AN$4,0))),DF254)</f>
        <v>0</v>
      </c>
      <c r="GE254" s="190">
        <f>AS254*AS$2*IF($FC254="V",1,-1)*IF($Q254="Fixo",(DG254-INDEX('Curva Forward'!$C$5:$AN$13,MATCH(CONCATENATE(BD_COMERCIAL!$K254," ",BD_COMERCIAL!$L254),'Curva Forward'!$B$5:$B$13,0),MATCH(GE$4,'Curva Forward'!$C$4:$AN$4,0))),DG254)</f>
        <v>0</v>
      </c>
      <c r="GF254" s="190">
        <f>AT254*AT$2*IF($FC254="V",1,-1)*IF($Q254="Fixo",(DH254-INDEX('Curva Forward'!$C$5:$AN$13,MATCH(CONCATENATE(BD_COMERCIAL!$K254," ",BD_COMERCIAL!$L254),'Curva Forward'!$B$5:$B$13,0),MATCH(GF$4,'Curva Forward'!$C$4:$AN$4,0))),DH254)</f>
        <v>0</v>
      </c>
      <c r="GG254" s="190">
        <f>AU254*AU$2*IF($FC254="V",1,-1)*IF($Q254="Fixo",(DI254-INDEX('Curva Forward'!$C$5:$AN$13,MATCH(CONCATENATE(BD_COMERCIAL!$K254," ",BD_COMERCIAL!$L254),'Curva Forward'!$B$5:$B$13,0),MATCH(GG$4,'Curva Forward'!$C$4:$AN$4,0))),DI254)</f>
        <v>0</v>
      </c>
      <c r="GH254" s="190">
        <f>AV254*AV$2*IF($FC254="V",1,-1)*IF($Q254="Fixo",(DJ254-INDEX('Curva Forward'!$C$5:$AN$13,MATCH(CONCATENATE(BD_COMERCIAL!$K254," ",BD_COMERCIAL!$L254),'Curva Forward'!$B$5:$B$13,0),MATCH(GH$4,'Curva Forward'!$C$4:$AN$4,0))),DJ254)</f>
        <v>0</v>
      </c>
      <c r="GI254" s="190">
        <f>AW254*AW$2*IF($FC254="V",1,-1)*IF($Q254="Fixo",(DK254-INDEX('Curva Forward'!$C$5:$AN$13,MATCH(CONCATENATE(BD_COMERCIAL!$K254," ",BD_COMERCIAL!$L254),'Curva Forward'!$B$5:$B$13,0),MATCH(GI$4,'Curva Forward'!$C$4:$AN$4,0))),DK254)</f>
        <v>0</v>
      </c>
      <c r="GJ254" s="190">
        <f>AX254*AX$2*IF($FC254="V",1,-1)*IF($Q254="Fixo",(DL254-INDEX('Curva Forward'!$C$5:$AN$13,MATCH(CONCATENATE(BD_COMERCIAL!$K254," ",BD_COMERCIAL!$L254),'Curva Forward'!$B$5:$B$13,0),MATCH(GJ$4,'Curva Forward'!$C$4:$AN$4,0))),DL254)</f>
        <v>0</v>
      </c>
      <c r="GK254" s="190">
        <f>AY254*AY$2*IF($FC254="V",1,-1)*IF($Q254="Fixo",(DM254-INDEX('Curva Forward'!$C$5:$AN$13,MATCH(CONCATENATE(BD_COMERCIAL!$K254," ",BD_COMERCIAL!$L254),'Curva Forward'!$B$5:$B$13,0),MATCH(GK$4,'Curva Forward'!$C$4:$AN$4,0))),DM254)</f>
        <v>0</v>
      </c>
      <c r="GL254" s="190">
        <f>IF(EZ254="",0,CL254*CL$2*IF($FC254="V",1,-1)*IF($Q254="Fixo",(EZ254-INDEX('Curva Forward'!$C$5:$AN$13,MATCH(CONCATENATE(BD_COMERCIAL!$K254," ",BD_COMERCIAL!$L254),'Curva Forward'!$B$5:$B$13,0),MATCH(GL$4,'Curva Forward'!$C$4:$AN$4,0))),EZ254))</f>
        <v>0</v>
      </c>
      <c r="GM254" s="190">
        <f>IF(FA254="",0,CM254*CM$2*IF($FC254="V",1,-1)*IF($Q254="Fixo",(FA254-INDEX('Curva Forward'!$C$5:$AN$13,MATCH(CONCATENATE(BD_COMERCIAL!$K254," ",BD_COMERCIAL!$L254),'Curva Forward'!$B$5:$B$13,0),MATCH(GM$4,'Curva Forward'!$C$4:$AN$4,0))),FA254))</f>
        <v>0</v>
      </c>
      <c r="GN254" s="190">
        <f>IF(FB254="",0,CN254*CN$2*IF($FC254="V",1,-1)*IF($Q254="Fixo",(FB254-INDEX('Curva Forward'!$C$5:$AN$13,MATCH(CONCATENATE(BD_COMERCIAL!$K254," ",BD_COMERCIAL!$L254),'Curva Forward'!$B$5:$B$13,0),MATCH(GN$4,'Curva Forward'!$C$4:$AN$4,0))),FB254))</f>
        <v>0</v>
      </c>
      <c r="GO254" s="191">
        <f t="shared" ca="1" si="32"/>
        <v>0</v>
      </c>
      <c r="GP254" s="191">
        <f t="shared" ca="1" si="33"/>
        <v>0</v>
      </c>
      <c r="GQ254" s="115"/>
      <c r="GR254" s="115"/>
      <c r="GS254"/>
      <c r="GT254" s="65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</row>
    <row r="255" spans="1:236" s="265" customFormat="1" ht="15" customHeight="1" x14ac:dyDescent="0.35">
      <c r="A255" s="251"/>
      <c r="B255" s="275"/>
      <c r="C255" s="253"/>
      <c r="D255" s="254"/>
      <c r="E255" s="254"/>
      <c r="F255" s="255"/>
      <c r="G255" s="256"/>
      <c r="H255" s="255"/>
      <c r="I255" s="254"/>
      <c r="J255" s="257"/>
      <c r="K255" s="256"/>
      <c r="L255" s="252"/>
      <c r="M255" s="258"/>
      <c r="N255" s="259"/>
      <c r="O255" s="256"/>
      <c r="P255" s="252"/>
      <c r="Q255" s="252"/>
      <c r="R255" s="256"/>
      <c r="S255" s="260"/>
      <c r="T255" s="258"/>
      <c r="U255" s="259"/>
      <c r="V255" s="261"/>
      <c r="W255" s="252"/>
      <c r="X255" s="262"/>
      <c r="Y255" s="257"/>
      <c r="Z255" s="263"/>
      <c r="AA255" s="264"/>
      <c r="AB255" s="266"/>
      <c r="AM255" s="251"/>
      <c r="AN255" s="266"/>
      <c r="AY255" s="251"/>
      <c r="AZ255" s="266"/>
      <c r="BK255" s="251"/>
      <c r="BL255" s="266"/>
      <c r="BW255" s="251"/>
      <c r="BX255" s="266"/>
      <c r="CI255" s="251"/>
      <c r="CJ255" s="267"/>
      <c r="CK255" s="267"/>
      <c r="CL255" s="267"/>
      <c r="CM255" s="267"/>
      <c r="CN255" s="267"/>
      <c r="CO255" s="268"/>
      <c r="CP255" s="266"/>
      <c r="DA255" s="251"/>
      <c r="DB255" s="266"/>
      <c r="DM255" s="251"/>
      <c r="DN255" s="266"/>
      <c r="DY255" s="251"/>
      <c r="DZ255" s="266"/>
      <c r="EK255" s="251"/>
      <c r="EL255" s="266"/>
      <c r="EW255" s="251"/>
      <c r="EX255" s="267"/>
      <c r="EY255" s="267"/>
      <c r="EZ255" s="267"/>
      <c r="FA255" s="267"/>
      <c r="FB255" s="269"/>
      <c r="FD255" s="270"/>
      <c r="FF255" s="276"/>
      <c r="FH255" s="206">
        <f t="shared" si="27"/>
        <v>0</v>
      </c>
      <c r="FI255" s="198">
        <f t="shared" si="28"/>
        <v>0</v>
      </c>
      <c r="FJ255"/>
      <c r="FK255">
        <f t="shared" si="29"/>
        <v>0</v>
      </c>
      <c r="FL255" s="191">
        <f t="shared" ca="1" si="30"/>
        <v>0</v>
      </c>
      <c r="FM255" s="191">
        <f t="shared" ca="1" si="31"/>
        <v>0</v>
      </c>
      <c r="FN255" s="190">
        <f>AB255*AB$2*IF($FC255="V",1,-1)*IF($Q255="Fixo",(CP255-INDEX('Curva Forward'!$C$5:$AN$13,MATCH(CONCATENATE(BD_COMERCIAL!$K255," ",BD_COMERCIAL!$L255),'Curva Forward'!$B$5:$B$13,0),MATCH(FN$4,'Curva Forward'!$C$4:$AN$4,0))),CP255)</f>
        <v>0</v>
      </c>
      <c r="FO255" s="190">
        <f>AC255*AC$2*IF($FC255="V",1,-1)*IF($Q255="Fixo",(CQ255-INDEX('Curva Forward'!$C$5:$AN$13,MATCH(CONCATENATE(BD_COMERCIAL!$K255," ",BD_COMERCIAL!$L255),'Curva Forward'!$B$5:$B$13,0),MATCH(FO$4,'Curva Forward'!$C$4:$AN$4,0))),CQ255)</f>
        <v>0</v>
      </c>
      <c r="FP255" s="190">
        <f>AD255*AD$2*IF($FC255="V",1,-1)*IF($Q255="Fixo",(CR255-INDEX('Curva Forward'!$C$5:$AN$13,MATCH(CONCATENATE(BD_COMERCIAL!$K255," ",BD_COMERCIAL!$L255),'Curva Forward'!$B$5:$B$13,0),MATCH(FP$4,'Curva Forward'!$C$4:$AN$4,0))),CR255)</f>
        <v>0</v>
      </c>
      <c r="FQ255" s="190">
        <f>AE255*AE$2*IF($FC255="V",1,-1)*IF($Q255="Fixo",(CS255-INDEX('Curva Forward'!$C$5:$AN$13,MATCH(CONCATENATE(BD_COMERCIAL!$K255," ",BD_COMERCIAL!$L255),'Curva Forward'!$B$5:$B$13,0),MATCH(FQ$4,'Curva Forward'!$C$4:$AN$4,0))),CS255)</f>
        <v>0</v>
      </c>
      <c r="FR255" s="190">
        <f>AF255*AF$2*IF($FC255="V",1,-1)*IF($Q255="Fixo",(CT255-INDEX('Curva Forward'!$C$5:$AN$13,MATCH(CONCATENATE(BD_COMERCIAL!$K255," ",BD_COMERCIAL!$L255),'Curva Forward'!$B$5:$B$13,0),MATCH(FR$4,'Curva Forward'!$C$4:$AN$4,0))),CT255)</f>
        <v>0</v>
      </c>
      <c r="FS255" s="190">
        <f>AG255*AG$2*IF($FC255="V",1,-1)*IF($Q255="Fixo",(CU255-INDEX('Curva Forward'!$C$5:$AN$13,MATCH(CONCATENATE(BD_COMERCIAL!$K255," ",BD_COMERCIAL!$L255),'Curva Forward'!$B$5:$B$13,0),MATCH(FS$4,'Curva Forward'!$C$4:$AN$4,0))),CU255)</f>
        <v>0</v>
      </c>
      <c r="FT255" s="190">
        <f>AH255*AH$2*IF($FC255="V",1,-1)*IF($Q255="Fixo",(CV255-INDEX('Curva Forward'!$C$5:$AN$13,MATCH(CONCATENATE(BD_COMERCIAL!$K255," ",BD_COMERCIAL!$L255),'Curva Forward'!$B$5:$B$13,0),MATCH(FT$4,'Curva Forward'!$C$4:$AN$4,0))),CV255)</f>
        <v>0</v>
      </c>
      <c r="FU255" s="190">
        <f>AI255*AI$2*IF($FC255="V",1,-1)*IF($Q255="Fixo",(CW255-INDEX('Curva Forward'!$C$5:$AN$13,MATCH(CONCATENATE(BD_COMERCIAL!$K255," ",BD_COMERCIAL!$L255),'Curva Forward'!$B$5:$B$13,0),MATCH(FU$4,'Curva Forward'!$C$4:$AN$4,0))),CW255)</f>
        <v>0</v>
      </c>
      <c r="FV255" s="190">
        <f>AJ255*AJ$2*IF($FC255="V",1,-1)*IF($Q255="Fixo",(CX255-INDEX('Curva Forward'!$C$5:$AN$13,MATCH(CONCATENATE(BD_COMERCIAL!$K255," ",BD_COMERCIAL!$L255),'Curva Forward'!$B$5:$B$13,0),MATCH(FV$4,'Curva Forward'!$C$4:$AN$4,0))),CX255)</f>
        <v>0</v>
      </c>
      <c r="FW255" s="190">
        <f>AK255*AK$2*IF($FC255="V",1,-1)*IF($Q255="Fixo",(CY255-INDEX('Curva Forward'!$C$5:$AN$13,MATCH(CONCATENATE(BD_COMERCIAL!$K255," ",BD_COMERCIAL!$L255),'Curva Forward'!$B$5:$B$13,0),MATCH(FW$4,'Curva Forward'!$C$4:$AN$4,0))),CY255)</f>
        <v>0</v>
      </c>
      <c r="FX255" s="190">
        <f>AL255*AL$2*IF($FC255="V",1,-1)*IF($Q255="Fixo",(CZ255-INDEX('Curva Forward'!$C$5:$AN$13,MATCH(CONCATENATE(BD_COMERCIAL!$K255," ",BD_COMERCIAL!$L255),'Curva Forward'!$B$5:$B$13,0),MATCH(FX$4,'Curva Forward'!$C$4:$AN$4,0))),CZ255)</f>
        <v>0</v>
      </c>
      <c r="FY255" s="190">
        <f>AM255*AM$2*IF($FC255="V",1,-1)*IF($Q255="Fixo",(DA255-INDEX('Curva Forward'!$C$5:$AN$13,MATCH(CONCATENATE(BD_COMERCIAL!$K255," ",BD_COMERCIAL!$L255),'Curva Forward'!$B$5:$B$13,0),MATCH(FY$4,'Curva Forward'!$C$4:$AN$4,0))),DA255)</f>
        <v>0</v>
      </c>
      <c r="FZ255" s="190">
        <f>AN255*AN$2*IF($FC255="V",1,-1)*IF($Q255="Fixo",(DB255-INDEX('Curva Forward'!$C$5:$AN$13,MATCH(CONCATENATE(BD_COMERCIAL!$K255," ",BD_COMERCIAL!$L255),'Curva Forward'!$B$5:$B$13,0),MATCH(FZ$4,'Curva Forward'!$C$4:$AN$4,0))),DB255)</f>
        <v>0</v>
      </c>
      <c r="GA255" s="190">
        <f>AO255*AO$2*IF($FC255="V",1,-1)*IF($Q255="Fixo",(DC255-INDEX('Curva Forward'!$C$5:$AN$13,MATCH(CONCATENATE(BD_COMERCIAL!$K255," ",BD_COMERCIAL!$L255),'Curva Forward'!$B$5:$B$13,0),MATCH(GA$4,'Curva Forward'!$C$4:$AN$4,0))),DC255)</f>
        <v>0</v>
      </c>
      <c r="GB255" s="190">
        <f>AP255*AP$2*IF($FC255="V",1,-1)*IF($Q255="Fixo",(DD255-INDEX('Curva Forward'!$C$5:$AN$13,MATCH(CONCATENATE(BD_COMERCIAL!$K255," ",BD_COMERCIAL!$L255),'Curva Forward'!$B$5:$B$13,0),MATCH(GB$4,'Curva Forward'!$C$4:$AN$4,0))),DD255)</f>
        <v>0</v>
      </c>
      <c r="GC255" s="190">
        <f>AQ255*AQ$2*IF($FC255="V",1,-1)*IF($Q255="Fixo",(DE255-INDEX('Curva Forward'!$C$5:$AN$13,MATCH(CONCATENATE(BD_COMERCIAL!$K255," ",BD_COMERCIAL!$L255),'Curva Forward'!$B$5:$B$13,0),MATCH(GC$4,'Curva Forward'!$C$4:$AN$4,0))),DE255)</f>
        <v>0</v>
      </c>
      <c r="GD255" s="190">
        <f>AR255*AR$2*IF($FC255="V",1,-1)*IF($Q255="Fixo",(DF255-INDEX('Curva Forward'!$C$5:$AN$13,MATCH(CONCATENATE(BD_COMERCIAL!$K255," ",BD_COMERCIAL!$L255),'Curva Forward'!$B$5:$B$13,0),MATCH(GD$4,'Curva Forward'!$C$4:$AN$4,0))),DF255)</f>
        <v>0</v>
      </c>
      <c r="GE255" s="190">
        <f>AS255*AS$2*IF($FC255="V",1,-1)*IF($Q255="Fixo",(DG255-INDEX('Curva Forward'!$C$5:$AN$13,MATCH(CONCATENATE(BD_COMERCIAL!$K255," ",BD_COMERCIAL!$L255),'Curva Forward'!$B$5:$B$13,0),MATCH(GE$4,'Curva Forward'!$C$4:$AN$4,0))),DG255)</f>
        <v>0</v>
      </c>
      <c r="GF255" s="190">
        <f>AT255*AT$2*IF($FC255="V",1,-1)*IF($Q255="Fixo",(DH255-INDEX('Curva Forward'!$C$5:$AN$13,MATCH(CONCATENATE(BD_COMERCIAL!$K255," ",BD_COMERCIAL!$L255),'Curva Forward'!$B$5:$B$13,0),MATCH(GF$4,'Curva Forward'!$C$4:$AN$4,0))),DH255)</f>
        <v>0</v>
      </c>
      <c r="GG255" s="190">
        <f>AU255*AU$2*IF($FC255="V",1,-1)*IF($Q255="Fixo",(DI255-INDEX('Curva Forward'!$C$5:$AN$13,MATCH(CONCATENATE(BD_COMERCIAL!$K255," ",BD_COMERCIAL!$L255),'Curva Forward'!$B$5:$B$13,0),MATCH(GG$4,'Curva Forward'!$C$4:$AN$4,0))),DI255)</f>
        <v>0</v>
      </c>
      <c r="GH255" s="190">
        <f>AV255*AV$2*IF($FC255="V",1,-1)*IF($Q255="Fixo",(DJ255-INDEX('Curva Forward'!$C$5:$AN$13,MATCH(CONCATENATE(BD_COMERCIAL!$K255," ",BD_COMERCIAL!$L255),'Curva Forward'!$B$5:$B$13,0),MATCH(GH$4,'Curva Forward'!$C$4:$AN$4,0))),DJ255)</f>
        <v>0</v>
      </c>
      <c r="GI255" s="190">
        <f>AW255*AW$2*IF($FC255="V",1,-1)*IF($Q255="Fixo",(DK255-INDEX('Curva Forward'!$C$5:$AN$13,MATCH(CONCATENATE(BD_COMERCIAL!$K255," ",BD_COMERCIAL!$L255),'Curva Forward'!$B$5:$B$13,0),MATCH(GI$4,'Curva Forward'!$C$4:$AN$4,0))),DK255)</f>
        <v>0</v>
      </c>
      <c r="GJ255" s="190">
        <f>AX255*AX$2*IF($FC255="V",1,-1)*IF($Q255="Fixo",(DL255-INDEX('Curva Forward'!$C$5:$AN$13,MATCH(CONCATENATE(BD_COMERCIAL!$K255," ",BD_COMERCIAL!$L255),'Curva Forward'!$B$5:$B$13,0),MATCH(GJ$4,'Curva Forward'!$C$4:$AN$4,0))),DL255)</f>
        <v>0</v>
      </c>
      <c r="GK255" s="190">
        <f>AY255*AY$2*IF($FC255="V",1,-1)*IF($Q255="Fixo",(DM255-INDEX('Curva Forward'!$C$5:$AN$13,MATCH(CONCATENATE(BD_COMERCIAL!$K255," ",BD_COMERCIAL!$L255),'Curva Forward'!$B$5:$B$13,0),MATCH(GK$4,'Curva Forward'!$C$4:$AN$4,0))),DM255)</f>
        <v>0</v>
      </c>
      <c r="GL255" s="190">
        <f>IF(EZ255="",0,CL255*CL$2*IF($FC255="V",1,-1)*IF($Q255="Fixo",(EZ255-INDEX('Curva Forward'!$C$5:$AN$13,MATCH(CONCATENATE(BD_COMERCIAL!$K255," ",BD_COMERCIAL!$L255),'Curva Forward'!$B$5:$B$13,0),MATCH(GL$4,'Curva Forward'!$C$4:$AN$4,0))),EZ255))</f>
        <v>0</v>
      </c>
      <c r="GM255" s="190">
        <f>IF(FA255="",0,CM255*CM$2*IF($FC255="V",1,-1)*IF($Q255="Fixo",(FA255-INDEX('Curva Forward'!$C$5:$AN$13,MATCH(CONCATENATE(BD_COMERCIAL!$K255," ",BD_COMERCIAL!$L255),'Curva Forward'!$B$5:$B$13,0),MATCH(GM$4,'Curva Forward'!$C$4:$AN$4,0))),FA255))</f>
        <v>0</v>
      </c>
      <c r="GN255" s="190">
        <f>IF(FB255="",0,CN255*CN$2*IF($FC255="V",1,-1)*IF($Q255="Fixo",(FB255-INDEX('Curva Forward'!$C$5:$AN$13,MATCH(CONCATENATE(BD_COMERCIAL!$K255," ",BD_COMERCIAL!$L255),'Curva Forward'!$B$5:$B$13,0),MATCH(GN$4,'Curva Forward'!$C$4:$AN$4,0))),FB255))</f>
        <v>0</v>
      </c>
      <c r="GO255" s="191">
        <f t="shared" ca="1" si="32"/>
        <v>0</v>
      </c>
      <c r="GP255" s="191">
        <f t="shared" ca="1" si="33"/>
        <v>0</v>
      </c>
      <c r="GQ255" s="115"/>
      <c r="GR255" s="115"/>
      <c r="GS255"/>
      <c r="GT255" s="6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</row>
    <row r="256" spans="1:236" s="265" customFormat="1" ht="15" customHeight="1" x14ac:dyDescent="0.35">
      <c r="A256" s="251"/>
      <c r="B256" s="275"/>
      <c r="C256" s="253"/>
      <c r="D256" s="254"/>
      <c r="E256" s="254"/>
      <c r="F256" s="255"/>
      <c r="G256" s="256"/>
      <c r="H256" s="255"/>
      <c r="I256" s="254"/>
      <c r="J256" s="257"/>
      <c r="K256" s="256"/>
      <c r="L256" s="252"/>
      <c r="M256" s="258"/>
      <c r="N256" s="259"/>
      <c r="O256" s="256"/>
      <c r="P256" s="252"/>
      <c r="Q256" s="252"/>
      <c r="R256" s="256"/>
      <c r="S256" s="260"/>
      <c r="T256" s="258"/>
      <c r="U256" s="259"/>
      <c r="V256" s="261"/>
      <c r="W256" s="252"/>
      <c r="X256" s="262"/>
      <c r="Y256" s="257"/>
      <c r="Z256" s="263"/>
      <c r="AA256" s="264"/>
      <c r="AB256" s="266"/>
      <c r="AM256" s="251"/>
      <c r="AN256" s="266"/>
      <c r="AY256" s="251"/>
      <c r="AZ256" s="266"/>
      <c r="BK256" s="251"/>
      <c r="BL256" s="266"/>
      <c r="BW256" s="251"/>
      <c r="BX256" s="266"/>
      <c r="CI256" s="251"/>
      <c r="CJ256" s="267"/>
      <c r="CK256" s="267"/>
      <c r="CL256" s="267"/>
      <c r="CM256" s="267"/>
      <c r="CN256" s="267"/>
      <c r="CO256" s="268"/>
      <c r="CP256" s="266"/>
      <c r="DA256" s="251"/>
      <c r="DB256" s="266"/>
      <c r="DM256" s="251"/>
      <c r="DN256" s="266"/>
      <c r="DY256" s="251"/>
      <c r="DZ256" s="266"/>
      <c r="EK256" s="251"/>
      <c r="EL256" s="266"/>
      <c r="EW256" s="251"/>
      <c r="EX256" s="267"/>
      <c r="EY256" s="267"/>
      <c r="EZ256" s="267"/>
      <c r="FA256" s="267"/>
      <c r="FB256" s="269"/>
      <c r="FD256" s="270"/>
      <c r="FF256" s="276"/>
      <c r="FH256" s="206">
        <f t="shared" si="27"/>
        <v>0</v>
      </c>
      <c r="FI256" s="198">
        <f t="shared" si="28"/>
        <v>0</v>
      </c>
      <c r="FJ256"/>
      <c r="FK256">
        <f t="shared" si="29"/>
        <v>0</v>
      </c>
      <c r="FL256" s="191">
        <f t="shared" ca="1" si="30"/>
        <v>0</v>
      </c>
      <c r="FM256" s="191">
        <f t="shared" ca="1" si="31"/>
        <v>0</v>
      </c>
      <c r="FN256" s="190">
        <f>AB256*AB$2*IF($FC256="V",1,-1)*IF($Q256="Fixo",(CP256-INDEX('Curva Forward'!$C$5:$AN$13,MATCH(CONCATENATE(BD_COMERCIAL!$K256," ",BD_COMERCIAL!$L256),'Curva Forward'!$B$5:$B$13,0),MATCH(FN$4,'Curva Forward'!$C$4:$AN$4,0))),CP256)</f>
        <v>0</v>
      </c>
      <c r="FO256" s="190">
        <f>AC256*AC$2*IF($FC256="V",1,-1)*IF($Q256="Fixo",(CQ256-INDEX('Curva Forward'!$C$5:$AN$13,MATCH(CONCATENATE(BD_COMERCIAL!$K256," ",BD_COMERCIAL!$L256),'Curva Forward'!$B$5:$B$13,0),MATCH(FO$4,'Curva Forward'!$C$4:$AN$4,0))),CQ256)</f>
        <v>0</v>
      </c>
      <c r="FP256" s="190">
        <f>AD256*AD$2*IF($FC256="V",1,-1)*IF($Q256="Fixo",(CR256-INDEX('Curva Forward'!$C$5:$AN$13,MATCH(CONCATENATE(BD_COMERCIAL!$K256," ",BD_COMERCIAL!$L256),'Curva Forward'!$B$5:$B$13,0),MATCH(FP$4,'Curva Forward'!$C$4:$AN$4,0))),CR256)</f>
        <v>0</v>
      </c>
      <c r="FQ256" s="190">
        <f>AE256*AE$2*IF($FC256="V",1,-1)*IF($Q256="Fixo",(CS256-INDEX('Curva Forward'!$C$5:$AN$13,MATCH(CONCATENATE(BD_COMERCIAL!$K256," ",BD_COMERCIAL!$L256),'Curva Forward'!$B$5:$B$13,0),MATCH(FQ$4,'Curva Forward'!$C$4:$AN$4,0))),CS256)</f>
        <v>0</v>
      </c>
      <c r="FR256" s="190">
        <f>AF256*AF$2*IF($FC256="V",1,-1)*IF($Q256="Fixo",(CT256-INDEX('Curva Forward'!$C$5:$AN$13,MATCH(CONCATENATE(BD_COMERCIAL!$K256," ",BD_COMERCIAL!$L256),'Curva Forward'!$B$5:$B$13,0),MATCH(FR$4,'Curva Forward'!$C$4:$AN$4,0))),CT256)</f>
        <v>0</v>
      </c>
      <c r="FS256" s="190">
        <f>AG256*AG$2*IF($FC256="V",1,-1)*IF($Q256="Fixo",(CU256-INDEX('Curva Forward'!$C$5:$AN$13,MATCH(CONCATENATE(BD_COMERCIAL!$K256," ",BD_COMERCIAL!$L256),'Curva Forward'!$B$5:$B$13,0),MATCH(FS$4,'Curva Forward'!$C$4:$AN$4,0))),CU256)</f>
        <v>0</v>
      </c>
      <c r="FT256" s="190">
        <f>AH256*AH$2*IF($FC256="V",1,-1)*IF($Q256="Fixo",(CV256-INDEX('Curva Forward'!$C$5:$AN$13,MATCH(CONCATENATE(BD_COMERCIAL!$K256," ",BD_COMERCIAL!$L256),'Curva Forward'!$B$5:$B$13,0),MATCH(FT$4,'Curva Forward'!$C$4:$AN$4,0))),CV256)</f>
        <v>0</v>
      </c>
      <c r="FU256" s="190">
        <f>AI256*AI$2*IF($FC256="V",1,-1)*IF($Q256="Fixo",(CW256-INDEX('Curva Forward'!$C$5:$AN$13,MATCH(CONCATENATE(BD_COMERCIAL!$K256," ",BD_COMERCIAL!$L256),'Curva Forward'!$B$5:$B$13,0),MATCH(FU$4,'Curva Forward'!$C$4:$AN$4,0))),CW256)</f>
        <v>0</v>
      </c>
      <c r="FV256" s="190">
        <f>AJ256*AJ$2*IF($FC256="V",1,-1)*IF($Q256="Fixo",(CX256-INDEX('Curva Forward'!$C$5:$AN$13,MATCH(CONCATENATE(BD_COMERCIAL!$K256," ",BD_COMERCIAL!$L256),'Curva Forward'!$B$5:$B$13,0),MATCH(FV$4,'Curva Forward'!$C$4:$AN$4,0))),CX256)</f>
        <v>0</v>
      </c>
      <c r="FW256" s="190">
        <f>AK256*AK$2*IF($FC256="V",1,-1)*IF($Q256="Fixo",(CY256-INDEX('Curva Forward'!$C$5:$AN$13,MATCH(CONCATENATE(BD_COMERCIAL!$K256," ",BD_COMERCIAL!$L256),'Curva Forward'!$B$5:$B$13,0),MATCH(FW$4,'Curva Forward'!$C$4:$AN$4,0))),CY256)</f>
        <v>0</v>
      </c>
      <c r="FX256" s="190">
        <f>AL256*AL$2*IF($FC256="V",1,-1)*IF($Q256="Fixo",(CZ256-INDEX('Curva Forward'!$C$5:$AN$13,MATCH(CONCATENATE(BD_COMERCIAL!$K256," ",BD_COMERCIAL!$L256),'Curva Forward'!$B$5:$B$13,0),MATCH(FX$4,'Curva Forward'!$C$4:$AN$4,0))),CZ256)</f>
        <v>0</v>
      </c>
      <c r="FY256" s="190">
        <f>AM256*AM$2*IF($FC256="V",1,-1)*IF($Q256="Fixo",(DA256-INDEX('Curva Forward'!$C$5:$AN$13,MATCH(CONCATENATE(BD_COMERCIAL!$K256," ",BD_COMERCIAL!$L256),'Curva Forward'!$B$5:$B$13,0),MATCH(FY$4,'Curva Forward'!$C$4:$AN$4,0))),DA256)</f>
        <v>0</v>
      </c>
      <c r="FZ256" s="190">
        <f>AN256*AN$2*IF($FC256="V",1,-1)*IF($Q256="Fixo",(DB256-INDEX('Curva Forward'!$C$5:$AN$13,MATCH(CONCATENATE(BD_COMERCIAL!$K256," ",BD_COMERCIAL!$L256),'Curva Forward'!$B$5:$B$13,0),MATCH(FZ$4,'Curva Forward'!$C$4:$AN$4,0))),DB256)</f>
        <v>0</v>
      </c>
      <c r="GA256" s="190">
        <f>AO256*AO$2*IF($FC256="V",1,-1)*IF($Q256="Fixo",(DC256-INDEX('Curva Forward'!$C$5:$AN$13,MATCH(CONCATENATE(BD_COMERCIAL!$K256," ",BD_COMERCIAL!$L256),'Curva Forward'!$B$5:$B$13,0),MATCH(GA$4,'Curva Forward'!$C$4:$AN$4,0))),DC256)</f>
        <v>0</v>
      </c>
      <c r="GB256" s="190">
        <f>AP256*AP$2*IF($FC256="V",1,-1)*IF($Q256="Fixo",(DD256-INDEX('Curva Forward'!$C$5:$AN$13,MATCH(CONCATENATE(BD_COMERCIAL!$K256," ",BD_COMERCIAL!$L256),'Curva Forward'!$B$5:$B$13,0),MATCH(GB$4,'Curva Forward'!$C$4:$AN$4,0))),DD256)</f>
        <v>0</v>
      </c>
      <c r="GC256" s="190">
        <f>AQ256*AQ$2*IF($FC256="V",1,-1)*IF($Q256="Fixo",(DE256-INDEX('Curva Forward'!$C$5:$AN$13,MATCH(CONCATENATE(BD_COMERCIAL!$K256," ",BD_COMERCIAL!$L256),'Curva Forward'!$B$5:$B$13,0),MATCH(GC$4,'Curva Forward'!$C$4:$AN$4,0))),DE256)</f>
        <v>0</v>
      </c>
      <c r="GD256" s="190">
        <f>AR256*AR$2*IF($FC256="V",1,-1)*IF($Q256="Fixo",(DF256-INDEX('Curva Forward'!$C$5:$AN$13,MATCH(CONCATENATE(BD_COMERCIAL!$K256," ",BD_COMERCIAL!$L256),'Curva Forward'!$B$5:$B$13,0),MATCH(GD$4,'Curva Forward'!$C$4:$AN$4,0))),DF256)</f>
        <v>0</v>
      </c>
      <c r="GE256" s="190">
        <f>AS256*AS$2*IF($FC256="V",1,-1)*IF($Q256="Fixo",(DG256-INDEX('Curva Forward'!$C$5:$AN$13,MATCH(CONCATENATE(BD_COMERCIAL!$K256," ",BD_COMERCIAL!$L256),'Curva Forward'!$B$5:$B$13,0),MATCH(GE$4,'Curva Forward'!$C$4:$AN$4,0))),DG256)</f>
        <v>0</v>
      </c>
      <c r="GF256" s="190">
        <f>AT256*AT$2*IF($FC256="V",1,-1)*IF($Q256="Fixo",(DH256-INDEX('Curva Forward'!$C$5:$AN$13,MATCH(CONCATENATE(BD_COMERCIAL!$K256," ",BD_COMERCIAL!$L256),'Curva Forward'!$B$5:$B$13,0),MATCH(GF$4,'Curva Forward'!$C$4:$AN$4,0))),DH256)</f>
        <v>0</v>
      </c>
      <c r="GG256" s="190">
        <f>AU256*AU$2*IF($FC256="V",1,-1)*IF($Q256="Fixo",(DI256-INDEX('Curva Forward'!$C$5:$AN$13,MATCH(CONCATENATE(BD_COMERCIAL!$K256," ",BD_COMERCIAL!$L256),'Curva Forward'!$B$5:$B$13,0),MATCH(GG$4,'Curva Forward'!$C$4:$AN$4,0))),DI256)</f>
        <v>0</v>
      </c>
      <c r="GH256" s="190">
        <f>AV256*AV$2*IF($FC256="V",1,-1)*IF($Q256="Fixo",(DJ256-INDEX('Curva Forward'!$C$5:$AN$13,MATCH(CONCATENATE(BD_COMERCIAL!$K256," ",BD_COMERCIAL!$L256),'Curva Forward'!$B$5:$B$13,0),MATCH(GH$4,'Curva Forward'!$C$4:$AN$4,0))),DJ256)</f>
        <v>0</v>
      </c>
      <c r="GI256" s="190">
        <f>AW256*AW$2*IF($FC256="V",1,-1)*IF($Q256="Fixo",(DK256-INDEX('Curva Forward'!$C$5:$AN$13,MATCH(CONCATENATE(BD_COMERCIAL!$K256," ",BD_COMERCIAL!$L256),'Curva Forward'!$B$5:$B$13,0),MATCH(GI$4,'Curva Forward'!$C$4:$AN$4,0))),DK256)</f>
        <v>0</v>
      </c>
      <c r="GJ256" s="190">
        <f>AX256*AX$2*IF($FC256="V",1,-1)*IF($Q256="Fixo",(DL256-INDEX('Curva Forward'!$C$5:$AN$13,MATCH(CONCATENATE(BD_COMERCIAL!$K256," ",BD_COMERCIAL!$L256),'Curva Forward'!$B$5:$B$13,0),MATCH(GJ$4,'Curva Forward'!$C$4:$AN$4,0))),DL256)</f>
        <v>0</v>
      </c>
      <c r="GK256" s="190">
        <f>AY256*AY$2*IF($FC256="V",1,-1)*IF($Q256="Fixo",(DM256-INDEX('Curva Forward'!$C$5:$AN$13,MATCH(CONCATENATE(BD_COMERCIAL!$K256," ",BD_COMERCIAL!$L256),'Curva Forward'!$B$5:$B$13,0),MATCH(GK$4,'Curva Forward'!$C$4:$AN$4,0))),DM256)</f>
        <v>0</v>
      </c>
      <c r="GL256" s="190">
        <f>IF(EZ256="",0,CL256*CL$2*IF($FC256="V",1,-1)*IF($Q256="Fixo",(EZ256-INDEX('Curva Forward'!$C$5:$AN$13,MATCH(CONCATENATE(BD_COMERCIAL!$K256," ",BD_COMERCIAL!$L256),'Curva Forward'!$B$5:$B$13,0),MATCH(GL$4,'Curva Forward'!$C$4:$AN$4,0))),EZ256))</f>
        <v>0</v>
      </c>
      <c r="GM256" s="190">
        <f>IF(FA256="",0,CM256*CM$2*IF($FC256="V",1,-1)*IF($Q256="Fixo",(FA256-INDEX('Curva Forward'!$C$5:$AN$13,MATCH(CONCATENATE(BD_COMERCIAL!$K256," ",BD_COMERCIAL!$L256),'Curva Forward'!$B$5:$B$13,0),MATCH(GM$4,'Curva Forward'!$C$4:$AN$4,0))),FA256))</f>
        <v>0</v>
      </c>
      <c r="GN256" s="190">
        <f>IF(FB256="",0,CN256*CN$2*IF($FC256="V",1,-1)*IF($Q256="Fixo",(FB256-INDEX('Curva Forward'!$C$5:$AN$13,MATCH(CONCATENATE(BD_COMERCIAL!$K256," ",BD_COMERCIAL!$L256),'Curva Forward'!$B$5:$B$13,0),MATCH(GN$4,'Curva Forward'!$C$4:$AN$4,0))),FB256))</f>
        <v>0</v>
      </c>
      <c r="GO256" s="191">
        <f t="shared" ca="1" si="32"/>
        <v>0</v>
      </c>
      <c r="GP256" s="191">
        <f t="shared" ca="1" si="33"/>
        <v>0</v>
      </c>
      <c r="GQ256" s="115"/>
      <c r="GR256" s="115"/>
      <c r="GS256"/>
      <c r="GT256" s="65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</row>
    <row r="257" spans="1:236" s="265" customFormat="1" ht="15" customHeight="1" x14ac:dyDescent="0.35">
      <c r="A257" s="251"/>
      <c r="B257" s="275"/>
      <c r="C257" s="253"/>
      <c r="D257" s="254"/>
      <c r="E257" s="254"/>
      <c r="F257" s="255"/>
      <c r="G257" s="256"/>
      <c r="H257" s="255"/>
      <c r="I257" s="254"/>
      <c r="J257" s="257"/>
      <c r="K257" s="256"/>
      <c r="L257" s="252"/>
      <c r="M257" s="258"/>
      <c r="N257" s="259"/>
      <c r="O257" s="256"/>
      <c r="P257" s="252"/>
      <c r="Q257" s="252"/>
      <c r="R257" s="256"/>
      <c r="S257" s="260"/>
      <c r="T257" s="258"/>
      <c r="U257" s="259"/>
      <c r="V257" s="261"/>
      <c r="W257" s="252"/>
      <c r="X257" s="262"/>
      <c r="Y257" s="257"/>
      <c r="Z257" s="263"/>
      <c r="AA257" s="264"/>
      <c r="AB257" s="266"/>
      <c r="AM257" s="251"/>
      <c r="AN257" s="266"/>
      <c r="AY257" s="251"/>
      <c r="AZ257" s="266"/>
      <c r="BK257" s="251"/>
      <c r="BL257" s="266"/>
      <c r="BW257" s="251"/>
      <c r="BX257" s="266"/>
      <c r="CI257" s="251"/>
      <c r="CJ257" s="267"/>
      <c r="CK257" s="267"/>
      <c r="CL257" s="267"/>
      <c r="CM257" s="267"/>
      <c r="CN257" s="267"/>
      <c r="CO257" s="268"/>
      <c r="CP257" s="266"/>
      <c r="DA257" s="251"/>
      <c r="DB257" s="266"/>
      <c r="DM257" s="251"/>
      <c r="DN257" s="266"/>
      <c r="DY257" s="251"/>
      <c r="DZ257" s="266"/>
      <c r="EK257" s="251"/>
      <c r="EL257" s="266"/>
      <c r="EW257" s="251"/>
      <c r="EX257" s="267"/>
      <c r="EY257" s="267"/>
      <c r="EZ257" s="267"/>
      <c r="FA257" s="267"/>
      <c r="FB257" s="269"/>
      <c r="FD257" s="270"/>
      <c r="FF257" s="276"/>
      <c r="FH257" s="206">
        <f t="shared" si="27"/>
        <v>0</v>
      </c>
      <c r="FI257" s="198">
        <f t="shared" si="28"/>
        <v>0</v>
      </c>
      <c r="FJ257"/>
      <c r="FK257">
        <f t="shared" si="29"/>
        <v>0</v>
      </c>
      <c r="FL257" s="191">
        <f t="shared" ca="1" si="30"/>
        <v>0</v>
      </c>
      <c r="FM257" s="191">
        <f t="shared" ca="1" si="31"/>
        <v>0</v>
      </c>
      <c r="FN257" s="190">
        <f>AB257*AB$2*IF($FC257="V",1,-1)*IF($Q257="Fixo",(CP257-INDEX('Curva Forward'!$C$5:$AN$13,MATCH(CONCATENATE(BD_COMERCIAL!$K257," ",BD_COMERCIAL!$L257),'Curva Forward'!$B$5:$B$13,0),MATCH(FN$4,'Curva Forward'!$C$4:$AN$4,0))),CP257)</f>
        <v>0</v>
      </c>
      <c r="FO257" s="190">
        <f>AC257*AC$2*IF($FC257="V",1,-1)*IF($Q257="Fixo",(CQ257-INDEX('Curva Forward'!$C$5:$AN$13,MATCH(CONCATENATE(BD_COMERCIAL!$K257," ",BD_COMERCIAL!$L257),'Curva Forward'!$B$5:$B$13,0),MATCH(FO$4,'Curva Forward'!$C$4:$AN$4,0))),CQ257)</f>
        <v>0</v>
      </c>
      <c r="FP257" s="190">
        <f>AD257*AD$2*IF($FC257="V",1,-1)*IF($Q257="Fixo",(CR257-INDEX('Curva Forward'!$C$5:$AN$13,MATCH(CONCATENATE(BD_COMERCIAL!$K257," ",BD_COMERCIAL!$L257),'Curva Forward'!$B$5:$B$13,0),MATCH(FP$4,'Curva Forward'!$C$4:$AN$4,0))),CR257)</f>
        <v>0</v>
      </c>
      <c r="FQ257" s="190">
        <f>AE257*AE$2*IF($FC257="V",1,-1)*IF($Q257="Fixo",(CS257-INDEX('Curva Forward'!$C$5:$AN$13,MATCH(CONCATENATE(BD_COMERCIAL!$K257," ",BD_COMERCIAL!$L257),'Curva Forward'!$B$5:$B$13,0),MATCH(FQ$4,'Curva Forward'!$C$4:$AN$4,0))),CS257)</f>
        <v>0</v>
      </c>
      <c r="FR257" s="190">
        <f>AF257*AF$2*IF($FC257="V",1,-1)*IF($Q257="Fixo",(CT257-INDEX('Curva Forward'!$C$5:$AN$13,MATCH(CONCATENATE(BD_COMERCIAL!$K257," ",BD_COMERCIAL!$L257),'Curva Forward'!$B$5:$B$13,0),MATCH(FR$4,'Curva Forward'!$C$4:$AN$4,0))),CT257)</f>
        <v>0</v>
      </c>
      <c r="FS257" s="190">
        <f>AG257*AG$2*IF($FC257="V",1,-1)*IF($Q257="Fixo",(CU257-INDEX('Curva Forward'!$C$5:$AN$13,MATCH(CONCATENATE(BD_COMERCIAL!$K257," ",BD_COMERCIAL!$L257),'Curva Forward'!$B$5:$B$13,0),MATCH(FS$4,'Curva Forward'!$C$4:$AN$4,0))),CU257)</f>
        <v>0</v>
      </c>
      <c r="FT257" s="190">
        <f>AH257*AH$2*IF($FC257="V",1,-1)*IF($Q257="Fixo",(CV257-INDEX('Curva Forward'!$C$5:$AN$13,MATCH(CONCATENATE(BD_COMERCIAL!$K257," ",BD_COMERCIAL!$L257),'Curva Forward'!$B$5:$B$13,0),MATCH(FT$4,'Curva Forward'!$C$4:$AN$4,0))),CV257)</f>
        <v>0</v>
      </c>
      <c r="FU257" s="190">
        <f>AI257*AI$2*IF($FC257="V",1,-1)*IF($Q257="Fixo",(CW257-INDEX('Curva Forward'!$C$5:$AN$13,MATCH(CONCATENATE(BD_COMERCIAL!$K257," ",BD_COMERCIAL!$L257),'Curva Forward'!$B$5:$B$13,0),MATCH(FU$4,'Curva Forward'!$C$4:$AN$4,0))),CW257)</f>
        <v>0</v>
      </c>
      <c r="FV257" s="190">
        <f>AJ257*AJ$2*IF($FC257="V",1,-1)*IF($Q257="Fixo",(CX257-INDEX('Curva Forward'!$C$5:$AN$13,MATCH(CONCATENATE(BD_COMERCIAL!$K257," ",BD_COMERCIAL!$L257),'Curva Forward'!$B$5:$B$13,0),MATCH(FV$4,'Curva Forward'!$C$4:$AN$4,0))),CX257)</f>
        <v>0</v>
      </c>
      <c r="FW257" s="190">
        <f>AK257*AK$2*IF($FC257="V",1,-1)*IF($Q257="Fixo",(CY257-INDEX('Curva Forward'!$C$5:$AN$13,MATCH(CONCATENATE(BD_COMERCIAL!$K257," ",BD_COMERCIAL!$L257),'Curva Forward'!$B$5:$B$13,0),MATCH(FW$4,'Curva Forward'!$C$4:$AN$4,0))),CY257)</f>
        <v>0</v>
      </c>
      <c r="FX257" s="190">
        <f>AL257*AL$2*IF($FC257="V",1,-1)*IF($Q257="Fixo",(CZ257-INDEX('Curva Forward'!$C$5:$AN$13,MATCH(CONCATENATE(BD_COMERCIAL!$K257," ",BD_COMERCIAL!$L257),'Curva Forward'!$B$5:$B$13,0),MATCH(FX$4,'Curva Forward'!$C$4:$AN$4,0))),CZ257)</f>
        <v>0</v>
      </c>
      <c r="FY257" s="190">
        <f>AM257*AM$2*IF($FC257="V",1,-1)*IF($Q257="Fixo",(DA257-INDEX('Curva Forward'!$C$5:$AN$13,MATCH(CONCATENATE(BD_COMERCIAL!$K257," ",BD_COMERCIAL!$L257),'Curva Forward'!$B$5:$B$13,0),MATCH(FY$4,'Curva Forward'!$C$4:$AN$4,0))),DA257)</f>
        <v>0</v>
      </c>
      <c r="FZ257" s="190">
        <f>AN257*AN$2*IF($FC257="V",1,-1)*IF($Q257="Fixo",(DB257-INDEX('Curva Forward'!$C$5:$AN$13,MATCH(CONCATENATE(BD_COMERCIAL!$K257," ",BD_COMERCIAL!$L257),'Curva Forward'!$B$5:$B$13,0),MATCH(FZ$4,'Curva Forward'!$C$4:$AN$4,0))),DB257)</f>
        <v>0</v>
      </c>
      <c r="GA257" s="190">
        <f>AO257*AO$2*IF($FC257="V",1,-1)*IF($Q257="Fixo",(DC257-INDEX('Curva Forward'!$C$5:$AN$13,MATCH(CONCATENATE(BD_COMERCIAL!$K257," ",BD_COMERCIAL!$L257),'Curva Forward'!$B$5:$B$13,0),MATCH(GA$4,'Curva Forward'!$C$4:$AN$4,0))),DC257)</f>
        <v>0</v>
      </c>
      <c r="GB257" s="190">
        <f>AP257*AP$2*IF($FC257="V",1,-1)*IF($Q257="Fixo",(DD257-INDEX('Curva Forward'!$C$5:$AN$13,MATCH(CONCATENATE(BD_COMERCIAL!$K257," ",BD_COMERCIAL!$L257),'Curva Forward'!$B$5:$B$13,0),MATCH(GB$4,'Curva Forward'!$C$4:$AN$4,0))),DD257)</f>
        <v>0</v>
      </c>
      <c r="GC257" s="190">
        <f>AQ257*AQ$2*IF($FC257="V",1,-1)*IF($Q257="Fixo",(DE257-INDEX('Curva Forward'!$C$5:$AN$13,MATCH(CONCATENATE(BD_COMERCIAL!$K257," ",BD_COMERCIAL!$L257),'Curva Forward'!$B$5:$B$13,0),MATCH(GC$4,'Curva Forward'!$C$4:$AN$4,0))),DE257)</f>
        <v>0</v>
      </c>
      <c r="GD257" s="190">
        <f>AR257*AR$2*IF($FC257="V",1,-1)*IF($Q257="Fixo",(DF257-INDEX('Curva Forward'!$C$5:$AN$13,MATCH(CONCATENATE(BD_COMERCIAL!$K257," ",BD_COMERCIAL!$L257),'Curva Forward'!$B$5:$B$13,0),MATCH(GD$4,'Curva Forward'!$C$4:$AN$4,0))),DF257)</f>
        <v>0</v>
      </c>
      <c r="GE257" s="190">
        <f>AS257*AS$2*IF($FC257="V",1,-1)*IF($Q257="Fixo",(DG257-INDEX('Curva Forward'!$C$5:$AN$13,MATCH(CONCATENATE(BD_COMERCIAL!$K257," ",BD_COMERCIAL!$L257),'Curva Forward'!$B$5:$B$13,0),MATCH(GE$4,'Curva Forward'!$C$4:$AN$4,0))),DG257)</f>
        <v>0</v>
      </c>
      <c r="GF257" s="190">
        <f>AT257*AT$2*IF($FC257="V",1,-1)*IF($Q257="Fixo",(DH257-INDEX('Curva Forward'!$C$5:$AN$13,MATCH(CONCATENATE(BD_COMERCIAL!$K257," ",BD_COMERCIAL!$L257),'Curva Forward'!$B$5:$B$13,0),MATCH(GF$4,'Curva Forward'!$C$4:$AN$4,0))),DH257)</f>
        <v>0</v>
      </c>
      <c r="GG257" s="190">
        <f>AU257*AU$2*IF($FC257="V",1,-1)*IF($Q257="Fixo",(DI257-INDEX('Curva Forward'!$C$5:$AN$13,MATCH(CONCATENATE(BD_COMERCIAL!$K257," ",BD_COMERCIAL!$L257),'Curva Forward'!$B$5:$B$13,0),MATCH(GG$4,'Curva Forward'!$C$4:$AN$4,0))),DI257)</f>
        <v>0</v>
      </c>
      <c r="GH257" s="190">
        <f>AV257*AV$2*IF($FC257="V",1,-1)*IF($Q257="Fixo",(DJ257-INDEX('Curva Forward'!$C$5:$AN$13,MATCH(CONCATENATE(BD_COMERCIAL!$K257," ",BD_COMERCIAL!$L257),'Curva Forward'!$B$5:$B$13,0),MATCH(GH$4,'Curva Forward'!$C$4:$AN$4,0))),DJ257)</f>
        <v>0</v>
      </c>
      <c r="GI257" s="190">
        <f>AW257*AW$2*IF($FC257="V",1,-1)*IF($Q257="Fixo",(DK257-INDEX('Curva Forward'!$C$5:$AN$13,MATCH(CONCATENATE(BD_COMERCIAL!$K257," ",BD_COMERCIAL!$L257),'Curva Forward'!$B$5:$B$13,0),MATCH(GI$4,'Curva Forward'!$C$4:$AN$4,0))),DK257)</f>
        <v>0</v>
      </c>
      <c r="GJ257" s="190">
        <f>AX257*AX$2*IF($FC257="V",1,-1)*IF($Q257="Fixo",(DL257-INDEX('Curva Forward'!$C$5:$AN$13,MATCH(CONCATENATE(BD_COMERCIAL!$K257," ",BD_COMERCIAL!$L257),'Curva Forward'!$B$5:$B$13,0),MATCH(GJ$4,'Curva Forward'!$C$4:$AN$4,0))),DL257)</f>
        <v>0</v>
      </c>
      <c r="GK257" s="190">
        <f>AY257*AY$2*IF($FC257="V",1,-1)*IF($Q257="Fixo",(DM257-INDEX('Curva Forward'!$C$5:$AN$13,MATCH(CONCATENATE(BD_COMERCIAL!$K257," ",BD_COMERCIAL!$L257),'Curva Forward'!$B$5:$B$13,0),MATCH(GK$4,'Curva Forward'!$C$4:$AN$4,0))),DM257)</f>
        <v>0</v>
      </c>
      <c r="GL257" s="190">
        <f>IF(EZ257="",0,CL257*CL$2*IF($FC257="V",1,-1)*IF($Q257="Fixo",(EZ257-INDEX('Curva Forward'!$C$5:$AN$13,MATCH(CONCATENATE(BD_COMERCIAL!$K257," ",BD_COMERCIAL!$L257),'Curva Forward'!$B$5:$B$13,0),MATCH(GL$4,'Curva Forward'!$C$4:$AN$4,0))),EZ257))</f>
        <v>0</v>
      </c>
      <c r="GM257" s="190">
        <f>IF(FA257="",0,CM257*CM$2*IF($FC257="V",1,-1)*IF($Q257="Fixo",(FA257-INDEX('Curva Forward'!$C$5:$AN$13,MATCH(CONCATENATE(BD_COMERCIAL!$K257," ",BD_COMERCIAL!$L257),'Curva Forward'!$B$5:$B$13,0),MATCH(GM$4,'Curva Forward'!$C$4:$AN$4,0))),FA257))</f>
        <v>0</v>
      </c>
      <c r="GN257" s="190">
        <f>IF(FB257="",0,CN257*CN$2*IF($FC257="V",1,-1)*IF($Q257="Fixo",(FB257-INDEX('Curva Forward'!$C$5:$AN$13,MATCH(CONCATENATE(BD_COMERCIAL!$K257," ",BD_COMERCIAL!$L257),'Curva Forward'!$B$5:$B$13,0),MATCH(GN$4,'Curva Forward'!$C$4:$AN$4,0))),FB257))</f>
        <v>0</v>
      </c>
      <c r="GO257" s="191">
        <f t="shared" ca="1" si="32"/>
        <v>0</v>
      </c>
      <c r="GP257" s="191">
        <f t="shared" ca="1" si="33"/>
        <v>0</v>
      </c>
      <c r="GQ257" s="115"/>
      <c r="GR257" s="115"/>
      <c r="GS257"/>
      <c r="GT257" s="65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</row>
    <row r="258" spans="1:236" s="265" customFormat="1" ht="15" customHeight="1" x14ac:dyDescent="0.35">
      <c r="A258" s="251"/>
      <c r="B258" s="275"/>
      <c r="C258" s="253"/>
      <c r="D258" s="254"/>
      <c r="E258" s="254"/>
      <c r="F258" s="255"/>
      <c r="G258" s="256"/>
      <c r="H258" s="255"/>
      <c r="I258" s="254"/>
      <c r="J258" s="257"/>
      <c r="K258" s="256"/>
      <c r="L258" s="252"/>
      <c r="M258" s="258"/>
      <c r="N258" s="259"/>
      <c r="O258" s="256"/>
      <c r="P258" s="252"/>
      <c r="Q258" s="252"/>
      <c r="R258" s="256"/>
      <c r="S258" s="260"/>
      <c r="T258" s="258"/>
      <c r="U258" s="259"/>
      <c r="V258" s="261"/>
      <c r="W258" s="252"/>
      <c r="X258" s="262"/>
      <c r="Y258" s="257"/>
      <c r="Z258" s="263"/>
      <c r="AA258" s="264"/>
      <c r="AB258" s="266"/>
      <c r="AM258" s="251"/>
      <c r="AN258" s="266"/>
      <c r="AY258" s="251"/>
      <c r="AZ258" s="266"/>
      <c r="BK258" s="251"/>
      <c r="BL258" s="266"/>
      <c r="BW258" s="251"/>
      <c r="BX258" s="266"/>
      <c r="CI258" s="251"/>
      <c r="CJ258" s="267"/>
      <c r="CK258" s="267"/>
      <c r="CL258" s="267"/>
      <c r="CM258" s="267"/>
      <c r="CN258" s="267"/>
      <c r="CO258" s="268"/>
      <c r="CP258" s="266"/>
      <c r="DA258" s="251"/>
      <c r="DB258" s="266"/>
      <c r="DM258" s="251"/>
      <c r="DN258" s="266"/>
      <c r="DY258" s="251"/>
      <c r="DZ258" s="266"/>
      <c r="EK258" s="251"/>
      <c r="EL258" s="266"/>
      <c r="EW258" s="251"/>
      <c r="EX258" s="267"/>
      <c r="EY258" s="267"/>
      <c r="EZ258" s="267"/>
      <c r="FA258" s="267"/>
      <c r="FB258" s="269"/>
      <c r="FD258" s="270"/>
      <c r="FF258" s="276"/>
      <c r="FH258" s="206">
        <f t="shared" si="27"/>
        <v>0</v>
      </c>
      <c r="FI258" s="198">
        <f t="shared" si="28"/>
        <v>0</v>
      </c>
      <c r="FJ258"/>
      <c r="FK258">
        <f t="shared" si="29"/>
        <v>0</v>
      </c>
      <c r="FL258" s="191">
        <f t="shared" ca="1" si="30"/>
        <v>0</v>
      </c>
      <c r="FM258" s="191">
        <f t="shared" ca="1" si="31"/>
        <v>0</v>
      </c>
      <c r="FN258" s="190">
        <f>AB258*AB$2*IF($FC258="V",1,-1)*IF($Q258="Fixo",(CP258-INDEX('Curva Forward'!$C$5:$AN$13,MATCH(CONCATENATE(BD_COMERCIAL!$K258," ",BD_COMERCIAL!$L258),'Curva Forward'!$B$5:$B$13,0),MATCH(FN$4,'Curva Forward'!$C$4:$AN$4,0))),CP258)</f>
        <v>0</v>
      </c>
      <c r="FO258" s="190">
        <f>AC258*AC$2*IF($FC258="V",1,-1)*IF($Q258="Fixo",(CQ258-INDEX('Curva Forward'!$C$5:$AN$13,MATCH(CONCATENATE(BD_COMERCIAL!$K258," ",BD_COMERCIAL!$L258),'Curva Forward'!$B$5:$B$13,0),MATCH(FO$4,'Curva Forward'!$C$4:$AN$4,0))),CQ258)</f>
        <v>0</v>
      </c>
      <c r="FP258" s="190">
        <f>AD258*AD$2*IF($FC258="V",1,-1)*IF($Q258="Fixo",(CR258-INDEX('Curva Forward'!$C$5:$AN$13,MATCH(CONCATENATE(BD_COMERCIAL!$K258," ",BD_COMERCIAL!$L258),'Curva Forward'!$B$5:$B$13,0),MATCH(FP$4,'Curva Forward'!$C$4:$AN$4,0))),CR258)</f>
        <v>0</v>
      </c>
      <c r="FQ258" s="190">
        <f>AE258*AE$2*IF($FC258="V",1,-1)*IF($Q258="Fixo",(CS258-INDEX('Curva Forward'!$C$5:$AN$13,MATCH(CONCATENATE(BD_COMERCIAL!$K258," ",BD_COMERCIAL!$L258),'Curva Forward'!$B$5:$B$13,0),MATCH(FQ$4,'Curva Forward'!$C$4:$AN$4,0))),CS258)</f>
        <v>0</v>
      </c>
      <c r="FR258" s="190">
        <f>AF258*AF$2*IF($FC258="V",1,-1)*IF($Q258="Fixo",(CT258-INDEX('Curva Forward'!$C$5:$AN$13,MATCH(CONCATENATE(BD_COMERCIAL!$K258," ",BD_COMERCIAL!$L258),'Curva Forward'!$B$5:$B$13,0),MATCH(FR$4,'Curva Forward'!$C$4:$AN$4,0))),CT258)</f>
        <v>0</v>
      </c>
      <c r="FS258" s="190">
        <f>AG258*AG$2*IF($FC258="V",1,-1)*IF($Q258="Fixo",(CU258-INDEX('Curva Forward'!$C$5:$AN$13,MATCH(CONCATENATE(BD_COMERCIAL!$K258," ",BD_COMERCIAL!$L258),'Curva Forward'!$B$5:$B$13,0),MATCH(FS$4,'Curva Forward'!$C$4:$AN$4,0))),CU258)</f>
        <v>0</v>
      </c>
      <c r="FT258" s="190">
        <f>AH258*AH$2*IF($FC258="V",1,-1)*IF($Q258="Fixo",(CV258-INDEX('Curva Forward'!$C$5:$AN$13,MATCH(CONCATENATE(BD_COMERCIAL!$K258," ",BD_COMERCIAL!$L258),'Curva Forward'!$B$5:$B$13,0),MATCH(FT$4,'Curva Forward'!$C$4:$AN$4,0))),CV258)</f>
        <v>0</v>
      </c>
      <c r="FU258" s="190">
        <f>AI258*AI$2*IF($FC258="V",1,-1)*IF($Q258="Fixo",(CW258-INDEX('Curva Forward'!$C$5:$AN$13,MATCH(CONCATENATE(BD_COMERCIAL!$K258," ",BD_COMERCIAL!$L258),'Curva Forward'!$B$5:$B$13,0),MATCH(FU$4,'Curva Forward'!$C$4:$AN$4,0))),CW258)</f>
        <v>0</v>
      </c>
      <c r="FV258" s="190">
        <f>AJ258*AJ$2*IF($FC258="V",1,-1)*IF($Q258="Fixo",(CX258-INDEX('Curva Forward'!$C$5:$AN$13,MATCH(CONCATENATE(BD_COMERCIAL!$K258," ",BD_COMERCIAL!$L258),'Curva Forward'!$B$5:$B$13,0),MATCH(FV$4,'Curva Forward'!$C$4:$AN$4,0))),CX258)</f>
        <v>0</v>
      </c>
      <c r="FW258" s="190">
        <f>AK258*AK$2*IF($FC258="V",1,-1)*IF($Q258="Fixo",(CY258-INDEX('Curva Forward'!$C$5:$AN$13,MATCH(CONCATENATE(BD_COMERCIAL!$K258," ",BD_COMERCIAL!$L258),'Curva Forward'!$B$5:$B$13,0),MATCH(FW$4,'Curva Forward'!$C$4:$AN$4,0))),CY258)</f>
        <v>0</v>
      </c>
      <c r="FX258" s="190">
        <f>AL258*AL$2*IF($FC258="V",1,-1)*IF($Q258="Fixo",(CZ258-INDEX('Curva Forward'!$C$5:$AN$13,MATCH(CONCATENATE(BD_COMERCIAL!$K258," ",BD_COMERCIAL!$L258),'Curva Forward'!$B$5:$B$13,0),MATCH(FX$4,'Curva Forward'!$C$4:$AN$4,0))),CZ258)</f>
        <v>0</v>
      </c>
      <c r="FY258" s="190">
        <f>AM258*AM$2*IF($FC258="V",1,-1)*IF($Q258="Fixo",(DA258-INDEX('Curva Forward'!$C$5:$AN$13,MATCH(CONCATENATE(BD_COMERCIAL!$K258," ",BD_COMERCIAL!$L258),'Curva Forward'!$B$5:$B$13,0),MATCH(FY$4,'Curva Forward'!$C$4:$AN$4,0))),DA258)</f>
        <v>0</v>
      </c>
      <c r="FZ258" s="190">
        <f>AN258*AN$2*IF($FC258="V",1,-1)*IF($Q258="Fixo",(DB258-INDEX('Curva Forward'!$C$5:$AN$13,MATCH(CONCATENATE(BD_COMERCIAL!$K258," ",BD_COMERCIAL!$L258),'Curva Forward'!$B$5:$B$13,0),MATCH(FZ$4,'Curva Forward'!$C$4:$AN$4,0))),DB258)</f>
        <v>0</v>
      </c>
      <c r="GA258" s="190">
        <f>AO258*AO$2*IF($FC258="V",1,-1)*IF($Q258="Fixo",(DC258-INDEX('Curva Forward'!$C$5:$AN$13,MATCH(CONCATENATE(BD_COMERCIAL!$K258," ",BD_COMERCIAL!$L258),'Curva Forward'!$B$5:$B$13,0),MATCH(GA$4,'Curva Forward'!$C$4:$AN$4,0))),DC258)</f>
        <v>0</v>
      </c>
      <c r="GB258" s="190">
        <f>AP258*AP$2*IF($FC258="V",1,-1)*IF($Q258="Fixo",(DD258-INDEX('Curva Forward'!$C$5:$AN$13,MATCH(CONCATENATE(BD_COMERCIAL!$K258," ",BD_COMERCIAL!$L258),'Curva Forward'!$B$5:$B$13,0),MATCH(GB$4,'Curva Forward'!$C$4:$AN$4,0))),DD258)</f>
        <v>0</v>
      </c>
      <c r="GC258" s="190">
        <f>AQ258*AQ$2*IF($FC258="V",1,-1)*IF($Q258="Fixo",(DE258-INDEX('Curva Forward'!$C$5:$AN$13,MATCH(CONCATENATE(BD_COMERCIAL!$K258," ",BD_COMERCIAL!$L258),'Curva Forward'!$B$5:$B$13,0),MATCH(GC$4,'Curva Forward'!$C$4:$AN$4,0))),DE258)</f>
        <v>0</v>
      </c>
      <c r="GD258" s="190">
        <f>AR258*AR$2*IF($FC258="V",1,-1)*IF($Q258="Fixo",(DF258-INDEX('Curva Forward'!$C$5:$AN$13,MATCH(CONCATENATE(BD_COMERCIAL!$K258," ",BD_COMERCIAL!$L258),'Curva Forward'!$B$5:$B$13,0),MATCH(GD$4,'Curva Forward'!$C$4:$AN$4,0))),DF258)</f>
        <v>0</v>
      </c>
      <c r="GE258" s="190">
        <f>AS258*AS$2*IF($FC258="V",1,-1)*IF($Q258="Fixo",(DG258-INDEX('Curva Forward'!$C$5:$AN$13,MATCH(CONCATENATE(BD_COMERCIAL!$K258," ",BD_COMERCIAL!$L258),'Curva Forward'!$B$5:$B$13,0),MATCH(GE$4,'Curva Forward'!$C$4:$AN$4,0))),DG258)</f>
        <v>0</v>
      </c>
      <c r="GF258" s="190">
        <f>AT258*AT$2*IF($FC258="V",1,-1)*IF($Q258="Fixo",(DH258-INDEX('Curva Forward'!$C$5:$AN$13,MATCH(CONCATENATE(BD_COMERCIAL!$K258," ",BD_COMERCIAL!$L258),'Curva Forward'!$B$5:$B$13,0),MATCH(GF$4,'Curva Forward'!$C$4:$AN$4,0))),DH258)</f>
        <v>0</v>
      </c>
      <c r="GG258" s="190">
        <f>AU258*AU$2*IF($FC258="V",1,-1)*IF($Q258="Fixo",(DI258-INDEX('Curva Forward'!$C$5:$AN$13,MATCH(CONCATENATE(BD_COMERCIAL!$K258," ",BD_COMERCIAL!$L258),'Curva Forward'!$B$5:$B$13,0),MATCH(GG$4,'Curva Forward'!$C$4:$AN$4,0))),DI258)</f>
        <v>0</v>
      </c>
      <c r="GH258" s="190">
        <f>AV258*AV$2*IF($FC258="V",1,-1)*IF($Q258="Fixo",(DJ258-INDEX('Curva Forward'!$C$5:$AN$13,MATCH(CONCATENATE(BD_COMERCIAL!$K258," ",BD_COMERCIAL!$L258),'Curva Forward'!$B$5:$B$13,0),MATCH(GH$4,'Curva Forward'!$C$4:$AN$4,0))),DJ258)</f>
        <v>0</v>
      </c>
      <c r="GI258" s="190">
        <f>AW258*AW$2*IF($FC258="V",1,-1)*IF($Q258="Fixo",(DK258-INDEX('Curva Forward'!$C$5:$AN$13,MATCH(CONCATENATE(BD_COMERCIAL!$K258," ",BD_COMERCIAL!$L258),'Curva Forward'!$B$5:$B$13,0),MATCH(GI$4,'Curva Forward'!$C$4:$AN$4,0))),DK258)</f>
        <v>0</v>
      </c>
      <c r="GJ258" s="190">
        <f>AX258*AX$2*IF($FC258="V",1,-1)*IF($Q258="Fixo",(DL258-INDEX('Curva Forward'!$C$5:$AN$13,MATCH(CONCATENATE(BD_COMERCIAL!$K258," ",BD_COMERCIAL!$L258),'Curva Forward'!$B$5:$B$13,0),MATCH(GJ$4,'Curva Forward'!$C$4:$AN$4,0))),DL258)</f>
        <v>0</v>
      </c>
      <c r="GK258" s="190">
        <f>AY258*AY$2*IF($FC258="V",1,-1)*IF($Q258="Fixo",(DM258-INDEX('Curva Forward'!$C$5:$AN$13,MATCH(CONCATENATE(BD_COMERCIAL!$K258," ",BD_COMERCIAL!$L258),'Curva Forward'!$B$5:$B$13,0),MATCH(GK$4,'Curva Forward'!$C$4:$AN$4,0))),DM258)</f>
        <v>0</v>
      </c>
      <c r="GL258" s="190">
        <f>IF(EZ258="",0,CL258*CL$2*IF($FC258="V",1,-1)*IF($Q258="Fixo",(EZ258-INDEX('Curva Forward'!$C$5:$AN$13,MATCH(CONCATENATE(BD_COMERCIAL!$K258," ",BD_COMERCIAL!$L258),'Curva Forward'!$B$5:$B$13,0),MATCH(GL$4,'Curva Forward'!$C$4:$AN$4,0))),EZ258))</f>
        <v>0</v>
      </c>
      <c r="GM258" s="190">
        <f>IF(FA258="",0,CM258*CM$2*IF($FC258="V",1,-1)*IF($Q258="Fixo",(FA258-INDEX('Curva Forward'!$C$5:$AN$13,MATCH(CONCATENATE(BD_COMERCIAL!$K258," ",BD_COMERCIAL!$L258),'Curva Forward'!$B$5:$B$13,0),MATCH(GM$4,'Curva Forward'!$C$4:$AN$4,0))),FA258))</f>
        <v>0</v>
      </c>
      <c r="GN258" s="190">
        <f>IF(FB258="",0,CN258*CN$2*IF($FC258="V",1,-1)*IF($Q258="Fixo",(FB258-INDEX('Curva Forward'!$C$5:$AN$13,MATCH(CONCATENATE(BD_COMERCIAL!$K258," ",BD_COMERCIAL!$L258),'Curva Forward'!$B$5:$B$13,0),MATCH(GN$4,'Curva Forward'!$C$4:$AN$4,0))),FB258))</f>
        <v>0</v>
      </c>
      <c r="GO258" s="191">
        <f t="shared" ca="1" si="32"/>
        <v>0</v>
      </c>
      <c r="GP258" s="191">
        <f t="shared" ca="1" si="33"/>
        <v>0</v>
      </c>
      <c r="GQ258" s="115"/>
      <c r="GR258" s="115"/>
      <c r="GS258"/>
      <c r="GT258" s="65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</row>
    <row r="259" spans="1:236" s="265" customFormat="1" ht="15" customHeight="1" x14ac:dyDescent="0.35">
      <c r="A259" s="251"/>
      <c r="B259" s="275"/>
      <c r="C259" s="253"/>
      <c r="D259" s="254"/>
      <c r="E259" s="254"/>
      <c r="F259" s="255"/>
      <c r="G259" s="256"/>
      <c r="H259" s="255"/>
      <c r="I259" s="254"/>
      <c r="J259" s="257"/>
      <c r="K259" s="256"/>
      <c r="L259" s="252"/>
      <c r="M259" s="258"/>
      <c r="N259" s="259"/>
      <c r="O259" s="256"/>
      <c r="P259" s="252"/>
      <c r="Q259" s="252"/>
      <c r="R259" s="256"/>
      <c r="S259" s="260"/>
      <c r="T259" s="258"/>
      <c r="U259" s="259"/>
      <c r="V259" s="261"/>
      <c r="W259" s="252"/>
      <c r="X259" s="262"/>
      <c r="Y259" s="257"/>
      <c r="Z259" s="263"/>
      <c r="AA259" s="264"/>
      <c r="AB259" s="266"/>
      <c r="AM259" s="251"/>
      <c r="AN259" s="266"/>
      <c r="AY259" s="251"/>
      <c r="AZ259" s="266"/>
      <c r="BK259" s="251"/>
      <c r="BL259" s="266"/>
      <c r="BW259" s="251"/>
      <c r="BX259" s="266"/>
      <c r="CI259" s="251"/>
      <c r="CJ259" s="267"/>
      <c r="CK259" s="267"/>
      <c r="CL259" s="267"/>
      <c r="CM259" s="267"/>
      <c r="CN259" s="267"/>
      <c r="CO259" s="268"/>
      <c r="CP259" s="266"/>
      <c r="DA259" s="251"/>
      <c r="DB259" s="266"/>
      <c r="DM259" s="251"/>
      <c r="DN259" s="266"/>
      <c r="DY259" s="251"/>
      <c r="DZ259" s="266"/>
      <c r="EK259" s="251"/>
      <c r="EL259" s="266"/>
      <c r="EW259" s="251"/>
      <c r="EX259" s="267"/>
      <c r="EY259" s="267"/>
      <c r="EZ259" s="267"/>
      <c r="FA259" s="267"/>
      <c r="FB259" s="269"/>
      <c r="FD259" s="270"/>
      <c r="FF259" s="276"/>
      <c r="FH259" s="206">
        <f t="shared" si="27"/>
        <v>0</v>
      </c>
      <c r="FI259" s="198">
        <f t="shared" si="28"/>
        <v>0</v>
      </c>
      <c r="FJ259"/>
      <c r="FK259">
        <f t="shared" si="29"/>
        <v>0</v>
      </c>
      <c r="FL259" s="191">
        <f t="shared" ca="1" si="30"/>
        <v>0</v>
      </c>
      <c r="FM259" s="191">
        <f t="shared" ca="1" si="31"/>
        <v>0</v>
      </c>
      <c r="FN259" s="190">
        <f>AB259*AB$2*IF($FC259="V",1,-1)*IF($Q259="Fixo",(CP259-INDEX('Curva Forward'!$C$5:$AN$13,MATCH(CONCATENATE(BD_COMERCIAL!$K259," ",BD_COMERCIAL!$L259),'Curva Forward'!$B$5:$B$13,0),MATCH(FN$4,'Curva Forward'!$C$4:$AN$4,0))),CP259)</f>
        <v>0</v>
      </c>
      <c r="FO259" s="190">
        <f>AC259*AC$2*IF($FC259="V",1,-1)*IF($Q259="Fixo",(CQ259-INDEX('Curva Forward'!$C$5:$AN$13,MATCH(CONCATENATE(BD_COMERCIAL!$K259," ",BD_COMERCIAL!$L259),'Curva Forward'!$B$5:$B$13,0),MATCH(FO$4,'Curva Forward'!$C$4:$AN$4,0))),CQ259)</f>
        <v>0</v>
      </c>
      <c r="FP259" s="190">
        <f>AD259*AD$2*IF($FC259="V",1,-1)*IF($Q259="Fixo",(CR259-INDEX('Curva Forward'!$C$5:$AN$13,MATCH(CONCATENATE(BD_COMERCIAL!$K259," ",BD_COMERCIAL!$L259),'Curva Forward'!$B$5:$B$13,0),MATCH(FP$4,'Curva Forward'!$C$4:$AN$4,0))),CR259)</f>
        <v>0</v>
      </c>
      <c r="FQ259" s="190">
        <f>AE259*AE$2*IF($FC259="V",1,-1)*IF($Q259="Fixo",(CS259-INDEX('Curva Forward'!$C$5:$AN$13,MATCH(CONCATENATE(BD_COMERCIAL!$K259," ",BD_COMERCIAL!$L259),'Curva Forward'!$B$5:$B$13,0),MATCH(FQ$4,'Curva Forward'!$C$4:$AN$4,0))),CS259)</f>
        <v>0</v>
      </c>
      <c r="FR259" s="190">
        <f>AF259*AF$2*IF($FC259="V",1,-1)*IF($Q259="Fixo",(CT259-INDEX('Curva Forward'!$C$5:$AN$13,MATCH(CONCATENATE(BD_COMERCIAL!$K259," ",BD_COMERCIAL!$L259),'Curva Forward'!$B$5:$B$13,0),MATCH(FR$4,'Curva Forward'!$C$4:$AN$4,0))),CT259)</f>
        <v>0</v>
      </c>
      <c r="FS259" s="190">
        <f>AG259*AG$2*IF($FC259="V",1,-1)*IF($Q259="Fixo",(CU259-INDEX('Curva Forward'!$C$5:$AN$13,MATCH(CONCATENATE(BD_COMERCIAL!$K259," ",BD_COMERCIAL!$L259),'Curva Forward'!$B$5:$B$13,0),MATCH(FS$4,'Curva Forward'!$C$4:$AN$4,0))),CU259)</f>
        <v>0</v>
      </c>
      <c r="FT259" s="190">
        <f>AH259*AH$2*IF($FC259="V",1,-1)*IF($Q259="Fixo",(CV259-INDEX('Curva Forward'!$C$5:$AN$13,MATCH(CONCATENATE(BD_COMERCIAL!$K259," ",BD_COMERCIAL!$L259),'Curva Forward'!$B$5:$B$13,0),MATCH(FT$4,'Curva Forward'!$C$4:$AN$4,0))),CV259)</f>
        <v>0</v>
      </c>
      <c r="FU259" s="190">
        <f>AI259*AI$2*IF($FC259="V",1,-1)*IF($Q259="Fixo",(CW259-INDEX('Curva Forward'!$C$5:$AN$13,MATCH(CONCATENATE(BD_COMERCIAL!$K259," ",BD_COMERCIAL!$L259),'Curva Forward'!$B$5:$B$13,0),MATCH(FU$4,'Curva Forward'!$C$4:$AN$4,0))),CW259)</f>
        <v>0</v>
      </c>
      <c r="FV259" s="190">
        <f>AJ259*AJ$2*IF($FC259="V",1,-1)*IF($Q259="Fixo",(CX259-INDEX('Curva Forward'!$C$5:$AN$13,MATCH(CONCATENATE(BD_COMERCIAL!$K259," ",BD_COMERCIAL!$L259),'Curva Forward'!$B$5:$B$13,0),MATCH(FV$4,'Curva Forward'!$C$4:$AN$4,0))),CX259)</f>
        <v>0</v>
      </c>
      <c r="FW259" s="190">
        <f>AK259*AK$2*IF($FC259="V",1,-1)*IF($Q259="Fixo",(CY259-INDEX('Curva Forward'!$C$5:$AN$13,MATCH(CONCATENATE(BD_COMERCIAL!$K259," ",BD_COMERCIAL!$L259),'Curva Forward'!$B$5:$B$13,0),MATCH(FW$4,'Curva Forward'!$C$4:$AN$4,0))),CY259)</f>
        <v>0</v>
      </c>
      <c r="FX259" s="190">
        <f>AL259*AL$2*IF($FC259="V",1,-1)*IF($Q259="Fixo",(CZ259-INDEX('Curva Forward'!$C$5:$AN$13,MATCH(CONCATENATE(BD_COMERCIAL!$K259," ",BD_COMERCIAL!$L259),'Curva Forward'!$B$5:$B$13,0),MATCH(FX$4,'Curva Forward'!$C$4:$AN$4,0))),CZ259)</f>
        <v>0</v>
      </c>
      <c r="FY259" s="190">
        <f>AM259*AM$2*IF($FC259="V",1,-1)*IF($Q259="Fixo",(DA259-INDEX('Curva Forward'!$C$5:$AN$13,MATCH(CONCATENATE(BD_COMERCIAL!$K259," ",BD_COMERCIAL!$L259),'Curva Forward'!$B$5:$B$13,0),MATCH(FY$4,'Curva Forward'!$C$4:$AN$4,0))),DA259)</f>
        <v>0</v>
      </c>
      <c r="FZ259" s="190">
        <f>AN259*AN$2*IF($FC259="V",1,-1)*IF($Q259="Fixo",(DB259-INDEX('Curva Forward'!$C$5:$AN$13,MATCH(CONCATENATE(BD_COMERCIAL!$K259," ",BD_COMERCIAL!$L259),'Curva Forward'!$B$5:$B$13,0),MATCH(FZ$4,'Curva Forward'!$C$4:$AN$4,0))),DB259)</f>
        <v>0</v>
      </c>
      <c r="GA259" s="190">
        <f>AO259*AO$2*IF($FC259="V",1,-1)*IF($Q259="Fixo",(DC259-INDEX('Curva Forward'!$C$5:$AN$13,MATCH(CONCATENATE(BD_COMERCIAL!$K259," ",BD_COMERCIAL!$L259),'Curva Forward'!$B$5:$B$13,0),MATCH(GA$4,'Curva Forward'!$C$4:$AN$4,0))),DC259)</f>
        <v>0</v>
      </c>
      <c r="GB259" s="190">
        <f>AP259*AP$2*IF($FC259="V",1,-1)*IF($Q259="Fixo",(DD259-INDEX('Curva Forward'!$C$5:$AN$13,MATCH(CONCATENATE(BD_COMERCIAL!$K259," ",BD_COMERCIAL!$L259),'Curva Forward'!$B$5:$B$13,0),MATCH(GB$4,'Curva Forward'!$C$4:$AN$4,0))),DD259)</f>
        <v>0</v>
      </c>
      <c r="GC259" s="190">
        <f>AQ259*AQ$2*IF($FC259="V",1,-1)*IF($Q259="Fixo",(DE259-INDEX('Curva Forward'!$C$5:$AN$13,MATCH(CONCATENATE(BD_COMERCIAL!$K259," ",BD_COMERCIAL!$L259),'Curva Forward'!$B$5:$B$13,0),MATCH(GC$4,'Curva Forward'!$C$4:$AN$4,0))),DE259)</f>
        <v>0</v>
      </c>
      <c r="GD259" s="190">
        <f>AR259*AR$2*IF($FC259="V",1,-1)*IF($Q259="Fixo",(DF259-INDEX('Curva Forward'!$C$5:$AN$13,MATCH(CONCATENATE(BD_COMERCIAL!$K259," ",BD_COMERCIAL!$L259),'Curva Forward'!$B$5:$B$13,0),MATCH(GD$4,'Curva Forward'!$C$4:$AN$4,0))),DF259)</f>
        <v>0</v>
      </c>
      <c r="GE259" s="190">
        <f>AS259*AS$2*IF($FC259="V",1,-1)*IF($Q259="Fixo",(DG259-INDEX('Curva Forward'!$C$5:$AN$13,MATCH(CONCATENATE(BD_COMERCIAL!$K259," ",BD_COMERCIAL!$L259),'Curva Forward'!$B$5:$B$13,0),MATCH(GE$4,'Curva Forward'!$C$4:$AN$4,0))),DG259)</f>
        <v>0</v>
      </c>
      <c r="GF259" s="190">
        <f>AT259*AT$2*IF($FC259="V",1,-1)*IF($Q259="Fixo",(DH259-INDEX('Curva Forward'!$C$5:$AN$13,MATCH(CONCATENATE(BD_COMERCIAL!$K259," ",BD_COMERCIAL!$L259),'Curva Forward'!$B$5:$B$13,0),MATCH(GF$4,'Curva Forward'!$C$4:$AN$4,0))),DH259)</f>
        <v>0</v>
      </c>
      <c r="GG259" s="190">
        <f>AU259*AU$2*IF($FC259="V",1,-1)*IF($Q259="Fixo",(DI259-INDEX('Curva Forward'!$C$5:$AN$13,MATCH(CONCATENATE(BD_COMERCIAL!$K259," ",BD_COMERCIAL!$L259),'Curva Forward'!$B$5:$B$13,0),MATCH(GG$4,'Curva Forward'!$C$4:$AN$4,0))),DI259)</f>
        <v>0</v>
      </c>
      <c r="GH259" s="190">
        <f>AV259*AV$2*IF($FC259="V",1,-1)*IF($Q259="Fixo",(DJ259-INDEX('Curva Forward'!$C$5:$AN$13,MATCH(CONCATENATE(BD_COMERCIAL!$K259," ",BD_COMERCIAL!$L259),'Curva Forward'!$B$5:$B$13,0),MATCH(GH$4,'Curva Forward'!$C$4:$AN$4,0))),DJ259)</f>
        <v>0</v>
      </c>
      <c r="GI259" s="190">
        <f>AW259*AW$2*IF($FC259="V",1,-1)*IF($Q259="Fixo",(DK259-INDEX('Curva Forward'!$C$5:$AN$13,MATCH(CONCATENATE(BD_COMERCIAL!$K259," ",BD_COMERCIAL!$L259),'Curva Forward'!$B$5:$B$13,0),MATCH(GI$4,'Curva Forward'!$C$4:$AN$4,0))),DK259)</f>
        <v>0</v>
      </c>
      <c r="GJ259" s="190">
        <f>AX259*AX$2*IF($FC259="V",1,-1)*IF($Q259="Fixo",(DL259-INDEX('Curva Forward'!$C$5:$AN$13,MATCH(CONCATENATE(BD_COMERCIAL!$K259," ",BD_COMERCIAL!$L259),'Curva Forward'!$B$5:$B$13,0),MATCH(GJ$4,'Curva Forward'!$C$4:$AN$4,0))),DL259)</f>
        <v>0</v>
      </c>
      <c r="GK259" s="190">
        <f>AY259*AY$2*IF($FC259="V",1,-1)*IF($Q259="Fixo",(DM259-INDEX('Curva Forward'!$C$5:$AN$13,MATCH(CONCATENATE(BD_COMERCIAL!$K259," ",BD_COMERCIAL!$L259),'Curva Forward'!$B$5:$B$13,0),MATCH(GK$4,'Curva Forward'!$C$4:$AN$4,0))),DM259)</f>
        <v>0</v>
      </c>
      <c r="GL259" s="190">
        <f>IF(EZ259="",0,CL259*CL$2*IF($FC259="V",1,-1)*IF($Q259="Fixo",(EZ259-INDEX('Curva Forward'!$C$5:$AN$13,MATCH(CONCATENATE(BD_COMERCIAL!$K259," ",BD_COMERCIAL!$L259),'Curva Forward'!$B$5:$B$13,0),MATCH(GL$4,'Curva Forward'!$C$4:$AN$4,0))),EZ259))</f>
        <v>0</v>
      </c>
      <c r="GM259" s="190">
        <f>IF(FA259="",0,CM259*CM$2*IF($FC259="V",1,-1)*IF($Q259="Fixo",(FA259-INDEX('Curva Forward'!$C$5:$AN$13,MATCH(CONCATENATE(BD_COMERCIAL!$K259," ",BD_COMERCIAL!$L259),'Curva Forward'!$B$5:$B$13,0),MATCH(GM$4,'Curva Forward'!$C$4:$AN$4,0))),FA259))</f>
        <v>0</v>
      </c>
      <c r="GN259" s="190">
        <f>IF(FB259="",0,CN259*CN$2*IF($FC259="V",1,-1)*IF($Q259="Fixo",(FB259-INDEX('Curva Forward'!$C$5:$AN$13,MATCH(CONCATENATE(BD_COMERCIAL!$K259," ",BD_COMERCIAL!$L259),'Curva Forward'!$B$5:$B$13,0),MATCH(GN$4,'Curva Forward'!$C$4:$AN$4,0))),FB259))</f>
        <v>0</v>
      </c>
      <c r="GO259" s="191">
        <f t="shared" ca="1" si="32"/>
        <v>0</v>
      </c>
      <c r="GP259" s="191">
        <f t="shared" ca="1" si="33"/>
        <v>0</v>
      </c>
      <c r="GQ259" s="115"/>
      <c r="GR259" s="115"/>
      <c r="GS259"/>
      <c r="GT259" s="65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</row>
    <row r="260" spans="1:236" s="265" customFormat="1" ht="15" customHeight="1" x14ac:dyDescent="0.35">
      <c r="A260" s="251"/>
      <c r="B260" s="275"/>
      <c r="C260" s="253"/>
      <c r="D260" s="254"/>
      <c r="E260" s="254"/>
      <c r="F260" s="255"/>
      <c r="G260" s="256"/>
      <c r="H260" s="255"/>
      <c r="I260" s="254"/>
      <c r="J260" s="257"/>
      <c r="K260" s="256"/>
      <c r="L260" s="252"/>
      <c r="M260" s="258"/>
      <c r="N260" s="259"/>
      <c r="O260" s="256"/>
      <c r="P260" s="252"/>
      <c r="Q260" s="252"/>
      <c r="R260" s="256"/>
      <c r="S260" s="260"/>
      <c r="T260" s="258"/>
      <c r="U260" s="259"/>
      <c r="V260" s="261"/>
      <c r="W260" s="252"/>
      <c r="X260" s="262"/>
      <c r="Y260" s="257"/>
      <c r="Z260" s="263"/>
      <c r="AA260" s="264"/>
      <c r="AB260" s="266"/>
      <c r="AM260" s="251"/>
      <c r="AN260" s="266"/>
      <c r="AY260" s="251"/>
      <c r="AZ260" s="266"/>
      <c r="BK260" s="251"/>
      <c r="BL260" s="266"/>
      <c r="BW260" s="251"/>
      <c r="BX260" s="266"/>
      <c r="CI260" s="251"/>
      <c r="CJ260" s="267"/>
      <c r="CK260" s="267"/>
      <c r="CL260" s="267"/>
      <c r="CM260" s="267"/>
      <c r="CN260" s="267"/>
      <c r="CO260" s="268"/>
      <c r="CP260" s="266"/>
      <c r="DA260" s="251"/>
      <c r="DB260" s="266"/>
      <c r="DM260" s="251"/>
      <c r="DN260" s="266"/>
      <c r="DY260" s="251"/>
      <c r="DZ260" s="266"/>
      <c r="EK260" s="251"/>
      <c r="EL260" s="266"/>
      <c r="EW260" s="251"/>
      <c r="EX260" s="267"/>
      <c r="EY260" s="267"/>
      <c r="EZ260" s="267"/>
      <c r="FA260" s="267"/>
      <c r="FB260" s="269"/>
      <c r="FD260" s="270"/>
      <c r="FF260" s="276"/>
      <c r="FH260" s="206">
        <f t="shared" si="27"/>
        <v>0</v>
      </c>
      <c r="FI260" s="198">
        <f t="shared" si="28"/>
        <v>0</v>
      </c>
      <c r="FJ260"/>
      <c r="FK260">
        <f t="shared" si="29"/>
        <v>0</v>
      </c>
      <c r="FL260" s="191">
        <f t="shared" ca="1" si="30"/>
        <v>0</v>
      </c>
      <c r="FM260" s="191">
        <f t="shared" ca="1" si="31"/>
        <v>0</v>
      </c>
      <c r="FN260" s="190">
        <f>AB260*AB$2*IF($FC260="V",1,-1)*IF($Q260="Fixo",(CP260-INDEX('Curva Forward'!$C$5:$AN$13,MATCH(CONCATENATE(BD_COMERCIAL!$K260," ",BD_COMERCIAL!$L260),'Curva Forward'!$B$5:$B$13,0),MATCH(FN$4,'Curva Forward'!$C$4:$AN$4,0))),CP260)</f>
        <v>0</v>
      </c>
      <c r="FO260" s="190">
        <f>AC260*AC$2*IF($FC260="V",1,-1)*IF($Q260="Fixo",(CQ260-INDEX('Curva Forward'!$C$5:$AN$13,MATCH(CONCATENATE(BD_COMERCIAL!$K260," ",BD_COMERCIAL!$L260),'Curva Forward'!$B$5:$B$13,0),MATCH(FO$4,'Curva Forward'!$C$4:$AN$4,0))),CQ260)</f>
        <v>0</v>
      </c>
      <c r="FP260" s="190">
        <f>AD260*AD$2*IF($FC260="V",1,-1)*IF($Q260="Fixo",(CR260-INDEX('Curva Forward'!$C$5:$AN$13,MATCH(CONCATENATE(BD_COMERCIAL!$K260," ",BD_COMERCIAL!$L260),'Curva Forward'!$B$5:$B$13,0),MATCH(FP$4,'Curva Forward'!$C$4:$AN$4,0))),CR260)</f>
        <v>0</v>
      </c>
      <c r="FQ260" s="190">
        <f>AE260*AE$2*IF($FC260="V",1,-1)*IF($Q260="Fixo",(CS260-INDEX('Curva Forward'!$C$5:$AN$13,MATCH(CONCATENATE(BD_COMERCIAL!$K260," ",BD_COMERCIAL!$L260),'Curva Forward'!$B$5:$B$13,0),MATCH(FQ$4,'Curva Forward'!$C$4:$AN$4,0))),CS260)</f>
        <v>0</v>
      </c>
      <c r="FR260" s="190">
        <f>AF260*AF$2*IF($FC260="V",1,-1)*IF($Q260="Fixo",(CT260-INDEX('Curva Forward'!$C$5:$AN$13,MATCH(CONCATENATE(BD_COMERCIAL!$K260," ",BD_COMERCIAL!$L260),'Curva Forward'!$B$5:$B$13,0),MATCH(FR$4,'Curva Forward'!$C$4:$AN$4,0))),CT260)</f>
        <v>0</v>
      </c>
      <c r="FS260" s="190">
        <f>AG260*AG$2*IF($FC260="V",1,-1)*IF($Q260="Fixo",(CU260-INDEX('Curva Forward'!$C$5:$AN$13,MATCH(CONCATENATE(BD_COMERCIAL!$K260," ",BD_COMERCIAL!$L260),'Curva Forward'!$B$5:$B$13,0),MATCH(FS$4,'Curva Forward'!$C$4:$AN$4,0))),CU260)</f>
        <v>0</v>
      </c>
      <c r="FT260" s="190">
        <f>AH260*AH$2*IF($FC260="V",1,-1)*IF($Q260="Fixo",(CV260-INDEX('Curva Forward'!$C$5:$AN$13,MATCH(CONCATENATE(BD_COMERCIAL!$K260," ",BD_COMERCIAL!$L260),'Curva Forward'!$B$5:$B$13,0),MATCH(FT$4,'Curva Forward'!$C$4:$AN$4,0))),CV260)</f>
        <v>0</v>
      </c>
      <c r="FU260" s="190">
        <f>AI260*AI$2*IF($FC260="V",1,-1)*IF($Q260="Fixo",(CW260-INDEX('Curva Forward'!$C$5:$AN$13,MATCH(CONCATENATE(BD_COMERCIAL!$K260," ",BD_COMERCIAL!$L260),'Curva Forward'!$B$5:$B$13,0),MATCH(FU$4,'Curva Forward'!$C$4:$AN$4,0))),CW260)</f>
        <v>0</v>
      </c>
      <c r="FV260" s="190">
        <f>AJ260*AJ$2*IF($FC260="V",1,-1)*IF($Q260="Fixo",(CX260-INDEX('Curva Forward'!$C$5:$AN$13,MATCH(CONCATENATE(BD_COMERCIAL!$K260," ",BD_COMERCIAL!$L260),'Curva Forward'!$B$5:$B$13,0),MATCH(FV$4,'Curva Forward'!$C$4:$AN$4,0))),CX260)</f>
        <v>0</v>
      </c>
      <c r="FW260" s="190">
        <f>AK260*AK$2*IF($FC260="V",1,-1)*IF($Q260="Fixo",(CY260-INDEX('Curva Forward'!$C$5:$AN$13,MATCH(CONCATENATE(BD_COMERCIAL!$K260," ",BD_COMERCIAL!$L260),'Curva Forward'!$B$5:$B$13,0),MATCH(FW$4,'Curva Forward'!$C$4:$AN$4,0))),CY260)</f>
        <v>0</v>
      </c>
      <c r="FX260" s="190">
        <f>AL260*AL$2*IF($FC260="V",1,-1)*IF($Q260="Fixo",(CZ260-INDEX('Curva Forward'!$C$5:$AN$13,MATCH(CONCATENATE(BD_COMERCIAL!$K260," ",BD_COMERCIAL!$L260),'Curva Forward'!$B$5:$B$13,0),MATCH(FX$4,'Curva Forward'!$C$4:$AN$4,0))),CZ260)</f>
        <v>0</v>
      </c>
      <c r="FY260" s="190">
        <f>AM260*AM$2*IF($FC260="V",1,-1)*IF($Q260="Fixo",(DA260-INDEX('Curva Forward'!$C$5:$AN$13,MATCH(CONCATENATE(BD_COMERCIAL!$K260," ",BD_COMERCIAL!$L260),'Curva Forward'!$B$5:$B$13,0),MATCH(FY$4,'Curva Forward'!$C$4:$AN$4,0))),DA260)</f>
        <v>0</v>
      </c>
      <c r="FZ260" s="190">
        <f>AN260*AN$2*IF($FC260="V",1,-1)*IF($Q260="Fixo",(DB260-INDEX('Curva Forward'!$C$5:$AN$13,MATCH(CONCATENATE(BD_COMERCIAL!$K260," ",BD_COMERCIAL!$L260),'Curva Forward'!$B$5:$B$13,0),MATCH(FZ$4,'Curva Forward'!$C$4:$AN$4,0))),DB260)</f>
        <v>0</v>
      </c>
      <c r="GA260" s="190">
        <f>AO260*AO$2*IF($FC260="V",1,-1)*IF($Q260="Fixo",(DC260-INDEX('Curva Forward'!$C$5:$AN$13,MATCH(CONCATENATE(BD_COMERCIAL!$K260," ",BD_COMERCIAL!$L260),'Curva Forward'!$B$5:$B$13,0),MATCH(GA$4,'Curva Forward'!$C$4:$AN$4,0))),DC260)</f>
        <v>0</v>
      </c>
      <c r="GB260" s="190">
        <f>AP260*AP$2*IF($FC260="V",1,-1)*IF($Q260="Fixo",(DD260-INDEX('Curva Forward'!$C$5:$AN$13,MATCH(CONCATENATE(BD_COMERCIAL!$K260," ",BD_COMERCIAL!$L260),'Curva Forward'!$B$5:$B$13,0),MATCH(GB$4,'Curva Forward'!$C$4:$AN$4,0))),DD260)</f>
        <v>0</v>
      </c>
      <c r="GC260" s="190">
        <f>AQ260*AQ$2*IF($FC260="V",1,-1)*IF($Q260="Fixo",(DE260-INDEX('Curva Forward'!$C$5:$AN$13,MATCH(CONCATENATE(BD_COMERCIAL!$K260," ",BD_COMERCIAL!$L260),'Curva Forward'!$B$5:$B$13,0),MATCH(GC$4,'Curva Forward'!$C$4:$AN$4,0))),DE260)</f>
        <v>0</v>
      </c>
      <c r="GD260" s="190">
        <f>AR260*AR$2*IF($FC260="V",1,-1)*IF($Q260="Fixo",(DF260-INDEX('Curva Forward'!$C$5:$AN$13,MATCH(CONCATENATE(BD_COMERCIAL!$K260," ",BD_COMERCIAL!$L260),'Curva Forward'!$B$5:$B$13,0),MATCH(GD$4,'Curva Forward'!$C$4:$AN$4,0))),DF260)</f>
        <v>0</v>
      </c>
      <c r="GE260" s="190">
        <f>AS260*AS$2*IF($FC260="V",1,-1)*IF($Q260="Fixo",(DG260-INDEX('Curva Forward'!$C$5:$AN$13,MATCH(CONCATENATE(BD_COMERCIAL!$K260," ",BD_COMERCIAL!$L260),'Curva Forward'!$B$5:$B$13,0),MATCH(GE$4,'Curva Forward'!$C$4:$AN$4,0))),DG260)</f>
        <v>0</v>
      </c>
      <c r="GF260" s="190">
        <f>AT260*AT$2*IF($FC260="V",1,-1)*IF($Q260="Fixo",(DH260-INDEX('Curva Forward'!$C$5:$AN$13,MATCH(CONCATENATE(BD_COMERCIAL!$K260," ",BD_COMERCIAL!$L260),'Curva Forward'!$B$5:$B$13,0),MATCH(GF$4,'Curva Forward'!$C$4:$AN$4,0))),DH260)</f>
        <v>0</v>
      </c>
      <c r="GG260" s="190">
        <f>AU260*AU$2*IF($FC260="V",1,-1)*IF($Q260="Fixo",(DI260-INDEX('Curva Forward'!$C$5:$AN$13,MATCH(CONCATENATE(BD_COMERCIAL!$K260," ",BD_COMERCIAL!$L260),'Curva Forward'!$B$5:$B$13,0),MATCH(GG$4,'Curva Forward'!$C$4:$AN$4,0))),DI260)</f>
        <v>0</v>
      </c>
      <c r="GH260" s="190">
        <f>AV260*AV$2*IF($FC260="V",1,-1)*IF($Q260="Fixo",(DJ260-INDEX('Curva Forward'!$C$5:$AN$13,MATCH(CONCATENATE(BD_COMERCIAL!$K260," ",BD_COMERCIAL!$L260),'Curva Forward'!$B$5:$B$13,0),MATCH(GH$4,'Curva Forward'!$C$4:$AN$4,0))),DJ260)</f>
        <v>0</v>
      </c>
      <c r="GI260" s="190">
        <f>AW260*AW$2*IF($FC260="V",1,-1)*IF($Q260="Fixo",(DK260-INDEX('Curva Forward'!$C$5:$AN$13,MATCH(CONCATENATE(BD_COMERCIAL!$K260," ",BD_COMERCIAL!$L260),'Curva Forward'!$B$5:$B$13,0),MATCH(GI$4,'Curva Forward'!$C$4:$AN$4,0))),DK260)</f>
        <v>0</v>
      </c>
      <c r="GJ260" s="190">
        <f>AX260*AX$2*IF($FC260="V",1,-1)*IF($Q260="Fixo",(DL260-INDEX('Curva Forward'!$C$5:$AN$13,MATCH(CONCATENATE(BD_COMERCIAL!$K260," ",BD_COMERCIAL!$L260),'Curva Forward'!$B$5:$B$13,0),MATCH(GJ$4,'Curva Forward'!$C$4:$AN$4,0))),DL260)</f>
        <v>0</v>
      </c>
      <c r="GK260" s="190">
        <f>AY260*AY$2*IF($FC260="V",1,-1)*IF($Q260="Fixo",(DM260-INDEX('Curva Forward'!$C$5:$AN$13,MATCH(CONCATENATE(BD_COMERCIAL!$K260," ",BD_COMERCIAL!$L260),'Curva Forward'!$B$5:$B$13,0),MATCH(GK$4,'Curva Forward'!$C$4:$AN$4,0))),DM260)</f>
        <v>0</v>
      </c>
      <c r="GL260" s="190">
        <f>IF(EZ260="",0,CL260*CL$2*IF($FC260="V",1,-1)*IF($Q260="Fixo",(EZ260-INDEX('Curva Forward'!$C$5:$AN$13,MATCH(CONCATENATE(BD_COMERCIAL!$K260," ",BD_COMERCIAL!$L260),'Curva Forward'!$B$5:$B$13,0),MATCH(GL$4,'Curva Forward'!$C$4:$AN$4,0))),EZ260))</f>
        <v>0</v>
      </c>
      <c r="GM260" s="190">
        <f>IF(FA260="",0,CM260*CM$2*IF($FC260="V",1,-1)*IF($Q260="Fixo",(FA260-INDEX('Curva Forward'!$C$5:$AN$13,MATCH(CONCATENATE(BD_COMERCIAL!$K260," ",BD_COMERCIAL!$L260),'Curva Forward'!$B$5:$B$13,0),MATCH(GM$4,'Curva Forward'!$C$4:$AN$4,0))),FA260))</f>
        <v>0</v>
      </c>
      <c r="GN260" s="190">
        <f>IF(FB260="",0,CN260*CN$2*IF($FC260="V",1,-1)*IF($Q260="Fixo",(FB260-INDEX('Curva Forward'!$C$5:$AN$13,MATCH(CONCATENATE(BD_COMERCIAL!$K260," ",BD_COMERCIAL!$L260),'Curva Forward'!$B$5:$B$13,0),MATCH(GN$4,'Curva Forward'!$C$4:$AN$4,0))),FB260))</f>
        <v>0</v>
      </c>
      <c r="GO260" s="191">
        <f t="shared" ca="1" si="32"/>
        <v>0</v>
      </c>
      <c r="GP260" s="191">
        <f t="shared" ca="1" si="33"/>
        <v>0</v>
      </c>
      <c r="GQ260" s="115"/>
      <c r="GR260" s="115"/>
      <c r="GS260"/>
      <c r="GT260" s="65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</row>
    <row r="261" spans="1:236" s="265" customFormat="1" ht="15" customHeight="1" x14ac:dyDescent="0.35">
      <c r="A261" s="251"/>
      <c r="B261" s="275"/>
      <c r="C261" s="253"/>
      <c r="D261" s="254"/>
      <c r="E261" s="254"/>
      <c r="F261" s="255"/>
      <c r="G261" s="256"/>
      <c r="H261" s="255"/>
      <c r="I261" s="254"/>
      <c r="J261" s="257"/>
      <c r="K261" s="256"/>
      <c r="L261" s="252"/>
      <c r="M261" s="258"/>
      <c r="N261" s="259"/>
      <c r="O261" s="256"/>
      <c r="P261" s="252"/>
      <c r="Q261" s="252"/>
      <c r="R261" s="256"/>
      <c r="S261" s="260"/>
      <c r="T261" s="258"/>
      <c r="U261" s="259"/>
      <c r="V261" s="261"/>
      <c r="W261" s="252"/>
      <c r="X261" s="262"/>
      <c r="Y261" s="257"/>
      <c r="Z261" s="263"/>
      <c r="AA261" s="264"/>
      <c r="AB261" s="266"/>
      <c r="AM261" s="251"/>
      <c r="AN261" s="266"/>
      <c r="AY261" s="251"/>
      <c r="AZ261" s="266"/>
      <c r="BK261" s="251"/>
      <c r="BL261" s="266"/>
      <c r="BW261" s="251"/>
      <c r="BX261" s="266"/>
      <c r="CI261" s="251"/>
      <c r="CJ261" s="267"/>
      <c r="CK261" s="267"/>
      <c r="CL261" s="267"/>
      <c r="CM261" s="267"/>
      <c r="CN261" s="267"/>
      <c r="CO261" s="268"/>
      <c r="CP261" s="266"/>
      <c r="DA261" s="251"/>
      <c r="DB261" s="266"/>
      <c r="DM261" s="251"/>
      <c r="DN261" s="266"/>
      <c r="DY261" s="251"/>
      <c r="DZ261" s="266"/>
      <c r="EK261" s="251"/>
      <c r="EL261" s="266"/>
      <c r="EW261" s="251"/>
      <c r="EX261" s="267"/>
      <c r="EY261" s="267"/>
      <c r="EZ261" s="267"/>
      <c r="FA261" s="267"/>
      <c r="FB261" s="269"/>
      <c r="FD261" s="270"/>
      <c r="FF261" s="276"/>
      <c r="FH261" s="206">
        <f t="shared" si="27"/>
        <v>0</v>
      </c>
      <c r="FI261" s="198">
        <f t="shared" si="28"/>
        <v>0</v>
      </c>
      <c r="FJ261"/>
      <c r="FK261">
        <f t="shared" si="29"/>
        <v>0</v>
      </c>
      <c r="FL261" s="191">
        <f t="shared" ca="1" si="30"/>
        <v>0</v>
      </c>
      <c r="FM261" s="191">
        <f t="shared" ca="1" si="31"/>
        <v>0</v>
      </c>
      <c r="FN261" s="190">
        <f>AB261*AB$2*IF($FC261="V",1,-1)*IF($Q261="Fixo",(CP261-INDEX('Curva Forward'!$C$5:$AN$13,MATCH(CONCATENATE(BD_COMERCIAL!$K261," ",BD_COMERCIAL!$L261),'Curva Forward'!$B$5:$B$13,0),MATCH(FN$4,'Curva Forward'!$C$4:$AN$4,0))),CP261)</f>
        <v>0</v>
      </c>
      <c r="FO261" s="190">
        <f>AC261*AC$2*IF($FC261="V",1,-1)*IF($Q261="Fixo",(CQ261-INDEX('Curva Forward'!$C$5:$AN$13,MATCH(CONCATENATE(BD_COMERCIAL!$K261," ",BD_COMERCIAL!$L261),'Curva Forward'!$B$5:$B$13,0),MATCH(FO$4,'Curva Forward'!$C$4:$AN$4,0))),CQ261)</f>
        <v>0</v>
      </c>
      <c r="FP261" s="190">
        <f>AD261*AD$2*IF($FC261="V",1,-1)*IF($Q261="Fixo",(CR261-INDEX('Curva Forward'!$C$5:$AN$13,MATCH(CONCATENATE(BD_COMERCIAL!$K261," ",BD_COMERCIAL!$L261),'Curva Forward'!$B$5:$B$13,0),MATCH(FP$4,'Curva Forward'!$C$4:$AN$4,0))),CR261)</f>
        <v>0</v>
      </c>
      <c r="FQ261" s="190">
        <f>AE261*AE$2*IF($FC261="V",1,-1)*IF($Q261="Fixo",(CS261-INDEX('Curva Forward'!$C$5:$AN$13,MATCH(CONCATENATE(BD_COMERCIAL!$K261," ",BD_COMERCIAL!$L261),'Curva Forward'!$B$5:$B$13,0),MATCH(FQ$4,'Curva Forward'!$C$4:$AN$4,0))),CS261)</f>
        <v>0</v>
      </c>
      <c r="FR261" s="190">
        <f>AF261*AF$2*IF($FC261="V",1,-1)*IF($Q261="Fixo",(CT261-INDEX('Curva Forward'!$C$5:$AN$13,MATCH(CONCATENATE(BD_COMERCIAL!$K261," ",BD_COMERCIAL!$L261),'Curva Forward'!$B$5:$B$13,0),MATCH(FR$4,'Curva Forward'!$C$4:$AN$4,0))),CT261)</f>
        <v>0</v>
      </c>
      <c r="FS261" s="190">
        <f>AG261*AG$2*IF($FC261="V",1,-1)*IF($Q261="Fixo",(CU261-INDEX('Curva Forward'!$C$5:$AN$13,MATCH(CONCATENATE(BD_COMERCIAL!$K261," ",BD_COMERCIAL!$L261),'Curva Forward'!$B$5:$B$13,0),MATCH(FS$4,'Curva Forward'!$C$4:$AN$4,0))),CU261)</f>
        <v>0</v>
      </c>
      <c r="FT261" s="190">
        <f>AH261*AH$2*IF($FC261="V",1,-1)*IF($Q261="Fixo",(CV261-INDEX('Curva Forward'!$C$5:$AN$13,MATCH(CONCATENATE(BD_COMERCIAL!$K261," ",BD_COMERCIAL!$L261),'Curva Forward'!$B$5:$B$13,0),MATCH(FT$4,'Curva Forward'!$C$4:$AN$4,0))),CV261)</f>
        <v>0</v>
      </c>
      <c r="FU261" s="190">
        <f>AI261*AI$2*IF($FC261="V",1,-1)*IF($Q261="Fixo",(CW261-INDEX('Curva Forward'!$C$5:$AN$13,MATCH(CONCATENATE(BD_COMERCIAL!$K261," ",BD_COMERCIAL!$L261),'Curva Forward'!$B$5:$B$13,0),MATCH(FU$4,'Curva Forward'!$C$4:$AN$4,0))),CW261)</f>
        <v>0</v>
      </c>
      <c r="FV261" s="190">
        <f>AJ261*AJ$2*IF($FC261="V",1,-1)*IF($Q261="Fixo",(CX261-INDEX('Curva Forward'!$C$5:$AN$13,MATCH(CONCATENATE(BD_COMERCIAL!$K261," ",BD_COMERCIAL!$L261),'Curva Forward'!$B$5:$B$13,0),MATCH(FV$4,'Curva Forward'!$C$4:$AN$4,0))),CX261)</f>
        <v>0</v>
      </c>
      <c r="FW261" s="190">
        <f>AK261*AK$2*IF($FC261="V",1,-1)*IF($Q261="Fixo",(CY261-INDEX('Curva Forward'!$C$5:$AN$13,MATCH(CONCATENATE(BD_COMERCIAL!$K261," ",BD_COMERCIAL!$L261),'Curva Forward'!$B$5:$B$13,0),MATCH(FW$4,'Curva Forward'!$C$4:$AN$4,0))),CY261)</f>
        <v>0</v>
      </c>
      <c r="FX261" s="190">
        <f>AL261*AL$2*IF($FC261="V",1,-1)*IF($Q261="Fixo",(CZ261-INDEX('Curva Forward'!$C$5:$AN$13,MATCH(CONCATENATE(BD_COMERCIAL!$K261," ",BD_COMERCIAL!$L261),'Curva Forward'!$B$5:$B$13,0),MATCH(FX$4,'Curva Forward'!$C$4:$AN$4,0))),CZ261)</f>
        <v>0</v>
      </c>
      <c r="FY261" s="190">
        <f>AM261*AM$2*IF($FC261="V",1,-1)*IF($Q261="Fixo",(DA261-INDEX('Curva Forward'!$C$5:$AN$13,MATCH(CONCATENATE(BD_COMERCIAL!$K261," ",BD_COMERCIAL!$L261),'Curva Forward'!$B$5:$B$13,0),MATCH(FY$4,'Curva Forward'!$C$4:$AN$4,0))),DA261)</f>
        <v>0</v>
      </c>
      <c r="FZ261" s="190">
        <f>AN261*AN$2*IF($FC261="V",1,-1)*IF($Q261="Fixo",(DB261-INDEX('Curva Forward'!$C$5:$AN$13,MATCH(CONCATENATE(BD_COMERCIAL!$K261," ",BD_COMERCIAL!$L261),'Curva Forward'!$B$5:$B$13,0),MATCH(FZ$4,'Curva Forward'!$C$4:$AN$4,0))),DB261)</f>
        <v>0</v>
      </c>
      <c r="GA261" s="190">
        <f>AO261*AO$2*IF($FC261="V",1,-1)*IF($Q261="Fixo",(DC261-INDEX('Curva Forward'!$C$5:$AN$13,MATCH(CONCATENATE(BD_COMERCIAL!$K261," ",BD_COMERCIAL!$L261),'Curva Forward'!$B$5:$B$13,0),MATCH(GA$4,'Curva Forward'!$C$4:$AN$4,0))),DC261)</f>
        <v>0</v>
      </c>
      <c r="GB261" s="190">
        <f>AP261*AP$2*IF($FC261="V",1,-1)*IF($Q261="Fixo",(DD261-INDEX('Curva Forward'!$C$5:$AN$13,MATCH(CONCATENATE(BD_COMERCIAL!$K261," ",BD_COMERCIAL!$L261),'Curva Forward'!$B$5:$B$13,0),MATCH(GB$4,'Curva Forward'!$C$4:$AN$4,0))),DD261)</f>
        <v>0</v>
      </c>
      <c r="GC261" s="190">
        <f>AQ261*AQ$2*IF($FC261="V",1,-1)*IF($Q261="Fixo",(DE261-INDEX('Curva Forward'!$C$5:$AN$13,MATCH(CONCATENATE(BD_COMERCIAL!$K261," ",BD_COMERCIAL!$L261),'Curva Forward'!$B$5:$B$13,0),MATCH(GC$4,'Curva Forward'!$C$4:$AN$4,0))),DE261)</f>
        <v>0</v>
      </c>
      <c r="GD261" s="190">
        <f>AR261*AR$2*IF($FC261="V",1,-1)*IF($Q261="Fixo",(DF261-INDEX('Curva Forward'!$C$5:$AN$13,MATCH(CONCATENATE(BD_COMERCIAL!$K261," ",BD_COMERCIAL!$L261),'Curva Forward'!$B$5:$B$13,0),MATCH(GD$4,'Curva Forward'!$C$4:$AN$4,0))),DF261)</f>
        <v>0</v>
      </c>
      <c r="GE261" s="190">
        <f>AS261*AS$2*IF($FC261="V",1,-1)*IF($Q261="Fixo",(DG261-INDEX('Curva Forward'!$C$5:$AN$13,MATCH(CONCATENATE(BD_COMERCIAL!$K261," ",BD_COMERCIAL!$L261),'Curva Forward'!$B$5:$B$13,0),MATCH(GE$4,'Curva Forward'!$C$4:$AN$4,0))),DG261)</f>
        <v>0</v>
      </c>
      <c r="GF261" s="190">
        <f>AT261*AT$2*IF($FC261="V",1,-1)*IF($Q261="Fixo",(DH261-INDEX('Curva Forward'!$C$5:$AN$13,MATCH(CONCATENATE(BD_COMERCIAL!$K261," ",BD_COMERCIAL!$L261),'Curva Forward'!$B$5:$B$13,0),MATCH(GF$4,'Curva Forward'!$C$4:$AN$4,0))),DH261)</f>
        <v>0</v>
      </c>
      <c r="GG261" s="190">
        <f>AU261*AU$2*IF($FC261="V",1,-1)*IF($Q261="Fixo",(DI261-INDEX('Curva Forward'!$C$5:$AN$13,MATCH(CONCATENATE(BD_COMERCIAL!$K261," ",BD_COMERCIAL!$L261),'Curva Forward'!$B$5:$B$13,0),MATCH(GG$4,'Curva Forward'!$C$4:$AN$4,0))),DI261)</f>
        <v>0</v>
      </c>
      <c r="GH261" s="190">
        <f>AV261*AV$2*IF($FC261="V",1,-1)*IF($Q261="Fixo",(DJ261-INDEX('Curva Forward'!$C$5:$AN$13,MATCH(CONCATENATE(BD_COMERCIAL!$K261," ",BD_COMERCIAL!$L261),'Curva Forward'!$B$5:$B$13,0),MATCH(GH$4,'Curva Forward'!$C$4:$AN$4,0))),DJ261)</f>
        <v>0</v>
      </c>
      <c r="GI261" s="190">
        <f>AW261*AW$2*IF($FC261="V",1,-1)*IF($Q261="Fixo",(DK261-INDEX('Curva Forward'!$C$5:$AN$13,MATCH(CONCATENATE(BD_COMERCIAL!$K261," ",BD_COMERCIAL!$L261),'Curva Forward'!$B$5:$B$13,0),MATCH(GI$4,'Curva Forward'!$C$4:$AN$4,0))),DK261)</f>
        <v>0</v>
      </c>
      <c r="GJ261" s="190">
        <f>AX261*AX$2*IF($FC261="V",1,-1)*IF($Q261="Fixo",(DL261-INDEX('Curva Forward'!$C$5:$AN$13,MATCH(CONCATENATE(BD_COMERCIAL!$K261," ",BD_COMERCIAL!$L261),'Curva Forward'!$B$5:$B$13,0),MATCH(GJ$4,'Curva Forward'!$C$4:$AN$4,0))),DL261)</f>
        <v>0</v>
      </c>
      <c r="GK261" s="190">
        <f>AY261*AY$2*IF($FC261="V",1,-1)*IF($Q261="Fixo",(DM261-INDEX('Curva Forward'!$C$5:$AN$13,MATCH(CONCATENATE(BD_COMERCIAL!$K261," ",BD_COMERCIAL!$L261),'Curva Forward'!$B$5:$B$13,0),MATCH(GK$4,'Curva Forward'!$C$4:$AN$4,0))),DM261)</f>
        <v>0</v>
      </c>
      <c r="GL261" s="190">
        <f>IF(EZ261="",0,CL261*CL$2*IF($FC261="V",1,-1)*IF($Q261="Fixo",(EZ261-INDEX('Curva Forward'!$C$5:$AN$13,MATCH(CONCATENATE(BD_COMERCIAL!$K261," ",BD_COMERCIAL!$L261),'Curva Forward'!$B$5:$B$13,0),MATCH(GL$4,'Curva Forward'!$C$4:$AN$4,0))),EZ261))</f>
        <v>0</v>
      </c>
      <c r="GM261" s="190">
        <f>IF(FA261="",0,CM261*CM$2*IF($FC261="V",1,-1)*IF($Q261="Fixo",(FA261-INDEX('Curva Forward'!$C$5:$AN$13,MATCH(CONCATENATE(BD_COMERCIAL!$K261," ",BD_COMERCIAL!$L261),'Curva Forward'!$B$5:$B$13,0),MATCH(GM$4,'Curva Forward'!$C$4:$AN$4,0))),FA261))</f>
        <v>0</v>
      </c>
      <c r="GN261" s="190">
        <f>IF(FB261="",0,CN261*CN$2*IF($FC261="V",1,-1)*IF($Q261="Fixo",(FB261-INDEX('Curva Forward'!$C$5:$AN$13,MATCH(CONCATENATE(BD_COMERCIAL!$K261," ",BD_COMERCIAL!$L261),'Curva Forward'!$B$5:$B$13,0),MATCH(GN$4,'Curva Forward'!$C$4:$AN$4,0))),FB261))</f>
        <v>0</v>
      </c>
      <c r="GO261" s="191">
        <f t="shared" ca="1" si="32"/>
        <v>0</v>
      </c>
      <c r="GP261" s="191">
        <f t="shared" ca="1" si="33"/>
        <v>0</v>
      </c>
      <c r="GQ261" s="115"/>
      <c r="GR261" s="115"/>
      <c r="GS261"/>
      <c r="GT261" s="65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</row>
    <row r="262" spans="1:236" s="265" customFormat="1" ht="15" customHeight="1" x14ac:dyDescent="0.35">
      <c r="A262" s="251"/>
      <c r="B262" s="275"/>
      <c r="C262" s="253"/>
      <c r="D262" s="254"/>
      <c r="E262" s="254"/>
      <c r="F262" s="255"/>
      <c r="G262" s="256"/>
      <c r="H262" s="255"/>
      <c r="I262" s="254"/>
      <c r="J262" s="257"/>
      <c r="K262" s="256"/>
      <c r="L262" s="252"/>
      <c r="M262" s="258"/>
      <c r="N262" s="259"/>
      <c r="O262" s="256"/>
      <c r="P262" s="252"/>
      <c r="Q262" s="252"/>
      <c r="R262" s="256"/>
      <c r="S262" s="260"/>
      <c r="T262" s="258"/>
      <c r="U262" s="259"/>
      <c r="V262" s="261"/>
      <c r="W262" s="252"/>
      <c r="X262" s="262"/>
      <c r="Y262" s="257"/>
      <c r="Z262" s="263"/>
      <c r="AA262" s="264"/>
      <c r="AB262" s="266"/>
      <c r="AM262" s="251"/>
      <c r="AN262" s="266"/>
      <c r="AY262" s="251"/>
      <c r="AZ262" s="266"/>
      <c r="BK262" s="251"/>
      <c r="BL262" s="266"/>
      <c r="BW262" s="251"/>
      <c r="BX262" s="266"/>
      <c r="CI262" s="251"/>
      <c r="CJ262" s="267"/>
      <c r="CK262" s="267"/>
      <c r="CL262" s="267"/>
      <c r="CM262" s="267"/>
      <c r="CN262" s="267"/>
      <c r="CO262" s="268"/>
      <c r="CP262" s="266"/>
      <c r="DA262" s="251"/>
      <c r="DB262" s="266"/>
      <c r="DM262" s="251"/>
      <c r="DN262" s="266"/>
      <c r="DY262" s="251"/>
      <c r="DZ262" s="266"/>
      <c r="EK262" s="251"/>
      <c r="EL262" s="266"/>
      <c r="EW262" s="251"/>
      <c r="EX262" s="267"/>
      <c r="EY262" s="267"/>
      <c r="EZ262" s="267"/>
      <c r="FA262" s="267"/>
      <c r="FB262" s="269"/>
      <c r="FD262" s="270"/>
      <c r="FF262" s="276"/>
      <c r="FH262" s="206">
        <f t="shared" ref="FH262:FH319" si="34">IF(V262="",0,V262-P262)</f>
        <v>0</v>
      </c>
      <c r="FI262" s="198">
        <f t="shared" ref="FI262:FI319" si="35">(N262-M262)/30</f>
        <v>0</v>
      </c>
      <c r="FJ262"/>
      <c r="FK262">
        <f t="shared" ref="FK262:FK319" si="36">IF($FC262="V",G262,E262)</f>
        <v>0</v>
      </c>
      <c r="FL262" s="191">
        <f t="shared" ref="FL262:FL319" ca="1" si="37">SUMIF($FN$4:$GK$4,"&lt;"&amp;EOMONTH(TODAY(),-1),FN262:GK262)</f>
        <v>0</v>
      </c>
      <c r="FM262" s="191">
        <f t="shared" ref="FM262:FM319" ca="1" si="38">SUM(FN262:GN262)-FL262</f>
        <v>0</v>
      </c>
      <c r="FN262" s="190">
        <f>AB262*AB$2*IF($FC262="V",1,-1)*IF($Q262="Fixo",(CP262-INDEX('Curva Forward'!$C$5:$AN$13,MATCH(CONCATENATE(BD_COMERCIAL!$K262," ",BD_COMERCIAL!$L262),'Curva Forward'!$B$5:$B$13,0),MATCH(FN$4,'Curva Forward'!$C$4:$AN$4,0))),CP262)</f>
        <v>0</v>
      </c>
      <c r="FO262" s="190">
        <f>AC262*AC$2*IF($FC262="V",1,-1)*IF($Q262="Fixo",(CQ262-INDEX('Curva Forward'!$C$5:$AN$13,MATCH(CONCATENATE(BD_COMERCIAL!$K262," ",BD_COMERCIAL!$L262),'Curva Forward'!$B$5:$B$13,0),MATCH(FO$4,'Curva Forward'!$C$4:$AN$4,0))),CQ262)</f>
        <v>0</v>
      </c>
      <c r="FP262" s="190">
        <f>AD262*AD$2*IF($FC262="V",1,-1)*IF($Q262="Fixo",(CR262-INDEX('Curva Forward'!$C$5:$AN$13,MATCH(CONCATENATE(BD_COMERCIAL!$K262," ",BD_COMERCIAL!$L262),'Curva Forward'!$B$5:$B$13,0),MATCH(FP$4,'Curva Forward'!$C$4:$AN$4,0))),CR262)</f>
        <v>0</v>
      </c>
      <c r="FQ262" s="190">
        <f>AE262*AE$2*IF($FC262="V",1,-1)*IF($Q262="Fixo",(CS262-INDEX('Curva Forward'!$C$5:$AN$13,MATCH(CONCATENATE(BD_COMERCIAL!$K262," ",BD_COMERCIAL!$L262),'Curva Forward'!$B$5:$B$13,0),MATCH(FQ$4,'Curva Forward'!$C$4:$AN$4,0))),CS262)</f>
        <v>0</v>
      </c>
      <c r="FR262" s="190">
        <f>AF262*AF$2*IF($FC262="V",1,-1)*IF($Q262="Fixo",(CT262-INDEX('Curva Forward'!$C$5:$AN$13,MATCH(CONCATENATE(BD_COMERCIAL!$K262," ",BD_COMERCIAL!$L262),'Curva Forward'!$B$5:$B$13,0),MATCH(FR$4,'Curva Forward'!$C$4:$AN$4,0))),CT262)</f>
        <v>0</v>
      </c>
      <c r="FS262" s="190">
        <f>AG262*AG$2*IF($FC262="V",1,-1)*IF($Q262="Fixo",(CU262-INDEX('Curva Forward'!$C$5:$AN$13,MATCH(CONCATENATE(BD_COMERCIAL!$K262," ",BD_COMERCIAL!$L262),'Curva Forward'!$B$5:$B$13,0),MATCH(FS$4,'Curva Forward'!$C$4:$AN$4,0))),CU262)</f>
        <v>0</v>
      </c>
      <c r="FT262" s="190">
        <f>AH262*AH$2*IF($FC262="V",1,-1)*IF($Q262="Fixo",(CV262-INDEX('Curva Forward'!$C$5:$AN$13,MATCH(CONCATENATE(BD_COMERCIAL!$K262," ",BD_COMERCIAL!$L262),'Curva Forward'!$B$5:$B$13,0),MATCH(FT$4,'Curva Forward'!$C$4:$AN$4,0))),CV262)</f>
        <v>0</v>
      </c>
      <c r="FU262" s="190">
        <f>AI262*AI$2*IF($FC262="V",1,-1)*IF($Q262="Fixo",(CW262-INDEX('Curva Forward'!$C$5:$AN$13,MATCH(CONCATENATE(BD_COMERCIAL!$K262," ",BD_COMERCIAL!$L262),'Curva Forward'!$B$5:$B$13,0),MATCH(FU$4,'Curva Forward'!$C$4:$AN$4,0))),CW262)</f>
        <v>0</v>
      </c>
      <c r="FV262" s="190">
        <f>AJ262*AJ$2*IF($FC262="V",1,-1)*IF($Q262="Fixo",(CX262-INDEX('Curva Forward'!$C$5:$AN$13,MATCH(CONCATENATE(BD_COMERCIAL!$K262," ",BD_COMERCIAL!$L262),'Curva Forward'!$B$5:$B$13,0),MATCH(FV$4,'Curva Forward'!$C$4:$AN$4,0))),CX262)</f>
        <v>0</v>
      </c>
      <c r="FW262" s="190">
        <f>AK262*AK$2*IF($FC262="V",1,-1)*IF($Q262="Fixo",(CY262-INDEX('Curva Forward'!$C$5:$AN$13,MATCH(CONCATENATE(BD_COMERCIAL!$K262," ",BD_COMERCIAL!$L262),'Curva Forward'!$B$5:$B$13,0),MATCH(FW$4,'Curva Forward'!$C$4:$AN$4,0))),CY262)</f>
        <v>0</v>
      </c>
      <c r="FX262" s="190">
        <f>AL262*AL$2*IF($FC262="V",1,-1)*IF($Q262="Fixo",(CZ262-INDEX('Curva Forward'!$C$5:$AN$13,MATCH(CONCATENATE(BD_COMERCIAL!$K262," ",BD_COMERCIAL!$L262),'Curva Forward'!$B$5:$B$13,0),MATCH(FX$4,'Curva Forward'!$C$4:$AN$4,0))),CZ262)</f>
        <v>0</v>
      </c>
      <c r="FY262" s="190">
        <f>AM262*AM$2*IF($FC262="V",1,-1)*IF($Q262="Fixo",(DA262-INDEX('Curva Forward'!$C$5:$AN$13,MATCH(CONCATENATE(BD_COMERCIAL!$K262," ",BD_COMERCIAL!$L262),'Curva Forward'!$B$5:$B$13,0),MATCH(FY$4,'Curva Forward'!$C$4:$AN$4,0))),DA262)</f>
        <v>0</v>
      </c>
      <c r="FZ262" s="190">
        <f>AN262*AN$2*IF($FC262="V",1,-1)*IF($Q262="Fixo",(DB262-INDEX('Curva Forward'!$C$5:$AN$13,MATCH(CONCATENATE(BD_COMERCIAL!$K262," ",BD_COMERCIAL!$L262),'Curva Forward'!$B$5:$B$13,0),MATCH(FZ$4,'Curva Forward'!$C$4:$AN$4,0))),DB262)</f>
        <v>0</v>
      </c>
      <c r="GA262" s="190">
        <f>AO262*AO$2*IF($FC262="V",1,-1)*IF($Q262="Fixo",(DC262-INDEX('Curva Forward'!$C$5:$AN$13,MATCH(CONCATENATE(BD_COMERCIAL!$K262," ",BD_COMERCIAL!$L262),'Curva Forward'!$B$5:$B$13,0),MATCH(GA$4,'Curva Forward'!$C$4:$AN$4,0))),DC262)</f>
        <v>0</v>
      </c>
      <c r="GB262" s="190">
        <f>AP262*AP$2*IF($FC262="V",1,-1)*IF($Q262="Fixo",(DD262-INDEX('Curva Forward'!$C$5:$AN$13,MATCH(CONCATENATE(BD_COMERCIAL!$K262," ",BD_COMERCIAL!$L262),'Curva Forward'!$B$5:$B$13,0),MATCH(GB$4,'Curva Forward'!$C$4:$AN$4,0))),DD262)</f>
        <v>0</v>
      </c>
      <c r="GC262" s="190">
        <f>AQ262*AQ$2*IF($FC262="V",1,-1)*IF($Q262="Fixo",(DE262-INDEX('Curva Forward'!$C$5:$AN$13,MATCH(CONCATENATE(BD_COMERCIAL!$K262," ",BD_COMERCIAL!$L262),'Curva Forward'!$B$5:$B$13,0),MATCH(GC$4,'Curva Forward'!$C$4:$AN$4,0))),DE262)</f>
        <v>0</v>
      </c>
      <c r="GD262" s="190">
        <f>AR262*AR$2*IF($FC262="V",1,-1)*IF($Q262="Fixo",(DF262-INDEX('Curva Forward'!$C$5:$AN$13,MATCH(CONCATENATE(BD_COMERCIAL!$K262," ",BD_COMERCIAL!$L262),'Curva Forward'!$B$5:$B$13,0),MATCH(GD$4,'Curva Forward'!$C$4:$AN$4,0))),DF262)</f>
        <v>0</v>
      </c>
      <c r="GE262" s="190">
        <f>AS262*AS$2*IF($FC262="V",1,-1)*IF($Q262="Fixo",(DG262-INDEX('Curva Forward'!$C$5:$AN$13,MATCH(CONCATENATE(BD_COMERCIAL!$K262," ",BD_COMERCIAL!$L262),'Curva Forward'!$B$5:$B$13,0),MATCH(GE$4,'Curva Forward'!$C$4:$AN$4,0))),DG262)</f>
        <v>0</v>
      </c>
      <c r="GF262" s="190">
        <f>AT262*AT$2*IF($FC262="V",1,-1)*IF($Q262="Fixo",(DH262-INDEX('Curva Forward'!$C$5:$AN$13,MATCH(CONCATENATE(BD_COMERCIAL!$K262," ",BD_COMERCIAL!$L262),'Curva Forward'!$B$5:$B$13,0),MATCH(GF$4,'Curva Forward'!$C$4:$AN$4,0))),DH262)</f>
        <v>0</v>
      </c>
      <c r="GG262" s="190">
        <f>AU262*AU$2*IF($FC262="V",1,-1)*IF($Q262="Fixo",(DI262-INDEX('Curva Forward'!$C$5:$AN$13,MATCH(CONCATENATE(BD_COMERCIAL!$K262," ",BD_COMERCIAL!$L262),'Curva Forward'!$B$5:$B$13,0),MATCH(GG$4,'Curva Forward'!$C$4:$AN$4,0))),DI262)</f>
        <v>0</v>
      </c>
      <c r="GH262" s="190">
        <f>AV262*AV$2*IF($FC262="V",1,-1)*IF($Q262="Fixo",(DJ262-INDEX('Curva Forward'!$C$5:$AN$13,MATCH(CONCATENATE(BD_COMERCIAL!$K262," ",BD_COMERCIAL!$L262),'Curva Forward'!$B$5:$B$13,0),MATCH(GH$4,'Curva Forward'!$C$4:$AN$4,0))),DJ262)</f>
        <v>0</v>
      </c>
      <c r="GI262" s="190">
        <f>AW262*AW$2*IF($FC262="V",1,-1)*IF($Q262="Fixo",(DK262-INDEX('Curva Forward'!$C$5:$AN$13,MATCH(CONCATENATE(BD_COMERCIAL!$K262," ",BD_COMERCIAL!$L262),'Curva Forward'!$B$5:$B$13,0),MATCH(GI$4,'Curva Forward'!$C$4:$AN$4,0))),DK262)</f>
        <v>0</v>
      </c>
      <c r="GJ262" s="190">
        <f>AX262*AX$2*IF($FC262="V",1,-1)*IF($Q262="Fixo",(DL262-INDEX('Curva Forward'!$C$5:$AN$13,MATCH(CONCATENATE(BD_COMERCIAL!$K262," ",BD_COMERCIAL!$L262),'Curva Forward'!$B$5:$B$13,0),MATCH(GJ$4,'Curva Forward'!$C$4:$AN$4,0))),DL262)</f>
        <v>0</v>
      </c>
      <c r="GK262" s="190">
        <f>AY262*AY$2*IF($FC262="V",1,-1)*IF($Q262="Fixo",(DM262-INDEX('Curva Forward'!$C$5:$AN$13,MATCH(CONCATENATE(BD_COMERCIAL!$K262," ",BD_COMERCIAL!$L262),'Curva Forward'!$B$5:$B$13,0),MATCH(GK$4,'Curva Forward'!$C$4:$AN$4,0))),DM262)</f>
        <v>0</v>
      </c>
      <c r="GL262" s="190">
        <f>IF(EZ262="",0,CL262*CL$2*IF($FC262="V",1,-1)*IF($Q262="Fixo",(EZ262-INDEX('Curva Forward'!$C$5:$AN$13,MATCH(CONCATENATE(BD_COMERCIAL!$K262," ",BD_COMERCIAL!$L262),'Curva Forward'!$B$5:$B$13,0),MATCH(GL$4,'Curva Forward'!$C$4:$AN$4,0))),EZ262))</f>
        <v>0</v>
      </c>
      <c r="GM262" s="190">
        <f>IF(FA262="",0,CM262*CM$2*IF($FC262="V",1,-1)*IF($Q262="Fixo",(FA262-INDEX('Curva Forward'!$C$5:$AN$13,MATCH(CONCATENATE(BD_COMERCIAL!$K262," ",BD_COMERCIAL!$L262),'Curva Forward'!$B$5:$B$13,0),MATCH(GM$4,'Curva Forward'!$C$4:$AN$4,0))),FA262))</f>
        <v>0</v>
      </c>
      <c r="GN262" s="190">
        <f>IF(FB262="",0,CN262*CN$2*IF($FC262="V",1,-1)*IF($Q262="Fixo",(FB262-INDEX('Curva Forward'!$C$5:$AN$13,MATCH(CONCATENATE(BD_COMERCIAL!$K262," ",BD_COMERCIAL!$L262),'Curva Forward'!$B$5:$B$13,0),MATCH(GN$4,'Curva Forward'!$C$4:$AN$4,0))),FB262))</f>
        <v>0</v>
      </c>
      <c r="GO262" s="191">
        <f t="shared" ref="GO262:GO319" ca="1" si="39">IF(FM262&gt;0,FM262,0)</f>
        <v>0</v>
      </c>
      <c r="GP262" s="191">
        <f t="shared" ref="GP262:GP319" ca="1" si="40">IF(FM262&lt;0,FM262,0)</f>
        <v>0</v>
      </c>
      <c r="GQ262" s="115"/>
      <c r="GR262" s="115"/>
      <c r="GS262"/>
      <c r="GT262" s="65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</row>
    <row r="263" spans="1:236" s="265" customFormat="1" ht="15" customHeight="1" x14ac:dyDescent="0.35">
      <c r="A263" s="251"/>
      <c r="B263" s="275"/>
      <c r="C263" s="253"/>
      <c r="D263" s="254"/>
      <c r="E263" s="254"/>
      <c r="F263" s="255"/>
      <c r="G263" s="256"/>
      <c r="H263" s="255"/>
      <c r="I263" s="254"/>
      <c r="J263" s="257"/>
      <c r="K263" s="256"/>
      <c r="L263" s="252"/>
      <c r="M263" s="258"/>
      <c r="N263" s="259"/>
      <c r="O263" s="256"/>
      <c r="P263" s="252"/>
      <c r="Q263" s="252"/>
      <c r="R263" s="256"/>
      <c r="S263" s="260"/>
      <c r="T263" s="258"/>
      <c r="U263" s="259"/>
      <c r="V263" s="261"/>
      <c r="W263" s="252"/>
      <c r="X263" s="262"/>
      <c r="Y263" s="257"/>
      <c r="Z263" s="263"/>
      <c r="AA263" s="264"/>
      <c r="AB263" s="266"/>
      <c r="AM263" s="251"/>
      <c r="AN263" s="266"/>
      <c r="AY263" s="251"/>
      <c r="AZ263" s="266"/>
      <c r="BK263" s="251"/>
      <c r="BL263" s="266"/>
      <c r="BW263" s="251"/>
      <c r="BX263" s="266"/>
      <c r="CI263" s="251"/>
      <c r="CJ263" s="267"/>
      <c r="CK263" s="267"/>
      <c r="CL263" s="267"/>
      <c r="CM263" s="267"/>
      <c r="CN263" s="267"/>
      <c r="CO263" s="268"/>
      <c r="CP263" s="266"/>
      <c r="DA263" s="251"/>
      <c r="DB263" s="266"/>
      <c r="DM263" s="251"/>
      <c r="DN263" s="266"/>
      <c r="DY263" s="251"/>
      <c r="DZ263" s="266"/>
      <c r="EK263" s="251"/>
      <c r="EL263" s="266"/>
      <c r="EW263" s="251"/>
      <c r="EX263" s="267"/>
      <c r="EY263" s="267"/>
      <c r="EZ263" s="267"/>
      <c r="FA263" s="267"/>
      <c r="FB263" s="269"/>
      <c r="FD263" s="270"/>
      <c r="FF263" s="276"/>
      <c r="FH263" s="206">
        <f t="shared" si="34"/>
        <v>0</v>
      </c>
      <c r="FI263" s="198">
        <f t="shared" si="35"/>
        <v>0</v>
      </c>
      <c r="FJ263"/>
      <c r="FK263">
        <f t="shared" si="36"/>
        <v>0</v>
      </c>
      <c r="FL263" s="191">
        <f t="shared" ca="1" si="37"/>
        <v>0</v>
      </c>
      <c r="FM263" s="191">
        <f t="shared" ca="1" si="38"/>
        <v>0</v>
      </c>
      <c r="FN263" s="190">
        <f>AB263*AB$2*IF($FC263="V",1,-1)*IF($Q263="Fixo",(CP263-INDEX('Curva Forward'!$C$5:$AN$13,MATCH(CONCATENATE(BD_COMERCIAL!$K263," ",BD_COMERCIAL!$L263),'Curva Forward'!$B$5:$B$13,0),MATCH(FN$4,'Curva Forward'!$C$4:$AN$4,0))),CP263)</f>
        <v>0</v>
      </c>
      <c r="FO263" s="190">
        <f>AC263*AC$2*IF($FC263="V",1,-1)*IF($Q263="Fixo",(CQ263-INDEX('Curva Forward'!$C$5:$AN$13,MATCH(CONCATENATE(BD_COMERCIAL!$K263," ",BD_COMERCIAL!$L263),'Curva Forward'!$B$5:$B$13,0),MATCH(FO$4,'Curva Forward'!$C$4:$AN$4,0))),CQ263)</f>
        <v>0</v>
      </c>
      <c r="FP263" s="190">
        <f>AD263*AD$2*IF($FC263="V",1,-1)*IF($Q263="Fixo",(CR263-INDEX('Curva Forward'!$C$5:$AN$13,MATCH(CONCATENATE(BD_COMERCIAL!$K263," ",BD_COMERCIAL!$L263),'Curva Forward'!$B$5:$B$13,0),MATCH(FP$4,'Curva Forward'!$C$4:$AN$4,0))),CR263)</f>
        <v>0</v>
      </c>
      <c r="FQ263" s="190">
        <f>AE263*AE$2*IF($FC263="V",1,-1)*IF($Q263="Fixo",(CS263-INDEX('Curva Forward'!$C$5:$AN$13,MATCH(CONCATENATE(BD_COMERCIAL!$K263," ",BD_COMERCIAL!$L263),'Curva Forward'!$B$5:$B$13,0),MATCH(FQ$4,'Curva Forward'!$C$4:$AN$4,0))),CS263)</f>
        <v>0</v>
      </c>
      <c r="FR263" s="190">
        <f>AF263*AF$2*IF($FC263="V",1,-1)*IF($Q263="Fixo",(CT263-INDEX('Curva Forward'!$C$5:$AN$13,MATCH(CONCATENATE(BD_COMERCIAL!$K263," ",BD_COMERCIAL!$L263),'Curva Forward'!$B$5:$B$13,0),MATCH(FR$4,'Curva Forward'!$C$4:$AN$4,0))),CT263)</f>
        <v>0</v>
      </c>
      <c r="FS263" s="190">
        <f>AG263*AG$2*IF($FC263="V",1,-1)*IF($Q263="Fixo",(CU263-INDEX('Curva Forward'!$C$5:$AN$13,MATCH(CONCATENATE(BD_COMERCIAL!$K263," ",BD_COMERCIAL!$L263),'Curva Forward'!$B$5:$B$13,0),MATCH(FS$4,'Curva Forward'!$C$4:$AN$4,0))),CU263)</f>
        <v>0</v>
      </c>
      <c r="FT263" s="190">
        <f>AH263*AH$2*IF($FC263="V",1,-1)*IF($Q263="Fixo",(CV263-INDEX('Curva Forward'!$C$5:$AN$13,MATCH(CONCATENATE(BD_COMERCIAL!$K263," ",BD_COMERCIAL!$L263),'Curva Forward'!$B$5:$B$13,0),MATCH(FT$4,'Curva Forward'!$C$4:$AN$4,0))),CV263)</f>
        <v>0</v>
      </c>
      <c r="FU263" s="190">
        <f>AI263*AI$2*IF($FC263="V",1,-1)*IF($Q263="Fixo",(CW263-INDEX('Curva Forward'!$C$5:$AN$13,MATCH(CONCATENATE(BD_COMERCIAL!$K263," ",BD_COMERCIAL!$L263),'Curva Forward'!$B$5:$B$13,0),MATCH(FU$4,'Curva Forward'!$C$4:$AN$4,0))),CW263)</f>
        <v>0</v>
      </c>
      <c r="FV263" s="190">
        <f>AJ263*AJ$2*IF($FC263="V",1,-1)*IF($Q263="Fixo",(CX263-INDEX('Curva Forward'!$C$5:$AN$13,MATCH(CONCATENATE(BD_COMERCIAL!$K263," ",BD_COMERCIAL!$L263),'Curva Forward'!$B$5:$B$13,0),MATCH(FV$4,'Curva Forward'!$C$4:$AN$4,0))),CX263)</f>
        <v>0</v>
      </c>
      <c r="FW263" s="190">
        <f>AK263*AK$2*IF($FC263="V",1,-1)*IF($Q263="Fixo",(CY263-INDEX('Curva Forward'!$C$5:$AN$13,MATCH(CONCATENATE(BD_COMERCIAL!$K263," ",BD_COMERCIAL!$L263),'Curva Forward'!$B$5:$B$13,0),MATCH(FW$4,'Curva Forward'!$C$4:$AN$4,0))),CY263)</f>
        <v>0</v>
      </c>
      <c r="FX263" s="190">
        <f>AL263*AL$2*IF($FC263="V",1,-1)*IF($Q263="Fixo",(CZ263-INDEX('Curva Forward'!$C$5:$AN$13,MATCH(CONCATENATE(BD_COMERCIAL!$K263," ",BD_COMERCIAL!$L263),'Curva Forward'!$B$5:$B$13,0),MATCH(FX$4,'Curva Forward'!$C$4:$AN$4,0))),CZ263)</f>
        <v>0</v>
      </c>
      <c r="FY263" s="190">
        <f>AM263*AM$2*IF($FC263="V",1,-1)*IF($Q263="Fixo",(DA263-INDEX('Curva Forward'!$C$5:$AN$13,MATCH(CONCATENATE(BD_COMERCIAL!$K263," ",BD_COMERCIAL!$L263),'Curva Forward'!$B$5:$B$13,0),MATCH(FY$4,'Curva Forward'!$C$4:$AN$4,0))),DA263)</f>
        <v>0</v>
      </c>
      <c r="FZ263" s="190">
        <f>AN263*AN$2*IF($FC263="V",1,-1)*IF($Q263="Fixo",(DB263-INDEX('Curva Forward'!$C$5:$AN$13,MATCH(CONCATENATE(BD_COMERCIAL!$K263," ",BD_COMERCIAL!$L263),'Curva Forward'!$B$5:$B$13,0),MATCH(FZ$4,'Curva Forward'!$C$4:$AN$4,0))),DB263)</f>
        <v>0</v>
      </c>
      <c r="GA263" s="190">
        <f>AO263*AO$2*IF($FC263="V",1,-1)*IF($Q263="Fixo",(DC263-INDEX('Curva Forward'!$C$5:$AN$13,MATCH(CONCATENATE(BD_COMERCIAL!$K263," ",BD_COMERCIAL!$L263),'Curva Forward'!$B$5:$B$13,0),MATCH(GA$4,'Curva Forward'!$C$4:$AN$4,0))),DC263)</f>
        <v>0</v>
      </c>
      <c r="GB263" s="190">
        <f>AP263*AP$2*IF($FC263="V",1,-1)*IF($Q263="Fixo",(DD263-INDEX('Curva Forward'!$C$5:$AN$13,MATCH(CONCATENATE(BD_COMERCIAL!$K263," ",BD_COMERCIAL!$L263),'Curva Forward'!$B$5:$B$13,0),MATCH(GB$4,'Curva Forward'!$C$4:$AN$4,0))),DD263)</f>
        <v>0</v>
      </c>
      <c r="GC263" s="190">
        <f>AQ263*AQ$2*IF($FC263="V",1,-1)*IF($Q263="Fixo",(DE263-INDEX('Curva Forward'!$C$5:$AN$13,MATCH(CONCATENATE(BD_COMERCIAL!$K263," ",BD_COMERCIAL!$L263),'Curva Forward'!$B$5:$B$13,0),MATCH(GC$4,'Curva Forward'!$C$4:$AN$4,0))),DE263)</f>
        <v>0</v>
      </c>
      <c r="GD263" s="190">
        <f>AR263*AR$2*IF($FC263="V",1,-1)*IF($Q263="Fixo",(DF263-INDEX('Curva Forward'!$C$5:$AN$13,MATCH(CONCATENATE(BD_COMERCIAL!$K263," ",BD_COMERCIAL!$L263),'Curva Forward'!$B$5:$B$13,0),MATCH(GD$4,'Curva Forward'!$C$4:$AN$4,0))),DF263)</f>
        <v>0</v>
      </c>
      <c r="GE263" s="190">
        <f>AS263*AS$2*IF($FC263="V",1,-1)*IF($Q263="Fixo",(DG263-INDEX('Curva Forward'!$C$5:$AN$13,MATCH(CONCATENATE(BD_COMERCIAL!$K263," ",BD_COMERCIAL!$L263),'Curva Forward'!$B$5:$B$13,0),MATCH(GE$4,'Curva Forward'!$C$4:$AN$4,0))),DG263)</f>
        <v>0</v>
      </c>
      <c r="GF263" s="190">
        <f>AT263*AT$2*IF($FC263="V",1,-1)*IF($Q263="Fixo",(DH263-INDEX('Curva Forward'!$C$5:$AN$13,MATCH(CONCATENATE(BD_COMERCIAL!$K263," ",BD_COMERCIAL!$L263),'Curva Forward'!$B$5:$B$13,0),MATCH(GF$4,'Curva Forward'!$C$4:$AN$4,0))),DH263)</f>
        <v>0</v>
      </c>
      <c r="GG263" s="190">
        <f>AU263*AU$2*IF($FC263="V",1,-1)*IF($Q263="Fixo",(DI263-INDEX('Curva Forward'!$C$5:$AN$13,MATCH(CONCATENATE(BD_COMERCIAL!$K263," ",BD_COMERCIAL!$L263),'Curva Forward'!$B$5:$B$13,0),MATCH(GG$4,'Curva Forward'!$C$4:$AN$4,0))),DI263)</f>
        <v>0</v>
      </c>
      <c r="GH263" s="190">
        <f>AV263*AV$2*IF($FC263="V",1,-1)*IF($Q263="Fixo",(DJ263-INDEX('Curva Forward'!$C$5:$AN$13,MATCH(CONCATENATE(BD_COMERCIAL!$K263," ",BD_COMERCIAL!$L263),'Curva Forward'!$B$5:$B$13,0),MATCH(GH$4,'Curva Forward'!$C$4:$AN$4,0))),DJ263)</f>
        <v>0</v>
      </c>
      <c r="GI263" s="190">
        <f>AW263*AW$2*IF($FC263="V",1,-1)*IF($Q263="Fixo",(DK263-INDEX('Curva Forward'!$C$5:$AN$13,MATCH(CONCATENATE(BD_COMERCIAL!$K263," ",BD_COMERCIAL!$L263),'Curva Forward'!$B$5:$B$13,0),MATCH(GI$4,'Curva Forward'!$C$4:$AN$4,0))),DK263)</f>
        <v>0</v>
      </c>
      <c r="GJ263" s="190">
        <f>AX263*AX$2*IF($FC263="V",1,-1)*IF($Q263="Fixo",(DL263-INDEX('Curva Forward'!$C$5:$AN$13,MATCH(CONCATENATE(BD_COMERCIAL!$K263," ",BD_COMERCIAL!$L263),'Curva Forward'!$B$5:$B$13,0),MATCH(GJ$4,'Curva Forward'!$C$4:$AN$4,0))),DL263)</f>
        <v>0</v>
      </c>
      <c r="GK263" s="190">
        <f>AY263*AY$2*IF($FC263="V",1,-1)*IF($Q263="Fixo",(DM263-INDEX('Curva Forward'!$C$5:$AN$13,MATCH(CONCATENATE(BD_COMERCIAL!$K263," ",BD_COMERCIAL!$L263),'Curva Forward'!$B$5:$B$13,0),MATCH(GK$4,'Curva Forward'!$C$4:$AN$4,0))),DM263)</f>
        <v>0</v>
      </c>
      <c r="GL263" s="190">
        <f>IF(EZ263="",0,CL263*CL$2*IF($FC263="V",1,-1)*IF($Q263="Fixo",(EZ263-INDEX('Curva Forward'!$C$5:$AN$13,MATCH(CONCATENATE(BD_COMERCIAL!$K263," ",BD_COMERCIAL!$L263),'Curva Forward'!$B$5:$B$13,0),MATCH(GL$4,'Curva Forward'!$C$4:$AN$4,0))),EZ263))</f>
        <v>0</v>
      </c>
      <c r="GM263" s="190">
        <f>IF(FA263="",0,CM263*CM$2*IF($FC263="V",1,-1)*IF($Q263="Fixo",(FA263-INDEX('Curva Forward'!$C$5:$AN$13,MATCH(CONCATENATE(BD_COMERCIAL!$K263," ",BD_COMERCIAL!$L263),'Curva Forward'!$B$5:$B$13,0),MATCH(GM$4,'Curva Forward'!$C$4:$AN$4,0))),FA263))</f>
        <v>0</v>
      </c>
      <c r="GN263" s="190">
        <f>IF(FB263="",0,CN263*CN$2*IF($FC263="V",1,-1)*IF($Q263="Fixo",(FB263-INDEX('Curva Forward'!$C$5:$AN$13,MATCH(CONCATENATE(BD_COMERCIAL!$K263," ",BD_COMERCIAL!$L263),'Curva Forward'!$B$5:$B$13,0),MATCH(GN$4,'Curva Forward'!$C$4:$AN$4,0))),FB263))</f>
        <v>0</v>
      </c>
      <c r="GO263" s="191">
        <f t="shared" ca="1" si="39"/>
        <v>0</v>
      </c>
      <c r="GP263" s="191">
        <f t="shared" ca="1" si="40"/>
        <v>0</v>
      </c>
      <c r="GQ263" s="115"/>
      <c r="GR263" s="115"/>
      <c r="GS263"/>
      <c r="GT263" s="65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</row>
    <row r="264" spans="1:236" s="265" customFormat="1" ht="15" customHeight="1" x14ac:dyDescent="0.35">
      <c r="A264" s="251"/>
      <c r="B264" s="275"/>
      <c r="C264" s="253"/>
      <c r="D264" s="254"/>
      <c r="E264" s="254"/>
      <c r="F264" s="255"/>
      <c r="G264" s="256"/>
      <c r="H264" s="255"/>
      <c r="I264" s="254"/>
      <c r="J264" s="257"/>
      <c r="K264" s="256"/>
      <c r="L264" s="252"/>
      <c r="M264" s="258"/>
      <c r="N264" s="259"/>
      <c r="O264" s="256"/>
      <c r="P264" s="252"/>
      <c r="Q264" s="252"/>
      <c r="R264" s="256"/>
      <c r="S264" s="260"/>
      <c r="T264" s="258"/>
      <c r="U264" s="259"/>
      <c r="V264" s="261"/>
      <c r="W264" s="252"/>
      <c r="X264" s="262"/>
      <c r="Y264" s="257"/>
      <c r="Z264" s="263"/>
      <c r="AA264" s="264"/>
      <c r="AB264" s="266"/>
      <c r="AM264" s="251"/>
      <c r="AN264" s="266"/>
      <c r="AY264" s="251"/>
      <c r="AZ264" s="266"/>
      <c r="BK264" s="251"/>
      <c r="BL264" s="266"/>
      <c r="BW264" s="251"/>
      <c r="BX264" s="266"/>
      <c r="CI264" s="251"/>
      <c r="CJ264" s="267"/>
      <c r="CK264" s="267"/>
      <c r="CL264" s="267"/>
      <c r="CM264" s="267"/>
      <c r="CN264" s="267"/>
      <c r="CO264" s="268"/>
      <c r="CP264" s="266"/>
      <c r="DA264" s="251"/>
      <c r="DB264" s="266"/>
      <c r="DM264" s="251"/>
      <c r="DN264" s="266"/>
      <c r="DY264" s="251"/>
      <c r="DZ264" s="266"/>
      <c r="EK264" s="251"/>
      <c r="EL264" s="266"/>
      <c r="EW264" s="251"/>
      <c r="EX264" s="267"/>
      <c r="EY264" s="267"/>
      <c r="EZ264" s="267"/>
      <c r="FA264" s="267"/>
      <c r="FB264" s="269"/>
      <c r="FD264" s="270"/>
      <c r="FF264" s="276"/>
      <c r="FH264" s="206">
        <f t="shared" si="34"/>
        <v>0</v>
      </c>
      <c r="FI264" s="198">
        <f t="shared" si="35"/>
        <v>0</v>
      </c>
      <c r="FJ264"/>
      <c r="FK264">
        <f t="shared" si="36"/>
        <v>0</v>
      </c>
      <c r="FL264" s="191">
        <f t="shared" ca="1" si="37"/>
        <v>0</v>
      </c>
      <c r="FM264" s="191">
        <f t="shared" ca="1" si="38"/>
        <v>0</v>
      </c>
      <c r="FN264" s="190">
        <f>AB264*AB$2*IF($FC264="V",1,-1)*IF($Q264="Fixo",(CP264-INDEX('Curva Forward'!$C$5:$AN$13,MATCH(CONCATENATE(BD_COMERCIAL!$K264," ",BD_COMERCIAL!$L264),'Curva Forward'!$B$5:$B$13,0),MATCH(FN$4,'Curva Forward'!$C$4:$AN$4,0))),CP264)</f>
        <v>0</v>
      </c>
      <c r="FO264" s="190">
        <f>AC264*AC$2*IF($FC264="V",1,-1)*IF($Q264="Fixo",(CQ264-INDEX('Curva Forward'!$C$5:$AN$13,MATCH(CONCATENATE(BD_COMERCIAL!$K264," ",BD_COMERCIAL!$L264),'Curva Forward'!$B$5:$B$13,0),MATCH(FO$4,'Curva Forward'!$C$4:$AN$4,0))),CQ264)</f>
        <v>0</v>
      </c>
      <c r="FP264" s="190">
        <f>AD264*AD$2*IF($FC264="V",1,-1)*IF($Q264="Fixo",(CR264-INDEX('Curva Forward'!$C$5:$AN$13,MATCH(CONCATENATE(BD_COMERCIAL!$K264," ",BD_COMERCIAL!$L264),'Curva Forward'!$B$5:$B$13,0),MATCH(FP$4,'Curva Forward'!$C$4:$AN$4,0))),CR264)</f>
        <v>0</v>
      </c>
      <c r="FQ264" s="190">
        <f>AE264*AE$2*IF($FC264="V",1,-1)*IF($Q264="Fixo",(CS264-INDEX('Curva Forward'!$C$5:$AN$13,MATCH(CONCATENATE(BD_COMERCIAL!$K264," ",BD_COMERCIAL!$L264),'Curva Forward'!$B$5:$B$13,0),MATCH(FQ$4,'Curva Forward'!$C$4:$AN$4,0))),CS264)</f>
        <v>0</v>
      </c>
      <c r="FR264" s="190">
        <f>AF264*AF$2*IF($FC264="V",1,-1)*IF($Q264="Fixo",(CT264-INDEX('Curva Forward'!$C$5:$AN$13,MATCH(CONCATENATE(BD_COMERCIAL!$K264," ",BD_COMERCIAL!$L264),'Curva Forward'!$B$5:$B$13,0),MATCH(FR$4,'Curva Forward'!$C$4:$AN$4,0))),CT264)</f>
        <v>0</v>
      </c>
      <c r="FS264" s="190">
        <f>AG264*AG$2*IF($FC264="V",1,-1)*IF($Q264="Fixo",(CU264-INDEX('Curva Forward'!$C$5:$AN$13,MATCH(CONCATENATE(BD_COMERCIAL!$K264," ",BD_COMERCIAL!$L264),'Curva Forward'!$B$5:$B$13,0),MATCH(FS$4,'Curva Forward'!$C$4:$AN$4,0))),CU264)</f>
        <v>0</v>
      </c>
      <c r="FT264" s="190">
        <f>AH264*AH$2*IF($FC264="V",1,-1)*IF($Q264="Fixo",(CV264-INDEX('Curva Forward'!$C$5:$AN$13,MATCH(CONCATENATE(BD_COMERCIAL!$K264," ",BD_COMERCIAL!$L264),'Curva Forward'!$B$5:$B$13,0),MATCH(FT$4,'Curva Forward'!$C$4:$AN$4,0))),CV264)</f>
        <v>0</v>
      </c>
      <c r="FU264" s="190">
        <f>AI264*AI$2*IF($FC264="V",1,-1)*IF($Q264="Fixo",(CW264-INDEX('Curva Forward'!$C$5:$AN$13,MATCH(CONCATENATE(BD_COMERCIAL!$K264," ",BD_COMERCIAL!$L264),'Curva Forward'!$B$5:$B$13,0),MATCH(FU$4,'Curva Forward'!$C$4:$AN$4,0))),CW264)</f>
        <v>0</v>
      </c>
      <c r="FV264" s="190">
        <f>AJ264*AJ$2*IF($FC264="V",1,-1)*IF($Q264="Fixo",(CX264-INDEX('Curva Forward'!$C$5:$AN$13,MATCH(CONCATENATE(BD_COMERCIAL!$K264," ",BD_COMERCIAL!$L264),'Curva Forward'!$B$5:$B$13,0),MATCH(FV$4,'Curva Forward'!$C$4:$AN$4,0))),CX264)</f>
        <v>0</v>
      </c>
      <c r="FW264" s="190">
        <f>AK264*AK$2*IF($FC264="V",1,-1)*IF($Q264="Fixo",(CY264-INDEX('Curva Forward'!$C$5:$AN$13,MATCH(CONCATENATE(BD_COMERCIAL!$K264," ",BD_COMERCIAL!$L264),'Curva Forward'!$B$5:$B$13,0),MATCH(FW$4,'Curva Forward'!$C$4:$AN$4,0))),CY264)</f>
        <v>0</v>
      </c>
      <c r="FX264" s="190">
        <f>AL264*AL$2*IF($FC264="V",1,-1)*IF($Q264="Fixo",(CZ264-INDEX('Curva Forward'!$C$5:$AN$13,MATCH(CONCATENATE(BD_COMERCIAL!$K264," ",BD_COMERCIAL!$L264),'Curva Forward'!$B$5:$B$13,0),MATCH(FX$4,'Curva Forward'!$C$4:$AN$4,0))),CZ264)</f>
        <v>0</v>
      </c>
      <c r="FY264" s="190">
        <f>AM264*AM$2*IF($FC264="V",1,-1)*IF($Q264="Fixo",(DA264-INDEX('Curva Forward'!$C$5:$AN$13,MATCH(CONCATENATE(BD_COMERCIAL!$K264," ",BD_COMERCIAL!$L264),'Curva Forward'!$B$5:$B$13,0),MATCH(FY$4,'Curva Forward'!$C$4:$AN$4,0))),DA264)</f>
        <v>0</v>
      </c>
      <c r="FZ264" s="190">
        <f>AN264*AN$2*IF($FC264="V",1,-1)*IF($Q264="Fixo",(DB264-INDEX('Curva Forward'!$C$5:$AN$13,MATCH(CONCATENATE(BD_COMERCIAL!$K264," ",BD_COMERCIAL!$L264),'Curva Forward'!$B$5:$B$13,0),MATCH(FZ$4,'Curva Forward'!$C$4:$AN$4,0))),DB264)</f>
        <v>0</v>
      </c>
      <c r="GA264" s="190">
        <f>AO264*AO$2*IF($FC264="V",1,-1)*IF($Q264="Fixo",(DC264-INDEX('Curva Forward'!$C$5:$AN$13,MATCH(CONCATENATE(BD_COMERCIAL!$K264," ",BD_COMERCIAL!$L264),'Curva Forward'!$B$5:$B$13,0),MATCH(GA$4,'Curva Forward'!$C$4:$AN$4,0))),DC264)</f>
        <v>0</v>
      </c>
      <c r="GB264" s="190">
        <f>AP264*AP$2*IF($FC264="V",1,-1)*IF($Q264="Fixo",(DD264-INDEX('Curva Forward'!$C$5:$AN$13,MATCH(CONCATENATE(BD_COMERCIAL!$K264," ",BD_COMERCIAL!$L264),'Curva Forward'!$B$5:$B$13,0),MATCH(GB$4,'Curva Forward'!$C$4:$AN$4,0))),DD264)</f>
        <v>0</v>
      </c>
      <c r="GC264" s="190">
        <f>AQ264*AQ$2*IF($FC264="V",1,-1)*IF($Q264="Fixo",(DE264-INDEX('Curva Forward'!$C$5:$AN$13,MATCH(CONCATENATE(BD_COMERCIAL!$K264," ",BD_COMERCIAL!$L264),'Curva Forward'!$B$5:$B$13,0),MATCH(GC$4,'Curva Forward'!$C$4:$AN$4,0))),DE264)</f>
        <v>0</v>
      </c>
      <c r="GD264" s="190">
        <f>AR264*AR$2*IF($FC264="V",1,-1)*IF($Q264="Fixo",(DF264-INDEX('Curva Forward'!$C$5:$AN$13,MATCH(CONCATENATE(BD_COMERCIAL!$K264," ",BD_COMERCIAL!$L264),'Curva Forward'!$B$5:$B$13,0),MATCH(GD$4,'Curva Forward'!$C$4:$AN$4,0))),DF264)</f>
        <v>0</v>
      </c>
      <c r="GE264" s="190">
        <f>AS264*AS$2*IF($FC264="V",1,-1)*IF($Q264="Fixo",(DG264-INDEX('Curva Forward'!$C$5:$AN$13,MATCH(CONCATENATE(BD_COMERCIAL!$K264," ",BD_COMERCIAL!$L264),'Curva Forward'!$B$5:$B$13,0),MATCH(GE$4,'Curva Forward'!$C$4:$AN$4,0))),DG264)</f>
        <v>0</v>
      </c>
      <c r="GF264" s="190">
        <f>AT264*AT$2*IF($FC264="V",1,-1)*IF($Q264="Fixo",(DH264-INDEX('Curva Forward'!$C$5:$AN$13,MATCH(CONCATENATE(BD_COMERCIAL!$K264," ",BD_COMERCIAL!$L264),'Curva Forward'!$B$5:$B$13,0),MATCH(GF$4,'Curva Forward'!$C$4:$AN$4,0))),DH264)</f>
        <v>0</v>
      </c>
      <c r="GG264" s="190">
        <f>AU264*AU$2*IF($FC264="V",1,-1)*IF($Q264="Fixo",(DI264-INDEX('Curva Forward'!$C$5:$AN$13,MATCH(CONCATENATE(BD_COMERCIAL!$K264," ",BD_COMERCIAL!$L264),'Curva Forward'!$B$5:$B$13,0),MATCH(GG$4,'Curva Forward'!$C$4:$AN$4,0))),DI264)</f>
        <v>0</v>
      </c>
      <c r="GH264" s="190">
        <f>AV264*AV$2*IF($FC264="V",1,-1)*IF($Q264="Fixo",(DJ264-INDEX('Curva Forward'!$C$5:$AN$13,MATCH(CONCATENATE(BD_COMERCIAL!$K264," ",BD_COMERCIAL!$L264),'Curva Forward'!$B$5:$B$13,0),MATCH(GH$4,'Curva Forward'!$C$4:$AN$4,0))),DJ264)</f>
        <v>0</v>
      </c>
      <c r="GI264" s="190">
        <f>AW264*AW$2*IF($FC264="V",1,-1)*IF($Q264="Fixo",(DK264-INDEX('Curva Forward'!$C$5:$AN$13,MATCH(CONCATENATE(BD_COMERCIAL!$K264," ",BD_COMERCIAL!$L264),'Curva Forward'!$B$5:$B$13,0),MATCH(GI$4,'Curva Forward'!$C$4:$AN$4,0))),DK264)</f>
        <v>0</v>
      </c>
      <c r="GJ264" s="190">
        <f>AX264*AX$2*IF($FC264="V",1,-1)*IF($Q264="Fixo",(DL264-INDEX('Curva Forward'!$C$5:$AN$13,MATCH(CONCATENATE(BD_COMERCIAL!$K264," ",BD_COMERCIAL!$L264),'Curva Forward'!$B$5:$B$13,0),MATCH(GJ$4,'Curva Forward'!$C$4:$AN$4,0))),DL264)</f>
        <v>0</v>
      </c>
      <c r="GK264" s="190">
        <f>AY264*AY$2*IF($FC264="V",1,-1)*IF($Q264="Fixo",(DM264-INDEX('Curva Forward'!$C$5:$AN$13,MATCH(CONCATENATE(BD_COMERCIAL!$K264," ",BD_COMERCIAL!$L264),'Curva Forward'!$B$5:$B$13,0),MATCH(GK$4,'Curva Forward'!$C$4:$AN$4,0))),DM264)</f>
        <v>0</v>
      </c>
      <c r="GL264" s="190">
        <f>IF(EZ264="",0,CL264*CL$2*IF($FC264="V",1,-1)*IF($Q264="Fixo",(EZ264-INDEX('Curva Forward'!$C$5:$AN$13,MATCH(CONCATENATE(BD_COMERCIAL!$K264," ",BD_COMERCIAL!$L264),'Curva Forward'!$B$5:$B$13,0),MATCH(GL$4,'Curva Forward'!$C$4:$AN$4,0))),EZ264))</f>
        <v>0</v>
      </c>
      <c r="GM264" s="190">
        <f>IF(FA264="",0,CM264*CM$2*IF($FC264="V",1,-1)*IF($Q264="Fixo",(FA264-INDEX('Curva Forward'!$C$5:$AN$13,MATCH(CONCATENATE(BD_COMERCIAL!$K264," ",BD_COMERCIAL!$L264),'Curva Forward'!$B$5:$B$13,0),MATCH(GM$4,'Curva Forward'!$C$4:$AN$4,0))),FA264))</f>
        <v>0</v>
      </c>
      <c r="GN264" s="190">
        <f>IF(FB264="",0,CN264*CN$2*IF($FC264="V",1,-1)*IF($Q264="Fixo",(FB264-INDEX('Curva Forward'!$C$5:$AN$13,MATCH(CONCATENATE(BD_COMERCIAL!$K264," ",BD_COMERCIAL!$L264),'Curva Forward'!$B$5:$B$13,0),MATCH(GN$4,'Curva Forward'!$C$4:$AN$4,0))),FB264))</f>
        <v>0</v>
      </c>
      <c r="GO264" s="191">
        <f t="shared" ca="1" si="39"/>
        <v>0</v>
      </c>
      <c r="GP264" s="191">
        <f t="shared" ca="1" si="40"/>
        <v>0</v>
      </c>
      <c r="GQ264" s="115"/>
      <c r="GR264" s="115"/>
      <c r="GS264"/>
      <c r="GT264" s="65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</row>
    <row r="265" spans="1:236" s="265" customFormat="1" ht="15" customHeight="1" x14ac:dyDescent="0.35">
      <c r="A265" s="251"/>
      <c r="B265" s="275"/>
      <c r="C265" s="253"/>
      <c r="D265" s="254"/>
      <c r="E265" s="254"/>
      <c r="F265" s="255"/>
      <c r="G265" s="256"/>
      <c r="H265" s="255"/>
      <c r="I265" s="254"/>
      <c r="J265" s="257"/>
      <c r="K265" s="256"/>
      <c r="L265" s="252"/>
      <c r="M265" s="258"/>
      <c r="N265" s="259"/>
      <c r="O265" s="256"/>
      <c r="P265" s="252"/>
      <c r="Q265" s="252"/>
      <c r="R265" s="256"/>
      <c r="S265" s="260"/>
      <c r="T265" s="258"/>
      <c r="U265" s="259"/>
      <c r="V265" s="261"/>
      <c r="W265" s="252"/>
      <c r="X265" s="262"/>
      <c r="Y265" s="257"/>
      <c r="Z265" s="263"/>
      <c r="AA265" s="264"/>
      <c r="AB265" s="266"/>
      <c r="AM265" s="251"/>
      <c r="AN265" s="266"/>
      <c r="AY265" s="251"/>
      <c r="AZ265" s="266"/>
      <c r="BK265" s="251"/>
      <c r="BL265" s="266"/>
      <c r="BW265" s="251"/>
      <c r="BX265" s="266"/>
      <c r="CI265" s="251"/>
      <c r="CJ265" s="267"/>
      <c r="CK265" s="267"/>
      <c r="CL265" s="267"/>
      <c r="CM265" s="267"/>
      <c r="CN265" s="267"/>
      <c r="CO265" s="268"/>
      <c r="CP265" s="266"/>
      <c r="DA265" s="251"/>
      <c r="DB265" s="266"/>
      <c r="DM265" s="251"/>
      <c r="DN265" s="266"/>
      <c r="DY265" s="251"/>
      <c r="DZ265" s="266"/>
      <c r="EK265" s="251"/>
      <c r="EL265" s="266"/>
      <c r="EW265" s="251"/>
      <c r="EX265" s="267"/>
      <c r="EY265" s="267"/>
      <c r="EZ265" s="267"/>
      <c r="FA265" s="267"/>
      <c r="FB265" s="269"/>
      <c r="FD265" s="270"/>
      <c r="FF265" s="276"/>
      <c r="FH265" s="206">
        <f t="shared" si="34"/>
        <v>0</v>
      </c>
      <c r="FI265" s="198">
        <f t="shared" si="35"/>
        <v>0</v>
      </c>
      <c r="FJ265"/>
      <c r="FK265">
        <f t="shared" si="36"/>
        <v>0</v>
      </c>
      <c r="FL265" s="191">
        <f t="shared" ca="1" si="37"/>
        <v>0</v>
      </c>
      <c r="FM265" s="191">
        <f t="shared" ca="1" si="38"/>
        <v>0</v>
      </c>
      <c r="FN265" s="190">
        <f>AB265*AB$2*IF($FC265="V",1,-1)*IF($Q265="Fixo",(CP265-INDEX('Curva Forward'!$C$5:$AN$13,MATCH(CONCATENATE(BD_COMERCIAL!$K265," ",BD_COMERCIAL!$L265),'Curva Forward'!$B$5:$B$13,0),MATCH(FN$4,'Curva Forward'!$C$4:$AN$4,0))),CP265)</f>
        <v>0</v>
      </c>
      <c r="FO265" s="190">
        <f>AC265*AC$2*IF($FC265="V",1,-1)*IF($Q265="Fixo",(CQ265-INDEX('Curva Forward'!$C$5:$AN$13,MATCH(CONCATENATE(BD_COMERCIAL!$K265," ",BD_COMERCIAL!$L265),'Curva Forward'!$B$5:$B$13,0),MATCH(FO$4,'Curva Forward'!$C$4:$AN$4,0))),CQ265)</f>
        <v>0</v>
      </c>
      <c r="FP265" s="190">
        <f>AD265*AD$2*IF($FC265="V",1,-1)*IF($Q265="Fixo",(CR265-INDEX('Curva Forward'!$C$5:$AN$13,MATCH(CONCATENATE(BD_COMERCIAL!$K265," ",BD_COMERCIAL!$L265),'Curva Forward'!$B$5:$B$13,0),MATCH(FP$4,'Curva Forward'!$C$4:$AN$4,0))),CR265)</f>
        <v>0</v>
      </c>
      <c r="FQ265" s="190">
        <f>AE265*AE$2*IF($FC265="V",1,-1)*IF($Q265="Fixo",(CS265-INDEX('Curva Forward'!$C$5:$AN$13,MATCH(CONCATENATE(BD_COMERCIAL!$K265," ",BD_COMERCIAL!$L265),'Curva Forward'!$B$5:$B$13,0),MATCH(FQ$4,'Curva Forward'!$C$4:$AN$4,0))),CS265)</f>
        <v>0</v>
      </c>
      <c r="FR265" s="190">
        <f>AF265*AF$2*IF($FC265="V",1,-1)*IF($Q265="Fixo",(CT265-INDEX('Curva Forward'!$C$5:$AN$13,MATCH(CONCATENATE(BD_COMERCIAL!$K265," ",BD_COMERCIAL!$L265),'Curva Forward'!$B$5:$B$13,0),MATCH(FR$4,'Curva Forward'!$C$4:$AN$4,0))),CT265)</f>
        <v>0</v>
      </c>
      <c r="FS265" s="190">
        <f>AG265*AG$2*IF($FC265="V",1,-1)*IF($Q265="Fixo",(CU265-INDEX('Curva Forward'!$C$5:$AN$13,MATCH(CONCATENATE(BD_COMERCIAL!$K265," ",BD_COMERCIAL!$L265),'Curva Forward'!$B$5:$B$13,0),MATCH(FS$4,'Curva Forward'!$C$4:$AN$4,0))),CU265)</f>
        <v>0</v>
      </c>
      <c r="FT265" s="190">
        <f>AH265*AH$2*IF($FC265="V",1,-1)*IF($Q265="Fixo",(CV265-INDEX('Curva Forward'!$C$5:$AN$13,MATCH(CONCATENATE(BD_COMERCIAL!$K265," ",BD_COMERCIAL!$L265),'Curva Forward'!$B$5:$B$13,0),MATCH(FT$4,'Curva Forward'!$C$4:$AN$4,0))),CV265)</f>
        <v>0</v>
      </c>
      <c r="FU265" s="190">
        <f>AI265*AI$2*IF($FC265="V",1,-1)*IF($Q265="Fixo",(CW265-INDEX('Curva Forward'!$C$5:$AN$13,MATCH(CONCATENATE(BD_COMERCIAL!$K265," ",BD_COMERCIAL!$L265),'Curva Forward'!$B$5:$B$13,0),MATCH(FU$4,'Curva Forward'!$C$4:$AN$4,0))),CW265)</f>
        <v>0</v>
      </c>
      <c r="FV265" s="190">
        <f>AJ265*AJ$2*IF($FC265="V",1,-1)*IF($Q265="Fixo",(CX265-INDEX('Curva Forward'!$C$5:$AN$13,MATCH(CONCATENATE(BD_COMERCIAL!$K265," ",BD_COMERCIAL!$L265),'Curva Forward'!$B$5:$B$13,0),MATCH(FV$4,'Curva Forward'!$C$4:$AN$4,0))),CX265)</f>
        <v>0</v>
      </c>
      <c r="FW265" s="190">
        <f>AK265*AK$2*IF($FC265="V",1,-1)*IF($Q265="Fixo",(CY265-INDEX('Curva Forward'!$C$5:$AN$13,MATCH(CONCATENATE(BD_COMERCIAL!$K265," ",BD_COMERCIAL!$L265),'Curva Forward'!$B$5:$B$13,0),MATCH(FW$4,'Curva Forward'!$C$4:$AN$4,0))),CY265)</f>
        <v>0</v>
      </c>
      <c r="FX265" s="190">
        <f>AL265*AL$2*IF($FC265="V",1,-1)*IF($Q265="Fixo",(CZ265-INDEX('Curva Forward'!$C$5:$AN$13,MATCH(CONCATENATE(BD_COMERCIAL!$K265," ",BD_COMERCIAL!$L265),'Curva Forward'!$B$5:$B$13,0),MATCH(FX$4,'Curva Forward'!$C$4:$AN$4,0))),CZ265)</f>
        <v>0</v>
      </c>
      <c r="FY265" s="190">
        <f>AM265*AM$2*IF($FC265="V",1,-1)*IF($Q265="Fixo",(DA265-INDEX('Curva Forward'!$C$5:$AN$13,MATCH(CONCATENATE(BD_COMERCIAL!$K265," ",BD_COMERCIAL!$L265),'Curva Forward'!$B$5:$B$13,0),MATCH(FY$4,'Curva Forward'!$C$4:$AN$4,0))),DA265)</f>
        <v>0</v>
      </c>
      <c r="FZ265" s="190">
        <f>AN265*AN$2*IF($FC265="V",1,-1)*IF($Q265="Fixo",(DB265-INDEX('Curva Forward'!$C$5:$AN$13,MATCH(CONCATENATE(BD_COMERCIAL!$K265," ",BD_COMERCIAL!$L265),'Curva Forward'!$B$5:$B$13,0),MATCH(FZ$4,'Curva Forward'!$C$4:$AN$4,0))),DB265)</f>
        <v>0</v>
      </c>
      <c r="GA265" s="190">
        <f>AO265*AO$2*IF($FC265="V",1,-1)*IF($Q265="Fixo",(DC265-INDEX('Curva Forward'!$C$5:$AN$13,MATCH(CONCATENATE(BD_COMERCIAL!$K265," ",BD_COMERCIAL!$L265),'Curva Forward'!$B$5:$B$13,0),MATCH(GA$4,'Curva Forward'!$C$4:$AN$4,0))),DC265)</f>
        <v>0</v>
      </c>
      <c r="GB265" s="190">
        <f>AP265*AP$2*IF($FC265="V",1,-1)*IF($Q265="Fixo",(DD265-INDEX('Curva Forward'!$C$5:$AN$13,MATCH(CONCATENATE(BD_COMERCIAL!$K265," ",BD_COMERCIAL!$L265),'Curva Forward'!$B$5:$B$13,0),MATCH(GB$4,'Curva Forward'!$C$4:$AN$4,0))),DD265)</f>
        <v>0</v>
      </c>
      <c r="GC265" s="190">
        <f>AQ265*AQ$2*IF($FC265="V",1,-1)*IF($Q265="Fixo",(DE265-INDEX('Curva Forward'!$C$5:$AN$13,MATCH(CONCATENATE(BD_COMERCIAL!$K265," ",BD_COMERCIAL!$L265),'Curva Forward'!$B$5:$B$13,0),MATCH(GC$4,'Curva Forward'!$C$4:$AN$4,0))),DE265)</f>
        <v>0</v>
      </c>
      <c r="GD265" s="190">
        <f>AR265*AR$2*IF($FC265="V",1,-1)*IF($Q265="Fixo",(DF265-INDEX('Curva Forward'!$C$5:$AN$13,MATCH(CONCATENATE(BD_COMERCIAL!$K265," ",BD_COMERCIAL!$L265),'Curva Forward'!$B$5:$B$13,0),MATCH(GD$4,'Curva Forward'!$C$4:$AN$4,0))),DF265)</f>
        <v>0</v>
      </c>
      <c r="GE265" s="190">
        <f>AS265*AS$2*IF($FC265="V",1,-1)*IF($Q265="Fixo",(DG265-INDEX('Curva Forward'!$C$5:$AN$13,MATCH(CONCATENATE(BD_COMERCIAL!$K265," ",BD_COMERCIAL!$L265),'Curva Forward'!$B$5:$B$13,0),MATCH(GE$4,'Curva Forward'!$C$4:$AN$4,0))),DG265)</f>
        <v>0</v>
      </c>
      <c r="GF265" s="190">
        <f>AT265*AT$2*IF($FC265="V",1,-1)*IF($Q265="Fixo",(DH265-INDEX('Curva Forward'!$C$5:$AN$13,MATCH(CONCATENATE(BD_COMERCIAL!$K265," ",BD_COMERCIAL!$L265),'Curva Forward'!$B$5:$B$13,0),MATCH(GF$4,'Curva Forward'!$C$4:$AN$4,0))),DH265)</f>
        <v>0</v>
      </c>
      <c r="GG265" s="190">
        <f>AU265*AU$2*IF($FC265="V",1,-1)*IF($Q265="Fixo",(DI265-INDEX('Curva Forward'!$C$5:$AN$13,MATCH(CONCATENATE(BD_COMERCIAL!$K265," ",BD_COMERCIAL!$L265),'Curva Forward'!$B$5:$B$13,0),MATCH(GG$4,'Curva Forward'!$C$4:$AN$4,0))),DI265)</f>
        <v>0</v>
      </c>
      <c r="GH265" s="190">
        <f>AV265*AV$2*IF($FC265="V",1,-1)*IF($Q265="Fixo",(DJ265-INDEX('Curva Forward'!$C$5:$AN$13,MATCH(CONCATENATE(BD_COMERCIAL!$K265," ",BD_COMERCIAL!$L265),'Curva Forward'!$B$5:$B$13,0),MATCH(GH$4,'Curva Forward'!$C$4:$AN$4,0))),DJ265)</f>
        <v>0</v>
      </c>
      <c r="GI265" s="190">
        <f>AW265*AW$2*IF($FC265="V",1,-1)*IF($Q265="Fixo",(DK265-INDEX('Curva Forward'!$C$5:$AN$13,MATCH(CONCATENATE(BD_COMERCIAL!$K265," ",BD_COMERCIAL!$L265),'Curva Forward'!$B$5:$B$13,0),MATCH(GI$4,'Curva Forward'!$C$4:$AN$4,0))),DK265)</f>
        <v>0</v>
      </c>
      <c r="GJ265" s="190">
        <f>AX265*AX$2*IF($FC265="V",1,-1)*IF($Q265="Fixo",(DL265-INDEX('Curva Forward'!$C$5:$AN$13,MATCH(CONCATENATE(BD_COMERCIAL!$K265," ",BD_COMERCIAL!$L265),'Curva Forward'!$B$5:$B$13,0),MATCH(GJ$4,'Curva Forward'!$C$4:$AN$4,0))),DL265)</f>
        <v>0</v>
      </c>
      <c r="GK265" s="190">
        <f>AY265*AY$2*IF($FC265="V",1,-1)*IF($Q265="Fixo",(DM265-INDEX('Curva Forward'!$C$5:$AN$13,MATCH(CONCATENATE(BD_COMERCIAL!$K265," ",BD_COMERCIAL!$L265),'Curva Forward'!$B$5:$B$13,0),MATCH(GK$4,'Curva Forward'!$C$4:$AN$4,0))),DM265)</f>
        <v>0</v>
      </c>
      <c r="GL265" s="190">
        <f>IF(EZ265="",0,CL265*CL$2*IF($FC265="V",1,-1)*IF($Q265="Fixo",(EZ265-INDEX('Curva Forward'!$C$5:$AN$13,MATCH(CONCATENATE(BD_COMERCIAL!$K265," ",BD_COMERCIAL!$L265),'Curva Forward'!$B$5:$B$13,0),MATCH(GL$4,'Curva Forward'!$C$4:$AN$4,0))),EZ265))</f>
        <v>0</v>
      </c>
      <c r="GM265" s="190">
        <f>IF(FA265="",0,CM265*CM$2*IF($FC265="V",1,-1)*IF($Q265="Fixo",(FA265-INDEX('Curva Forward'!$C$5:$AN$13,MATCH(CONCATENATE(BD_COMERCIAL!$K265," ",BD_COMERCIAL!$L265),'Curva Forward'!$B$5:$B$13,0),MATCH(GM$4,'Curva Forward'!$C$4:$AN$4,0))),FA265))</f>
        <v>0</v>
      </c>
      <c r="GN265" s="190">
        <f>IF(FB265="",0,CN265*CN$2*IF($FC265="V",1,-1)*IF($Q265="Fixo",(FB265-INDEX('Curva Forward'!$C$5:$AN$13,MATCH(CONCATENATE(BD_COMERCIAL!$K265," ",BD_COMERCIAL!$L265),'Curva Forward'!$B$5:$B$13,0),MATCH(GN$4,'Curva Forward'!$C$4:$AN$4,0))),FB265))</f>
        <v>0</v>
      </c>
      <c r="GO265" s="191">
        <f t="shared" ca="1" si="39"/>
        <v>0</v>
      </c>
      <c r="GP265" s="191">
        <f t="shared" ca="1" si="40"/>
        <v>0</v>
      </c>
      <c r="GQ265" s="115"/>
      <c r="GR265" s="115"/>
      <c r="GS265"/>
      <c r="GT265" s="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</row>
    <row r="266" spans="1:236" s="265" customFormat="1" ht="15" customHeight="1" x14ac:dyDescent="0.35">
      <c r="A266" s="251"/>
      <c r="B266" s="275"/>
      <c r="C266" s="253"/>
      <c r="D266" s="254"/>
      <c r="E266" s="254"/>
      <c r="F266" s="255"/>
      <c r="G266" s="256"/>
      <c r="H266" s="255"/>
      <c r="I266" s="254"/>
      <c r="J266" s="257"/>
      <c r="K266" s="256"/>
      <c r="L266" s="252"/>
      <c r="M266" s="258"/>
      <c r="N266" s="259"/>
      <c r="O266" s="256"/>
      <c r="P266" s="252"/>
      <c r="Q266" s="252"/>
      <c r="R266" s="256"/>
      <c r="S266" s="260"/>
      <c r="T266" s="258"/>
      <c r="U266" s="259"/>
      <c r="V266" s="261"/>
      <c r="W266" s="252"/>
      <c r="X266" s="262"/>
      <c r="Y266" s="257"/>
      <c r="Z266" s="263"/>
      <c r="AA266" s="264"/>
      <c r="AB266" s="266"/>
      <c r="AM266" s="251"/>
      <c r="AN266" s="266"/>
      <c r="AY266" s="251"/>
      <c r="AZ266" s="266"/>
      <c r="BK266" s="251"/>
      <c r="BL266" s="266"/>
      <c r="BW266" s="251"/>
      <c r="BX266" s="266"/>
      <c r="CI266" s="251"/>
      <c r="CJ266" s="267"/>
      <c r="CK266" s="267"/>
      <c r="CL266" s="267"/>
      <c r="CM266" s="267"/>
      <c r="CN266" s="267"/>
      <c r="CO266" s="268"/>
      <c r="CP266" s="266"/>
      <c r="DA266" s="251"/>
      <c r="DB266" s="266"/>
      <c r="DM266" s="251"/>
      <c r="DN266" s="266"/>
      <c r="DY266" s="251"/>
      <c r="DZ266" s="266"/>
      <c r="EK266" s="251"/>
      <c r="EL266" s="266"/>
      <c r="EW266" s="251"/>
      <c r="EX266" s="267"/>
      <c r="EY266" s="267"/>
      <c r="EZ266" s="267"/>
      <c r="FA266" s="267"/>
      <c r="FB266" s="269"/>
      <c r="FD266" s="270"/>
      <c r="FF266" s="276"/>
      <c r="FH266" s="206">
        <f t="shared" si="34"/>
        <v>0</v>
      </c>
      <c r="FI266" s="198">
        <f t="shared" si="35"/>
        <v>0</v>
      </c>
      <c r="FJ266"/>
      <c r="FK266">
        <f t="shared" si="36"/>
        <v>0</v>
      </c>
      <c r="FL266" s="191">
        <f t="shared" ca="1" si="37"/>
        <v>0</v>
      </c>
      <c r="FM266" s="191">
        <f t="shared" ca="1" si="38"/>
        <v>0</v>
      </c>
      <c r="FN266" s="190">
        <f>AB266*AB$2*IF($FC266="V",1,-1)*IF($Q266="Fixo",(CP266-INDEX('Curva Forward'!$C$5:$AN$13,MATCH(CONCATENATE(BD_COMERCIAL!$K266," ",BD_COMERCIAL!$L266),'Curva Forward'!$B$5:$B$13,0),MATCH(FN$4,'Curva Forward'!$C$4:$AN$4,0))),CP266)</f>
        <v>0</v>
      </c>
      <c r="FO266" s="190">
        <f>AC266*AC$2*IF($FC266="V",1,-1)*IF($Q266="Fixo",(CQ266-INDEX('Curva Forward'!$C$5:$AN$13,MATCH(CONCATENATE(BD_COMERCIAL!$K266," ",BD_COMERCIAL!$L266),'Curva Forward'!$B$5:$B$13,0),MATCH(FO$4,'Curva Forward'!$C$4:$AN$4,0))),CQ266)</f>
        <v>0</v>
      </c>
      <c r="FP266" s="190">
        <f>AD266*AD$2*IF($FC266="V",1,-1)*IF($Q266="Fixo",(CR266-INDEX('Curva Forward'!$C$5:$AN$13,MATCH(CONCATENATE(BD_COMERCIAL!$K266," ",BD_COMERCIAL!$L266),'Curva Forward'!$B$5:$B$13,0),MATCH(FP$4,'Curva Forward'!$C$4:$AN$4,0))),CR266)</f>
        <v>0</v>
      </c>
      <c r="FQ266" s="190">
        <f>AE266*AE$2*IF($FC266="V",1,-1)*IF($Q266="Fixo",(CS266-INDEX('Curva Forward'!$C$5:$AN$13,MATCH(CONCATENATE(BD_COMERCIAL!$K266," ",BD_COMERCIAL!$L266),'Curva Forward'!$B$5:$B$13,0),MATCH(FQ$4,'Curva Forward'!$C$4:$AN$4,0))),CS266)</f>
        <v>0</v>
      </c>
      <c r="FR266" s="190">
        <f>AF266*AF$2*IF($FC266="V",1,-1)*IF($Q266="Fixo",(CT266-INDEX('Curva Forward'!$C$5:$AN$13,MATCH(CONCATENATE(BD_COMERCIAL!$K266," ",BD_COMERCIAL!$L266),'Curva Forward'!$B$5:$B$13,0),MATCH(FR$4,'Curva Forward'!$C$4:$AN$4,0))),CT266)</f>
        <v>0</v>
      </c>
      <c r="FS266" s="190">
        <f>AG266*AG$2*IF($FC266="V",1,-1)*IF($Q266="Fixo",(CU266-INDEX('Curva Forward'!$C$5:$AN$13,MATCH(CONCATENATE(BD_COMERCIAL!$K266," ",BD_COMERCIAL!$L266),'Curva Forward'!$B$5:$B$13,0),MATCH(FS$4,'Curva Forward'!$C$4:$AN$4,0))),CU266)</f>
        <v>0</v>
      </c>
      <c r="FT266" s="190">
        <f>AH266*AH$2*IF($FC266="V",1,-1)*IF($Q266="Fixo",(CV266-INDEX('Curva Forward'!$C$5:$AN$13,MATCH(CONCATENATE(BD_COMERCIAL!$K266," ",BD_COMERCIAL!$L266),'Curva Forward'!$B$5:$B$13,0),MATCH(FT$4,'Curva Forward'!$C$4:$AN$4,0))),CV266)</f>
        <v>0</v>
      </c>
      <c r="FU266" s="190">
        <f>AI266*AI$2*IF($FC266="V",1,-1)*IF($Q266="Fixo",(CW266-INDEX('Curva Forward'!$C$5:$AN$13,MATCH(CONCATENATE(BD_COMERCIAL!$K266," ",BD_COMERCIAL!$L266),'Curva Forward'!$B$5:$B$13,0),MATCH(FU$4,'Curva Forward'!$C$4:$AN$4,0))),CW266)</f>
        <v>0</v>
      </c>
      <c r="FV266" s="190">
        <f>AJ266*AJ$2*IF($FC266="V",1,-1)*IF($Q266="Fixo",(CX266-INDEX('Curva Forward'!$C$5:$AN$13,MATCH(CONCATENATE(BD_COMERCIAL!$K266," ",BD_COMERCIAL!$L266),'Curva Forward'!$B$5:$B$13,0),MATCH(FV$4,'Curva Forward'!$C$4:$AN$4,0))),CX266)</f>
        <v>0</v>
      </c>
      <c r="FW266" s="190">
        <f>AK266*AK$2*IF($FC266="V",1,-1)*IF($Q266="Fixo",(CY266-INDEX('Curva Forward'!$C$5:$AN$13,MATCH(CONCATENATE(BD_COMERCIAL!$K266," ",BD_COMERCIAL!$L266),'Curva Forward'!$B$5:$B$13,0),MATCH(FW$4,'Curva Forward'!$C$4:$AN$4,0))),CY266)</f>
        <v>0</v>
      </c>
      <c r="FX266" s="190">
        <f>AL266*AL$2*IF($FC266="V",1,-1)*IF($Q266="Fixo",(CZ266-INDEX('Curva Forward'!$C$5:$AN$13,MATCH(CONCATENATE(BD_COMERCIAL!$K266," ",BD_COMERCIAL!$L266),'Curva Forward'!$B$5:$B$13,0),MATCH(FX$4,'Curva Forward'!$C$4:$AN$4,0))),CZ266)</f>
        <v>0</v>
      </c>
      <c r="FY266" s="190">
        <f>AM266*AM$2*IF($FC266="V",1,-1)*IF($Q266="Fixo",(DA266-INDEX('Curva Forward'!$C$5:$AN$13,MATCH(CONCATENATE(BD_COMERCIAL!$K266," ",BD_COMERCIAL!$L266),'Curva Forward'!$B$5:$B$13,0),MATCH(FY$4,'Curva Forward'!$C$4:$AN$4,0))),DA266)</f>
        <v>0</v>
      </c>
      <c r="FZ266" s="190">
        <f>AN266*AN$2*IF($FC266="V",1,-1)*IF($Q266="Fixo",(DB266-INDEX('Curva Forward'!$C$5:$AN$13,MATCH(CONCATENATE(BD_COMERCIAL!$K266," ",BD_COMERCIAL!$L266),'Curva Forward'!$B$5:$B$13,0),MATCH(FZ$4,'Curva Forward'!$C$4:$AN$4,0))),DB266)</f>
        <v>0</v>
      </c>
      <c r="GA266" s="190">
        <f>AO266*AO$2*IF($FC266="V",1,-1)*IF($Q266="Fixo",(DC266-INDEX('Curva Forward'!$C$5:$AN$13,MATCH(CONCATENATE(BD_COMERCIAL!$K266," ",BD_COMERCIAL!$L266),'Curva Forward'!$B$5:$B$13,0),MATCH(GA$4,'Curva Forward'!$C$4:$AN$4,0))),DC266)</f>
        <v>0</v>
      </c>
      <c r="GB266" s="190">
        <f>AP266*AP$2*IF($FC266="V",1,-1)*IF($Q266="Fixo",(DD266-INDEX('Curva Forward'!$C$5:$AN$13,MATCH(CONCATENATE(BD_COMERCIAL!$K266," ",BD_COMERCIAL!$L266),'Curva Forward'!$B$5:$B$13,0),MATCH(GB$4,'Curva Forward'!$C$4:$AN$4,0))),DD266)</f>
        <v>0</v>
      </c>
      <c r="GC266" s="190">
        <f>AQ266*AQ$2*IF($FC266="V",1,-1)*IF($Q266="Fixo",(DE266-INDEX('Curva Forward'!$C$5:$AN$13,MATCH(CONCATENATE(BD_COMERCIAL!$K266," ",BD_COMERCIAL!$L266),'Curva Forward'!$B$5:$B$13,0),MATCH(GC$4,'Curva Forward'!$C$4:$AN$4,0))),DE266)</f>
        <v>0</v>
      </c>
      <c r="GD266" s="190">
        <f>AR266*AR$2*IF($FC266="V",1,-1)*IF($Q266="Fixo",(DF266-INDEX('Curva Forward'!$C$5:$AN$13,MATCH(CONCATENATE(BD_COMERCIAL!$K266," ",BD_COMERCIAL!$L266),'Curva Forward'!$B$5:$B$13,0),MATCH(GD$4,'Curva Forward'!$C$4:$AN$4,0))),DF266)</f>
        <v>0</v>
      </c>
      <c r="GE266" s="190">
        <f>AS266*AS$2*IF($FC266="V",1,-1)*IF($Q266="Fixo",(DG266-INDEX('Curva Forward'!$C$5:$AN$13,MATCH(CONCATENATE(BD_COMERCIAL!$K266," ",BD_COMERCIAL!$L266),'Curva Forward'!$B$5:$B$13,0),MATCH(GE$4,'Curva Forward'!$C$4:$AN$4,0))),DG266)</f>
        <v>0</v>
      </c>
      <c r="GF266" s="190">
        <f>AT266*AT$2*IF($FC266="V",1,-1)*IF($Q266="Fixo",(DH266-INDEX('Curva Forward'!$C$5:$AN$13,MATCH(CONCATENATE(BD_COMERCIAL!$K266," ",BD_COMERCIAL!$L266),'Curva Forward'!$B$5:$B$13,0),MATCH(GF$4,'Curva Forward'!$C$4:$AN$4,0))),DH266)</f>
        <v>0</v>
      </c>
      <c r="GG266" s="190">
        <f>AU266*AU$2*IF($FC266="V",1,-1)*IF($Q266="Fixo",(DI266-INDEX('Curva Forward'!$C$5:$AN$13,MATCH(CONCATENATE(BD_COMERCIAL!$K266," ",BD_COMERCIAL!$L266),'Curva Forward'!$B$5:$B$13,0),MATCH(GG$4,'Curva Forward'!$C$4:$AN$4,0))),DI266)</f>
        <v>0</v>
      </c>
      <c r="GH266" s="190">
        <f>AV266*AV$2*IF($FC266="V",1,-1)*IF($Q266="Fixo",(DJ266-INDEX('Curva Forward'!$C$5:$AN$13,MATCH(CONCATENATE(BD_COMERCIAL!$K266," ",BD_COMERCIAL!$L266),'Curva Forward'!$B$5:$B$13,0),MATCH(GH$4,'Curva Forward'!$C$4:$AN$4,0))),DJ266)</f>
        <v>0</v>
      </c>
      <c r="GI266" s="190">
        <f>AW266*AW$2*IF($FC266="V",1,-1)*IF($Q266="Fixo",(DK266-INDEX('Curva Forward'!$C$5:$AN$13,MATCH(CONCATENATE(BD_COMERCIAL!$K266," ",BD_COMERCIAL!$L266),'Curva Forward'!$B$5:$B$13,0),MATCH(GI$4,'Curva Forward'!$C$4:$AN$4,0))),DK266)</f>
        <v>0</v>
      </c>
      <c r="GJ266" s="190">
        <f>AX266*AX$2*IF($FC266="V",1,-1)*IF($Q266="Fixo",(DL266-INDEX('Curva Forward'!$C$5:$AN$13,MATCH(CONCATENATE(BD_COMERCIAL!$K266," ",BD_COMERCIAL!$L266),'Curva Forward'!$B$5:$B$13,0),MATCH(GJ$4,'Curva Forward'!$C$4:$AN$4,0))),DL266)</f>
        <v>0</v>
      </c>
      <c r="GK266" s="190">
        <f>AY266*AY$2*IF($FC266="V",1,-1)*IF($Q266="Fixo",(DM266-INDEX('Curva Forward'!$C$5:$AN$13,MATCH(CONCATENATE(BD_COMERCIAL!$K266," ",BD_COMERCIAL!$L266),'Curva Forward'!$B$5:$B$13,0),MATCH(GK$4,'Curva Forward'!$C$4:$AN$4,0))),DM266)</f>
        <v>0</v>
      </c>
      <c r="GL266" s="190">
        <f>IF(EZ266="",0,CL266*CL$2*IF($FC266="V",1,-1)*IF($Q266="Fixo",(EZ266-INDEX('Curva Forward'!$C$5:$AN$13,MATCH(CONCATENATE(BD_COMERCIAL!$K266," ",BD_COMERCIAL!$L266),'Curva Forward'!$B$5:$B$13,0),MATCH(GL$4,'Curva Forward'!$C$4:$AN$4,0))),EZ266))</f>
        <v>0</v>
      </c>
      <c r="GM266" s="190">
        <f>IF(FA266="",0,CM266*CM$2*IF($FC266="V",1,-1)*IF($Q266="Fixo",(FA266-INDEX('Curva Forward'!$C$5:$AN$13,MATCH(CONCATENATE(BD_COMERCIAL!$K266," ",BD_COMERCIAL!$L266),'Curva Forward'!$B$5:$B$13,0),MATCH(GM$4,'Curva Forward'!$C$4:$AN$4,0))),FA266))</f>
        <v>0</v>
      </c>
      <c r="GN266" s="190">
        <f>IF(FB266="",0,CN266*CN$2*IF($FC266="V",1,-1)*IF($Q266="Fixo",(FB266-INDEX('Curva Forward'!$C$5:$AN$13,MATCH(CONCATENATE(BD_COMERCIAL!$K266," ",BD_COMERCIAL!$L266),'Curva Forward'!$B$5:$B$13,0),MATCH(GN$4,'Curva Forward'!$C$4:$AN$4,0))),FB266))</f>
        <v>0</v>
      </c>
      <c r="GO266" s="191">
        <f t="shared" ca="1" si="39"/>
        <v>0</v>
      </c>
      <c r="GP266" s="191">
        <f t="shared" ca="1" si="40"/>
        <v>0</v>
      </c>
      <c r="GQ266" s="115"/>
      <c r="GR266" s="115"/>
      <c r="GS266"/>
      <c r="GT266" s="65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</row>
    <row r="267" spans="1:236" s="265" customFormat="1" ht="15" customHeight="1" x14ac:dyDescent="0.35">
      <c r="A267" s="251"/>
      <c r="B267" s="275"/>
      <c r="C267" s="253"/>
      <c r="D267" s="254"/>
      <c r="E267" s="254"/>
      <c r="F267" s="255"/>
      <c r="G267" s="256"/>
      <c r="H267" s="255"/>
      <c r="I267" s="254"/>
      <c r="J267" s="257"/>
      <c r="K267" s="256"/>
      <c r="L267" s="252"/>
      <c r="M267" s="258"/>
      <c r="N267" s="259"/>
      <c r="O267" s="256"/>
      <c r="P267" s="252"/>
      <c r="Q267" s="252"/>
      <c r="R267" s="256"/>
      <c r="S267" s="260"/>
      <c r="T267" s="258"/>
      <c r="U267" s="259"/>
      <c r="V267" s="261"/>
      <c r="W267" s="252"/>
      <c r="X267" s="262"/>
      <c r="Y267" s="257"/>
      <c r="Z267" s="263"/>
      <c r="AA267" s="264"/>
      <c r="AB267" s="266"/>
      <c r="AM267" s="251"/>
      <c r="AN267" s="266"/>
      <c r="AY267" s="251"/>
      <c r="AZ267" s="266"/>
      <c r="BK267" s="251"/>
      <c r="BL267" s="266"/>
      <c r="BW267" s="251"/>
      <c r="BX267" s="266"/>
      <c r="CI267" s="251"/>
      <c r="CJ267" s="267"/>
      <c r="CK267" s="267"/>
      <c r="CL267" s="267"/>
      <c r="CM267" s="267"/>
      <c r="CN267" s="267"/>
      <c r="CO267" s="268"/>
      <c r="CP267" s="266"/>
      <c r="DA267" s="251"/>
      <c r="DB267" s="266"/>
      <c r="DM267" s="251"/>
      <c r="DN267" s="266"/>
      <c r="DY267" s="251"/>
      <c r="DZ267" s="266"/>
      <c r="EK267" s="251"/>
      <c r="EL267" s="266"/>
      <c r="EW267" s="251"/>
      <c r="EX267" s="267"/>
      <c r="EY267" s="267"/>
      <c r="EZ267" s="267"/>
      <c r="FA267" s="267"/>
      <c r="FB267" s="269"/>
      <c r="FD267" s="270"/>
      <c r="FF267" s="276"/>
      <c r="FH267" s="206">
        <f t="shared" si="34"/>
        <v>0</v>
      </c>
      <c r="FI267" s="198">
        <f t="shared" si="35"/>
        <v>0</v>
      </c>
      <c r="FJ267"/>
      <c r="FK267">
        <f t="shared" si="36"/>
        <v>0</v>
      </c>
      <c r="FL267" s="191">
        <f t="shared" ca="1" si="37"/>
        <v>0</v>
      </c>
      <c r="FM267" s="191">
        <f t="shared" ca="1" si="38"/>
        <v>0</v>
      </c>
      <c r="FN267" s="190">
        <f>AB267*AB$2*IF($FC267="V",1,-1)*IF($Q267="Fixo",(CP267-INDEX('Curva Forward'!$C$5:$AN$13,MATCH(CONCATENATE(BD_COMERCIAL!$K267," ",BD_COMERCIAL!$L267),'Curva Forward'!$B$5:$B$13,0),MATCH(FN$4,'Curva Forward'!$C$4:$AN$4,0))),CP267)</f>
        <v>0</v>
      </c>
      <c r="FO267" s="190">
        <f>AC267*AC$2*IF($FC267="V",1,-1)*IF($Q267="Fixo",(CQ267-INDEX('Curva Forward'!$C$5:$AN$13,MATCH(CONCATENATE(BD_COMERCIAL!$K267," ",BD_COMERCIAL!$L267),'Curva Forward'!$B$5:$B$13,0),MATCH(FO$4,'Curva Forward'!$C$4:$AN$4,0))),CQ267)</f>
        <v>0</v>
      </c>
      <c r="FP267" s="190">
        <f>AD267*AD$2*IF($FC267="V",1,-1)*IF($Q267="Fixo",(CR267-INDEX('Curva Forward'!$C$5:$AN$13,MATCH(CONCATENATE(BD_COMERCIAL!$K267," ",BD_COMERCIAL!$L267),'Curva Forward'!$B$5:$B$13,0),MATCH(FP$4,'Curva Forward'!$C$4:$AN$4,0))),CR267)</f>
        <v>0</v>
      </c>
      <c r="FQ267" s="190">
        <f>AE267*AE$2*IF($FC267="V",1,-1)*IF($Q267="Fixo",(CS267-INDEX('Curva Forward'!$C$5:$AN$13,MATCH(CONCATENATE(BD_COMERCIAL!$K267," ",BD_COMERCIAL!$L267),'Curva Forward'!$B$5:$B$13,0),MATCH(FQ$4,'Curva Forward'!$C$4:$AN$4,0))),CS267)</f>
        <v>0</v>
      </c>
      <c r="FR267" s="190">
        <f>AF267*AF$2*IF($FC267="V",1,-1)*IF($Q267="Fixo",(CT267-INDEX('Curva Forward'!$C$5:$AN$13,MATCH(CONCATENATE(BD_COMERCIAL!$K267," ",BD_COMERCIAL!$L267),'Curva Forward'!$B$5:$B$13,0),MATCH(FR$4,'Curva Forward'!$C$4:$AN$4,0))),CT267)</f>
        <v>0</v>
      </c>
      <c r="FS267" s="190">
        <f>AG267*AG$2*IF($FC267="V",1,-1)*IF($Q267="Fixo",(CU267-INDEX('Curva Forward'!$C$5:$AN$13,MATCH(CONCATENATE(BD_COMERCIAL!$K267," ",BD_COMERCIAL!$L267),'Curva Forward'!$B$5:$B$13,0),MATCH(FS$4,'Curva Forward'!$C$4:$AN$4,0))),CU267)</f>
        <v>0</v>
      </c>
      <c r="FT267" s="190">
        <f>AH267*AH$2*IF($FC267="V",1,-1)*IF($Q267="Fixo",(CV267-INDEX('Curva Forward'!$C$5:$AN$13,MATCH(CONCATENATE(BD_COMERCIAL!$K267," ",BD_COMERCIAL!$L267),'Curva Forward'!$B$5:$B$13,0),MATCH(FT$4,'Curva Forward'!$C$4:$AN$4,0))),CV267)</f>
        <v>0</v>
      </c>
      <c r="FU267" s="190">
        <f>AI267*AI$2*IF($FC267="V",1,-1)*IF($Q267="Fixo",(CW267-INDEX('Curva Forward'!$C$5:$AN$13,MATCH(CONCATENATE(BD_COMERCIAL!$K267," ",BD_COMERCIAL!$L267),'Curva Forward'!$B$5:$B$13,0),MATCH(FU$4,'Curva Forward'!$C$4:$AN$4,0))),CW267)</f>
        <v>0</v>
      </c>
      <c r="FV267" s="190">
        <f>AJ267*AJ$2*IF($FC267="V",1,-1)*IF($Q267="Fixo",(CX267-INDEX('Curva Forward'!$C$5:$AN$13,MATCH(CONCATENATE(BD_COMERCIAL!$K267," ",BD_COMERCIAL!$L267),'Curva Forward'!$B$5:$B$13,0),MATCH(FV$4,'Curva Forward'!$C$4:$AN$4,0))),CX267)</f>
        <v>0</v>
      </c>
      <c r="FW267" s="190">
        <f>AK267*AK$2*IF($FC267="V",1,-1)*IF($Q267="Fixo",(CY267-INDEX('Curva Forward'!$C$5:$AN$13,MATCH(CONCATENATE(BD_COMERCIAL!$K267," ",BD_COMERCIAL!$L267),'Curva Forward'!$B$5:$B$13,0),MATCH(FW$4,'Curva Forward'!$C$4:$AN$4,0))),CY267)</f>
        <v>0</v>
      </c>
      <c r="FX267" s="190">
        <f>AL267*AL$2*IF($FC267="V",1,-1)*IF($Q267="Fixo",(CZ267-INDEX('Curva Forward'!$C$5:$AN$13,MATCH(CONCATENATE(BD_COMERCIAL!$K267," ",BD_COMERCIAL!$L267),'Curva Forward'!$B$5:$B$13,0),MATCH(FX$4,'Curva Forward'!$C$4:$AN$4,0))),CZ267)</f>
        <v>0</v>
      </c>
      <c r="FY267" s="190">
        <f>AM267*AM$2*IF($FC267="V",1,-1)*IF($Q267="Fixo",(DA267-INDEX('Curva Forward'!$C$5:$AN$13,MATCH(CONCATENATE(BD_COMERCIAL!$K267," ",BD_COMERCIAL!$L267),'Curva Forward'!$B$5:$B$13,0),MATCH(FY$4,'Curva Forward'!$C$4:$AN$4,0))),DA267)</f>
        <v>0</v>
      </c>
      <c r="FZ267" s="190">
        <f>AN267*AN$2*IF($FC267="V",1,-1)*IF($Q267="Fixo",(DB267-INDEX('Curva Forward'!$C$5:$AN$13,MATCH(CONCATENATE(BD_COMERCIAL!$K267," ",BD_COMERCIAL!$L267),'Curva Forward'!$B$5:$B$13,0),MATCH(FZ$4,'Curva Forward'!$C$4:$AN$4,0))),DB267)</f>
        <v>0</v>
      </c>
      <c r="GA267" s="190">
        <f>AO267*AO$2*IF($FC267="V",1,-1)*IF($Q267="Fixo",(DC267-INDEX('Curva Forward'!$C$5:$AN$13,MATCH(CONCATENATE(BD_COMERCIAL!$K267," ",BD_COMERCIAL!$L267),'Curva Forward'!$B$5:$B$13,0),MATCH(GA$4,'Curva Forward'!$C$4:$AN$4,0))),DC267)</f>
        <v>0</v>
      </c>
      <c r="GB267" s="190">
        <f>AP267*AP$2*IF($FC267="V",1,-1)*IF($Q267="Fixo",(DD267-INDEX('Curva Forward'!$C$5:$AN$13,MATCH(CONCATENATE(BD_COMERCIAL!$K267," ",BD_COMERCIAL!$L267),'Curva Forward'!$B$5:$B$13,0),MATCH(GB$4,'Curva Forward'!$C$4:$AN$4,0))),DD267)</f>
        <v>0</v>
      </c>
      <c r="GC267" s="190">
        <f>AQ267*AQ$2*IF($FC267="V",1,-1)*IF($Q267="Fixo",(DE267-INDEX('Curva Forward'!$C$5:$AN$13,MATCH(CONCATENATE(BD_COMERCIAL!$K267," ",BD_COMERCIAL!$L267),'Curva Forward'!$B$5:$B$13,0),MATCH(GC$4,'Curva Forward'!$C$4:$AN$4,0))),DE267)</f>
        <v>0</v>
      </c>
      <c r="GD267" s="190">
        <f>AR267*AR$2*IF($FC267="V",1,-1)*IF($Q267="Fixo",(DF267-INDEX('Curva Forward'!$C$5:$AN$13,MATCH(CONCATENATE(BD_COMERCIAL!$K267," ",BD_COMERCIAL!$L267),'Curva Forward'!$B$5:$B$13,0),MATCH(GD$4,'Curva Forward'!$C$4:$AN$4,0))),DF267)</f>
        <v>0</v>
      </c>
      <c r="GE267" s="190">
        <f>AS267*AS$2*IF($FC267="V",1,-1)*IF($Q267="Fixo",(DG267-INDEX('Curva Forward'!$C$5:$AN$13,MATCH(CONCATENATE(BD_COMERCIAL!$K267," ",BD_COMERCIAL!$L267),'Curva Forward'!$B$5:$B$13,0),MATCH(GE$4,'Curva Forward'!$C$4:$AN$4,0))),DG267)</f>
        <v>0</v>
      </c>
      <c r="GF267" s="190">
        <f>AT267*AT$2*IF($FC267="V",1,-1)*IF($Q267="Fixo",(DH267-INDEX('Curva Forward'!$C$5:$AN$13,MATCH(CONCATENATE(BD_COMERCIAL!$K267," ",BD_COMERCIAL!$L267),'Curva Forward'!$B$5:$B$13,0),MATCH(GF$4,'Curva Forward'!$C$4:$AN$4,0))),DH267)</f>
        <v>0</v>
      </c>
      <c r="GG267" s="190">
        <f>AU267*AU$2*IF($FC267="V",1,-1)*IF($Q267="Fixo",(DI267-INDEX('Curva Forward'!$C$5:$AN$13,MATCH(CONCATENATE(BD_COMERCIAL!$K267," ",BD_COMERCIAL!$L267),'Curva Forward'!$B$5:$B$13,0),MATCH(GG$4,'Curva Forward'!$C$4:$AN$4,0))),DI267)</f>
        <v>0</v>
      </c>
      <c r="GH267" s="190">
        <f>AV267*AV$2*IF($FC267="V",1,-1)*IF($Q267="Fixo",(DJ267-INDEX('Curva Forward'!$C$5:$AN$13,MATCH(CONCATENATE(BD_COMERCIAL!$K267," ",BD_COMERCIAL!$L267),'Curva Forward'!$B$5:$B$13,0),MATCH(GH$4,'Curva Forward'!$C$4:$AN$4,0))),DJ267)</f>
        <v>0</v>
      </c>
      <c r="GI267" s="190">
        <f>AW267*AW$2*IF($FC267="V",1,-1)*IF($Q267="Fixo",(DK267-INDEX('Curva Forward'!$C$5:$AN$13,MATCH(CONCATENATE(BD_COMERCIAL!$K267," ",BD_COMERCIAL!$L267),'Curva Forward'!$B$5:$B$13,0),MATCH(GI$4,'Curva Forward'!$C$4:$AN$4,0))),DK267)</f>
        <v>0</v>
      </c>
      <c r="GJ267" s="190">
        <f>AX267*AX$2*IF($FC267="V",1,-1)*IF($Q267="Fixo",(DL267-INDEX('Curva Forward'!$C$5:$AN$13,MATCH(CONCATENATE(BD_COMERCIAL!$K267," ",BD_COMERCIAL!$L267),'Curva Forward'!$B$5:$B$13,0),MATCH(GJ$4,'Curva Forward'!$C$4:$AN$4,0))),DL267)</f>
        <v>0</v>
      </c>
      <c r="GK267" s="190">
        <f>AY267*AY$2*IF($FC267="V",1,-1)*IF($Q267="Fixo",(DM267-INDEX('Curva Forward'!$C$5:$AN$13,MATCH(CONCATENATE(BD_COMERCIAL!$K267," ",BD_COMERCIAL!$L267),'Curva Forward'!$B$5:$B$13,0),MATCH(GK$4,'Curva Forward'!$C$4:$AN$4,0))),DM267)</f>
        <v>0</v>
      </c>
      <c r="GL267" s="190">
        <f>IF(EZ267="",0,CL267*CL$2*IF($FC267="V",1,-1)*IF($Q267="Fixo",(EZ267-INDEX('Curva Forward'!$C$5:$AN$13,MATCH(CONCATENATE(BD_COMERCIAL!$K267," ",BD_COMERCIAL!$L267),'Curva Forward'!$B$5:$B$13,0),MATCH(GL$4,'Curva Forward'!$C$4:$AN$4,0))),EZ267))</f>
        <v>0</v>
      </c>
      <c r="GM267" s="190">
        <f>IF(FA267="",0,CM267*CM$2*IF($FC267="V",1,-1)*IF($Q267="Fixo",(FA267-INDEX('Curva Forward'!$C$5:$AN$13,MATCH(CONCATENATE(BD_COMERCIAL!$K267," ",BD_COMERCIAL!$L267),'Curva Forward'!$B$5:$B$13,0),MATCH(GM$4,'Curva Forward'!$C$4:$AN$4,0))),FA267))</f>
        <v>0</v>
      </c>
      <c r="GN267" s="190">
        <f>IF(FB267="",0,CN267*CN$2*IF($FC267="V",1,-1)*IF($Q267="Fixo",(FB267-INDEX('Curva Forward'!$C$5:$AN$13,MATCH(CONCATENATE(BD_COMERCIAL!$K267," ",BD_COMERCIAL!$L267),'Curva Forward'!$B$5:$B$13,0),MATCH(GN$4,'Curva Forward'!$C$4:$AN$4,0))),FB267))</f>
        <v>0</v>
      </c>
      <c r="GO267" s="191">
        <f t="shared" ca="1" si="39"/>
        <v>0</v>
      </c>
      <c r="GP267" s="191">
        <f t="shared" ca="1" si="40"/>
        <v>0</v>
      </c>
      <c r="GQ267" s="115"/>
      <c r="GR267" s="115"/>
      <c r="GS267"/>
      <c r="GT267" s="65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</row>
    <row r="268" spans="1:236" s="265" customFormat="1" ht="15" customHeight="1" x14ac:dyDescent="0.35">
      <c r="A268" s="251"/>
      <c r="B268" s="275"/>
      <c r="C268" s="253"/>
      <c r="D268" s="254"/>
      <c r="E268" s="254"/>
      <c r="F268" s="255"/>
      <c r="G268" s="256"/>
      <c r="H268" s="255"/>
      <c r="I268" s="254"/>
      <c r="J268" s="257"/>
      <c r="K268" s="256"/>
      <c r="L268" s="252"/>
      <c r="M268" s="258"/>
      <c r="N268" s="259"/>
      <c r="O268" s="256"/>
      <c r="P268" s="252"/>
      <c r="Q268" s="252"/>
      <c r="R268" s="256"/>
      <c r="S268" s="260"/>
      <c r="T268" s="258"/>
      <c r="U268" s="259"/>
      <c r="V268" s="261"/>
      <c r="W268" s="252"/>
      <c r="X268" s="262"/>
      <c r="Y268" s="257"/>
      <c r="Z268" s="263"/>
      <c r="AA268" s="264"/>
      <c r="AB268" s="266"/>
      <c r="AM268" s="251"/>
      <c r="AN268" s="266"/>
      <c r="AY268" s="251"/>
      <c r="AZ268" s="266"/>
      <c r="BK268" s="251"/>
      <c r="BL268" s="266"/>
      <c r="BW268" s="251"/>
      <c r="BX268" s="266"/>
      <c r="CI268" s="251"/>
      <c r="CJ268" s="267"/>
      <c r="CK268" s="267"/>
      <c r="CL268" s="267"/>
      <c r="CM268" s="267"/>
      <c r="CN268" s="267"/>
      <c r="CO268" s="268"/>
      <c r="CP268" s="266"/>
      <c r="DA268" s="251"/>
      <c r="DB268" s="266"/>
      <c r="DM268" s="251"/>
      <c r="DN268" s="266"/>
      <c r="DY268" s="251"/>
      <c r="DZ268" s="266"/>
      <c r="EK268" s="251"/>
      <c r="EL268" s="266"/>
      <c r="EW268" s="251"/>
      <c r="EX268" s="267"/>
      <c r="EY268" s="267"/>
      <c r="EZ268" s="267"/>
      <c r="FA268" s="267"/>
      <c r="FB268" s="269"/>
      <c r="FD268" s="270"/>
      <c r="FF268" s="276"/>
      <c r="FH268" s="206">
        <f t="shared" si="34"/>
        <v>0</v>
      </c>
      <c r="FI268" s="198">
        <f t="shared" si="35"/>
        <v>0</v>
      </c>
      <c r="FJ268"/>
      <c r="FK268">
        <f t="shared" si="36"/>
        <v>0</v>
      </c>
      <c r="FL268" s="191">
        <f t="shared" ca="1" si="37"/>
        <v>0</v>
      </c>
      <c r="FM268" s="191">
        <f t="shared" ca="1" si="38"/>
        <v>0</v>
      </c>
      <c r="FN268" s="190">
        <f>AB268*AB$2*IF($FC268="V",1,-1)*IF($Q268="Fixo",(CP268-INDEX('Curva Forward'!$C$5:$AN$13,MATCH(CONCATENATE(BD_COMERCIAL!$K268," ",BD_COMERCIAL!$L268),'Curva Forward'!$B$5:$B$13,0),MATCH(FN$4,'Curva Forward'!$C$4:$AN$4,0))),CP268)</f>
        <v>0</v>
      </c>
      <c r="FO268" s="190">
        <f>AC268*AC$2*IF($FC268="V",1,-1)*IF($Q268="Fixo",(CQ268-INDEX('Curva Forward'!$C$5:$AN$13,MATCH(CONCATENATE(BD_COMERCIAL!$K268," ",BD_COMERCIAL!$L268),'Curva Forward'!$B$5:$B$13,0),MATCH(FO$4,'Curva Forward'!$C$4:$AN$4,0))),CQ268)</f>
        <v>0</v>
      </c>
      <c r="FP268" s="190">
        <f>AD268*AD$2*IF($FC268="V",1,-1)*IF($Q268="Fixo",(CR268-INDEX('Curva Forward'!$C$5:$AN$13,MATCH(CONCATENATE(BD_COMERCIAL!$K268," ",BD_COMERCIAL!$L268),'Curva Forward'!$B$5:$B$13,0),MATCH(FP$4,'Curva Forward'!$C$4:$AN$4,0))),CR268)</f>
        <v>0</v>
      </c>
      <c r="FQ268" s="190">
        <f>AE268*AE$2*IF($FC268="V",1,-1)*IF($Q268="Fixo",(CS268-INDEX('Curva Forward'!$C$5:$AN$13,MATCH(CONCATENATE(BD_COMERCIAL!$K268," ",BD_COMERCIAL!$L268),'Curva Forward'!$B$5:$B$13,0),MATCH(FQ$4,'Curva Forward'!$C$4:$AN$4,0))),CS268)</f>
        <v>0</v>
      </c>
      <c r="FR268" s="190">
        <f>AF268*AF$2*IF($FC268="V",1,-1)*IF($Q268="Fixo",(CT268-INDEX('Curva Forward'!$C$5:$AN$13,MATCH(CONCATENATE(BD_COMERCIAL!$K268," ",BD_COMERCIAL!$L268),'Curva Forward'!$B$5:$B$13,0),MATCH(FR$4,'Curva Forward'!$C$4:$AN$4,0))),CT268)</f>
        <v>0</v>
      </c>
      <c r="FS268" s="190">
        <f>AG268*AG$2*IF($FC268="V",1,-1)*IF($Q268="Fixo",(CU268-INDEX('Curva Forward'!$C$5:$AN$13,MATCH(CONCATENATE(BD_COMERCIAL!$K268," ",BD_COMERCIAL!$L268),'Curva Forward'!$B$5:$B$13,0),MATCH(FS$4,'Curva Forward'!$C$4:$AN$4,0))),CU268)</f>
        <v>0</v>
      </c>
      <c r="FT268" s="190">
        <f>AH268*AH$2*IF($FC268="V",1,-1)*IF($Q268="Fixo",(CV268-INDEX('Curva Forward'!$C$5:$AN$13,MATCH(CONCATENATE(BD_COMERCIAL!$K268," ",BD_COMERCIAL!$L268),'Curva Forward'!$B$5:$B$13,0),MATCH(FT$4,'Curva Forward'!$C$4:$AN$4,0))),CV268)</f>
        <v>0</v>
      </c>
      <c r="FU268" s="190">
        <f>AI268*AI$2*IF($FC268="V",1,-1)*IF($Q268="Fixo",(CW268-INDEX('Curva Forward'!$C$5:$AN$13,MATCH(CONCATENATE(BD_COMERCIAL!$K268," ",BD_COMERCIAL!$L268),'Curva Forward'!$B$5:$B$13,0),MATCH(FU$4,'Curva Forward'!$C$4:$AN$4,0))),CW268)</f>
        <v>0</v>
      </c>
      <c r="FV268" s="190">
        <f>AJ268*AJ$2*IF($FC268="V",1,-1)*IF($Q268="Fixo",(CX268-INDEX('Curva Forward'!$C$5:$AN$13,MATCH(CONCATENATE(BD_COMERCIAL!$K268," ",BD_COMERCIAL!$L268),'Curva Forward'!$B$5:$B$13,0),MATCH(FV$4,'Curva Forward'!$C$4:$AN$4,0))),CX268)</f>
        <v>0</v>
      </c>
      <c r="FW268" s="190">
        <f>AK268*AK$2*IF($FC268="V",1,-1)*IF($Q268="Fixo",(CY268-INDEX('Curva Forward'!$C$5:$AN$13,MATCH(CONCATENATE(BD_COMERCIAL!$K268," ",BD_COMERCIAL!$L268),'Curva Forward'!$B$5:$B$13,0),MATCH(FW$4,'Curva Forward'!$C$4:$AN$4,0))),CY268)</f>
        <v>0</v>
      </c>
      <c r="FX268" s="190">
        <f>AL268*AL$2*IF($FC268="V",1,-1)*IF($Q268="Fixo",(CZ268-INDEX('Curva Forward'!$C$5:$AN$13,MATCH(CONCATENATE(BD_COMERCIAL!$K268," ",BD_COMERCIAL!$L268),'Curva Forward'!$B$5:$B$13,0),MATCH(FX$4,'Curva Forward'!$C$4:$AN$4,0))),CZ268)</f>
        <v>0</v>
      </c>
      <c r="FY268" s="190">
        <f>AM268*AM$2*IF($FC268="V",1,-1)*IF($Q268="Fixo",(DA268-INDEX('Curva Forward'!$C$5:$AN$13,MATCH(CONCATENATE(BD_COMERCIAL!$K268," ",BD_COMERCIAL!$L268),'Curva Forward'!$B$5:$B$13,0),MATCH(FY$4,'Curva Forward'!$C$4:$AN$4,0))),DA268)</f>
        <v>0</v>
      </c>
      <c r="FZ268" s="190">
        <f>AN268*AN$2*IF($FC268="V",1,-1)*IF($Q268="Fixo",(DB268-INDEX('Curva Forward'!$C$5:$AN$13,MATCH(CONCATENATE(BD_COMERCIAL!$K268," ",BD_COMERCIAL!$L268),'Curva Forward'!$B$5:$B$13,0),MATCH(FZ$4,'Curva Forward'!$C$4:$AN$4,0))),DB268)</f>
        <v>0</v>
      </c>
      <c r="GA268" s="190">
        <f>AO268*AO$2*IF($FC268="V",1,-1)*IF($Q268="Fixo",(DC268-INDEX('Curva Forward'!$C$5:$AN$13,MATCH(CONCATENATE(BD_COMERCIAL!$K268," ",BD_COMERCIAL!$L268),'Curva Forward'!$B$5:$B$13,0),MATCH(GA$4,'Curva Forward'!$C$4:$AN$4,0))),DC268)</f>
        <v>0</v>
      </c>
      <c r="GB268" s="190">
        <f>AP268*AP$2*IF($FC268="V",1,-1)*IF($Q268="Fixo",(DD268-INDEX('Curva Forward'!$C$5:$AN$13,MATCH(CONCATENATE(BD_COMERCIAL!$K268," ",BD_COMERCIAL!$L268),'Curva Forward'!$B$5:$B$13,0),MATCH(GB$4,'Curva Forward'!$C$4:$AN$4,0))),DD268)</f>
        <v>0</v>
      </c>
      <c r="GC268" s="190">
        <f>AQ268*AQ$2*IF($FC268="V",1,-1)*IF($Q268="Fixo",(DE268-INDEX('Curva Forward'!$C$5:$AN$13,MATCH(CONCATENATE(BD_COMERCIAL!$K268," ",BD_COMERCIAL!$L268),'Curva Forward'!$B$5:$B$13,0),MATCH(GC$4,'Curva Forward'!$C$4:$AN$4,0))),DE268)</f>
        <v>0</v>
      </c>
      <c r="GD268" s="190">
        <f>AR268*AR$2*IF($FC268="V",1,-1)*IF($Q268="Fixo",(DF268-INDEX('Curva Forward'!$C$5:$AN$13,MATCH(CONCATENATE(BD_COMERCIAL!$K268," ",BD_COMERCIAL!$L268),'Curva Forward'!$B$5:$B$13,0),MATCH(GD$4,'Curva Forward'!$C$4:$AN$4,0))),DF268)</f>
        <v>0</v>
      </c>
      <c r="GE268" s="190">
        <f>AS268*AS$2*IF($FC268="V",1,-1)*IF($Q268="Fixo",(DG268-INDEX('Curva Forward'!$C$5:$AN$13,MATCH(CONCATENATE(BD_COMERCIAL!$K268," ",BD_COMERCIAL!$L268),'Curva Forward'!$B$5:$B$13,0),MATCH(GE$4,'Curva Forward'!$C$4:$AN$4,0))),DG268)</f>
        <v>0</v>
      </c>
      <c r="GF268" s="190">
        <f>AT268*AT$2*IF($FC268="V",1,-1)*IF($Q268="Fixo",(DH268-INDEX('Curva Forward'!$C$5:$AN$13,MATCH(CONCATENATE(BD_COMERCIAL!$K268," ",BD_COMERCIAL!$L268),'Curva Forward'!$B$5:$B$13,0),MATCH(GF$4,'Curva Forward'!$C$4:$AN$4,0))),DH268)</f>
        <v>0</v>
      </c>
      <c r="GG268" s="190">
        <f>AU268*AU$2*IF($FC268="V",1,-1)*IF($Q268="Fixo",(DI268-INDEX('Curva Forward'!$C$5:$AN$13,MATCH(CONCATENATE(BD_COMERCIAL!$K268," ",BD_COMERCIAL!$L268),'Curva Forward'!$B$5:$B$13,0),MATCH(GG$4,'Curva Forward'!$C$4:$AN$4,0))),DI268)</f>
        <v>0</v>
      </c>
      <c r="GH268" s="190">
        <f>AV268*AV$2*IF($FC268="V",1,-1)*IF($Q268="Fixo",(DJ268-INDEX('Curva Forward'!$C$5:$AN$13,MATCH(CONCATENATE(BD_COMERCIAL!$K268," ",BD_COMERCIAL!$L268),'Curva Forward'!$B$5:$B$13,0),MATCH(GH$4,'Curva Forward'!$C$4:$AN$4,0))),DJ268)</f>
        <v>0</v>
      </c>
      <c r="GI268" s="190">
        <f>AW268*AW$2*IF($FC268="V",1,-1)*IF($Q268="Fixo",(DK268-INDEX('Curva Forward'!$C$5:$AN$13,MATCH(CONCATENATE(BD_COMERCIAL!$K268," ",BD_COMERCIAL!$L268),'Curva Forward'!$B$5:$B$13,0),MATCH(GI$4,'Curva Forward'!$C$4:$AN$4,0))),DK268)</f>
        <v>0</v>
      </c>
      <c r="GJ268" s="190">
        <f>AX268*AX$2*IF($FC268="V",1,-1)*IF($Q268="Fixo",(DL268-INDEX('Curva Forward'!$C$5:$AN$13,MATCH(CONCATENATE(BD_COMERCIAL!$K268," ",BD_COMERCIAL!$L268),'Curva Forward'!$B$5:$B$13,0),MATCH(GJ$4,'Curva Forward'!$C$4:$AN$4,0))),DL268)</f>
        <v>0</v>
      </c>
      <c r="GK268" s="190">
        <f>AY268*AY$2*IF($FC268="V",1,-1)*IF($Q268="Fixo",(DM268-INDEX('Curva Forward'!$C$5:$AN$13,MATCH(CONCATENATE(BD_COMERCIAL!$K268," ",BD_COMERCIAL!$L268),'Curva Forward'!$B$5:$B$13,0),MATCH(GK$4,'Curva Forward'!$C$4:$AN$4,0))),DM268)</f>
        <v>0</v>
      </c>
      <c r="GL268" s="190">
        <f>IF(EZ268="",0,CL268*CL$2*IF($FC268="V",1,-1)*IF($Q268="Fixo",(EZ268-INDEX('Curva Forward'!$C$5:$AN$13,MATCH(CONCATENATE(BD_COMERCIAL!$K268," ",BD_COMERCIAL!$L268),'Curva Forward'!$B$5:$B$13,0),MATCH(GL$4,'Curva Forward'!$C$4:$AN$4,0))),EZ268))</f>
        <v>0</v>
      </c>
      <c r="GM268" s="190">
        <f>IF(FA268="",0,CM268*CM$2*IF($FC268="V",1,-1)*IF($Q268="Fixo",(FA268-INDEX('Curva Forward'!$C$5:$AN$13,MATCH(CONCATENATE(BD_COMERCIAL!$K268," ",BD_COMERCIAL!$L268),'Curva Forward'!$B$5:$B$13,0),MATCH(GM$4,'Curva Forward'!$C$4:$AN$4,0))),FA268))</f>
        <v>0</v>
      </c>
      <c r="GN268" s="190">
        <f>IF(FB268="",0,CN268*CN$2*IF($FC268="V",1,-1)*IF($Q268="Fixo",(FB268-INDEX('Curva Forward'!$C$5:$AN$13,MATCH(CONCATENATE(BD_COMERCIAL!$K268," ",BD_COMERCIAL!$L268),'Curva Forward'!$B$5:$B$13,0),MATCH(GN$4,'Curva Forward'!$C$4:$AN$4,0))),FB268))</f>
        <v>0</v>
      </c>
      <c r="GO268" s="191">
        <f t="shared" ca="1" si="39"/>
        <v>0</v>
      </c>
      <c r="GP268" s="191">
        <f t="shared" ca="1" si="40"/>
        <v>0</v>
      </c>
      <c r="GQ268" s="115"/>
      <c r="GR268" s="115"/>
      <c r="GS268"/>
      <c r="GT268" s="65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</row>
    <row r="269" spans="1:236" s="265" customFormat="1" ht="15" customHeight="1" x14ac:dyDescent="0.35">
      <c r="A269" s="251"/>
      <c r="B269" s="275"/>
      <c r="C269" s="253"/>
      <c r="D269" s="254"/>
      <c r="E269" s="254"/>
      <c r="F269" s="255"/>
      <c r="G269" s="256"/>
      <c r="H269" s="255"/>
      <c r="I269" s="254"/>
      <c r="J269" s="257"/>
      <c r="K269" s="256"/>
      <c r="L269" s="252"/>
      <c r="M269" s="258"/>
      <c r="N269" s="259"/>
      <c r="O269" s="256"/>
      <c r="P269" s="252"/>
      <c r="Q269" s="252"/>
      <c r="R269" s="256"/>
      <c r="S269" s="260"/>
      <c r="T269" s="258"/>
      <c r="U269" s="259"/>
      <c r="V269" s="261"/>
      <c r="W269" s="252"/>
      <c r="X269" s="262"/>
      <c r="Y269" s="257"/>
      <c r="Z269" s="263"/>
      <c r="AA269" s="264"/>
      <c r="AB269" s="266"/>
      <c r="AM269" s="251"/>
      <c r="AN269" s="266"/>
      <c r="AY269" s="251"/>
      <c r="AZ269" s="266"/>
      <c r="BK269" s="251"/>
      <c r="BL269" s="266"/>
      <c r="BW269" s="251"/>
      <c r="BX269" s="266"/>
      <c r="CI269" s="251"/>
      <c r="CJ269" s="267"/>
      <c r="CK269" s="267"/>
      <c r="CL269" s="267"/>
      <c r="CM269" s="267"/>
      <c r="CN269" s="267"/>
      <c r="CO269" s="268"/>
      <c r="CP269" s="266"/>
      <c r="DA269" s="251"/>
      <c r="DB269" s="266"/>
      <c r="DM269" s="251"/>
      <c r="DN269" s="266"/>
      <c r="DY269" s="251"/>
      <c r="DZ269" s="266"/>
      <c r="EK269" s="251"/>
      <c r="EL269" s="266"/>
      <c r="EW269" s="251"/>
      <c r="EX269" s="267"/>
      <c r="EY269" s="267"/>
      <c r="EZ269" s="267"/>
      <c r="FA269" s="267"/>
      <c r="FB269" s="269"/>
      <c r="FD269" s="270"/>
      <c r="FF269" s="276"/>
      <c r="FH269" s="206">
        <f t="shared" si="34"/>
        <v>0</v>
      </c>
      <c r="FI269" s="198">
        <f t="shared" si="35"/>
        <v>0</v>
      </c>
      <c r="FJ269"/>
      <c r="FK269">
        <f t="shared" si="36"/>
        <v>0</v>
      </c>
      <c r="FL269" s="191">
        <f t="shared" ca="1" si="37"/>
        <v>0</v>
      </c>
      <c r="FM269" s="191">
        <f t="shared" ca="1" si="38"/>
        <v>0</v>
      </c>
      <c r="FN269" s="190">
        <f>AB269*AB$2*IF($FC269="V",1,-1)*IF($Q269="Fixo",(CP269-INDEX('Curva Forward'!$C$5:$AN$13,MATCH(CONCATENATE(BD_COMERCIAL!$K269," ",BD_COMERCIAL!$L269),'Curva Forward'!$B$5:$B$13,0),MATCH(FN$4,'Curva Forward'!$C$4:$AN$4,0))),CP269)</f>
        <v>0</v>
      </c>
      <c r="FO269" s="190">
        <f>AC269*AC$2*IF($FC269="V",1,-1)*IF($Q269="Fixo",(CQ269-INDEX('Curva Forward'!$C$5:$AN$13,MATCH(CONCATENATE(BD_COMERCIAL!$K269," ",BD_COMERCIAL!$L269),'Curva Forward'!$B$5:$B$13,0),MATCH(FO$4,'Curva Forward'!$C$4:$AN$4,0))),CQ269)</f>
        <v>0</v>
      </c>
      <c r="FP269" s="190">
        <f>AD269*AD$2*IF($FC269="V",1,-1)*IF($Q269="Fixo",(CR269-INDEX('Curva Forward'!$C$5:$AN$13,MATCH(CONCATENATE(BD_COMERCIAL!$K269," ",BD_COMERCIAL!$L269),'Curva Forward'!$B$5:$B$13,0),MATCH(FP$4,'Curva Forward'!$C$4:$AN$4,0))),CR269)</f>
        <v>0</v>
      </c>
      <c r="FQ269" s="190">
        <f>AE269*AE$2*IF($FC269="V",1,-1)*IF($Q269="Fixo",(CS269-INDEX('Curva Forward'!$C$5:$AN$13,MATCH(CONCATENATE(BD_COMERCIAL!$K269," ",BD_COMERCIAL!$L269),'Curva Forward'!$B$5:$B$13,0),MATCH(FQ$4,'Curva Forward'!$C$4:$AN$4,0))),CS269)</f>
        <v>0</v>
      </c>
      <c r="FR269" s="190">
        <f>AF269*AF$2*IF($FC269="V",1,-1)*IF($Q269="Fixo",(CT269-INDEX('Curva Forward'!$C$5:$AN$13,MATCH(CONCATENATE(BD_COMERCIAL!$K269," ",BD_COMERCIAL!$L269),'Curva Forward'!$B$5:$B$13,0),MATCH(FR$4,'Curva Forward'!$C$4:$AN$4,0))),CT269)</f>
        <v>0</v>
      </c>
      <c r="FS269" s="190">
        <f>AG269*AG$2*IF($FC269="V",1,-1)*IF($Q269="Fixo",(CU269-INDEX('Curva Forward'!$C$5:$AN$13,MATCH(CONCATENATE(BD_COMERCIAL!$K269," ",BD_COMERCIAL!$L269),'Curva Forward'!$B$5:$B$13,0),MATCH(FS$4,'Curva Forward'!$C$4:$AN$4,0))),CU269)</f>
        <v>0</v>
      </c>
      <c r="FT269" s="190">
        <f>AH269*AH$2*IF($FC269="V",1,-1)*IF($Q269="Fixo",(CV269-INDEX('Curva Forward'!$C$5:$AN$13,MATCH(CONCATENATE(BD_COMERCIAL!$K269," ",BD_COMERCIAL!$L269),'Curva Forward'!$B$5:$B$13,0),MATCH(FT$4,'Curva Forward'!$C$4:$AN$4,0))),CV269)</f>
        <v>0</v>
      </c>
      <c r="FU269" s="190">
        <f>AI269*AI$2*IF($FC269="V",1,-1)*IF($Q269="Fixo",(CW269-INDEX('Curva Forward'!$C$5:$AN$13,MATCH(CONCATENATE(BD_COMERCIAL!$K269," ",BD_COMERCIAL!$L269),'Curva Forward'!$B$5:$B$13,0),MATCH(FU$4,'Curva Forward'!$C$4:$AN$4,0))),CW269)</f>
        <v>0</v>
      </c>
      <c r="FV269" s="190">
        <f>AJ269*AJ$2*IF($FC269="V",1,-1)*IF($Q269="Fixo",(CX269-INDEX('Curva Forward'!$C$5:$AN$13,MATCH(CONCATENATE(BD_COMERCIAL!$K269," ",BD_COMERCIAL!$L269),'Curva Forward'!$B$5:$B$13,0),MATCH(FV$4,'Curva Forward'!$C$4:$AN$4,0))),CX269)</f>
        <v>0</v>
      </c>
      <c r="FW269" s="190">
        <f>AK269*AK$2*IF($FC269="V",1,-1)*IF($Q269="Fixo",(CY269-INDEX('Curva Forward'!$C$5:$AN$13,MATCH(CONCATENATE(BD_COMERCIAL!$K269," ",BD_COMERCIAL!$L269),'Curva Forward'!$B$5:$B$13,0),MATCH(FW$4,'Curva Forward'!$C$4:$AN$4,0))),CY269)</f>
        <v>0</v>
      </c>
      <c r="FX269" s="190">
        <f>AL269*AL$2*IF($FC269="V",1,-1)*IF($Q269="Fixo",(CZ269-INDEX('Curva Forward'!$C$5:$AN$13,MATCH(CONCATENATE(BD_COMERCIAL!$K269," ",BD_COMERCIAL!$L269),'Curva Forward'!$B$5:$B$13,0),MATCH(FX$4,'Curva Forward'!$C$4:$AN$4,0))),CZ269)</f>
        <v>0</v>
      </c>
      <c r="FY269" s="190">
        <f>AM269*AM$2*IF($FC269="V",1,-1)*IF($Q269="Fixo",(DA269-INDEX('Curva Forward'!$C$5:$AN$13,MATCH(CONCATENATE(BD_COMERCIAL!$K269," ",BD_COMERCIAL!$L269),'Curva Forward'!$B$5:$B$13,0),MATCH(FY$4,'Curva Forward'!$C$4:$AN$4,0))),DA269)</f>
        <v>0</v>
      </c>
      <c r="FZ269" s="190">
        <f>AN269*AN$2*IF($FC269="V",1,-1)*IF($Q269="Fixo",(DB269-INDEX('Curva Forward'!$C$5:$AN$13,MATCH(CONCATENATE(BD_COMERCIAL!$K269," ",BD_COMERCIAL!$L269),'Curva Forward'!$B$5:$B$13,0),MATCH(FZ$4,'Curva Forward'!$C$4:$AN$4,0))),DB269)</f>
        <v>0</v>
      </c>
      <c r="GA269" s="190">
        <f>AO269*AO$2*IF($FC269="V",1,-1)*IF($Q269="Fixo",(DC269-INDEX('Curva Forward'!$C$5:$AN$13,MATCH(CONCATENATE(BD_COMERCIAL!$K269," ",BD_COMERCIAL!$L269),'Curva Forward'!$B$5:$B$13,0),MATCH(GA$4,'Curva Forward'!$C$4:$AN$4,0))),DC269)</f>
        <v>0</v>
      </c>
      <c r="GB269" s="190">
        <f>AP269*AP$2*IF($FC269="V",1,-1)*IF($Q269="Fixo",(DD269-INDEX('Curva Forward'!$C$5:$AN$13,MATCH(CONCATENATE(BD_COMERCIAL!$K269," ",BD_COMERCIAL!$L269),'Curva Forward'!$B$5:$B$13,0),MATCH(GB$4,'Curva Forward'!$C$4:$AN$4,0))),DD269)</f>
        <v>0</v>
      </c>
      <c r="GC269" s="190">
        <f>AQ269*AQ$2*IF($FC269="V",1,-1)*IF($Q269="Fixo",(DE269-INDEX('Curva Forward'!$C$5:$AN$13,MATCH(CONCATENATE(BD_COMERCIAL!$K269," ",BD_COMERCIAL!$L269),'Curva Forward'!$B$5:$B$13,0),MATCH(GC$4,'Curva Forward'!$C$4:$AN$4,0))),DE269)</f>
        <v>0</v>
      </c>
      <c r="GD269" s="190">
        <f>AR269*AR$2*IF($FC269="V",1,-1)*IF($Q269="Fixo",(DF269-INDEX('Curva Forward'!$C$5:$AN$13,MATCH(CONCATENATE(BD_COMERCIAL!$K269," ",BD_COMERCIAL!$L269),'Curva Forward'!$B$5:$B$13,0),MATCH(GD$4,'Curva Forward'!$C$4:$AN$4,0))),DF269)</f>
        <v>0</v>
      </c>
      <c r="GE269" s="190">
        <f>AS269*AS$2*IF($FC269="V",1,-1)*IF($Q269="Fixo",(DG269-INDEX('Curva Forward'!$C$5:$AN$13,MATCH(CONCATENATE(BD_COMERCIAL!$K269," ",BD_COMERCIAL!$L269),'Curva Forward'!$B$5:$B$13,0),MATCH(GE$4,'Curva Forward'!$C$4:$AN$4,0))),DG269)</f>
        <v>0</v>
      </c>
      <c r="GF269" s="190">
        <f>AT269*AT$2*IF($FC269="V",1,-1)*IF($Q269="Fixo",(DH269-INDEX('Curva Forward'!$C$5:$AN$13,MATCH(CONCATENATE(BD_COMERCIAL!$K269," ",BD_COMERCIAL!$L269),'Curva Forward'!$B$5:$B$13,0),MATCH(GF$4,'Curva Forward'!$C$4:$AN$4,0))),DH269)</f>
        <v>0</v>
      </c>
      <c r="GG269" s="190">
        <f>AU269*AU$2*IF($FC269="V",1,-1)*IF($Q269="Fixo",(DI269-INDEX('Curva Forward'!$C$5:$AN$13,MATCH(CONCATENATE(BD_COMERCIAL!$K269," ",BD_COMERCIAL!$L269),'Curva Forward'!$B$5:$B$13,0),MATCH(GG$4,'Curva Forward'!$C$4:$AN$4,0))),DI269)</f>
        <v>0</v>
      </c>
      <c r="GH269" s="190">
        <f>AV269*AV$2*IF($FC269="V",1,-1)*IF($Q269="Fixo",(DJ269-INDEX('Curva Forward'!$C$5:$AN$13,MATCH(CONCATENATE(BD_COMERCIAL!$K269," ",BD_COMERCIAL!$L269),'Curva Forward'!$B$5:$B$13,0),MATCH(GH$4,'Curva Forward'!$C$4:$AN$4,0))),DJ269)</f>
        <v>0</v>
      </c>
      <c r="GI269" s="190">
        <f>AW269*AW$2*IF($FC269="V",1,-1)*IF($Q269="Fixo",(DK269-INDEX('Curva Forward'!$C$5:$AN$13,MATCH(CONCATENATE(BD_COMERCIAL!$K269," ",BD_COMERCIAL!$L269),'Curva Forward'!$B$5:$B$13,0),MATCH(GI$4,'Curva Forward'!$C$4:$AN$4,0))),DK269)</f>
        <v>0</v>
      </c>
      <c r="GJ269" s="190">
        <f>AX269*AX$2*IF($FC269="V",1,-1)*IF($Q269="Fixo",(DL269-INDEX('Curva Forward'!$C$5:$AN$13,MATCH(CONCATENATE(BD_COMERCIAL!$K269," ",BD_COMERCIAL!$L269),'Curva Forward'!$B$5:$B$13,0),MATCH(GJ$4,'Curva Forward'!$C$4:$AN$4,0))),DL269)</f>
        <v>0</v>
      </c>
      <c r="GK269" s="190">
        <f>AY269*AY$2*IF($FC269="V",1,-1)*IF($Q269="Fixo",(DM269-INDEX('Curva Forward'!$C$5:$AN$13,MATCH(CONCATENATE(BD_COMERCIAL!$K269," ",BD_COMERCIAL!$L269),'Curva Forward'!$B$5:$B$13,0),MATCH(GK$4,'Curva Forward'!$C$4:$AN$4,0))),DM269)</f>
        <v>0</v>
      </c>
      <c r="GL269" s="190">
        <f>IF(EZ269="",0,CL269*CL$2*IF($FC269="V",1,-1)*IF($Q269="Fixo",(EZ269-INDEX('Curva Forward'!$C$5:$AN$13,MATCH(CONCATENATE(BD_COMERCIAL!$K269," ",BD_COMERCIAL!$L269),'Curva Forward'!$B$5:$B$13,0),MATCH(GL$4,'Curva Forward'!$C$4:$AN$4,0))),EZ269))</f>
        <v>0</v>
      </c>
      <c r="GM269" s="190">
        <f>IF(FA269="",0,CM269*CM$2*IF($FC269="V",1,-1)*IF($Q269="Fixo",(FA269-INDEX('Curva Forward'!$C$5:$AN$13,MATCH(CONCATENATE(BD_COMERCIAL!$K269," ",BD_COMERCIAL!$L269),'Curva Forward'!$B$5:$B$13,0),MATCH(GM$4,'Curva Forward'!$C$4:$AN$4,0))),FA269))</f>
        <v>0</v>
      </c>
      <c r="GN269" s="190">
        <f>IF(FB269="",0,CN269*CN$2*IF($FC269="V",1,-1)*IF($Q269="Fixo",(FB269-INDEX('Curva Forward'!$C$5:$AN$13,MATCH(CONCATENATE(BD_COMERCIAL!$K269," ",BD_COMERCIAL!$L269),'Curva Forward'!$B$5:$B$13,0),MATCH(GN$4,'Curva Forward'!$C$4:$AN$4,0))),FB269))</f>
        <v>0</v>
      </c>
      <c r="GO269" s="191">
        <f t="shared" ca="1" si="39"/>
        <v>0</v>
      </c>
      <c r="GP269" s="191">
        <f t="shared" ca="1" si="40"/>
        <v>0</v>
      </c>
      <c r="GQ269" s="115"/>
      <c r="GR269" s="115"/>
      <c r="GS269"/>
      <c r="GT269" s="65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</row>
    <row r="270" spans="1:236" s="265" customFormat="1" ht="15" customHeight="1" x14ac:dyDescent="0.35">
      <c r="A270" s="251"/>
      <c r="B270" s="275"/>
      <c r="C270" s="253"/>
      <c r="D270" s="254"/>
      <c r="E270" s="254"/>
      <c r="F270" s="255"/>
      <c r="G270" s="256"/>
      <c r="H270" s="255"/>
      <c r="I270" s="254"/>
      <c r="J270" s="257"/>
      <c r="K270" s="256"/>
      <c r="L270" s="252"/>
      <c r="M270" s="258"/>
      <c r="N270" s="259"/>
      <c r="O270" s="256"/>
      <c r="P270" s="252"/>
      <c r="Q270" s="252"/>
      <c r="R270" s="256"/>
      <c r="S270" s="260"/>
      <c r="T270" s="258"/>
      <c r="U270" s="259"/>
      <c r="V270" s="261"/>
      <c r="W270" s="252"/>
      <c r="X270" s="262"/>
      <c r="Y270" s="257"/>
      <c r="Z270" s="263"/>
      <c r="AA270" s="264"/>
      <c r="AB270" s="266"/>
      <c r="AM270" s="251"/>
      <c r="AN270" s="266"/>
      <c r="AY270" s="251"/>
      <c r="AZ270" s="266"/>
      <c r="BK270" s="251"/>
      <c r="BL270" s="266"/>
      <c r="BW270" s="251"/>
      <c r="BX270" s="266"/>
      <c r="CI270" s="251"/>
      <c r="CJ270" s="267"/>
      <c r="CK270" s="267"/>
      <c r="CL270" s="267"/>
      <c r="CM270" s="267"/>
      <c r="CN270" s="267"/>
      <c r="CO270" s="268"/>
      <c r="CP270" s="266"/>
      <c r="DA270" s="251"/>
      <c r="DB270" s="266"/>
      <c r="DM270" s="251"/>
      <c r="DN270" s="266"/>
      <c r="DY270" s="251"/>
      <c r="DZ270" s="266"/>
      <c r="EK270" s="251"/>
      <c r="EL270" s="266"/>
      <c r="EW270" s="251"/>
      <c r="EX270" s="267"/>
      <c r="EY270" s="267"/>
      <c r="EZ270" s="267"/>
      <c r="FA270" s="267"/>
      <c r="FB270" s="269"/>
      <c r="FD270" s="270"/>
      <c r="FF270" s="276"/>
      <c r="FH270" s="206">
        <f t="shared" si="34"/>
        <v>0</v>
      </c>
      <c r="FI270" s="198">
        <f t="shared" si="35"/>
        <v>0</v>
      </c>
      <c r="FJ270"/>
      <c r="FK270">
        <f t="shared" si="36"/>
        <v>0</v>
      </c>
      <c r="FL270" s="191">
        <f t="shared" ca="1" si="37"/>
        <v>0</v>
      </c>
      <c r="FM270" s="191">
        <f t="shared" ca="1" si="38"/>
        <v>0</v>
      </c>
      <c r="FN270" s="190">
        <f>AB270*AB$2*IF($FC270="V",1,-1)*IF($Q270="Fixo",(CP270-INDEX('Curva Forward'!$C$5:$AN$13,MATCH(CONCATENATE(BD_COMERCIAL!$K270," ",BD_COMERCIAL!$L270),'Curva Forward'!$B$5:$B$13,0),MATCH(FN$4,'Curva Forward'!$C$4:$AN$4,0))),CP270)</f>
        <v>0</v>
      </c>
      <c r="FO270" s="190">
        <f>AC270*AC$2*IF($FC270="V",1,-1)*IF($Q270="Fixo",(CQ270-INDEX('Curva Forward'!$C$5:$AN$13,MATCH(CONCATENATE(BD_COMERCIAL!$K270," ",BD_COMERCIAL!$L270),'Curva Forward'!$B$5:$B$13,0),MATCH(FO$4,'Curva Forward'!$C$4:$AN$4,0))),CQ270)</f>
        <v>0</v>
      </c>
      <c r="FP270" s="190">
        <f>AD270*AD$2*IF($FC270="V",1,-1)*IF($Q270="Fixo",(CR270-INDEX('Curva Forward'!$C$5:$AN$13,MATCH(CONCATENATE(BD_COMERCIAL!$K270," ",BD_COMERCIAL!$L270),'Curva Forward'!$B$5:$B$13,0),MATCH(FP$4,'Curva Forward'!$C$4:$AN$4,0))),CR270)</f>
        <v>0</v>
      </c>
      <c r="FQ270" s="190">
        <f>AE270*AE$2*IF($FC270="V",1,-1)*IF($Q270="Fixo",(CS270-INDEX('Curva Forward'!$C$5:$AN$13,MATCH(CONCATENATE(BD_COMERCIAL!$K270," ",BD_COMERCIAL!$L270),'Curva Forward'!$B$5:$B$13,0),MATCH(FQ$4,'Curva Forward'!$C$4:$AN$4,0))),CS270)</f>
        <v>0</v>
      </c>
      <c r="FR270" s="190">
        <f>AF270*AF$2*IF($FC270="V",1,-1)*IF($Q270="Fixo",(CT270-INDEX('Curva Forward'!$C$5:$AN$13,MATCH(CONCATENATE(BD_COMERCIAL!$K270," ",BD_COMERCIAL!$L270),'Curva Forward'!$B$5:$B$13,0),MATCH(FR$4,'Curva Forward'!$C$4:$AN$4,0))),CT270)</f>
        <v>0</v>
      </c>
      <c r="FS270" s="190">
        <f>AG270*AG$2*IF($FC270="V",1,-1)*IF($Q270="Fixo",(CU270-INDEX('Curva Forward'!$C$5:$AN$13,MATCH(CONCATENATE(BD_COMERCIAL!$K270," ",BD_COMERCIAL!$L270),'Curva Forward'!$B$5:$B$13,0),MATCH(FS$4,'Curva Forward'!$C$4:$AN$4,0))),CU270)</f>
        <v>0</v>
      </c>
      <c r="FT270" s="190">
        <f>AH270*AH$2*IF($FC270="V",1,-1)*IF($Q270="Fixo",(CV270-INDEX('Curva Forward'!$C$5:$AN$13,MATCH(CONCATENATE(BD_COMERCIAL!$K270," ",BD_COMERCIAL!$L270),'Curva Forward'!$B$5:$B$13,0),MATCH(FT$4,'Curva Forward'!$C$4:$AN$4,0))),CV270)</f>
        <v>0</v>
      </c>
      <c r="FU270" s="190">
        <f>AI270*AI$2*IF($FC270="V",1,-1)*IF($Q270="Fixo",(CW270-INDEX('Curva Forward'!$C$5:$AN$13,MATCH(CONCATENATE(BD_COMERCIAL!$K270," ",BD_COMERCIAL!$L270),'Curva Forward'!$B$5:$B$13,0),MATCH(FU$4,'Curva Forward'!$C$4:$AN$4,0))),CW270)</f>
        <v>0</v>
      </c>
      <c r="FV270" s="190">
        <f>AJ270*AJ$2*IF($FC270="V",1,-1)*IF($Q270="Fixo",(CX270-INDEX('Curva Forward'!$C$5:$AN$13,MATCH(CONCATENATE(BD_COMERCIAL!$K270," ",BD_COMERCIAL!$L270),'Curva Forward'!$B$5:$B$13,0),MATCH(FV$4,'Curva Forward'!$C$4:$AN$4,0))),CX270)</f>
        <v>0</v>
      </c>
      <c r="FW270" s="190">
        <f>AK270*AK$2*IF($FC270="V",1,-1)*IF($Q270="Fixo",(CY270-INDEX('Curva Forward'!$C$5:$AN$13,MATCH(CONCATENATE(BD_COMERCIAL!$K270," ",BD_COMERCIAL!$L270),'Curva Forward'!$B$5:$B$13,0),MATCH(FW$4,'Curva Forward'!$C$4:$AN$4,0))),CY270)</f>
        <v>0</v>
      </c>
      <c r="FX270" s="190">
        <f>AL270*AL$2*IF($FC270="V",1,-1)*IF($Q270="Fixo",(CZ270-INDEX('Curva Forward'!$C$5:$AN$13,MATCH(CONCATENATE(BD_COMERCIAL!$K270," ",BD_COMERCIAL!$L270),'Curva Forward'!$B$5:$B$13,0),MATCH(FX$4,'Curva Forward'!$C$4:$AN$4,0))),CZ270)</f>
        <v>0</v>
      </c>
      <c r="FY270" s="190">
        <f>AM270*AM$2*IF($FC270="V",1,-1)*IF($Q270="Fixo",(DA270-INDEX('Curva Forward'!$C$5:$AN$13,MATCH(CONCATENATE(BD_COMERCIAL!$K270," ",BD_COMERCIAL!$L270),'Curva Forward'!$B$5:$B$13,0),MATCH(FY$4,'Curva Forward'!$C$4:$AN$4,0))),DA270)</f>
        <v>0</v>
      </c>
      <c r="FZ270" s="190">
        <f>AN270*AN$2*IF($FC270="V",1,-1)*IF($Q270="Fixo",(DB270-INDEX('Curva Forward'!$C$5:$AN$13,MATCH(CONCATENATE(BD_COMERCIAL!$K270," ",BD_COMERCIAL!$L270),'Curva Forward'!$B$5:$B$13,0),MATCH(FZ$4,'Curva Forward'!$C$4:$AN$4,0))),DB270)</f>
        <v>0</v>
      </c>
      <c r="GA270" s="190">
        <f>AO270*AO$2*IF($FC270="V",1,-1)*IF($Q270="Fixo",(DC270-INDEX('Curva Forward'!$C$5:$AN$13,MATCH(CONCATENATE(BD_COMERCIAL!$K270," ",BD_COMERCIAL!$L270),'Curva Forward'!$B$5:$B$13,0),MATCH(GA$4,'Curva Forward'!$C$4:$AN$4,0))),DC270)</f>
        <v>0</v>
      </c>
      <c r="GB270" s="190">
        <f>AP270*AP$2*IF($FC270="V",1,-1)*IF($Q270="Fixo",(DD270-INDEX('Curva Forward'!$C$5:$AN$13,MATCH(CONCATENATE(BD_COMERCIAL!$K270," ",BD_COMERCIAL!$L270),'Curva Forward'!$B$5:$B$13,0),MATCH(GB$4,'Curva Forward'!$C$4:$AN$4,0))),DD270)</f>
        <v>0</v>
      </c>
      <c r="GC270" s="190">
        <f>AQ270*AQ$2*IF($FC270="V",1,-1)*IF($Q270="Fixo",(DE270-INDEX('Curva Forward'!$C$5:$AN$13,MATCH(CONCATENATE(BD_COMERCIAL!$K270," ",BD_COMERCIAL!$L270),'Curva Forward'!$B$5:$B$13,0),MATCH(GC$4,'Curva Forward'!$C$4:$AN$4,0))),DE270)</f>
        <v>0</v>
      </c>
      <c r="GD270" s="190">
        <f>AR270*AR$2*IF($FC270="V",1,-1)*IF($Q270="Fixo",(DF270-INDEX('Curva Forward'!$C$5:$AN$13,MATCH(CONCATENATE(BD_COMERCIAL!$K270," ",BD_COMERCIAL!$L270),'Curva Forward'!$B$5:$B$13,0),MATCH(GD$4,'Curva Forward'!$C$4:$AN$4,0))),DF270)</f>
        <v>0</v>
      </c>
      <c r="GE270" s="190">
        <f>AS270*AS$2*IF($FC270="V",1,-1)*IF($Q270="Fixo",(DG270-INDEX('Curva Forward'!$C$5:$AN$13,MATCH(CONCATENATE(BD_COMERCIAL!$K270," ",BD_COMERCIAL!$L270),'Curva Forward'!$B$5:$B$13,0),MATCH(GE$4,'Curva Forward'!$C$4:$AN$4,0))),DG270)</f>
        <v>0</v>
      </c>
      <c r="GF270" s="190">
        <f>AT270*AT$2*IF($FC270="V",1,-1)*IF($Q270="Fixo",(DH270-INDEX('Curva Forward'!$C$5:$AN$13,MATCH(CONCATENATE(BD_COMERCIAL!$K270," ",BD_COMERCIAL!$L270),'Curva Forward'!$B$5:$B$13,0),MATCH(GF$4,'Curva Forward'!$C$4:$AN$4,0))),DH270)</f>
        <v>0</v>
      </c>
      <c r="GG270" s="190">
        <f>AU270*AU$2*IF($FC270="V",1,-1)*IF($Q270="Fixo",(DI270-INDEX('Curva Forward'!$C$5:$AN$13,MATCH(CONCATENATE(BD_COMERCIAL!$K270," ",BD_COMERCIAL!$L270),'Curva Forward'!$B$5:$B$13,0),MATCH(GG$4,'Curva Forward'!$C$4:$AN$4,0))),DI270)</f>
        <v>0</v>
      </c>
      <c r="GH270" s="190">
        <f>AV270*AV$2*IF($FC270="V",1,-1)*IF($Q270="Fixo",(DJ270-INDEX('Curva Forward'!$C$5:$AN$13,MATCH(CONCATENATE(BD_COMERCIAL!$K270," ",BD_COMERCIAL!$L270),'Curva Forward'!$B$5:$B$13,0),MATCH(GH$4,'Curva Forward'!$C$4:$AN$4,0))),DJ270)</f>
        <v>0</v>
      </c>
      <c r="GI270" s="190">
        <f>AW270*AW$2*IF($FC270="V",1,-1)*IF($Q270="Fixo",(DK270-INDEX('Curva Forward'!$C$5:$AN$13,MATCH(CONCATENATE(BD_COMERCIAL!$K270," ",BD_COMERCIAL!$L270),'Curva Forward'!$B$5:$B$13,0),MATCH(GI$4,'Curva Forward'!$C$4:$AN$4,0))),DK270)</f>
        <v>0</v>
      </c>
      <c r="GJ270" s="190">
        <f>AX270*AX$2*IF($FC270="V",1,-1)*IF($Q270="Fixo",(DL270-INDEX('Curva Forward'!$C$5:$AN$13,MATCH(CONCATENATE(BD_COMERCIAL!$K270," ",BD_COMERCIAL!$L270),'Curva Forward'!$B$5:$B$13,0),MATCH(GJ$4,'Curva Forward'!$C$4:$AN$4,0))),DL270)</f>
        <v>0</v>
      </c>
      <c r="GK270" s="190">
        <f>AY270*AY$2*IF($FC270="V",1,-1)*IF($Q270="Fixo",(DM270-INDEX('Curva Forward'!$C$5:$AN$13,MATCH(CONCATENATE(BD_COMERCIAL!$K270," ",BD_COMERCIAL!$L270),'Curva Forward'!$B$5:$B$13,0),MATCH(GK$4,'Curva Forward'!$C$4:$AN$4,0))),DM270)</f>
        <v>0</v>
      </c>
      <c r="GL270" s="190">
        <f>IF(EZ270="",0,CL270*CL$2*IF($FC270="V",1,-1)*IF($Q270="Fixo",(EZ270-INDEX('Curva Forward'!$C$5:$AN$13,MATCH(CONCATENATE(BD_COMERCIAL!$K270," ",BD_COMERCIAL!$L270),'Curva Forward'!$B$5:$B$13,0),MATCH(GL$4,'Curva Forward'!$C$4:$AN$4,0))),EZ270))</f>
        <v>0</v>
      </c>
      <c r="GM270" s="190">
        <f>IF(FA270="",0,CM270*CM$2*IF($FC270="V",1,-1)*IF($Q270="Fixo",(FA270-INDEX('Curva Forward'!$C$5:$AN$13,MATCH(CONCATENATE(BD_COMERCIAL!$K270," ",BD_COMERCIAL!$L270),'Curva Forward'!$B$5:$B$13,0),MATCH(GM$4,'Curva Forward'!$C$4:$AN$4,0))),FA270))</f>
        <v>0</v>
      </c>
      <c r="GN270" s="190">
        <f>IF(FB270="",0,CN270*CN$2*IF($FC270="V",1,-1)*IF($Q270="Fixo",(FB270-INDEX('Curva Forward'!$C$5:$AN$13,MATCH(CONCATENATE(BD_COMERCIAL!$K270," ",BD_COMERCIAL!$L270),'Curva Forward'!$B$5:$B$13,0),MATCH(GN$4,'Curva Forward'!$C$4:$AN$4,0))),FB270))</f>
        <v>0</v>
      </c>
      <c r="GO270" s="191">
        <f t="shared" ca="1" si="39"/>
        <v>0</v>
      </c>
      <c r="GP270" s="191">
        <f t="shared" ca="1" si="40"/>
        <v>0</v>
      </c>
      <c r="GQ270" s="115"/>
      <c r="GR270" s="115"/>
      <c r="GS270"/>
      <c r="GT270" s="65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</row>
    <row r="271" spans="1:236" s="265" customFormat="1" ht="15" customHeight="1" x14ac:dyDescent="0.35">
      <c r="A271" s="251"/>
      <c r="B271" s="275"/>
      <c r="C271" s="253"/>
      <c r="D271" s="254"/>
      <c r="E271" s="254"/>
      <c r="F271" s="255"/>
      <c r="G271" s="256"/>
      <c r="H271" s="255"/>
      <c r="I271" s="254"/>
      <c r="J271" s="257"/>
      <c r="K271" s="256"/>
      <c r="L271" s="252"/>
      <c r="M271" s="258"/>
      <c r="N271" s="259"/>
      <c r="O271" s="256"/>
      <c r="P271" s="252"/>
      <c r="Q271" s="252"/>
      <c r="R271" s="256"/>
      <c r="S271" s="260"/>
      <c r="T271" s="258"/>
      <c r="U271" s="259"/>
      <c r="V271" s="261"/>
      <c r="W271" s="252"/>
      <c r="X271" s="262"/>
      <c r="Y271" s="257"/>
      <c r="Z271" s="263"/>
      <c r="AA271" s="264"/>
      <c r="AB271" s="266"/>
      <c r="AM271" s="251"/>
      <c r="AN271" s="266"/>
      <c r="AY271" s="251"/>
      <c r="AZ271" s="266"/>
      <c r="BK271" s="251"/>
      <c r="BL271" s="266"/>
      <c r="BW271" s="251"/>
      <c r="BX271" s="266"/>
      <c r="CI271" s="251"/>
      <c r="CJ271" s="267"/>
      <c r="CK271" s="267"/>
      <c r="CL271" s="267"/>
      <c r="CM271" s="267"/>
      <c r="CN271" s="267"/>
      <c r="CO271" s="268"/>
      <c r="CP271" s="266"/>
      <c r="DA271" s="251"/>
      <c r="DB271" s="266"/>
      <c r="DM271" s="251"/>
      <c r="DN271" s="266"/>
      <c r="DY271" s="251"/>
      <c r="DZ271" s="266"/>
      <c r="EK271" s="251"/>
      <c r="EL271" s="266"/>
      <c r="EW271" s="251"/>
      <c r="EX271" s="267"/>
      <c r="EY271" s="267"/>
      <c r="EZ271" s="267"/>
      <c r="FA271" s="267"/>
      <c r="FB271" s="269"/>
      <c r="FD271" s="270"/>
      <c r="FF271" s="276"/>
      <c r="FH271" s="206">
        <f t="shared" si="34"/>
        <v>0</v>
      </c>
      <c r="FI271" s="198">
        <f t="shared" si="35"/>
        <v>0</v>
      </c>
      <c r="FJ271"/>
      <c r="FK271">
        <f t="shared" si="36"/>
        <v>0</v>
      </c>
      <c r="FL271" s="191">
        <f t="shared" ca="1" si="37"/>
        <v>0</v>
      </c>
      <c r="FM271" s="191">
        <f t="shared" ca="1" si="38"/>
        <v>0</v>
      </c>
      <c r="FN271" s="190">
        <f>AB271*AB$2*IF($FC271="V",1,-1)*IF($Q271="Fixo",(CP271-INDEX('Curva Forward'!$C$5:$AN$13,MATCH(CONCATENATE(BD_COMERCIAL!$K271," ",BD_COMERCIAL!$L271),'Curva Forward'!$B$5:$B$13,0),MATCH(FN$4,'Curva Forward'!$C$4:$AN$4,0))),CP271)</f>
        <v>0</v>
      </c>
      <c r="FO271" s="190">
        <f>AC271*AC$2*IF($FC271="V",1,-1)*IF($Q271="Fixo",(CQ271-INDEX('Curva Forward'!$C$5:$AN$13,MATCH(CONCATENATE(BD_COMERCIAL!$K271," ",BD_COMERCIAL!$L271),'Curva Forward'!$B$5:$B$13,0),MATCH(FO$4,'Curva Forward'!$C$4:$AN$4,0))),CQ271)</f>
        <v>0</v>
      </c>
      <c r="FP271" s="190">
        <f>AD271*AD$2*IF($FC271="V",1,-1)*IF($Q271="Fixo",(CR271-INDEX('Curva Forward'!$C$5:$AN$13,MATCH(CONCATENATE(BD_COMERCIAL!$K271," ",BD_COMERCIAL!$L271),'Curva Forward'!$B$5:$B$13,0),MATCH(FP$4,'Curva Forward'!$C$4:$AN$4,0))),CR271)</f>
        <v>0</v>
      </c>
      <c r="FQ271" s="190">
        <f>AE271*AE$2*IF($FC271="V",1,-1)*IF($Q271="Fixo",(CS271-INDEX('Curva Forward'!$C$5:$AN$13,MATCH(CONCATENATE(BD_COMERCIAL!$K271," ",BD_COMERCIAL!$L271),'Curva Forward'!$B$5:$B$13,0),MATCH(FQ$4,'Curva Forward'!$C$4:$AN$4,0))),CS271)</f>
        <v>0</v>
      </c>
      <c r="FR271" s="190">
        <f>AF271*AF$2*IF($FC271="V",1,-1)*IF($Q271="Fixo",(CT271-INDEX('Curva Forward'!$C$5:$AN$13,MATCH(CONCATENATE(BD_COMERCIAL!$K271," ",BD_COMERCIAL!$L271),'Curva Forward'!$B$5:$B$13,0),MATCH(FR$4,'Curva Forward'!$C$4:$AN$4,0))),CT271)</f>
        <v>0</v>
      </c>
      <c r="FS271" s="190">
        <f>AG271*AG$2*IF($FC271="V",1,-1)*IF($Q271="Fixo",(CU271-INDEX('Curva Forward'!$C$5:$AN$13,MATCH(CONCATENATE(BD_COMERCIAL!$K271," ",BD_COMERCIAL!$L271),'Curva Forward'!$B$5:$B$13,0),MATCH(FS$4,'Curva Forward'!$C$4:$AN$4,0))),CU271)</f>
        <v>0</v>
      </c>
      <c r="FT271" s="190">
        <f>AH271*AH$2*IF($FC271="V",1,-1)*IF($Q271="Fixo",(CV271-INDEX('Curva Forward'!$C$5:$AN$13,MATCH(CONCATENATE(BD_COMERCIAL!$K271," ",BD_COMERCIAL!$L271),'Curva Forward'!$B$5:$B$13,0),MATCH(FT$4,'Curva Forward'!$C$4:$AN$4,0))),CV271)</f>
        <v>0</v>
      </c>
      <c r="FU271" s="190">
        <f>AI271*AI$2*IF($FC271="V",1,-1)*IF($Q271="Fixo",(CW271-INDEX('Curva Forward'!$C$5:$AN$13,MATCH(CONCATENATE(BD_COMERCIAL!$K271," ",BD_COMERCIAL!$L271),'Curva Forward'!$B$5:$B$13,0),MATCH(FU$4,'Curva Forward'!$C$4:$AN$4,0))),CW271)</f>
        <v>0</v>
      </c>
      <c r="FV271" s="190">
        <f>AJ271*AJ$2*IF($FC271="V",1,-1)*IF($Q271="Fixo",(CX271-INDEX('Curva Forward'!$C$5:$AN$13,MATCH(CONCATENATE(BD_COMERCIAL!$K271," ",BD_COMERCIAL!$L271),'Curva Forward'!$B$5:$B$13,0),MATCH(FV$4,'Curva Forward'!$C$4:$AN$4,0))),CX271)</f>
        <v>0</v>
      </c>
      <c r="FW271" s="190">
        <f>AK271*AK$2*IF($FC271="V",1,-1)*IF($Q271="Fixo",(CY271-INDEX('Curva Forward'!$C$5:$AN$13,MATCH(CONCATENATE(BD_COMERCIAL!$K271," ",BD_COMERCIAL!$L271),'Curva Forward'!$B$5:$B$13,0),MATCH(FW$4,'Curva Forward'!$C$4:$AN$4,0))),CY271)</f>
        <v>0</v>
      </c>
      <c r="FX271" s="190">
        <f>AL271*AL$2*IF($FC271="V",1,-1)*IF($Q271="Fixo",(CZ271-INDEX('Curva Forward'!$C$5:$AN$13,MATCH(CONCATENATE(BD_COMERCIAL!$K271," ",BD_COMERCIAL!$L271),'Curva Forward'!$B$5:$B$13,0),MATCH(FX$4,'Curva Forward'!$C$4:$AN$4,0))),CZ271)</f>
        <v>0</v>
      </c>
      <c r="FY271" s="190">
        <f>AM271*AM$2*IF($FC271="V",1,-1)*IF($Q271="Fixo",(DA271-INDEX('Curva Forward'!$C$5:$AN$13,MATCH(CONCATENATE(BD_COMERCIAL!$K271," ",BD_COMERCIAL!$L271),'Curva Forward'!$B$5:$B$13,0),MATCH(FY$4,'Curva Forward'!$C$4:$AN$4,0))),DA271)</f>
        <v>0</v>
      </c>
      <c r="FZ271" s="190">
        <f>AN271*AN$2*IF($FC271="V",1,-1)*IF($Q271="Fixo",(DB271-INDEX('Curva Forward'!$C$5:$AN$13,MATCH(CONCATENATE(BD_COMERCIAL!$K271," ",BD_COMERCIAL!$L271),'Curva Forward'!$B$5:$B$13,0),MATCH(FZ$4,'Curva Forward'!$C$4:$AN$4,0))),DB271)</f>
        <v>0</v>
      </c>
      <c r="GA271" s="190">
        <f>AO271*AO$2*IF($FC271="V",1,-1)*IF($Q271="Fixo",(DC271-INDEX('Curva Forward'!$C$5:$AN$13,MATCH(CONCATENATE(BD_COMERCIAL!$K271," ",BD_COMERCIAL!$L271),'Curva Forward'!$B$5:$B$13,0),MATCH(GA$4,'Curva Forward'!$C$4:$AN$4,0))),DC271)</f>
        <v>0</v>
      </c>
      <c r="GB271" s="190">
        <f>AP271*AP$2*IF($FC271="V",1,-1)*IF($Q271="Fixo",(DD271-INDEX('Curva Forward'!$C$5:$AN$13,MATCH(CONCATENATE(BD_COMERCIAL!$K271," ",BD_COMERCIAL!$L271),'Curva Forward'!$B$5:$B$13,0),MATCH(GB$4,'Curva Forward'!$C$4:$AN$4,0))),DD271)</f>
        <v>0</v>
      </c>
      <c r="GC271" s="190">
        <f>AQ271*AQ$2*IF($FC271="V",1,-1)*IF($Q271="Fixo",(DE271-INDEX('Curva Forward'!$C$5:$AN$13,MATCH(CONCATENATE(BD_COMERCIAL!$K271," ",BD_COMERCIAL!$L271),'Curva Forward'!$B$5:$B$13,0),MATCH(GC$4,'Curva Forward'!$C$4:$AN$4,0))),DE271)</f>
        <v>0</v>
      </c>
      <c r="GD271" s="190">
        <f>AR271*AR$2*IF($FC271="V",1,-1)*IF($Q271="Fixo",(DF271-INDEX('Curva Forward'!$C$5:$AN$13,MATCH(CONCATENATE(BD_COMERCIAL!$K271," ",BD_COMERCIAL!$L271),'Curva Forward'!$B$5:$B$13,0),MATCH(GD$4,'Curva Forward'!$C$4:$AN$4,0))),DF271)</f>
        <v>0</v>
      </c>
      <c r="GE271" s="190">
        <f>AS271*AS$2*IF($FC271="V",1,-1)*IF($Q271="Fixo",(DG271-INDEX('Curva Forward'!$C$5:$AN$13,MATCH(CONCATENATE(BD_COMERCIAL!$K271," ",BD_COMERCIAL!$L271),'Curva Forward'!$B$5:$B$13,0),MATCH(GE$4,'Curva Forward'!$C$4:$AN$4,0))),DG271)</f>
        <v>0</v>
      </c>
      <c r="GF271" s="190">
        <f>AT271*AT$2*IF($FC271="V",1,-1)*IF($Q271="Fixo",(DH271-INDEX('Curva Forward'!$C$5:$AN$13,MATCH(CONCATENATE(BD_COMERCIAL!$K271," ",BD_COMERCIAL!$L271),'Curva Forward'!$B$5:$B$13,0),MATCH(GF$4,'Curva Forward'!$C$4:$AN$4,0))),DH271)</f>
        <v>0</v>
      </c>
      <c r="GG271" s="190">
        <f>AU271*AU$2*IF($FC271="V",1,-1)*IF($Q271="Fixo",(DI271-INDEX('Curva Forward'!$C$5:$AN$13,MATCH(CONCATENATE(BD_COMERCIAL!$K271," ",BD_COMERCIAL!$L271),'Curva Forward'!$B$5:$B$13,0),MATCH(GG$4,'Curva Forward'!$C$4:$AN$4,0))),DI271)</f>
        <v>0</v>
      </c>
      <c r="GH271" s="190">
        <f>AV271*AV$2*IF($FC271="V",1,-1)*IF($Q271="Fixo",(DJ271-INDEX('Curva Forward'!$C$5:$AN$13,MATCH(CONCATENATE(BD_COMERCIAL!$K271," ",BD_COMERCIAL!$L271),'Curva Forward'!$B$5:$B$13,0),MATCH(GH$4,'Curva Forward'!$C$4:$AN$4,0))),DJ271)</f>
        <v>0</v>
      </c>
      <c r="GI271" s="190">
        <f>AW271*AW$2*IF($FC271="V",1,-1)*IF($Q271="Fixo",(DK271-INDEX('Curva Forward'!$C$5:$AN$13,MATCH(CONCATENATE(BD_COMERCIAL!$K271," ",BD_COMERCIAL!$L271),'Curva Forward'!$B$5:$B$13,0),MATCH(GI$4,'Curva Forward'!$C$4:$AN$4,0))),DK271)</f>
        <v>0</v>
      </c>
      <c r="GJ271" s="190">
        <f>AX271*AX$2*IF($FC271="V",1,-1)*IF($Q271="Fixo",(DL271-INDEX('Curva Forward'!$C$5:$AN$13,MATCH(CONCATENATE(BD_COMERCIAL!$K271," ",BD_COMERCIAL!$L271),'Curva Forward'!$B$5:$B$13,0),MATCH(GJ$4,'Curva Forward'!$C$4:$AN$4,0))),DL271)</f>
        <v>0</v>
      </c>
      <c r="GK271" s="190">
        <f>AY271*AY$2*IF($FC271="V",1,-1)*IF($Q271="Fixo",(DM271-INDEX('Curva Forward'!$C$5:$AN$13,MATCH(CONCATENATE(BD_COMERCIAL!$K271," ",BD_COMERCIAL!$L271),'Curva Forward'!$B$5:$B$13,0),MATCH(GK$4,'Curva Forward'!$C$4:$AN$4,0))),DM271)</f>
        <v>0</v>
      </c>
      <c r="GL271" s="190">
        <f>IF(EZ271="",0,CL271*CL$2*IF($FC271="V",1,-1)*IF($Q271="Fixo",(EZ271-INDEX('Curva Forward'!$C$5:$AN$13,MATCH(CONCATENATE(BD_COMERCIAL!$K271," ",BD_COMERCIAL!$L271),'Curva Forward'!$B$5:$B$13,0),MATCH(GL$4,'Curva Forward'!$C$4:$AN$4,0))),EZ271))</f>
        <v>0</v>
      </c>
      <c r="GM271" s="190">
        <f>IF(FA271="",0,CM271*CM$2*IF($FC271="V",1,-1)*IF($Q271="Fixo",(FA271-INDEX('Curva Forward'!$C$5:$AN$13,MATCH(CONCATENATE(BD_COMERCIAL!$K271," ",BD_COMERCIAL!$L271),'Curva Forward'!$B$5:$B$13,0),MATCH(GM$4,'Curva Forward'!$C$4:$AN$4,0))),FA271))</f>
        <v>0</v>
      </c>
      <c r="GN271" s="190">
        <f>IF(FB271="",0,CN271*CN$2*IF($FC271="V",1,-1)*IF($Q271="Fixo",(FB271-INDEX('Curva Forward'!$C$5:$AN$13,MATCH(CONCATENATE(BD_COMERCIAL!$K271," ",BD_COMERCIAL!$L271),'Curva Forward'!$B$5:$B$13,0),MATCH(GN$4,'Curva Forward'!$C$4:$AN$4,0))),FB271))</f>
        <v>0</v>
      </c>
      <c r="GO271" s="191">
        <f t="shared" ca="1" si="39"/>
        <v>0</v>
      </c>
      <c r="GP271" s="191">
        <f t="shared" ca="1" si="40"/>
        <v>0</v>
      </c>
      <c r="GQ271" s="115"/>
      <c r="GR271" s="115"/>
      <c r="GS271"/>
      <c r="GT271" s="65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</row>
    <row r="272" spans="1:236" s="265" customFormat="1" ht="15" customHeight="1" x14ac:dyDescent="0.35">
      <c r="A272" s="251"/>
      <c r="B272" s="275"/>
      <c r="C272" s="253"/>
      <c r="D272" s="254"/>
      <c r="E272" s="254"/>
      <c r="F272" s="255"/>
      <c r="G272" s="256"/>
      <c r="H272" s="255"/>
      <c r="I272" s="254"/>
      <c r="J272" s="257"/>
      <c r="K272" s="256"/>
      <c r="L272" s="252"/>
      <c r="M272" s="258"/>
      <c r="N272" s="259"/>
      <c r="O272" s="256"/>
      <c r="P272" s="252"/>
      <c r="Q272" s="252"/>
      <c r="R272" s="256"/>
      <c r="S272" s="260"/>
      <c r="T272" s="258"/>
      <c r="U272" s="259"/>
      <c r="V272" s="261"/>
      <c r="W272" s="252"/>
      <c r="X272" s="262"/>
      <c r="Y272" s="257"/>
      <c r="Z272" s="263"/>
      <c r="AA272" s="264"/>
      <c r="AB272" s="266"/>
      <c r="AM272" s="251"/>
      <c r="AN272" s="266"/>
      <c r="AY272" s="251"/>
      <c r="AZ272" s="266"/>
      <c r="BK272" s="251"/>
      <c r="BL272" s="266"/>
      <c r="BW272" s="251"/>
      <c r="BX272" s="266"/>
      <c r="CI272" s="251"/>
      <c r="CJ272" s="267"/>
      <c r="CK272" s="267"/>
      <c r="CL272" s="267"/>
      <c r="CM272" s="267"/>
      <c r="CN272" s="267"/>
      <c r="CO272" s="268"/>
      <c r="CP272" s="266"/>
      <c r="DA272" s="251"/>
      <c r="DB272" s="266"/>
      <c r="DM272" s="251"/>
      <c r="DN272" s="266"/>
      <c r="DY272" s="251"/>
      <c r="DZ272" s="266"/>
      <c r="EK272" s="251"/>
      <c r="EL272" s="266"/>
      <c r="EW272" s="251"/>
      <c r="EX272" s="267"/>
      <c r="EY272" s="267"/>
      <c r="EZ272" s="267"/>
      <c r="FA272" s="267"/>
      <c r="FB272" s="269"/>
      <c r="FD272" s="270"/>
      <c r="FF272" s="276"/>
      <c r="FH272" s="206">
        <f t="shared" si="34"/>
        <v>0</v>
      </c>
      <c r="FI272" s="198">
        <f t="shared" si="35"/>
        <v>0</v>
      </c>
      <c r="FJ272"/>
      <c r="FK272">
        <f t="shared" si="36"/>
        <v>0</v>
      </c>
      <c r="FL272" s="191">
        <f t="shared" ca="1" si="37"/>
        <v>0</v>
      </c>
      <c r="FM272" s="191">
        <f t="shared" ca="1" si="38"/>
        <v>0</v>
      </c>
      <c r="FN272" s="190">
        <f>AB272*AB$2*IF($FC272="V",1,-1)*IF($Q272="Fixo",(CP272-INDEX('Curva Forward'!$C$5:$AN$13,MATCH(CONCATENATE(BD_COMERCIAL!$K272," ",BD_COMERCIAL!$L272),'Curva Forward'!$B$5:$B$13,0),MATCH(FN$4,'Curva Forward'!$C$4:$AN$4,0))),CP272)</f>
        <v>0</v>
      </c>
      <c r="FO272" s="190">
        <f>AC272*AC$2*IF($FC272="V",1,-1)*IF($Q272="Fixo",(CQ272-INDEX('Curva Forward'!$C$5:$AN$13,MATCH(CONCATENATE(BD_COMERCIAL!$K272," ",BD_COMERCIAL!$L272),'Curva Forward'!$B$5:$B$13,0),MATCH(FO$4,'Curva Forward'!$C$4:$AN$4,0))),CQ272)</f>
        <v>0</v>
      </c>
      <c r="FP272" s="190">
        <f>AD272*AD$2*IF($FC272="V",1,-1)*IF($Q272="Fixo",(CR272-INDEX('Curva Forward'!$C$5:$AN$13,MATCH(CONCATENATE(BD_COMERCIAL!$K272," ",BD_COMERCIAL!$L272),'Curva Forward'!$B$5:$B$13,0),MATCH(FP$4,'Curva Forward'!$C$4:$AN$4,0))),CR272)</f>
        <v>0</v>
      </c>
      <c r="FQ272" s="190">
        <f>AE272*AE$2*IF($FC272="V",1,-1)*IF($Q272="Fixo",(CS272-INDEX('Curva Forward'!$C$5:$AN$13,MATCH(CONCATENATE(BD_COMERCIAL!$K272," ",BD_COMERCIAL!$L272),'Curva Forward'!$B$5:$B$13,0),MATCH(FQ$4,'Curva Forward'!$C$4:$AN$4,0))),CS272)</f>
        <v>0</v>
      </c>
      <c r="FR272" s="190">
        <f>AF272*AF$2*IF($FC272="V",1,-1)*IF($Q272="Fixo",(CT272-INDEX('Curva Forward'!$C$5:$AN$13,MATCH(CONCATENATE(BD_COMERCIAL!$K272," ",BD_COMERCIAL!$L272),'Curva Forward'!$B$5:$B$13,0),MATCH(FR$4,'Curva Forward'!$C$4:$AN$4,0))),CT272)</f>
        <v>0</v>
      </c>
      <c r="FS272" s="190">
        <f>AG272*AG$2*IF($FC272="V",1,-1)*IF($Q272="Fixo",(CU272-INDEX('Curva Forward'!$C$5:$AN$13,MATCH(CONCATENATE(BD_COMERCIAL!$K272," ",BD_COMERCIAL!$L272),'Curva Forward'!$B$5:$B$13,0),MATCH(FS$4,'Curva Forward'!$C$4:$AN$4,0))),CU272)</f>
        <v>0</v>
      </c>
      <c r="FT272" s="190">
        <f>AH272*AH$2*IF($FC272="V",1,-1)*IF($Q272="Fixo",(CV272-INDEX('Curva Forward'!$C$5:$AN$13,MATCH(CONCATENATE(BD_COMERCIAL!$K272," ",BD_COMERCIAL!$L272),'Curva Forward'!$B$5:$B$13,0),MATCH(FT$4,'Curva Forward'!$C$4:$AN$4,0))),CV272)</f>
        <v>0</v>
      </c>
      <c r="FU272" s="190">
        <f>AI272*AI$2*IF($FC272="V",1,-1)*IF($Q272="Fixo",(CW272-INDEX('Curva Forward'!$C$5:$AN$13,MATCH(CONCATENATE(BD_COMERCIAL!$K272," ",BD_COMERCIAL!$L272),'Curva Forward'!$B$5:$B$13,0),MATCH(FU$4,'Curva Forward'!$C$4:$AN$4,0))),CW272)</f>
        <v>0</v>
      </c>
      <c r="FV272" s="190">
        <f>AJ272*AJ$2*IF($FC272="V",1,-1)*IF($Q272="Fixo",(CX272-INDEX('Curva Forward'!$C$5:$AN$13,MATCH(CONCATENATE(BD_COMERCIAL!$K272," ",BD_COMERCIAL!$L272),'Curva Forward'!$B$5:$B$13,0),MATCH(FV$4,'Curva Forward'!$C$4:$AN$4,0))),CX272)</f>
        <v>0</v>
      </c>
      <c r="FW272" s="190">
        <f>AK272*AK$2*IF($FC272="V",1,-1)*IF($Q272="Fixo",(CY272-INDEX('Curva Forward'!$C$5:$AN$13,MATCH(CONCATENATE(BD_COMERCIAL!$K272," ",BD_COMERCIAL!$L272),'Curva Forward'!$B$5:$B$13,0),MATCH(FW$4,'Curva Forward'!$C$4:$AN$4,0))),CY272)</f>
        <v>0</v>
      </c>
      <c r="FX272" s="190">
        <f>AL272*AL$2*IF($FC272="V",1,-1)*IF($Q272="Fixo",(CZ272-INDEX('Curva Forward'!$C$5:$AN$13,MATCH(CONCATENATE(BD_COMERCIAL!$K272," ",BD_COMERCIAL!$L272),'Curva Forward'!$B$5:$B$13,0),MATCH(FX$4,'Curva Forward'!$C$4:$AN$4,0))),CZ272)</f>
        <v>0</v>
      </c>
      <c r="FY272" s="190">
        <f>AM272*AM$2*IF($FC272="V",1,-1)*IF($Q272="Fixo",(DA272-INDEX('Curva Forward'!$C$5:$AN$13,MATCH(CONCATENATE(BD_COMERCIAL!$K272," ",BD_COMERCIAL!$L272),'Curva Forward'!$B$5:$B$13,0),MATCH(FY$4,'Curva Forward'!$C$4:$AN$4,0))),DA272)</f>
        <v>0</v>
      </c>
      <c r="FZ272" s="190">
        <f>AN272*AN$2*IF($FC272="V",1,-1)*IF($Q272="Fixo",(DB272-INDEX('Curva Forward'!$C$5:$AN$13,MATCH(CONCATENATE(BD_COMERCIAL!$K272," ",BD_COMERCIAL!$L272),'Curva Forward'!$B$5:$B$13,0),MATCH(FZ$4,'Curva Forward'!$C$4:$AN$4,0))),DB272)</f>
        <v>0</v>
      </c>
      <c r="GA272" s="190">
        <f>AO272*AO$2*IF($FC272="V",1,-1)*IF($Q272="Fixo",(DC272-INDEX('Curva Forward'!$C$5:$AN$13,MATCH(CONCATENATE(BD_COMERCIAL!$K272," ",BD_COMERCIAL!$L272),'Curva Forward'!$B$5:$B$13,0),MATCH(GA$4,'Curva Forward'!$C$4:$AN$4,0))),DC272)</f>
        <v>0</v>
      </c>
      <c r="GB272" s="190">
        <f>AP272*AP$2*IF($FC272="V",1,-1)*IF($Q272="Fixo",(DD272-INDEX('Curva Forward'!$C$5:$AN$13,MATCH(CONCATENATE(BD_COMERCIAL!$K272," ",BD_COMERCIAL!$L272),'Curva Forward'!$B$5:$B$13,0),MATCH(GB$4,'Curva Forward'!$C$4:$AN$4,0))),DD272)</f>
        <v>0</v>
      </c>
      <c r="GC272" s="190">
        <f>AQ272*AQ$2*IF($FC272="V",1,-1)*IF($Q272="Fixo",(DE272-INDEX('Curva Forward'!$C$5:$AN$13,MATCH(CONCATENATE(BD_COMERCIAL!$K272," ",BD_COMERCIAL!$L272),'Curva Forward'!$B$5:$B$13,0),MATCH(GC$4,'Curva Forward'!$C$4:$AN$4,0))),DE272)</f>
        <v>0</v>
      </c>
      <c r="GD272" s="190">
        <f>AR272*AR$2*IF($FC272="V",1,-1)*IF($Q272="Fixo",(DF272-INDEX('Curva Forward'!$C$5:$AN$13,MATCH(CONCATENATE(BD_COMERCIAL!$K272," ",BD_COMERCIAL!$L272),'Curva Forward'!$B$5:$B$13,0),MATCH(GD$4,'Curva Forward'!$C$4:$AN$4,0))),DF272)</f>
        <v>0</v>
      </c>
      <c r="GE272" s="190">
        <f>AS272*AS$2*IF($FC272="V",1,-1)*IF($Q272="Fixo",(DG272-INDEX('Curva Forward'!$C$5:$AN$13,MATCH(CONCATENATE(BD_COMERCIAL!$K272," ",BD_COMERCIAL!$L272),'Curva Forward'!$B$5:$B$13,0),MATCH(GE$4,'Curva Forward'!$C$4:$AN$4,0))),DG272)</f>
        <v>0</v>
      </c>
      <c r="GF272" s="190">
        <f>AT272*AT$2*IF($FC272="V",1,-1)*IF($Q272="Fixo",(DH272-INDEX('Curva Forward'!$C$5:$AN$13,MATCH(CONCATENATE(BD_COMERCIAL!$K272," ",BD_COMERCIAL!$L272),'Curva Forward'!$B$5:$B$13,0),MATCH(GF$4,'Curva Forward'!$C$4:$AN$4,0))),DH272)</f>
        <v>0</v>
      </c>
      <c r="GG272" s="190">
        <f>AU272*AU$2*IF($FC272="V",1,-1)*IF($Q272="Fixo",(DI272-INDEX('Curva Forward'!$C$5:$AN$13,MATCH(CONCATENATE(BD_COMERCIAL!$K272," ",BD_COMERCIAL!$L272),'Curva Forward'!$B$5:$B$13,0),MATCH(GG$4,'Curva Forward'!$C$4:$AN$4,0))),DI272)</f>
        <v>0</v>
      </c>
      <c r="GH272" s="190">
        <f>AV272*AV$2*IF($FC272="V",1,-1)*IF($Q272="Fixo",(DJ272-INDEX('Curva Forward'!$C$5:$AN$13,MATCH(CONCATENATE(BD_COMERCIAL!$K272," ",BD_COMERCIAL!$L272),'Curva Forward'!$B$5:$B$13,0),MATCH(GH$4,'Curva Forward'!$C$4:$AN$4,0))),DJ272)</f>
        <v>0</v>
      </c>
      <c r="GI272" s="190">
        <f>AW272*AW$2*IF($FC272="V",1,-1)*IF($Q272="Fixo",(DK272-INDEX('Curva Forward'!$C$5:$AN$13,MATCH(CONCATENATE(BD_COMERCIAL!$K272," ",BD_COMERCIAL!$L272),'Curva Forward'!$B$5:$B$13,0),MATCH(GI$4,'Curva Forward'!$C$4:$AN$4,0))),DK272)</f>
        <v>0</v>
      </c>
      <c r="GJ272" s="190">
        <f>AX272*AX$2*IF($FC272="V",1,-1)*IF($Q272="Fixo",(DL272-INDEX('Curva Forward'!$C$5:$AN$13,MATCH(CONCATENATE(BD_COMERCIAL!$K272," ",BD_COMERCIAL!$L272),'Curva Forward'!$B$5:$B$13,0),MATCH(GJ$4,'Curva Forward'!$C$4:$AN$4,0))),DL272)</f>
        <v>0</v>
      </c>
      <c r="GK272" s="190">
        <f>AY272*AY$2*IF($FC272="V",1,-1)*IF($Q272="Fixo",(DM272-INDEX('Curva Forward'!$C$5:$AN$13,MATCH(CONCATENATE(BD_COMERCIAL!$K272," ",BD_COMERCIAL!$L272),'Curva Forward'!$B$5:$B$13,0),MATCH(GK$4,'Curva Forward'!$C$4:$AN$4,0))),DM272)</f>
        <v>0</v>
      </c>
      <c r="GL272" s="190">
        <f>IF(EZ272="",0,CL272*CL$2*IF($FC272="V",1,-1)*IF($Q272="Fixo",(EZ272-INDEX('Curva Forward'!$C$5:$AN$13,MATCH(CONCATENATE(BD_COMERCIAL!$K272," ",BD_COMERCIAL!$L272),'Curva Forward'!$B$5:$B$13,0),MATCH(GL$4,'Curva Forward'!$C$4:$AN$4,0))),EZ272))</f>
        <v>0</v>
      </c>
      <c r="GM272" s="190">
        <f>IF(FA272="",0,CM272*CM$2*IF($FC272="V",1,-1)*IF($Q272="Fixo",(FA272-INDEX('Curva Forward'!$C$5:$AN$13,MATCH(CONCATENATE(BD_COMERCIAL!$K272," ",BD_COMERCIAL!$L272),'Curva Forward'!$B$5:$B$13,0),MATCH(GM$4,'Curva Forward'!$C$4:$AN$4,0))),FA272))</f>
        <v>0</v>
      </c>
      <c r="GN272" s="190">
        <f>IF(FB272="",0,CN272*CN$2*IF($FC272="V",1,-1)*IF($Q272="Fixo",(FB272-INDEX('Curva Forward'!$C$5:$AN$13,MATCH(CONCATENATE(BD_COMERCIAL!$K272," ",BD_COMERCIAL!$L272),'Curva Forward'!$B$5:$B$13,0),MATCH(GN$4,'Curva Forward'!$C$4:$AN$4,0))),FB272))</f>
        <v>0</v>
      </c>
      <c r="GO272" s="191">
        <f t="shared" ca="1" si="39"/>
        <v>0</v>
      </c>
      <c r="GP272" s="191">
        <f t="shared" ca="1" si="40"/>
        <v>0</v>
      </c>
      <c r="GQ272" s="115"/>
      <c r="GR272" s="115"/>
      <c r="GS272"/>
      <c r="GT272" s="65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</row>
    <row r="273" spans="1:236" s="265" customFormat="1" ht="15" customHeight="1" x14ac:dyDescent="0.35">
      <c r="A273" s="251"/>
      <c r="B273" s="275"/>
      <c r="C273" s="253"/>
      <c r="D273" s="254"/>
      <c r="E273" s="254"/>
      <c r="F273" s="255"/>
      <c r="G273" s="256"/>
      <c r="H273" s="255"/>
      <c r="I273" s="254"/>
      <c r="J273" s="257"/>
      <c r="K273" s="256"/>
      <c r="L273" s="252"/>
      <c r="M273" s="258"/>
      <c r="N273" s="259"/>
      <c r="O273" s="256"/>
      <c r="P273" s="252"/>
      <c r="Q273" s="252"/>
      <c r="R273" s="256"/>
      <c r="S273" s="260"/>
      <c r="T273" s="258"/>
      <c r="U273" s="259"/>
      <c r="V273" s="261"/>
      <c r="W273" s="252"/>
      <c r="X273" s="262"/>
      <c r="Y273" s="257"/>
      <c r="Z273" s="263"/>
      <c r="AA273" s="264"/>
      <c r="AB273" s="266"/>
      <c r="AM273" s="251"/>
      <c r="AN273" s="266"/>
      <c r="AY273" s="251"/>
      <c r="AZ273" s="266"/>
      <c r="BK273" s="251"/>
      <c r="BL273" s="266"/>
      <c r="BW273" s="251"/>
      <c r="BX273" s="266"/>
      <c r="CI273" s="251"/>
      <c r="CJ273" s="267"/>
      <c r="CK273" s="267"/>
      <c r="CL273" s="267"/>
      <c r="CM273" s="267"/>
      <c r="CN273" s="267"/>
      <c r="CO273" s="268"/>
      <c r="CP273" s="266"/>
      <c r="DA273" s="251"/>
      <c r="DB273" s="266"/>
      <c r="DM273" s="251"/>
      <c r="DN273" s="266"/>
      <c r="DY273" s="251"/>
      <c r="DZ273" s="266"/>
      <c r="EK273" s="251"/>
      <c r="EL273" s="266"/>
      <c r="EW273" s="251"/>
      <c r="EX273" s="267"/>
      <c r="EY273" s="267"/>
      <c r="EZ273" s="267"/>
      <c r="FA273" s="267"/>
      <c r="FB273" s="269"/>
      <c r="FD273" s="270"/>
      <c r="FF273" s="276"/>
      <c r="FH273" s="206">
        <f t="shared" si="34"/>
        <v>0</v>
      </c>
      <c r="FI273" s="198">
        <f t="shared" si="35"/>
        <v>0</v>
      </c>
      <c r="FJ273"/>
      <c r="FK273">
        <f t="shared" si="36"/>
        <v>0</v>
      </c>
      <c r="FL273" s="191">
        <f t="shared" ca="1" si="37"/>
        <v>0</v>
      </c>
      <c r="FM273" s="191">
        <f t="shared" ca="1" si="38"/>
        <v>0</v>
      </c>
      <c r="FN273" s="190">
        <f>AB273*AB$2*IF($FC273="V",1,-1)*IF($Q273="Fixo",(CP273-INDEX('Curva Forward'!$C$5:$AN$13,MATCH(CONCATENATE(BD_COMERCIAL!$K273," ",BD_COMERCIAL!$L273),'Curva Forward'!$B$5:$B$13,0),MATCH(FN$4,'Curva Forward'!$C$4:$AN$4,0))),CP273)</f>
        <v>0</v>
      </c>
      <c r="FO273" s="190">
        <f>AC273*AC$2*IF($FC273="V",1,-1)*IF($Q273="Fixo",(CQ273-INDEX('Curva Forward'!$C$5:$AN$13,MATCH(CONCATENATE(BD_COMERCIAL!$K273," ",BD_COMERCIAL!$L273),'Curva Forward'!$B$5:$B$13,0),MATCH(FO$4,'Curva Forward'!$C$4:$AN$4,0))),CQ273)</f>
        <v>0</v>
      </c>
      <c r="FP273" s="190">
        <f>AD273*AD$2*IF($FC273="V",1,-1)*IF($Q273="Fixo",(CR273-INDEX('Curva Forward'!$C$5:$AN$13,MATCH(CONCATENATE(BD_COMERCIAL!$K273," ",BD_COMERCIAL!$L273),'Curva Forward'!$B$5:$B$13,0),MATCH(FP$4,'Curva Forward'!$C$4:$AN$4,0))),CR273)</f>
        <v>0</v>
      </c>
      <c r="FQ273" s="190">
        <f>AE273*AE$2*IF($FC273="V",1,-1)*IF($Q273="Fixo",(CS273-INDEX('Curva Forward'!$C$5:$AN$13,MATCH(CONCATENATE(BD_COMERCIAL!$K273," ",BD_COMERCIAL!$L273),'Curva Forward'!$B$5:$B$13,0),MATCH(FQ$4,'Curva Forward'!$C$4:$AN$4,0))),CS273)</f>
        <v>0</v>
      </c>
      <c r="FR273" s="190">
        <f>AF273*AF$2*IF($FC273="V",1,-1)*IF($Q273="Fixo",(CT273-INDEX('Curva Forward'!$C$5:$AN$13,MATCH(CONCATENATE(BD_COMERCIAL!$K273," ",BD_COMERCIAL!$L273),'Curva Forward'!$B$5:$B$13,0),MATCH(FR$4,'Curva Forward'!$C$4:$AN$4,0))),CT273)</f>
        <v>0</v>
      </c>
      <c r="FS273" s="190">
        <f>AG273*AG$2*IF($FC273="V",1,-1)*IF($Q273="Fixo",(CU273-INDEX('Curva Forward'!$C$5:$AN$13,MATCH(CONCATENATE(BD_COMERCIAL!$K273," ",BD_COMERCIAL!$L273),'Curva Forward'!$B$5:$B$13,0),MATCH(FS$4,'Curva Forward'!$C$4:$AN$4,0))),CU273)</f>
        <v>0</v>
      </c>
      <c r="FT273" s="190">
        <f>AH273*AH$2*IF($FC273="V",1,-1)*IF($Q273="Fixo",(CV273-INDEX('Curva Forward'!$C$5:$AN$13,MATCH(CONCATENATE(BD_COMERCIAL!$K273," ",BD_COMERCIAL!$L273),'Curva Forward'!$B$5:$B$13,0),MATCH(FT$4,'Curva Forward'!$C$4:$AN$4,0))),CV273)</f>
        <v>0</v>
      </c>
      <c r="FU273" s="190">
        <f>AI273*AI$2*IF($FC273="V",1,-1)*IF($Q273="Fixo",(CW273-INDEX('Curva Forward'!$C$5:$AN$13,MATCH(CONCATENATE(BD_COMERCIAL!$K273," ",BD_COMERCIAL!$L273),'Curva Forward'!$B$5:$B$13,0),MATCH(FU$4,'Curva Forward'!$C$4:$AN$4,0))),CW273)</f>
        <v>0</v>
      </c>
      <c r="FV273" s="190">
        <f>AJ273*AJ$2*IF($FC273="V",1,-1)*IF($Q273="Fixo",(CX273-INDEX('Curva Forward'!$C$5:$AN$13,MATCH(CONCATENATE(BD_COMERCIAL!$K273," ",BD_COMERCIAL!$L273),'Curva Forward'!$B$5:$B$13,0),MATCH(FV$4,'Curva Forward'!$C$4:$AN$4,0))),CX273)</f>
        <v>0</v>
      </c>
      <c r="FW273" s="190">
        <f>AK273*AK$2*IF($FC273="V",1,-1)*IF($Q273="Fixo",(CY273-INDEX('Curva Forward'!$C$5:$AN$13,MATCH(CONCATENATE(BD_COMERCIAL!$K273," ",BD_COMERCIAL!$L273),'Curva Forward'!$B$5:$B$13,0),MATCH(FW$4,'Curva Forward'!$C$4:$AN$4,0))),CY273)</f>
        <v>0</v>
      </c>
      <c r="FX273" s="190">
        <f>AL273*AL$2*IF($FC273="V",1,-1)*IF($Q273="Fixo",(CZ273-INDEX('Curva Forward'!$C$5:$AN$13,MATCH(CONCATENATE(BD_COMERCIAL!$K273," ",BD_COMERCIAL!$L273),'Curva Forward'!$B$5:$B$13,0),MATCH(FX$4,'Curva Forward'!$C$4:$AN$4,0))),CZ273)</f>
        <v>0</v>
      </c>
      <c r="FY273" s="190">
        <f>AM273*AM$2*IF($FC273="V",1,-1)*IF($Q273="Fixo",(DA273-INDEX('Curva Forward'!$C$5:$AN$13,MATCH(CONCATENATE(BD_COMERCIAL!$K273," ",BD_COMERCIAL!$L273),'Curva Forward'!$B$5:$B$13,0),MATCH(FY$4,'Curva Forward'!$C$4:$AN$4,0))),DA273)</f>
        <v>0</v>
      </c>
      <c r="FZ273" s="190">
        <f>AN273*AN$2*IF($FC273="V",1,-1)*IF($Q273="Fixo",(DB273-INDEX('Curva Forward'!$C$5:$AN$13,MATCH(CONCATENATE(BD_COMERCIAL!$K273," ",BD_COMERCIAL!$L273),'Curva Forward'!$B$5:$B$13,0),MATCH(FZ$4,'Curva Forward'!$C$4:$AN$4,0))),DB273)</f>
        <v>0</v>
      </c>
      <c r="GA273" s="190">
        <f>AO273*AO$2*IF($FC273="V",1,-1)*IF($Q273="Fixo",(DC273-INDEX('Curva Forward'!$C$5:$AN$13,MATCH(CONCATENATE(BD_COMERCIAL!$K273," ",BD_COMERCIAL!$L273),'Curva Forward'!$B$5:$B$13,0),MATCH(GA$4,'Curva Forward'!$C$4:$AN$4,0))),DC273)</f>
        <v>0</v>
      </c>
      <c r="GB273" s="190">
        <f>AP273*AP$2*IF($FC273="V",1,-1)*IF($Q273="Fixo",(DD273-INDEX('Curva Forward'!$C$5:$AN$13,MATCH(CONCATENATE(BD_COMERCIAL!$K273," ",BD_COMERCIAL!$L273),'Curva Forward'!$B$5:$B$13,0),MATCH(GB$4,'Curva Forward'!$C$4:$AN$4,0))),DD273)</f>
        <v>0</v>
      </c>
      <c r="GC273" s="190">
        <f>AQ273*AQ$2*IF($FC273="V",1,-1)*IF($Q273="Fixo",(DE273-INDEX('Curva Forward'!$C$5:$AN$13,MATCH(CONCATENATE(BD_COMERCIAL!$K273," ",BD_COMERCIAL!$L273),'Curva Forward'!$B$5:$B$13,0),MATCH(GC$4,'Curva Forward'!$C$4:$AN$4,0))),DE273)</f>
        <v>0</v>
      </c>
      <c r="GD273" s="190">
        <f>AR273*AR$2*IF($FC273="V",1,-1)*IF($Q273="Fixo",(DF273-INDEX('Curva Forward'!$C$5:$AN$13,MATCH(CONCATENATE(BD_COMERCIAL!$K273," ",BD_COMERCIAL!$L273),'Curva Forward'!$B$5:$B$13,0),MATCH(GD$4,'Curva Forward'!$C$4:$AN$4,0))),DF273)</f>
        <v>0</v>
      </c>
      <c r="GE273" s="190">
        <f>AS273*AS$2*IF($FC273="V",1,-1)*IF($Q273="Fixo",(DG273-INDEX('Curva Forward'!$C$5:$AN$13,MATCH(CONCATENATE(BD_COMERCIAL!$K273," ",BD_COMERCIAL!$L273),'Curva Forward'!$B$5:$B$13,0),MATCH(GE$4,'Curva Forward'!$C$4:$AN$4,0))),DG273)</f>
        <v>0</v>
      </c>
      <c r="GF273" s="190">
        <f>AT273*AT$2*IF($FC273="V",1,-1)*IF($Q273="Fixo",(DH273-INDEX('Curva Forward'!$C$5:$AN$13,MATCH(CONCATENATE(BD_COMERCIAL!$K273," ",BD_COMERCIAL!$L273),'Curva Forward'!$B$5:$B$13,0),MATCH(GF$4,'Curva Forward'!$C$4:$AN$4,0))),DH273)</f>
        <v>0</v>
      </c>
      <c r="GG273" s="190">
        <f>AU273*AU$2*IF($FC273="V",1,-1)*IF($Q273="Fixo",(DI273-INDEX('Curva Forward'!$C$5:$AN$13,MATCH(CONCATENATE(BD_COMERCIAL!$K273," ",BD_COMERCIAL!$L273),'Curva Forward'!$B$5:$B$13,0),MATCH(GG$4,'Curva Forward'!$C$4:$AN$4,0))),DI273)</f>
        <v>0</v>
      </c>
      <c r="GH273" s="190">
        <f>AV273*AV$2*IF($FC273="V",1,-1)*IF($Q273="Fixo",(DJ273-INDEX('Curva Forward'!$C$5:$AN$13,MATCH(CONCATENATE(BD_COMERCIAL!$K273," ",BD_COMERCIAL!$L273),'Curva Forward'!$B$5:$B$13,0),MATCH(GH$4,'Curva Forward'!$C$4:$AN$4,0))),DJ273)</f>
        <v>0</v>
      </c>
      <c r="GI273" s="190">
        <f>AW273*AW$2*IF($FC273="V",1,-1)*IF($Q273="Fixo",(DK273-INDEX('Curva Forward'!$C$5:$AN$13,MATCH(CONCATENATE(BD_COMERCIAL!$K273," ",BD_COMERCIAL!$L273),'Curva Forward'!$B$5:$B$13,0),MATCH(GI$4,'Curva Forward'!$C$4:$AN$4,0))),DK273)</f>
        <v>0</v>
      </c>
      <c r="GJ273" s="190">
        <f>AX273*AX$2*IF($FC273="V",1,-1)*IF($Q273="Fixo",(DL273-INDEX('Curva Forward'!$C$5:$AN$13,MATCH(CONCATENATE(BD_COMERCIAL!$K273," ",BD_COMERCIAL!$L273),'Curva Forward'!$B$5:$B$13,0),MATCH(GJ$4,'Curva Forward'!$C$4:$AN$4,0))),DL273)</f>
        <v>0</v>
      </c>
      <c r="GK273" s="190">
        <f>AY273*AY$2*IF($FC273="V",1,-1)*IF($Q273="Fixo",(DM273-INDEX('Curva Forward'!$C$5:$AN$13,MATCH(CONCATENATE(BD_COMERCIAL!$K273," ",BD_COMERCIAL!$L273),'Curva Forward'!$B$5:$B$13,0),MATCH(GK$4,'Curva Forward'!$C$4:$AN$4,0))),DM273)</f>
        <v>0</v>
      </c>
      <c r="GL273" s="190">
        <f>IF(EZ273="",0,CL273*CL$2*IF($FC273="V",1,-1)*IF($Q273="Fixo",(EZ273-INDEX('Curva Forward'!$C$5:$AN$13,MATCH(CONCATENATE(BD_COMERCIAL!$K273," ",BD_COMERCIAL!$L273),'Curva Forward'!$B$5:$B$13,0),MATCH(GL$4,'Curva Forward'!$C$4:$AN$4,0))),EZ273))</f>
        <v>0</v>
      </c>
      <c r="GM273" s="190">
        <f>IF(FA273="",0,CM273*CM$2*IF($FC273="V",1,-1)*IF($Q273="Fixo",(FA273-INDEX('Curva Forward'!$C$5:$AN$13,MATCH(CONCATENATE(BD_COMERCIAL!$K273," ",BD_COMERCIAL!$L273),'Curva Forward'!$B$5:$B$13,0),MATCH(GM$4,'Curva Forward'!$C$4:$AN$4,0))),FA273))</f>
        <v>0</v>
      </c>
      <c r="GN273" s="190">
        <f>IF(FB273="",0,CN273*CN$2*IF($FC273="V",1,-1)*IF($Q273="Fixo",(FB273-INDEX('Curva Forward'!$C$5:$AN$13,MATCH(CONCATENATE(BD_COMERCIAL!$K273," ",BD_COMERCIAL!$L273),'Curva Forward'!$B$5:$B$13,0),MATCH(GN$4,'Curva Forward'!$C$4:$AN$4,0))),FB273))</f>
        <v>0</v>
      </c>
      <c r="GO273" s="191">
        <f t="shared" ca="1" si="39"/>
        <v>0</v>
      </c>
      <c r="GP273" s="191">
        <f t="shared" ca="1" si="40"/>
        <v>0</v>
      </c>
      <c r="GQ273" s="115"/>
      <c r="GR273" s="115"/>
      <c r="GS273"/>
      <c r="GT273" s="65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</row>
    <row r="274" spans="1:236" s="265" customFormat="1" ht="15" customHeight="1" x14ac:dyDescent="0.35">
      <c r="A274" s="251"/>
      <c r="B274" s="275"/>
      <c r="C274" s="253"/>
      <c r="D274" s="254"/>
      <c r="E274" s="254"/>
      <c r="F274" s="255"/>
      <c r="G274" s="256"/>
      <c r="H274" s="255"/>
      <c r="I274" s="254"/>
      <c r="J274" s="257"/>
      <c r="K274" s="256"/>
      <c r="L274" s="252"/>
      <c r="M274" s="258"/>
      <c r="N274" s="259"/>
      <c r="O274" s="256"/>
      <c r="P274" s="252"/>
      <c r="Q274" s="252"/>
      <c r="R274" s="256"/>
      <c r="S274" s="260"/>
      <c r="T274" s="258"/>
      <c r="U274" s="259"/>
      <c r="V274" s="261"/>
      <c r="W274" s="252"/>
      <c r="X274" s="262"/>
      <c r="Y274" s="257"/>
      <c r="Z274" s="263"/>
      <c r="AA274" s="264"/>
      <c r="AB274" s="266"/>
      <c r="AM274" s="251"/>
      <c r="AN274" s="266"/>
      <c r="AY274" s="251"/>
      <c r="AZ274" s="266"/>
      <c r="BK274" s="251"/>
      <c r="BL274" s="266"/>
      <c r="BW274" s="251"/>
      <c r="BX274" s="266"/>
      <c r="CI274" s="251"/>
      <c r="CJ274" s="267"/>
      <c r="CK274" s="267"/>
      <c r="CL274" s="267"/>
      <c r="CM274" s="267"/>
      <c r="CN274" s="267"/>
      <c r="CO274" s="268"/>
      <c r="CP274" s="266"/>
      <c r="DA274" s="251"/>
      <c r="DB274" s="266"/>
      <c r="DM274" s="251"/>
      <c r="DN274" s="266"/>
      <c r="DY274" s="251"/>
      <c r="DZ274" s="266"/>
      <c r="EK274" s="251"/>
      <c r="EL274" s="266"/>
      <c r="EW274" s="251"/>
      <c r="EX274" s="267"/>
      <c r="EY274" s="267"/>
      <c r="EZ274" s="267"/>
      <c r="FA274" s="267"/>
      <c r="FB274" s="269"/>
      <c r="FD274" s="270"/>
      <c r="FF274" s="276"/>
      <c r="FH274" s="206">
        <f t="shared" si="34"/>
        <v>0</v>
      </c>
      <c r="FI274" s="198">
        <f t="shared" si="35"/>
        <v>0</v>
      </c>
      <c r="FJ274"/>
      <c r="FK274">
        <f t="shared" si="36"/>
        <v>0</v>
      </c>
      <c r="FL274" s="191">
        <f t="shared" ca="1" si="37"/>
        <v>0</v>
      </c>
      <c r="FM274" s="191">
        <f t="shared" ca="1" si="38"/>
        <v>0</v>
      </c>
      <c r="FN274" s="190">
        <f>AB274*AB$2*IF($FC274="V",1,-1)*IF($Q274="Fixo",(CP274-INDEX('Curva Forward'!$C$5:$AN$13,MATCH(CONCATENATE(BD_COMERCIAL!$K274," ",BD_COMERCIAL!$L274),'Curva Forward'!$B$5:$B$13,0),MATCH(FN$4,'Curva Forward'!$C$4:$AN$4,0))),CP274)</f>
        <v>0</v>
      </c>
      <c r="FO274" s="190">
        <f>AC274*AC$2*IF($FC274="V",1,-1)*IF($Q274="Fixo",(CQ274-INDEX('Curva Forward'!$C$5:$AN$13,MATCH(CONCATENATE(BD_COMERCIAL!$K274," ",BD_COMERCIAL!$L274),'Curva Forward'!$B$5:$B$13,0),MATCH(FO$4,'Curva Forward'!$C$4:$AN$4,0))),CQ274)</f>
        <v>0</v>
      </c>
      <c r="FP274" s="190">
        <f>AD274*AD$2*IF($FC274="V",1,-1)*IF($Q274="Fixo",(CR274-INDEX('Curva Forward'!$C$5:$AN$13,MATCH(CONCATENATE(BD_COMERCIAL!$K274," ",BD_COMERCIAL!$L274),'Curva Forward'!$B$5:$B$13,0),MATCH(FP$4,'Curva Forward'!$C$4:$AN$4,0))),CR274)</f>
        <v>0</v>
      </c>
      <c r="FQ274" s="190">
        <f>AE274*AE$2*IF($FC274="V",1,-1)*IF($Q274="Fixo",(CS274-INDEX('Curva Forward'!$C$5:$AN$13,MATCH(CONCATENATE(BD_COMERCIAL!$K274," ",BD_COMERCIAL!$L274),'Curva Forward'!$B$5:$B$13,0),MATCH(FQ$4,'Curva Forward'!$C$4:$AN$4,0))),CS274)</f>
        <v>0</v>
      </c>
      <c r="FR274" s="190">
        <f>AF274*AF$2*IF($FC274="V",1,-1)*IF($Q274="Fixo",(CT274-INDEX('Curva Forward'!$C$5:$AN$13,MATCH(CONCATENATE(BD_COMERCIAL!$K274," ",BD_COMERCIAL!$L274),'Curva Forward'!$B$5:$B$13,0),MATCH(FR$4,'Curva Forward'!$C$4:$AN$4,0))),CT274)</f>
        <v>0</v>
      </c>
      <c r="FS274" s="190">
        <f>AG274*AG$2*IF($FC274="V",1,-1)*IF($Q274="Fixo",(CU274-INDEX('Curva Forward'!$C$5:$AN$13,MATCH(CONCATENATE(BD_COMERCIAL!$K274," ",BD_COMERCIAL!$L274),'Curva Forward'!$B$5:$B$13,0),MATCH(FS$4,'Curva Forward'!$C$4:$AN$4,0))),CU274)</f>
        <v>0</v>
      </c>
      <c r="FT274" s="190">
        <f>AH274*AH$2*IF($FC274="V",1,-1)*IF($Q274="Fixo",(CV274-INDEX('Curva Forward'!$C$5:$AN$13,MATCH(CONCATENATE(BD_COMERCIAL!$K274," ",BD_COMERCIAL!$L274),'Curva Forward'!$B$5:$B$13,0),MATCH(FT$4,'Curva Forward'!$C$4:$AN$4,0))),CV274)</f>
        <v>0</v>
      </c>
      <c r="FU274" s="190">
        <f>AI274*AI$2*IF($FC274="V",1,-1)*IF($Q274="Fixo",(CW274-INDEX('Curva Forward'!$C$5:$AN$13,MATCH(CONCATENATE(BD_COMERCIAL!$K274," ",BD_COMERCIAL!$L274),'Curva Forward'!$B$5:$B$13,0),MATCH(FU$4,'Curva Forward'!$C$4:$AN$4,0))),CW274)</f>
        <v>0</v>
      </c>
      <c r="FV274" s="190">
        <f>AJ274*AJ$2*IF($FC274="V",1,-1)*IF($Q274="Fixo",(CX274-INDEX('Curva Forward'!$C$5:$AN$13,MATCH(CONCATENATE(BD_COMERCIAL!$K274," ",BD_COMERCIAL!$L274),'Curva Forward'!$B$5:$B$13,0),MATCH(FV$4,'Curva Forward'!$C$4:$AN$4,0))),CX274)</f>
        <v>0</v>
      </c>
      <c r="FW274" s="190">
        <f>AK274*AK$2*IF($FC274="V",1,-1)*IF($Q274="Fixo",(CY274-INDEX('Curva Forward'!$C$5:$AN$13,MATCH(CONCATENATE(BD_COMERCIAL!$K274," ",BD_COMERCIAL!$L274),'Curva Forward'!$B$5:$B$13,0),MATCH(FW$4,'Curva Forward'!$C$4:$AN$4,0))),CY274)</f>
        <v>0</v>
      </c>
      <c r="FX274" s="190">
        <f>AL274*AL$2*IF($FC274="V",1,-1)*IF($Q274="Fixo",(CZ274-INDEX('Curva Forward'!$C$5:$AN$13,MATCH(CONCATENATE(BD_COMERCIAL!$K274," ",BD_COMERCIAL!$L274),'Curva Forward'!$B$5:$B$13,0),MATCH(FX$4,'Curva Forward'!$C$4:$AN$4,0))),CZ274)</f>
        <v>0</v>
      </c>
      <c r="FY274" s="190">
        <f>AM274*AM$2*IF($FC274="V",1,-1)*IF($Q274="Fixo",(DA274-INDEX('Curva Forward'!$C$5:$AN$13,MATCH(CONCATENATE(BD_COMERCIAL!$K274," ",BD_COMERCIAL!$L274),'Curva Forward'!$B$5:$B$13,0),MATCH(FY$4,'Curva Forward'!$C$4:$AN$4,0))),DA274)</f>
        <v>0</v>
      </c>
      <c r="FZ274" s="190">
        <f>AN274*AN$2*IF($FC274="V",1,-1)*IF($Q274="Fixo",(DB274-INDEX('Curva Forward'!$C$5:$AN$13,MATCH(CONCATENATE(BD_COMERCIAL!$K274," ",BD_COMERCIAL!$L274),'Curva Forward'!$B$5:$B$13,0),MATCH(FZ$4,'Curva Forward'!$C$4:$AN$4,0))),DB274)</f>
        <v>0</v>
      </c>
      <c r="GA274" s="190">
        <f>AO274*AO$2*IF($FC274="V",1,-1)*IF($Q274="Fixo",(DC274-INDEX('Curva Forward'!$C$5:$AN$13,MATCH(CONCATENATE(BD_COMERCIAL!$K274," ",BD_COMERCIAL!$L274),'Curva Forward'!$B$5:$B$13,0),MATCH(GA$4,'Curva Forward'!$C$4:$AN$4,0))),DC274)</f>
        <v>0</v>
      </c>
      <c r="GB274" s="190">
        <f>AP274*AP$2*IF($FC274="V",1,-1)*IF($Q274="Fixo",(DD274-INDEX('Curva Forward'!$C$5:$AN$13,MATCH(CONCATENATE(BD_COMERCIAL!$K274," ",BD_COMERCIAL!$L274),'Curva Forward'!$B$5:$B$13,0),MATCH(GB$4,'Curva Forward'!$C$4:$AN$4,0))),DD274)</f>
        <v>0</v>
      </c>
      <c r="GC274" s="190">
        <f>AQ274*AQ$2*IF($FC274="V",1,-1)*IF($Q274="Fixo",(DE274-INDEX('Curva Forward'!$C$5:$AN$13,MATCH(CONCATENATE(BD_COMERCIAL!$K274," ",BD_COMERCIAL!$L274),'Curva Forward'!$B$5:$B$13,0),MATCH(GC$4,'Curva Forward'!$C$4:$AN$4,0))),DE274)</f>
        <v>0</v>
      </c>
      <c r="GD274" s="190">
        <f>AR274*AR$2*IF($FC274="V",1,-1)*IF($Q274="Fixo",(DF274-INDEX('Curva Forward'!$C$5:$AN$13,MATCH(CONCATENATE(BD_COMERCIAL!$K274," ",BD_COMERCIAL!$L274),'Curva Forward'!$B$5:$B$13,0),MATCH(GD$4,'Curva Forward'!$C$4:$AN$4,0))),DF274)</f>
        <v>0</v>
      </c>
      <c r="GE274" s="190">
        <f>AS274*AS$2*IF($FC274="V",1,-1)*IF($Q274="Fixo",(DG274-INDEX('Curva Forward'!$C$5:$AN$13,MATCH(CONCATENATE(BD_COMERCIAL!$K274," ",BD_COMERCIAL!$L274),'Curva Forward'!$B$5:$B$13,0),MATCH(GE$4,'Curva Forward'!$C$4:$AN$4,0))),DG274)</f>
        <v>0</v>
      </c>
      <c r="GF274" s="190">
        <f>AT274*AT$2*IF($FC274="V",1,-1)*IF($Q274="Fixo",(DH274-INDEX('Curva Forward'!$C$5:$AN$13,MATCH(CONCATENATE(BD_COMERCIAL!$K274," ",BD_COMERCIAL!$L274),'Curva Forward'!$B$5:$B$13,0),MATCH(GF$4,'Curva Forward'!$C$4:$AN$4,0))),DH274)</f>
        <v>0</v>
      </c>
      <c r="GG274" s="190">
        <f>AU274*AU$2*IF($FC274="V",1,-1)*IF($Q274="Fixo",(DI274-INDEX('Curva Forward'!$C$5:$AN$13,MATCH(CONCATENATE(BD_COMERCIAL!$K274," ",BD_COMERCIAL!$L274),'Curva Forward'!$B$5:$B$13,0),MATCH(GG$4,'Curva Forward'!$C$4:$AN$4,0))),DI274)</f>
        <v>0</v>
      </c>
      <c r="GH274" s="190">
        <f>AV274*AV$2*IF($FC274="V",1,-1)*IF($Q274="Fixo",(DJ274-INDEX('Curva Forward'!$C$5:$AN$13,MATCH(CONCATENATE(BD_COMERCIAL!$K274," ",BD_COMERCIAL!$L274),'Curva Forward'!$B$5:$B$13,0),MATCH(GH$4,'Curva Forward'!$C$4:$AN$4,0))),DJ274)</f>
        <v>0</v>
      </c>
      <c r="GI274" s="190">
        <f>AW274*AW$2*IF($FC274="V",1,-1)*IF($Q274="Fixo",(DK274-INDEX('Curva Forward'!$C$5:$AN$13,MATCH(CONCATENATE(BD_COMERCIAL!$K274," ",BD_COMERCIAL!$L274),'Curva Forward'!$B$5:$B$13,0),MATCH(GI$4,'Curva Forward'!$C$4:$AN$4,0))),DK274)</f>
        <v>0</v>
      </c>
      <c r="GJ274" s="190">
        <f>AX274*AX$2*IF($FC274="V",1,-1)*IF($Q274="Fixo",(DL274-INDEX('Curva Forward'!$C$5:$AN$13,MATCH(CONCATENATE(BD_COMERCIAL!$K274," ",BD_COMERCIAL!$L274),'Curva Forward'!$B$5:$B$13,0),MATCH(GJ$4,'Curva Forward'!$C$4:$AN$4,0))),DL274)</f>
        <v>0</v>
      </c>
      <c r="GK274" s="190">
        <f>AY274*AY$2*IF($FC274="V",1,-1)*IF($Q274="Fixo",(DM274-INDEX('Curva Forward'!$C$5:$AN$13,MATCH(CONCATENATE(BD_COMERCIAL!$K274," ",BD_COMERCIAL!$L274),'Curva Forward'!$B$5:$B$13,0),MATCH(GK$4,'Curva Forward'!$C$4:$AN$4,0))),DM274)</f>
        <v>0</v>
      </c>
      <c r="GL274" s="190">
        <f>IF(EZ274="",0,CL274*CL$2*IF($FC274="V",1,-1)*IF($Q274="Fixo",(EZ274-INDEX('Curva Forward'!$C$5:$AN$13,MATCH(CONCATENATE(BD_COMERCIAL!$K274," ",BD_COMERCIAL!$L274),'Curva Forward'!$B$5:$B$13,0),MATCH(GL$4,'Curva Forward'!$C$4:$AN$4,0))),EZ274))</f>
        <v>0</v>
      </c>
      <c r="GM274" s="190">
        <f>IF(FA274="",0,CM274*CM$2*IF($FC274="V",1,-1)*IF($Q274="Fixo",(FA274-INDEX('Curva Forward'!$C$5:$AN$13,MATCH(CONCATENATE(BD_COMERCIAL!$K274," ",BD_COMERCIAL!$L274),'Curva Forward'!$B$5:$B$13,0),MATCH(GM$4,'Curva Forward'!$C$4:$AN$4,0))),FA274))</f>
        <v>0</v>
      </c>
      <c r="GN274" s="190">
        <f>IF(FB274="",0,CN274*CN$2*IF($FC274="V",1,-1)*IF($Q274="Fixo",(FB274-INDEX('Curva Forward'!$C$5:$AN$13,MATCH(CONCATENATE(BD_COMERCIAL!$K274," ",BD_COMERCIAL!$L274),'Curva Forward'!$B$5:$B$13,0),MATCH(GN$4,'Curva Forward'!$C$4:$AN$4,0))),FB274))</f>
        <v>0</v>
      </c>
      <c r="GO274" s="191">
        <f t="shared" ca="1" si="39"/>
        <v>0</v>
      </c>
      <c r="GP274" s="191">
        <f t="shared" ca="1" si="40"/>
        <v>0</v>
      </c>
      <c r="GQ274" s="115"/>
      <c r="GR274" s="115"/>
      <c r="GS274"/>
      <c r="GT274" s="65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</row>
    <row r="275" spans="1:236" s="265" customFormat="1" ht="15" customHeight="1" x14ac:dyDescent="0.35">
      <c r="A275" s="251"/>
      <c r="B275" s="275"/>
      <c r="C275" s="253"/>
      <c r="D275" s="254"/>
      <c r="E275" s="254"/>
      <c r="F275" s="255"/>
      <c r="G275" s="256"/>
      <c r="H275" s="255"/>
      <c r="I275" s="254"/>
      <c r="J275" s="257"/>
      <c r="K275" s="256"/>
      <c r="L275" s="252"/>
      <c r="M275" s="258"/>
      <c r="N275" s="259"/>
      <c r="O275" s="256"/>
      <c r="P275" s="252"/>
      <c r="Q275" s="252"/>
      <c r="R275" s="256"/>
      <c r="S275" s="260"/>
      <c r="T275" s="258"/>
      <c r="U275" s="259"/>
      <c r="V275" s="261"/>
      <c r="W275" s="252"/>
      <c r="X275" s="262"/>
      <c r="Y275" s="257"/>
      <c r="Z275" s="263"/>
      <c r="AA275" s="264"/>
      <c r="AB275" s="266"/>
      <c r="AM275" s="251"/>
      <c r="AN275" s="266"/>
      <c r="AY275" s="251"/>
      <c r="AZ275" s="266"/>
      <c r="BK275" s="251"/>
      <c r="BL275" s="266"/>
      <c r="BW275" s="251"/>
      <c r="BX275" s="266"/>
      <c r="CI275" s="251"/>
      <c r="CJ275" s="267"/>
      <c r="CK275" s="267"/>
      <c r="CL275" s="267"/>
      <c r="CM275" s="267"/>
      <c r="CN275" s="267"/>
      <c r="CO275" s="268"/>
      <c r="CP275" s="266"/>
      <c r="DA275" s="251"/>
      <c r="DB275" s="266"/>
      <c r="DM275" s="251"/>
      <c r="DN275" s="266"/>
      <c r="DY275" s="251"/>
      <c r="DZ275" s="266"/>
      <c r="EK275" s="251"/>
      <c r="EL275" s="266"/>
      <c r="EW275" s="251"/>
      <c r="EX275" s="267"/>
      <c r="EY275" s="267"/>
      <c r="EZ275" s="267"/>
      <c r="FA275" s="267"/>
      <c r="FB275" s="269"/>
      <c r="FD275" s="270"/>
      <c r="FF275" s="276"/>
      <c r="FH275" s="206">
        <f t="shared" si="34"/>
        <v>0</v>
      </c>
      <c r="FI275" s="198">
        <f t="shared" si="35"/>
        <v>0</v>
      </c>
      <c r="FJ275"/>
      <c r="FK275">
        <f t="shared" si="36"/>
        <v>0</v>
      </c>
      <c r="FL275" s="191">
        <f t="shared" ca="1" si="37"/>
        <v>0</v>
      </c>
      <c r="FM275" s="191">
        <f t="shared" ca="1" si="38"/>
        <v>0</v>
      </c>
      <c r="FN275" s="190">
        <f>AB275*AB$2*IF($FC275="V",1,-1)*IF($Q275="Fixo",(CP275-INDEX('Curva Forward'!$C$5:$AN$13,MATCH(CONCATENATE(BD_COMERCIAL!$K275," ",BD_COMERCIAL!$L275),'Curva Forward'!$B$5:$B$13,0),MATCH(FN$4,'Curva Forward'!$C$4:$AN$4,0))),CP275)</f>
        <v>0</v>
      </c>
      <c r="FO275" s="190">
        <f>AC275*AC$2*IF($FC275="V",1,-1)*IF($Q275="Fixo",(CQ275-INDEX('Curva Forward'!$C$5:$AN$13,MATCH(CONCATENATE(BD_COMERCIAL!$K275," ",BD_COMERCIAL!$L275),'Curva Forward'!$B$5:$B$13,0),MATCH(FO$4,'Curva Forward'!$C$4:$AN$4,0))),CQ275)</f>
        <v>0</v>
      </c>
      <c r="FP275" s="190">
        <f>AD275*AD$2*IF($FC275="V",1,-1)*IF($Q275="Fixo",(CR275-INDEX('Curva Forward'!$C$5:$AN$13,MATCH(CONCATENATE(BD_COMERCIAL!$K275," ",BD_COMERCIAL!$L275),'Curva Forward'!$B$5:$B$13,0),MATCH(FP$4,'Curva Forward'!$C$4:$AN$4,0))),CR275)</f>
        <v>0</v>
      </c>
      <c r="FQ275" s="190">
        <f>AE275*AE$2*IF($FC275="V",1,-1)*IF($Q275="Fixo",(CS275-INDEX('Curva Forward'!$C$5:$AN$13,MATCH(CONCATENATE(BD_COMERCIAL!$K275," ",BD_COMERCIAL!$L275),'Curva Forward'!$B$5:$B$13,0),MATCH(FQ$4,'Curva Forward'!$C$4:$AN$4,0))),CS275)</f>
        <v>0</v>
      </c>
      <c r="FR275" s="190">
        <f>AF275*AF$2*IF($FC275="V",1,-1)*IF($Q275="Fixo",(CT275-INDEX('Curva Forward'!$C$5:$AN$13,MATCH(CONCATENATE(BD_COMERCIAL!$K275," ",BD_COMERCIAL!$L275),'Curva Forward'!$B$5:$B$13,0),MATCH(FR$4,'Curva Forward'!$C$4:$AN$4,0))),CT275)</f>
        <v>0</v>
      </c>
      <c r="FS275" s="190">
        <f>AG275*AG$2*IF($FC275="V",1,-1)*IF($Q275="Fixo",(CU275-INDEX('Curva Forward'!$C$5:$AN$13,MATCH(CONCATENATE(BD_COMERCIAL!$K275," ",BD_COMERCIAL!$L275),'Curva Forward'!$B$5:$B$13,0),MATCH(FS$4,'Curva Forward'!$C$4:$AN$4,0))),CU275)</f>
        <v>0</v>
      </c>
      <c r="FT275" s="190">
        <f>AH275*AH$2*IF($FC275="V",1,-1)*IF($Q275="Fixo",(CV275-INDEX('Curva Forward'!$C$5:$AN$13,MATCH(CONCATENATE(BD_COMERCIAL!$K275," ",BD_COMERCIAL!$L275),'Curva Forward'!$B$5:$B$13,0),MATCH(FT$4,'Curva Forward'!$C$4:$AN$4,0))),CV275)</f>
        <v>0</v>
      </c>
      <c r="FU275" s="190">
        <f>AI275*AI$2*IF($FC275="V",1,-1)*IF($Q275="Fixo",(CW275-INDEX('Curva Forward'!$C$5:$AN$13,MATCH(CONCATENATE(BD_COMERCIAL!$K275," ",BD_COMERCIAL!$L275),'Curva Forward'!$B$5:$B$13,0),MATCH(FU$4,'Curva Forward'!$C$4:$AN$4,0))),CW275)</f>
        <v>0</v>
      </c>
      <c r="FV275" s="190">
        <f>AJ275*AJ$2*IF($FC275="V",1,-1)*IF($Q275="Fixo",(CX275-INDEX('Curva Forward'!$C$5:$AN$13,MATCH(CONCATENATE(BD_COMERCIAL!$K275," ",BD_COMERCIAL!$L275),'Curva Forward'!$B$5:$B$13,0),MATCH(FV$4,'Curva Forward'!$C$4:$AN$4,0))),CX275)</f>
        <v>0</v>
      </c>
      <c r="FW275" s="190">
        <f>AK275*AK$2*IF($FC275="V",1,-1)*IF($Q275="Fixo",(CY275-INDEX('Curva Forward'!$C$5:$AN$13,MATCH(CONCATENATE(BD_COMERCIAL!$K275," ",BD_COMERCIAL!$L275),'Curva Forward'!$B$5:$B$13,0),MATCH(FW$4,'Curva Forward'!$C$4:$AN$4,0))),CY275)</f>
        <v>0</v>
      </c>
      <c r="FX275" s="190">
        <f>AL275*AL$2*IF($FC275="V",1,-1)*IF($Q275="Fixo",(CZ275-INDEX('Curva Forward'!$C$5:$AN$13,MATCH(CONCATENATE(BD_COMERCIAL!$K275," ",BD_COMERCIAL!$L275),'Curva Forward'!$B$5:$B$13,0),MATCH(FX$4,'Curva Forward'!$C$4:$AN$4,0))),CZ275)</f>
        <v>0</v>
      </c>
      <c r="FY275" s="190">
        <f>AM275*AM$2*IF($FC275="V",1,-1)*IF($Q275="Fixo",(DA275-INDEX('Curva Forward'!$C$5:$AN$13,MATCH(CONCATENATE(BD_COMERCIAL!$K275," ",BD_COMERCIAL!$L275),'Curva Forward'!$B$5:$B$13,0),MATCH(FY$4,'Curva Forward'!$C$4:$AN$4,0))),DA275)</f>
        <v>0</v>
      </c>
      <c r="FZ275" s="190">
        <f>AN275*AN$2*IF($FC275="V",1,-1)*IF($Q275="Fixo",(DB275-INDEX('Curva Forward'!$C$5:$AN$13,MATCH(CONCATENATE(BD_COMERCIAL!$K275," ",BD_COMERCIAL!$L275),'Curva Forward'!$B$5:$B$13,0),MATCH(FZ$4,'Curva Forward'!$C$4:$AN$4,0))),DB275)</f>
        <v>0</v>
      </c>
      <c r="GA275" s="190">
        <f>AO275*AO$2*IF($FC275="V",1,-1)*IF($Q275="Fixo",(DC275-INDEX('Curva Forward'!$C$5:$AN$13,MATCH(CONCATENATE(BD_COMERCIAL!$K275," ",BD_COMERCIAL!$L275),'Curva Forward'!$B$5:$B$13,0),MATCH(GA$4,'Curva Forward'!$C$4:$AN$4,0))),DC275)</f>
        <v>0</v>
      </c>
      <c r="GB275" s="190">
        <f>AP275*AP$2*IF($FC275="V",1,-1)*IF($Q275="Fixo",(DD275-INDEX('Curva Forward'!$C$5:$AN$13,MATCH(CONCATENATE(BD_COMERCIAL!$K275," ",BD_COMERCIAL!$L275),'Curva Forward'!$B$5:$B$13,0),MATCH(GB$4,'Curva Forward'!$C$4:$AN$4,0))),DD275)</f>
        <v>0</v>
      </c>
      <c r="GC275" s="190">
        <f>AQ275*AQ$2*IF($FC275="V",1,-1)*IF($Q275="Fixo",(DE275-INDEX('Curva Forward'!$C$5:$AN$13,MATCH(CONCATENATE(BD_COMERCIAL!$K275," ",BD_COMERCIAL!$L275),'Curva Forward'!$B$5:$B$13,0),MATCH(GC$4,'Curva Forward'!$C$4:$AN$4,0))),DE275)</f>
        <v>0</v>
      </c>
      <c r="GD275" s="190">
        <f>AR275*AR$2*IF($FC275="V",1,-1)*IF($Q275="Fixo",(DF275-INDEX('Curva Forward'!$C$5:$AN$13,MATCH(CONCATENATE(BD_COMERCIAL!$K275," ",BD_COMERCIAL!$L275),'Curva Forward'!$B$5:$B$13,0),MATCH(GD$4,'Curva Forward'!$C$4:$AN$4,0))),DF275)</f>
        <v>0</v>
      </c>
      <c r="GE275" s="190">
        <f>AS275*AS$2*IF($FC275="V",1,-1)*IF($Q275="Fixo",(DG275-INDEX('Curva Forward'!$C$5:$AN$13,MATCH(CONCATENATE(BD_COMERCIAL!$K275," ",BD_COMERCIAL!$L275),'Curva Forward'!$B$5:$B$13,0),MATCH(GE$4,'Curva Forward'!$C$4:$AN$4,0))),DG275)</f>
        <v>0</v>
      </c>
      <c r="GF275" s="190">
        <f>AT275*AT$2*IF($FC275="V",1,-1)*IF($Q275="Fixo",(DH275-INDEX('Curva Forward'!$C$5:$AN$13,MATCH(CONCATENATE(BD_COMERCIAL!$K275," ",BD_COMERCIAL!$L275),'Curva Forward'!$B$5:$B$13,0),MATCH(GF$4,'Curva Forward'!$C$4:$AN$4,0))),DH275)</f>
        <v>0</v>
      </c>
      <c r="GG275" s="190">
        <f>AU275*AU$2*IF($FC275="V",1,-1)*IF($Q275="Fixo",(DI275-INDEX('Curva Forward'!$C$5:$AN$13,MATCH(CONCATENATE(BD_COMERCIAL!$K275," ",BD_COMERCIAL!$L275),'Curva Forward'!$B$5:$B$13,0),MATCH(GG$4,'Curva Forward'!$C$4:$AN$4,0))),DI275)</f>
        <v>0</v>
      </c>
      <c r="GH275" s="190">
        <f>AV275*AV$2*IF($FC275="V",1,-1)*IF($Q275="Fixo",(DJ275-INDEX('Curva Forward'!$C$5:$AN$13,MATCH(CONCATENATE(BD_COMERCIAL!$K275," ",BD_COMERCIAL!$L275),'Curva Forward'!$B$5:$B$13,0),MATCH(GH$4,'Curva Forward'!$C$4:$AN$4,0))),DJ275)</f>
        <v>0</v>
      </c>
      <c r="GI275" s="190">
        <f>AW275*AW$2*IF($FC275="V",1,-1)*IF($Q275="Fixo",(DK275-INDEX('Curva Forward'!$C$5:$AN$13,MATCH(CONCATENATE(BD_COMERCIAL!$K275," ",BD_COMERCIAL!$L275),'Curva Forward'!$B$5:$B$13,0),MATCH(GI$4,'Curva Forward'!$C$4:$AN$4,0))),DK275)</f>
        <v>0</v>
      </c>
      <c r="GJ275" s="190">
        <f>AX275*AX$2*IF($FC275="V",1,-1)*IF($Q275="Fixo",(DL275-INDEX('Curva Forward'!$C$5:$AN$13,MATCH(CONCATENATE(BD_COMERCIAL!$K275," ",BD_COMERCIAL!$L275),'Curva Forward'!$B$5:$B$13,0),MATCH(GJ$4,'Curva Forward'!$C$4:$AN$4,0))),DL275)</f>
        <v>0</v>
      </c>
      <c r="GK275" s="190">
        <f>AY275*AY$2*IF($FC275="V",1,-1)*IF($Q275="Fixo",(DM275-INDEX('Curva Forward'!$C$5:$AN$13,MATCH(CONCATENATE(BD_COMERCIAL!$K275," ",BD_COMERCIAL!$L275),'Curva Forward'!$B$5:$B$13,0),MATCH(GK$4,'Curva Forward'!$C$4:$AN$4,0))),DM275)</f>
        <v>0</v>
      </c>
      <c r="GL275" s="190">
        <f>IF(EZ275="",0,CL275*CL$2*IF($FC275="V",1,-1)*IF($Q275="Fixo",(EZ275-INDEX('Curva Forward'!$C$5:$AN$13,MATCH(CONCATENATE(BD_COMERCIAL!$K275," ",BD_COMERCIAL!$L275),'Curva Forward'!$B$5:$B$13,0),MATCH(GL$4,'Curva Forward'!$C$4:$AN$4,0))),EZ275))</f>
        <v>0</v>
      </c>
      <c r="GM275" s="190">
        <f>IF(FA275="",0,CM275*CM$2*IF($FC275="V",1,-1)*IF($Q275="Fixo",(FA275-INDEX('Curva Forward'!$C$5:$AN$13,MATCH(CONCATENATE(BD_COMERCIAL!$K275," ",BD_COMERCIAL!$L275),'Curva Forward'!$B$5:$B$13,0),MATCH(GM$4,'Curva Forward'!$C$4:$AN$4,0))),FA275))</f>
        <v>0</v>
      </c>
      <c r="GN275" s="190">
        <f>IF(FB275="",0,CN275*CN$2*IF($FC275="V",1,-1)*IF($Q275="Fixo",(FB275-INDEX('Curva Forward'!$C$5:$AN$13,MATCH(CONCATENATE(BD_COMERCIAL!$K275," ",BD_COMERCIAL!$L275),'Curva Forward'!$B$5:$B$13,0),MATCH(GN$4,'Curva Forward'!$C$4:$AN$4,0))),FB275))</f>
        <v>0</v>
      </c>
      <c r="GO275" s="191">
        <f t="shared" ca="1" si="39"/>
        <v>0</v>
      </c>
      <c r="GP275" s="191">
        <f t="shared" ca="1" si="40"/>
        <v>0</v>
      </c>
      <c r="GQ275" s="115"/>
      <c r="GR275" s="115"/>
      <c r="GS275"/>
      <c r="GT275" s="6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</row>
    <row r="276" spans="1:236" s="265" customFormat="1" ht="15" customHeight="1" x14ac:dyDescent="0.35">
      <c r="A276" s="251"/>
      <c r="B276" s="275"/>
      <c r="C276" s="253"/>
      <c r="D276" s="254"/>
      <c r="E276" s="254"/>
      <c r="F276" s="255"/>
      <c r="G276" s="256"/>
      <c r="H276" s="255"/>
      <c r="I276" s="254"/>
      <c r="J276" s="257"/>
      <c r="K276" s="256"/>
      <c r="L276" s="252"/>
      <c r="M276" s="258"/>
      <c r="N276" s="259"/>
      <c r="O276" s="256"/>
      <c r="P276" s="252"/>
      <c r="Q276" s="252"/>
      <c r="R276" s="256"/>
      <c r="S276" s="260"/>
      <c r="T276" s="258"/>
      <c r="U276" s="259"/>
      <c r="V276" s="261"/>
      <c r="W276" s="252"/>
      <c r="X276" s="262"/>
      <c r="Y276" s="257"/>
      <c r="Z276" s="263"/>
      <c r="AA276" s="264"/>
      <c r="AB276" s="266"/>
      <c r="AM276" s="251"/>
      <c r="AN276" s="266"/>
      <c r="AY276" s="251"/>
      <c r="AZ276" s="266"/>
      <c r="BK276" s="251"/>
      <c r="BL276" s="266"/>
      <c r="BW276" s="251"/>
      <c r="BX276" s="266"/>
      <c r="CI276" s="251"/>
      <c r="CJ276" s="267"/>
      <c r="CK276" s="267"/>
      <c r="CL276" s="267"/>
      <c r="CM276" s="267"/>
      <c r="CN276" s="267"/>
      <c r="CO276" s="268"/>
      <c r="CP276" s="266"/>
      <c r="DA276" s="251"/>
      <c r="DB276" s="266"/>
      <c r="DM276" s="251"/>
      <c r="DN276" s="266"/>
      <c r="DY276" s="251"/>
      <c r="DZ276" s="266"/>
      <c r="EK276" s="251"/>
      <c r="EL276" s="266"/>
      <c r="EW276" s="251"/>
      <c r="EX276" s="267"/>
      <c r="EY276" s="267"/>
      <c r="EZ276" s="267"/>
      <c r="FA276" s="267"/>
      <c r="FB276" s="269"/>
      <c r="FD276" s="270"/>
      <c r="FF276" s="276"/>
      <c r="FH276" s="206">
        <f t="shared" si="34"/>
        <v>0</v>
      </c>
      <c r="FI276" s="198">
        <f t="shared" si="35"/>
        <v>0</v>
      </c>
      <c r="FJ276"/>
      <c r="FK276">
        <f t="shared" si="36"/>
        <v>0</v>
      </c>
      <c r="FL276" s="191">
        <f t="shared" ca="1" si="37"/>
        <v>0</v>
      </c>
      <c r="FM276" s="191">
        <f t="shared" ca="1" si="38"/>
        <v>0</v>
      </c>
      <c r="FN276" s="190">
        <f>AB276*AB$2*IF($FC276="V",1,-1)*IF($Q276="Fixo",(CP276-INDEX('Curva Forward'!$C$5:$AN$13,MATCH(CONCATENATE(BD_COMERCIAL!$K276," ",BD_COMERCIAL!$L276),'Curva Forward'!$B$5:$B$13,0),MATCH(FN$4,'Curva Forward'!$C$4:$AN$4,0))),CP276)</f>
        <v>0</v>
      </c>
      <c r="FO276" s="190">
        <f>AC276*AC$2*IF($FC276="V",1,-1)*IF($Q276="Fixo",(CQ276-INDEX('Curva Forward'!$C$5:$AN$13,MATCH(CONCATENATE(BD_COMERCIAL!$K276," ",BD_COMERCIAL!$L276),'Curva Forward'!$B$5:$B$13,0),MATCH(FO$4,'Curva Forward'!$C$4:$AN$4,0))),CQ276)</f>
        <v>0</v>
      </c>
      <c r="FP276" s="190">
        <f>AD276*AD$2*IF($FC276="V",1,-1)*IF($Q276="Fixo",(CR276-INDEX('Curva Forward'!$C$5:$AN$13,MATCH(CONCATENATE(BD_COMERCIAL!$K276," ",BD_COMERCIAL!$L276),'Curva Forward'!$B$5:$B$13,0),MATCH(FP$4,'Curva Forward'!$C$4:$AN$4,0))),CR276)</f>
        <v>0</v>
      </c>
      <c r="FQ276" s="190">
        <f>AE276*AE$2*IF($FC276="V",1,-1)*IF($Q276="Fixo",(CS276-INDEX('Curva Forward'!$C$5:$AN$13,MATCH(CONCATENATE(BD_COMERCIAL!$K276," ",BD_COMERCIAL!$L276),'Curva Forward'!$B$5:$B$13,0),MATCH(FQ$4,'Curva Forward'!$C$4:$AN$4,0))),CS276)</f>
        <v>0</v>
      </c>
      <c r="FR276" s="190">
        <f>AF276*AF$2*IF($FC276="V",1,-1)*IF($Q276="Fixo",(CT276-INDEX('Curva Forward'!$C$5:$AN$13,MATCH(CONCATENATE(BD_COMERCIAL!$K276," ",BD_COMERCIAL!$L276),'Curva Forward'!$B$5:$B$13,0),MATCH(FR$4,'Curva Forward'!$C$4:$AN$4,0))),CT276)</f>
        <v>0</v>
      </c>
      <c r="FS276" s="190">
        <f>AG276*AG$2*IF($FC276="V",1,-1)*IF($Q276="Fixo",(CU276-INDEX('Curva Forward'!$C$5:$AN$13,MATCH(CONCATENATE(BD_COMERCIAL!$K276," ",BD_COMERCIAL!$L276),'Curva Forward'!$B$5:$B$13,0),MATCH(FS$4,'Curva Forward'!$C$4:$AN$4,0))),CU276)</f>
        <v>0</v>
      </c>
      <c r="FT276" s="190">
        <f>AH276*AH$2*IF($FC276="V",1,-1)*IF($Q276="Fixo",(CV276-INDEX('Curva Forward'!$C$5:$AN$13,MATCH(CONCATENATE(BD_COMERCIAL!$K276," ",BD_COMERCIAL!$L276),'Curva Forward'!$B$5:$B$13,0),MATCH(FT$4,'Curva Forward'!$C$4:$AN$4,0))),CV276)</f>
        <v>0</v>
      </c>
      <c r="FU276" s="190">
        <f>AI276*AI$2*IF($FC276="V",1,-1)*IF($Q276="Fixo",(CW276-INDEX('Curva Forward'!$C$5:$AN$13,MATCH(CONCATENATE(BD_COMERCIAL!$K276," ",BD_COMERCIAL!$L276),'Curva Forward'!$B$5:$B$13,0),MATCH(FU$4,'Curva Forward'!$C$4:$AN$4,0))),CW276)</f>
        <v>0</v>
      </c>
      <c r="FV276" s="190">
        <f>AJ276*AJ$2*IF($FC276="V",1,-1)*IF($Q276="Fixo",(CX276-INDEX('Curva Forward'!$C$5:$AN$13,MATCH(CONCATENATE(BD_COMERCIAL!$K276," ",BD_COMERCIAL!$L276),'Curva Forward'!$B$5:$B$13,0),MATCH(FV$4,'Curva Forward'!$C$4:$AN$4,0))),CX276)</f>
        <v>0</v>
      </c>
      <c r="FW276" s="190">
        <f>AK276*AK$2*IF($FC276="V",1,-1)*IF($Q276="Fixo",(CY276-INDEX('Curva Forward'!$C$5:$AN$13,MATCH(CONCATENATE(BD_COMERCIAL!$K276," ",BD_COMERCIAL!$L276),'Curva Forward'!$B$5:$B$13,0),MATCH(FW$4,'Curva Forward'!$C$4:$AN$4,0))),CY276)</f>
        <v>0</v>
      </c>
      <c r="FX276" s="190">
        <f>AL276*AL$2*IF($FC276="V",1,-1)*IF($Q276="Fixo",(CZ276-INDEX('Curva Forward'!$C$5:$AN$13,MATCH(CONCATENATE(BD_COMERCIAL!$K276," ",BD_COMERCIAL!$L276),'Curva Forward'!$B$5:$B$13,0),MATCH(FX$4,'Curva Forward'!$C$4:$AN$4,0))),CZ276)</f>
        <v>0</v>
      </c>
      <c r="FY276" s="190">
        <f>AM276*AM$2*IF($FC276="V",1,-1)*IF($Q276="Fixo",(DA276-INDEX('Curva Forward'!$C$5:$AN$13,MATCH(CONCATENATE(BD_COMERCIAL!$K276," ",BD_COMERCIAL!$L276),'Curva Forward'!$B$5:$B$13,0),MATCH(FY$4,'Curva Forward'!$C$4:$AN$4,0))),DA276)</f>
        <v>0</v>
      </c>
      <c r="FZ276" s="190">
        <f>AN276*AN$2*IF($FC276="V",1,-1)*IF($Q276="Fixo",(DB276-INDEX('Curva Forward'!$C$5:$AN$13,MATCH(CONCATENATE(BD_COMERCIAL!$K276," ",BD_COMERCIAL!$L276),'Curva Forward'!$B$5:$B$13,0),MATCH(FZ$4,'Curva Forward'!$C$4:$AN$4,0))),DB276)</f>
        <v>0</v>
      </c>
      <c r="GA276" s="190">
        <f>AO276*AO$2*IF($FC276="V",1,-1)*IF($Q276="Fixo",(DC276-INDEX('Curva Forward'!$C$5:$AN$13,MATCH(CONCATENATE(BD_COMERCIAL!$K276," ",BD_COMERCIAL!$L276),'Curva Forward'!$B$5:$B$13,0),MATCH(GA$4,'Curva Forward'!$C$4:$AN$4,0))),DC276)</f>
        <v>0</v>
      </c>
      <c r="GB276" s="190">
        <f>AP276*AP$2*IF($FC276="V",1,-1)*IF($Q276="Fixo",(DD276-INDEX('Curva Forward'!$C$5:$AN$13,MATCH(CONCATENATE(BD_COMERCIAL!$K276," ",BD_COMERCIAL!$L276),'Curva Forward'!$B$5:$B$13,0),MATCH(GB$4,'Curva Forward'!$C$4:$AN$4,0))),DD276)</f>
        <v>0</v>
      </c>
      <c r="GC276" s="190">
        <f>AQ276*AQ$2*IF($FC276="V",1,-1)*IF($Q276="Fixo",(DE276-INDEX('Curva Forward'!$C$5:$AN$13,MATCH(CONCATENATE(BD_COMERCIAL!$K276," ",BD_COMERCIAL!$L276),'Curva Forward'!$B$5:$B$13,0),MATCH(GC$4,'Curva Forward'!$C$4:$AN$4,0))),DE276)</f>
        <v>0</v>
      </c>
      <c r="GD276" s="190">
        <f>AR276*AR$2*IF($FC276="V",1,-1)*IF($Q276="Fixo",(DF276-INDEX('Curva Forward'!$C$5:$AN$13,MATCH(CONCATENATE(BD_COMERCIAL!$K276," ",BD_COMERCIAL!$L276),'Curva Forward'!$B$5:$B$13,0),MATCH(GD$4,'Curva Forward'!$C$4:$AN$4,0))),DF276)</f>
        <v>0</v>
      </c>
      <c r="GE276" s="190">
        <f>AS276*AS$2*IF($FC276="V",1,-1)*IF($Q276="Fixo",(DG276-INDEX('Curva Forward'!$C$5:$AN$13,MATCH(CONCATENATE(BD_COMERCIAL!$K276," ",BD_COMERCIAL!$L276),'Curva Forward'!$B$5:$B$13,0),MATCH(GE$4,'Curva Forward'!$C$4:$AN$4,0))),DG276)</f>
        <v>0</v>
      </c>
      <c r="GF276" s="190">
        <f>AT276*AT$2*IF($FC276="V",1,-1)*IF($Q276="Fixo",(DH276-INDEX('Curva Forward'!$C$5:$AN$13,MATCH(CONCATENATE(BD_COMERCIAL!$K276," ",BD_COMERCIAL!$L276),'Curva Forward'!$B$5:$B$13,0),MATCH(GF$4,'Curva Forward'!$C$4:$AN$4,0))),DH276)</f>
        <v>0</v>
      </c>
      <c r="GG276" s="190">
        <f>AU276*AU$2*IF($FC276="V",1,-1)*IF($Q276="Fixo",(DI276-INDEX('Curva Forward'!$C$5:$AN$13,MATCH(CONCATENATE(BD_COMERCIAL!$K276," ",BD_COMERCIAL!$L276),'Curva Forward'!$B$5:$B$13,0),MATCH(GG$4,'Curva Forward'!$C$4:$AN$4,0))),DI276)</f>
        <v>0</v>
      </c>
      <c r="GH276" s="190">
        <f>AV276*AV$2*IF($FC276="V",1,-1)*IF($Q276="Fixo",(DJ276-INDEX('Curva Forward'!$C$5:$AN$13,MATCH(CONCATENATE(BD_COMERCIAL!$K276," ",BD_COMERCIAL!$L276),'Curva Forward'!$B$5:$B$13,0),MATCH(GH$4,'Curva Forward'!$C$4:$AN$4,0))),DJ276)</f>
        <v>0</v>
      </c>
      <c r="GI276" s="190">
        <f>AW276*AW$2*IF($FC276="V",1,-1)*IF($Q276="Fixo",(DK276-INDEX('Curva Forward'!$C$5:$AN$13,MATCH(CONCATENATE(BD_COMERCIAL!$K276," ",BD_COMERCIAL!$L276),'Curva Forward'!$B$5:$B$13,0),MATCH(GI$4,'Curva Forward'!$C$4:$AN$4,0))),DK276)</f>
        <v>0</v>
      </c>
      <c r="GJ276" s="190">
        <f>AX276*AX$2*IF($FC276="V",1,-1)*IF($Q276="Fixo",(DL276-INDEX('Curva Forward'!$C$5:$AN$13,MATCH(CONCATENATE(BD_COMERCIAL!$K276," ",BD_COMERCIAL!$L276),'Curva Forward'!$B$5:$B$13,0),MATCH(GJ$4,'Curva Forward'!$C$4:$AN$4,0))),DL276)</f>
        <v>0</v>
      </c>
      <c r="GK276" s="190">
        <f>AY276*AY$2*IF($FC276="V",1,-1)*IF($Q276="Fixo",(DM276-INDEX('Curva Forward'!$C$5:$AN$13,MATCH(CONCATENATE(BD_COMERCIAL!$K276," ",BD_COMERCIAL!$L276),'Curva Forward'!$B$5:$B$13,0),MATCH(GK$4,'Curva Forward'!$C$4:$AN$4,0))),DM276)</f>
        <v>0</v>
      </c>
      <c r="GL276" s="190">
        <f>IF(EZ276="",0,CL276*CL$2*IF($FC276="V",1,-1)*IF($Q276="Fixo",(EZ276-INDEX('Curva Forward'!$C$5:$AN$13,MATCH(CONCATENATE(BD_COMERCIAL!$K276," ",BD_COMERCIAL!$L276),'Curva Forward'!$B$5:$B$13,0),MATCH(GL$4,'Curva Forward'!$C$4:$AN$4,0))),EZ276))</f>
        <v>0</v>
      </c>
      <c r="GM276" s="190">
        <f>IF(FA276="",0,CM276*CM$2*IF($FC276="V",1,-1)*IF($Q276="Fixo",(FA276-INDEX('Curva Forward'!$C$5:$AN$13,MATCH(CONCATENATE(BD_COMERCIAL!$K276," ",BD_COMERCIAL!$L276),'Curva Forward'!$B$5:$B$13,0),MATCH(GM$4,'Curva Forward'!$C$4:$AN$4,0))),FA276))</f>
        <v>0</v>
      </c>
      <c r="GN276" s="190">
        <f>IF(FB276="",0,CN276*CN$2*IF($FC276="V",1,-1)*IF($Q276="Fixo",(FB276-INDEX('Curva Forward'!$C$5:$AN$13,MATCH(CONCATENATE(BD_COMERCIAL!$K276," ",BD_COMERCIAL!$L276),'Curva Forward'!$B$5:$B$13,0),MATCH(GN$4,'Curva Forward'!$C$4:$AN$4,0))),FB276))</f>
        <v>0</v>
      </c>
      <c r="GO276" s="191">
        <f t="shared" ca="1" si="39"/>
        <v>0</v>
      </c>
      <c r="GP276" s="191">
        <f t="shared" ca="1" si="40"/>
        <v>0</v>
      </c>
      <c r="GQ276" s="115"/>
      <c r="GR276" s="115"/>
      <c r="GS276"/>
      <c r="GT276" s="65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</row>
    <row r="277" spans="1:236" s="265" customFormat="1" ht="15" customHeight="1" x14ac:dyDescent="0.35">
      <c r="A277" s="251"/>
      <c r="B277" s="275"/>
      <c r="C277" s="253"/>
      <c r="D277" s="254"/>
      <c r="E277" s="254"/>
      <c r="F277" s="255"/>
      <c r="G277" s="256"/>
      <c r="H277" s="255"/>
      <c r="I277" s="254"/>
      <c r="J277" s="257"/>
      <c r="K277" s="256"/>
      <c r="L277" s="252"/>
      <c r="M277" s="258"/>
      <c r="N277" s="259"/>
      <c r="O277" s="256"/>
      <c r="P277" s="252"/>
      <c r="Q277" s="252"/>
      <c r="R277" s="256"/>
      <c r="S277" s="260"/>
      <c r="T277" s="258"/>
      <c r="U277" s="259"/>
      <c r="V277" s="261"/>
      <c r="W277" s="252"/>
      <c r="X277" s="262"/>
      <c r="Y277" s="257"/>
      <c r="Z277" s="263"/>
      <c r="AA277" s="264"/>
      <c r="AB277" s="266"/>
      <c r="AM277" s="251"/>
      <c r="AN277" s="266"/>
      <c r="AY277" s="251"/>
      <c r="AZ277" s="266"/>
      <c r="BK277" s="251"/>
      <c r="BL277" s="266"/>
      <c r="BW277" s="251"/>
      <c r="BX277" s="266"/>
      <c r="CI277" s="251"/>
      <c r="CJ277" s="267"/>
      <c r="CK277" s="267"/>
      <c r="CL277" s="267"/>
      <c r="CM277" s="267"/>
      <c r="CN277" s="267"/>
      <c r="CO277" s="268"/>
      <c r="CP277" s="266"/>
      <c r="DA277" s="251"/>
      <c r="DB277" s="266"/>
      <c r="DM277" s="251"/>
      <c r="DN277" s="266"/>
      <c r="DY277" s="251"/>
      <c r="DZ277" s="266"/>
      <c r="EK277" s="251"/>
      <c r="EL277" s="266"/>
      <c r="EW277" s="251"/>
      <c r="EX277" s="267"/>
      <c r="EY277" s="267"/>
      <c r="EZ277" s="267"/>
      <c r="FA277" s="267"/>
      <c r="FB277" s="269"/>
      <c r="FD277" s="270"/>
      <c r="FF277" s="276"/>
      <c r="FH277" s="206">
        <f t="shared" si="34"/>
        <v>0</v>
      </c>
      <c r="FI277" s="198">
        <f t="shared" si="35"/>
        <v>0</v>
      </c>
      <c r="FJ277"/>
      <c r="FK277">
        <f t="shared" si="36"/>
        <v>0</v>
      </c>
      <c r="FL277" s="191">
        <f t="shared" ca="1" si="37"/>
        <v>0</v>
      </c>
      <c r="FM277" s="191">
        <f t="shared" ca="1" si="38"/>
        <v>0</v>
      </c>
      <c r="FN277" s="190">
        <f>AB277*AB$2*IF($FC277="V",1,-1)*IF($Q277="Fixo",(CP277-INDEX('Curva Forward'!$C$5:$AN$13,MATCH(CONCATENATE(BD_COMERCIAL!$K277," ",BD_COMERCIAL!$L277),'Curva Forward'!$B$5:$B$13,0),MATCH(FN$4,'Curva Forward'!$C$4:$AN$4,0))),CP277)</f>
        <v>0</v>
      </c>
      <c r="FO277" s="190">
        <f>AC277*AC$2*IF($FC277="V",1,-1)*IF($Q277="Fixo",(CQ277-INDEX('Curva Forward'!$C$5:$AN$13,MATCH(CONCATENATE(BD_COMERCIAL!$K277," ",BD_COMERCIAL!$L277),'Curva Forward'!$B$5:$B$13,0),MATCH(FO$4,'Curva Forward'!$C$4:$AN$4,0))),CQ277)</f>
        <v>0</v>
      </c>
      <c r="FP277" s="190">
        <f>AD277*AD$2*IF($FC277="V",1,-1)*IF($Q277="Fixo",(CR277-INDEX('Curva Forward'!$C$5:$AN$13,MATCH(CONCATENATE(BD_COMERCIAL!$K277," ",BD_COMERCIAL!$L277),'Curva Forward'!$B$5:$B$13,0),MATCH(FP$4,'Curva Forward'!$C$4:$AN$4,0))),CR277)</f>
        <v>0</v>
      </c>
      <c r="FQ277" s="190">
        <f>AE277*AE$2*IF($FC277="V",1,-1)*IF($Q277="Fixo",(CS277-INDEX('Curva Forward'!$C$5:$AN$13,MATCH(CONCATENATE(BD_COMERCIAL!$K277," ",BD_COMERCIAL!$L277),'Curva Forward'!$B$5:$B$13,0),MATCH(FQ$4,'Curva Forward'!$C$4:$AN$4,0))),CS277)</f>
        <v>0</v>
      </c>
      <c r="FR277" s="190">
        <f>AF277*AF$2*IF($FC277="V",1,-1)*IF($Q277="Fixo",(CT277-INDEX('Curva Forward'!$C$5:$AN$13,MATCH(CONCATENATE(BD_COMERCIAL!$K277," ",BD_COMERCIAL!$L277),'Curva Forward'!$B$5:$B$13,0),MATCH(FR$4,'Curva Forward'!$C$4:$AN$4,0))),CT277)</f>
        <v>0</v>
      </c>
      <c r="FS277" s="190">
        <f>AG277*AG$2*IF($FC277="V",1,-1)*IF($Q277="Fixo",(CU277-INDEX('Curva Forward'!$C$5:$AN$13,MATCH(CONCATENATE(BD_COMERCIAL!$K277," ",BD_COMERCIAL!$L277),'Curva Forward'!$B$5:$B$13,0),MATCH(FS$4,'Curva Forward'!$C$4:$AN$4,0))),CU277)</f>
        <v>0</v>
      </c>
      <c r="FT277" s="190">
        <f>AH277*AH$2*IF($FC277="V",1,-1)*IF($Q277="Fixo",(CV277-INDEX('Curva Forward'!$C$5:$AN$13,MATCH(CONCATENATE(BD_COMERCIAL!$K277," ",BD_COMERCIAL!$L277),'Curva Forward'!$B$5:$B$13,0),MATCH(FT$4,'Curva Forward'!$C$4:$AN$4,0))),CV277)</f>
        <v>0</v>
      </c>
      <c r="FU277" s="190">
        <f>AI277*AI$2*IF($FC277="V",1,-1)*IF($Q277="Fixo",(CW277-INDEX('Curva Forward'!$C$5:$AN$13,MATCH(CONCATENATE(BD_COMERCIAL!$K277," ",BD_COMERCIAL!$L277),'Curva Forward'!$B$5:$B$13,0),MATCH(FU$4,'Curva Forward'!$C$4:$AN$4,0))),CW277)</f>
        <v>0</v>
      </c>
      <c r="FV277" s="190">
        <f>AJ277*AJ$2*IF($FC277="V",1,-1)*IF($Q277="Fixo",(CX277-INDEX('Curva Forward'!$C$5:$AN$13,MATCH(CONCATENATE(BD_COMERCIAL!$K277," ",BD_COMERCIAL!$L277),'Curva Forward'!$B$5:$B$13,0),MATCH(FV$4,'Curva Forward'!$C$4:$AN$4,0))),CX277)</f>
        <v>0</v>
      </c>
      <c r="FW277" s="190">
        <f>AK277*AK$2*IF($FC277="V",1,-1)*IF($Q277="Fixo",(CY277-INDEX('Curva Forward'!$C$5:$AN$13,MATCH(CONCATENATE(BD_COMERCIAL!$K277," ",BD_COMERCIAL!$L277),'Curva Forward'!$B$5:$B$13,0),MATCH(FW$4,'Curva Forward'!$C$4:$AN$4,0))),CY277)</f>
        <v>0</v>
      </c>
      <c r="FX277" s="190">
        <f>AL277*AL$2*IF($FC277="V",1,-1)*IF($Q277="Fixo",(CZ277-INDEX('Curva Forward'!$C$5:$AN$13,MATCH(CONCATENATE(BD_COMERCIAL!$K277," ",BD_COMERCIAL!$L277),'Curva Forward'!$B$5:$B$13,0),MATCH(FX$4,'Curva Forward'!$C$4:$AN$4,0))),CZ277)</f>
        <v>0</v>
      </c>
      <c r="FY277" s="190">
        <f>AM277*AM$2*IF($FC277="V",1,-1)*IF($Q277="Fixo",(DA277-INDEX('Curva Forward'!$C$5:$AN$13,MATCH(CONCATENATE(BD_COMERCIAL!$K277," ",BD_COMERCIAL!$L277),'Curva Forward'!$B$5:$B$13,0),MATCH(FY$4,'Curva Forward'!$C$4:$AN$4,0))),DA277)</f>
        <v>0</v>
      </c>
      <c r="FZ277" s="190">
        <f>AN277*AN$2*IF($FC277="V",1,-1)*IF($Q277="Fixo",(DB277-INDEX('Curva Forward'!$C$5:$AN$13,MATCH(CONCATENATE(BD_COMERCIAL!$K277," ",BD_COMERCIAL!$L277),'Curva Forward'!$B$5:$B$13,0),MATCH(FZ$4,'Curva Forward'!$C$4:$AN$4,0))),DB277)</f>
        <v>0</v>
      </c>
      <c r="GA277" s="190">
        <f>AO277*AO$2*IF($FC277="V",1,-1)*IF($Q277="Fixo",(DC277-INDEX('Curva Forward'!$C$5:$AN$13,MATCH(CONCATENATE(BD_COMERCIAL!$K277," ",BD_COMERCIAL!$L277),'Curva Forward'!$B$5:$B$13,0),MATCH(GA$4,'Curva Forward'!$C$4:$AN$4,0))),DC277)</f>
        <v>0</v>
      </c>
      <c r="GB277" s="190">
        <f>AP277*AP$2*IF($FC277="V",1,-1)*IF($Q277="Fixo",(DD277-INDEX('Curva Forward'!$C$5:$AN$13,MATCH(CONCATENATE(BD_COMERCIAL!$K277," ",BD_COMERCIAL!$L277),'Curva Forward'!$B$5:$B$13,0),MATCH(GB$4,'Curva Forward'!$C$4:$AN$4,0))),DD277)</f>
        <v>0</v>
      </c>
      <c r="GC277" s="190">
        <f>AQ277*AQ$2*IF($FC277="V",1,-1)*IF($Q277="Fixo",(DE277-INDEX('Curva Forward'!$C$5:$AN$13,MATCH(CONCATENATE(BD_COMERCIAL!$K277," ",BD_COMERCIAL!$L277),'Curva Forward'!$B$5:$B$13,0),MATCH(GC$4,'Curva Forward'!$C$4:$AN$4,0))),DE277)</f>
        <v>0</v>
      </c>
      <c r="GD277" s="190">
        <f>AR277*AR$2*IF($FC277="V",1,-1)*IF($Q277="Fixo",(DF277-INDEX('Curva Forward'!$C$5:$AN$13,MATCH(CONCATENATE(BD_COMERCIAL!$K277," ",BD_COMERCIAL!$L277),'Curva Forward'!$B$5:$B$13,0),MATCH(GD$4,'Curva Forward'!$C$4:$AN$4,0))),DF277)</f>
        <v>0</v>
      </c>
      <c r="GE277" s="190">
        <f>AS277*AS$2*IF($FC277="V",1,-1)*IF($Q277="Fixo",(DG277-INDEX('Curva Forward'!$C$5:$AN$13,MATCH(CONCATENATE(BD_COMERCIAL!$K277," ",BD_COMERCIAL!$L277),'Curva Forward'!$B$5:$B$13,0),MATCH(GE$4,'Curva Forward'!$C$4:$AN$4,0))),DG277)</f>
        <v>0</v>
      </c>
      <c r="GF277" s="190">
        <f>AT277*AT$2*IF($FC277="V",1,-1)*IF($Q277="Fixo",(DH277-INDEX('Curva Forward'!$C$5:$AN$13,MATCH(CONCATENATE(BD_COMERCIAL!$K277," ",BD_COMERCIAL!$L277),'Curva Forward'!$B$5:$B$13,0),MATCH(GF$4,'Curva Forward'!$C$4:$AN$4,0))),DH277)</f>
        <v>0</v>
      </c>
      <c r="GG277" s="190">
        <f>AU277*AU$2*IF($FC277="V",1,-1)*IF($Q277="Fixo",(DI277-INDEX('Curva Forward'!$C$5:$AN$13,MATCH(CONCATENATE(BD_COMERCIAL!$K277," ",BD_COMERCIAL!$L277),'Curva Forward'!$B$5:$B$13,0),MATCH(GG$4,'Curva Forward'!$C$4:$AN$4,0))),DI277)</f>
        <v>0</v>
      </c>
      <c r="GH277" s="190">
        <f>AV277*AV$2*IF($FC277="V",1,-1)*IF($Q277="Fixo",(DJ277-INDEX('Curva Forward'!$C$5:$AN$13,MATCH(CONCATENATE(BD_COMERCIAL!$K277," ",BD_COMERCIAL!$L277),'Curva Forward'!$B$5:$B$13,0),MATCH(GH$4,'Curva Forward'!$C$4:$AN$4,0))),DJ277)</f>
        <v>0</v>
      </c>
      <c r="GI277" s="190">
        <f>AW277*AW$2*IF($FC277="V",1,-1)*IF($Q277="Fixo",(DK277-INDEX('Curva Forward'!$C$5:$AN$13,MATCH(CONCATENATE(BD_COMERCIAL!$K277," ",BD_COMERCIAL!$L277),'Curva Forward'!$B$5:$B$13,0),MATCH(GI$4,'Curva Forward'!$C$4:$AN$4,0))),DK277)</f>
        <v>0</v>
      </c>
      <c r="GJ277" s="190">
        <f>AX277*AX$2*IF($FC277="V",1,-1)*IF($Q277="Fixo",(DL277-INDEX('Curva Forward'!$C$5:$AN$13,MATCH(CONCATENATE(BD_COMERCIAL!$K277," ",BD_COMERCIAL!$L277),'Curva Forward'!$B$5:$B$13,0),MATCH(GJ$4,'Curva Forward'!$C$4:$AN$4,0))),DL277)</f>
        <v>0</v>
      </c>
      <c r="GK277" s="190">
        <f>AY277*AY$2*IF($FC277="V",1,-1)*IF($Q277="Fixo",(DM277-INDEX('Curva Forward'!$C$5:$AN$13,MATCH(CONCATENATE(BD_COMERCIAL!$K277," ",BD_COMERCIAL!$L277),'Curva Forward'!$B$5:$B$13,0),MATCH(GK$4,'Curva Forward'!$C$4:$AN$4,0))),DM277)</f>
        <v>0</v>
      </c>
      <c r="GL277" s="190">
        <f>IF(EZ277="",0,CL277*CL$2*IF($FC277="V",1,-1)*IF($Q277="Fixo",(EZ277-INDEX('Curva Forward'!$C$5:$AN$13,MATCH(CONCATENATE(BD_COMERCIAL!$K277," ",BD_COMERCIAL!$L277),'Curva Forward'!$B$5:$B$13,0),MATCH(GL$4,'Curva Forward'!$C$4:$AN$4,0))),EZ277))</f>
        <v>0</v>
      </c>
      <c r="GM277" s="190">
        <f>IF(FA277="",0,CM277*CM$2*IF($FC277="V",1,-1)*IF($Q277="Fixo",(FA277-INDEX('Curva Forward'!$C$5:$AN$13,MATCH(CONCATENATE(BD_COMERCIAL!$K277," ",BD_COMERCIAL!$L277),'Curva Forward'!$B$5:$B$13,0),MATCH(GM$4,'Curva Forward'!$C$4:$AN$4,0))),FA277))</f>
        <v>0</v>
      </c>
      <c r="GN277" s="190">
        <f>IF(FB277="",0,CN277*CN$2*IF($FC277="V",1,-1)*IF($Q277="Fixo",(FB277-INDEX('Curva Forward'!$C$5:$AN$13,MATCH(CONCATENATE(BD_COMERCIAL!$K277," ",BD_COMERCIAL!$L277),'Curva Forward'!$B$5:$B$13,0),MATCH(GN$4,'Curva Forward'!$C$4:$AN$4,0))),FB277))</f>
        <v>0</v>
      </c>
      <c r="GO277" s="191">
        <f t="shared" ca="1" si="39"/>
        <v>0</v>
      </c>
      <c r="GP277" s="191">
        <f t="shared" ca="1" si="40"/>
        <v>0</v>
      </c>
      <c r="GQ277" s="115"/>
      <c r="GR277" s="115"/>
      <c r="GS277"/>
      <c r="GT277" s="65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</row>
    <row r="278" spans="1:236" s="265" customFormat="1" ht="15" customHeight="1" x14ac:dyDescent="0.35">
      <c r="A278" s="251"/>
      <c r="B278" s="275"/>
      <c r="C278" s="253"/>
      <c r="D278" s="254"/>
      <c r="E278" s="254"/>
      <c r="F278" s="255"/>
      <c r="G278" s="256"/>
      <c r="H278" s="255"/>
      <c r="I278" s="254"/>
      <c r="J278" s="257"/>
      <c r="K278" s="256"/>
      <c r="L278" s="252"/>
      <c r="M278" s="258"/>
      <c r="N278" s="259"/>
      <c r="O278" s="256"/>
      <c r="P278" s="252"/>
      <c r="Q278" s="252"/>
      <c r="R278" s="256"/>
      <c r="S278" s="260"/>
      <c r="T278" s="258"/>
      <c r="U278" s="259"/>
      <c r="V278" s="261"/>
      <c r="W278" s="252"/>
      <c r="X278" s="262"/>
      <c r="Y278" s="257"/>
      <c r="Z278" s="263"/>
      <c r="AA278" s="264"/>
      <c r="AB278" s="266"/>
      <c r="AM278" s="251"/>
      <c r="AN278" s="266"/>
      <c r="AY278" s="251"/>
      <c r="AZ278" s="266"/>
      <c r="BK278" s="251"/>
      <c r="BL278" s="266"/>
      <c r="BW278" s="251"/>
      <c r="BX278" s="266"/>
      <c r="CI278" s="251"/>
      <c r="CJ278" s="267"/>
      <c r="CK278" s="267"/>
      <c r="CL278" s="267"/>
      <c r="CM278" s="267"/>
      <c r="CN278" s="267"/>
      <c r="CO278" s="268"/>
      <c r="CP278" s="266"/>
      <c r="DA278" s="251"/>
      <c r="DB278" s="266"/>
      <c r="DM278" s="251"/>
      <c r="DN278" s="266"/>
      <c r="DY278" s="251"/>
      <c r="DZ278" s="266"/>
      <c r="EK278" s="251"/>
      <c r="EL278" s="266"/>
      <c r="EW278" s="251"/>
      <c r="EX278" s="267"/>
      <c r="EY278" s="267"/>
      <c r="EZ278" s="267"/>
      <c r="FA278" s="267"/>
      <c r="FB278" s="269"/>
      <c r="FD278" s="270"/>
      <c r="FF278" s="276"/>
      <c r="FH278" s="206">
        <f t="shared" si="34"/>
        <v>0</v>
      </c>
      <c r="FI278" s="198">
        <f t="shared" si="35"/>
        <v>0</v>
      </c>
      <c r="FJ278"/>
      <c r="FK278">
        <f t="shared" si="36"/>
        <v>0</v>
      </c>
      <c r="FL278" s="191">
        <f t="shared" ca="1" si="37"/>
        <v>0</v>
      </c>
      <c r="FM278" s="191">
        <f t="shared" ca="1" si="38"/>
        <v>0</v>
      </c>
      <c r="FN278" s="190">
        <f>AB278*AB$2*IF($FC278="V",1,-1)*IF($Q278="Fixo",(CP278-INDEX('Curva Forward'!$C$5:$AN$13,MATCH(CONCATENATE(BD_COMERCIAL!$K278," ",BD_COMERCIAL!$L278),'Curva Forward'!$B$5:$B$13,0),MATCH(FN$4,'Curva Forward'!$C$4:$AN$4,0))),CP278)</f>
        <v>0</v>
      </c>
      <c r="FO278" s="190">
        <f>AC278*AC$2*IF($FC278="V",1,-1)*IF($Q278="Fixo",(CQ278-INDEX('Curva Forward'!$C$5:$AN$13,MATCH(CONCATENATE(BD_COMERCIAL!$K278," ",BD_COMERCIAL!$L278),'Curva Forward'!$B$5:$B$13,0),MATCH(FO$4,'Curva Forward'!$C$4:$AN$4,0))),CQ278)</f>
        <v>0</v>
      </c>
      <c r="FP278" s="190">
        <f>AD278*AD$2*IF($FC278="V",1,-1)*IF($Q278="Fixo",(CR278-INDEX('Curva Forward'!$C$5:$AN$13,MATCH(CONCATENATE(BD_COMERCIAL!$K278," ",BD_COMERCIAL!$L278),'Curva Forward'!$B$5:$B$13,0),MATCH(FP$4,'Curva Forward'!$C$4:$AN$4,0))),CR278)</f>
        <v>0</v>
      </c>
      <c r="FQ278" s="190">
        <f>AE278*AE$2*IF($FC278="V",1,-1)*IF($Q278="Fixo",(CS278-INDEX('Curva Forward'!$C$5:$AN$13,MATCH(CONCATENATE(BD_COMERCIAL!$K278," ",BD_COMERCIAL!$L278),'Curva Forward'!$B$5:$B$13,0),MATCH(FQ$4,'Curva Forward'!$C$4:$AN$4,0))),CS278)</f>
        <v>0</v>
      </c>
      <c r="FR278" s="190">
        <f>AF278*AF$2*IF($FC278="V",1,-1)*IF($Q278="Fixo",(CT278-INDEX('Curva Forward'!$C$5:$AN$13,MATCH(CONCATENATE(BD_COMERCIAL!$K278," ",BD_COMERCIAL!$L278),'Curva Forward'!$B$5:$B$13,0),MATCH(FR$4,'Curva Forward'!$C$4:$AN$4,0))),CT278)</f>
        <v>0</v>
      </c>
      <c r="FS278" s="190">
        <f>AG278*AG$2*IF($FC278="V",1,-1)*IF($Q278="Fixo",(CU278-INDEX('Curva Forward'!$C$5:$AN$13,MATCH(CONCATENATE(BD_COMERCIAL!$K278," ",BD_COMERCIAL!$L278),'Curva Forward'!$B$5:$B$13,0),MATCH(FS$4,'Curva Forward'!$C$4:$AN$4,0))),CU278)</f>
        <v>0</v>
      </c>
      <c r="FT278" s="190">
        <f>AH278*AH$2*IF($FC278="V",1,-1)*IF($Q278="Fixo",(CV278-INDEX('Curva Forward'!$C$5:$AN$13,MATCH(CONCATENATE(BD_COMERCIAL!$K278," ",BD_COMERCIAL!$L278),'Curva Forward'!$B$5:$B$13,0),MATCH(FT$4,'Curva Forward'!$C$4:$AN$4,0))),CV278)</f>
        <v>0</v>
      </c>
      <c r="FU278" s="190">
        <f>AI278*AI$2*IF($FC278="V",1,-1)*IF($Q278="Fixo",(CW278-INDEX('Curva Forward'!$C$5:$AN$13,MATCH(CONCATENATE(BD_COMERCIAL!$K278," ",BD_COMERCIAL!$L278),'Curva Forward'!$B$5:$B$13,0),MATCH(FU$4,'Curva Forward'!$C$4:$AN$4,0))),CW278)</f>
        <v>0</v>
      </c>
      <c r="FV278" s="190">
        <f>AJ278*AJ$2*IF($FC278="V",1,-1)*IF($Q278="Fixo",(CX278-INDEX('Curva Forward'!$C$5:$AN$13,MATCH(CONCATENATE(BD_COMERCIAL!$K278," ",BD_COMERCIAL!$L278),'Curva Forward'!$B$5:$B$13,0),MATCH(FV$4,'Curva Forward'!$C$4:$AN$4,0))),CX278)</f>
        <v>0</v>
      </c>
      <c r="FW278" s="190">
        <f>AK278*AK$2*IF($FC278="V",1,-1)*IF($Q278="Fixo",(CY278-INDEX('Curva Forward'!$C$5:$AN$13,MATCH(CONCATENATE(BD_COMERCIAL!$K278," ",BD_COMERCIAL!$L278),'Curva Forward'!$B$5:$B$13,0),MATCH(FW$4,'Curva Forward'!$C$4:$AN$4,0))),CY278)</f>
        <v>0</v>
      </c>
      <c r="FX278" s="190">
        <f>AL278*AL$2*IF($FC278="V",1,-1)*IF($Q278="Fixo",(CZ278-INDEX('Curva Forward'!$C$5:$AN$13,MATCH(CONCATENATE(BD_COMERCIAL!$K278," ",BD_COMERCIAL!$L278),'Curva Forward'!$B$5:$B$13,0),MATCH(FX$4,'Curva Forward'!$C$4:$AN$4,0))),CZ278)</f>
        <v>0</v>
      </c>
      <c r="FY278" s="190">
        <f>AM278*AM$2*IF($FC278="V",1,-1)*IF($Q278="Fixo",(DA278-INDEX('Curva Forward'!$C$5:$AN$13,MATCH(CONCATENATE(BD_COMERCIAL!$K278," ",BD_COMERCIAL!$L278),'Curva Forward'!$B$5:$B$13,0),MATCH(FY$4,'Curva Forward'!$C$4:$AN$4,0))),DA278)</f>
        <v>0</v>
      </c>
      <c r="FZ278" s="190">
        <f>AN278*AN$2*IF($FC278="V",1,-1)*IF($Q278="Fixo",(DB278-INDEX('Curva Forward'!$C$5:$AN$13,MATCH(CONCATENATE(BD_COMERCIAL!$K278," ",BD_COMERCIAL!$L278),'Curva Forward'!$B$5:$B$13,0),MATCH(FZ$4,'Curva Forward'!$C$4:$AN$4,0))),DB278)</f>
        <v>0</v>
      </c>
      <c r="GA278" s="190">
        <f>AO278*AO$2*IF($FC278="V",1,-1)*IF($Q278="Fixo",(DC278-INDEX('Curva Forward'!$C$5:$AN$13,MATCH(CONCATENATE(BD_COMERCIAL!$K278," ",BD_COMERCIAL!$L278),'Curva Forward'!$B$5:$B$13,0),MATCH(GA$4,'Curva Forward'!$C$4:$AN$4,0))),DC278)</f>
        <v>0</v>
      </c>
      <c r="GB278" s="190">
        <f>AP278*AP$2*IF($FC278="V",1,-1)*IF($Q278="Fixo",(DD278-INDEX('Curva Forward'!$C$5:$AN$13,MATCH(CONCATENATE(BD_COMERCIAL!$K278," ",BD_COMERCIAL!$L278),'Curva Forward'!$B$5:$B$13,0),MATCH(GB$4,'Curva Forward'!$C$4:$AN$4,0))),DD278)</f>
        <v>0</v>
      </c>
      <c r="GC278" s="190">
        <f>AQ278*AQ$2*IF($FC278="V",1,-1)*IF($Q278="Fixo",(DE278-INDEX('Curva Forward'!$C$5:$AN$13,MATCH(CONCATENATE(BD_COMERCIAL!$K278," ",BD_COMERCIAL!$L278),'Curva Forward'!$B$5:$B$13,0),MATCH(GC$4,'Curva Forward'!$C$4:$AN$4,0))),DE278)</f>
        <v>0</v>
      </c>
      <c r="GD278" s="190">
        <f>AR278*AR$2*IF($FC278="V",1,-1)*IF($Q278="Fixo",(DF278-INDEX('Curva Forward'!$C$5:$AN$13,MATCH(CONCATENATE(BD_COMERCIAL!$K278," ",BD_COMERCIAL!$L278),'Curva Forward'!$B$5:$B$13,0),MATCH(GD$4,'Curva Forward'!$C$4:$AN$4,0))),DF278)</f>
        <v>0</v>
      </c>
      <c r="GE278" s="190">
        <f>AS278*AS$2*IF($FC278="V",1,-1)*IF($Q278="Fixo",(DG278-INDEX('Curva Forward'!$C$5:$AN$13,MATCH(CONCATENATE(BD_COMERCIAL!$K278," ",BD_COMERCIAL!$L278),'Curva Forward'!$B$5:$B$13,0),MATCH(GE$4,'Curva Forward'!$C$4:$AN$4,0))),DG278)</f>
        <v>0</v>
      </c>
      <c r="GF278" s="190">
        <f>AT278*AT$2*IF($FC278="V",1,-1)*IF($Q278="Fixo",(DH278-INDEX('Curva Forward'!$C$5:$AN$13,MATCH(CONCATENATE(BD_COMERCIAL!$K278," ",BD_COMERCIAL!$L278),'Curva Forward'!$B$5:$B$13,0),MATCH(GF$4,'Curva Forward'!$C$4:$AN$4,0))),DH278)</f>
        <v>0</v>
      </c>
      <c r="GG278" s="190">
        <f>AU278*AU$2*IF($FC278="V",1,-1)*IF($Q278="Fixo",(DI278-INDEX('Curva Forward'!$C$5:$AN$13,MATCH(CONCATENATE(BD_COMERCIAL!$K278," ",BD_COMERCIAL!$L278),'Curva Forward'!$B$5:$B$13,0),MATCH(GG$4,'Curva Forward'!$C$4:$AN$4,0))),DI278)</f>
        <v>0</v>
      </c>
      <c r="GH278" s="190">
        <f>AV278*AV$2*IF($FC278="V",1,-1)*IF($Q278="Fixo",(DJ278-INDEX('Curva Forward'!$C$5:$AN$13,MATCH(CONCATENATE(BD_COMERCIAL!$K278," ",BD_COMERCIAL!$L278),'Curva Forward'!$B$5:$B$13,0),MATCH(GH$4,'Curva Forward'!$C$4:$AN$4,0))),DJ278)</f>
        <v>0</v>
      </c>
      <c r="GI278" s="190">
        <f>AW278*AW$2*IF($FC278="V",1,-1)*IF($Q278="Fixo",(DK278-INDEX('Curva Forward'!$C$5:$AN$13,MATCH(CONCATENATE(BD_COMERCIAL!$K278," ",BD_COMERCIAL!$L278),'Curva Forward'!$B$5:$B$13,0),MATCH(GI$4,'Curva Forward'!$C$4:$AN$4,0))),DK278)</f>
        <v>0</v>
      </c>
      <c r="GJ278" s="190">
        <f>AX278*AX$2*IF($FC278="V",1,-1)*IF($Q278="Fixo",(DL278-INDEX('Curva Forward'!$C$5:$AN$13,MATCH(CONCATENATE(BD_COMERCIAL!$K278," ",BD_COMERCIAL!$L278),'Curva Forward'!$B$5:$B$13,0),MATCH(GJ$4,'Curva Forward'!$C$4:$AN$4,0))),DL278)</f>
        <v>0</v>
      </c>
      <c r="GK278" s="190">
        <f>AY278*AY$2*IF($FC278="V",1,-1)*IF($Q278="Fixo",(DM278-INDEX('Curva Forward'!$C$5:$AN$13,MATCH(CONCATENATE(BD_COMERCIAL!$K278," ",BD_COMERCIAL!$L278),'Curva Forward'!$B$5:$B$13,0),MATCH(GK$4,'Curva Forward'!$C$4:$AN$4,0))),DM278)</f>
        <v>0</v>
      </c>
      <c r="GL278" s="190">
        <f>IF(EZ278="",0,CL278*CL$2*IF($FC278="V",1,-1)*IF($Q278="Fixo",(EZ278-INDEX('Curva Forward'!$C$5:$AN$13,MATCH(CONCATENATE(BD_COMERCIAL!$K278," ",BD_COMERCIAL!$L278),'Curva Forward'!$B$5:$B$13,0),MATCH(GL$4,'Curva Forward'!$C$4:$AN$4,0))),EZ278))</f>
        <v>0</v>
      </c>
      <c r="GM278" s="190">
        <f>IF(FA278="",0,CM278*CM$2*IF($FC278="V",1,-1)*IF($Q278="Fixo",(FA278-INDEX('Curva Forward'!$C$5:$AN$13,MATCH(CONCATENATE(BD_COMERCIAL!$K278," ",BD_COMERCIAL!$L278),'Curva Forward'!$B$5:$B$13,0),MATCH(GM$4,'Curva Forward'!$C$4:$AN$4,0))),FA278))</f>
        <v>0</v>
      </c>
      <c r="GN278" s="190">
        <f>IF(FB278="",0,CN278*CN$2*IF($FC278="V",1,-1)*IF($Q278="Fixo",(FB278-INDEX('Curva Forward'!$C$5:$AN$13,MATCH(CONCATENATE(BD_COMERCIAL!$K278," ",BD_COMERCIAL!$L278),'Curva Forward'!$B$5:$B$13,0),MATCH(GN$4,'Curva Forward'!$C$4:$AN$4,0))),FB278))</f>
        <v>0</v>
      </c>
      <c r="GO278" s="191">
        <f t="shared" ca="1" si="39"/>
        <v>0</v>
      </c>
      <c r="GP278" s="191">
        <f t="shared" ca="1" si="40"/>
        <v>0</v>
      </c>
      <c r="GQ278" s="115"/>
      <c r="GR278" s="115"/>
      <c r="GS278"/>
      <c r="GT278" s="65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</row>
    <row r="279" spans="1:236" s="265" customFormat="1" ht="15" customHeight="1" x14ac:dyDescent="0.35">
      <c r="A279" s="251"/>
      <c r="B279" s="275"/>
      <c r="C279" s="253"/>
      <c r="D279" s="254"/>
      <c r="E279" s="254"/>
      <c r="F279" s="255"/>
      <c r="G279" s="256"/>
      <c r="H279" s="255"/>
      <c r="I279" s="254"/>
      <c r="J279" s="257"/>
      <c r="K279" s="256"/>
      <c r="L279" s="252"/>
      <c r="M279" s="258"/>
      <c r="N279" s="259"/>
      <c r="O279" s="256"/>
      <c r="P279" s="252"/>
      <c r="Q279" s="252"/>
      <c r="R279" s="256"/>
      <c r="S279" s="260"/>
      <c r="T279" s="258"/>
      <c r="U279" s="259"/>
      <c r="V279" s="261"/>
      <c r="W279" s="252"/>
      <c r="X279" s="262"/>
      <c r="Y279" s="257"/>
      <c r="Z279" s="263"/>
      <c r="AA279" s="264"/>
      <c r="AB279" s="266"/>
      <c r="AM279" s="251"/>
      <c r="AN279" s="266"/>
      <c r="AY279" s="251"/>
      <c r="AZ279" s="266"/>
      <c r="BK279" s="251"/>
      <c r="BL279" s="266"/>
      <c r="BW279" s="251"/>
      <c r="BX279" s="266"/>
      <c r="CI279" s="251"/>
      <c r="CJ279" s="267"/>
      <c r="CK279" s="267"/>
      <c r="CL279" s="267"/>
      <c r="CM279" s="267"/>
      <c r="CN279" s="267"/>
      <c r="CO279" s="268"/>
      <c r="CP279" s="266"/>
      <c r="DA279" s="251"/>
      <c r="DB279" s="266"/>
      <c r="DM279" s="251"/>
      <c r="DN279" s="266"/>
      <c r="DY279" s="251"/>
      <c r="DZ279" s="266"/>
      <c r="EK279" s="251"/>
      <c r="EL279" s="266"/>
      <c r="EW279" s="251"/>
      <c r="EX279" s="267"/>
      <c r="EY279" s="267"/>
      <c r="EZ279" s="267"/>
      <c r="FA279" s="267"/>
      <c r="FB279" s="269"/>
      <c r="FD279" s="270"/>
      <c r="FF279" s="276"/>
      <c r="FH279" s="206">
        <f t="shared" si="34"/>
        <v>0</v>
      </c>
      <c r="FI279" s="198">
        <f t="shared" si="35"/>
        <v>0</v>
      </c>
      <c r="FJ279"/>
      <c r="FK279">
        <f t="shared" si="36"/>
        <v>0</v>
      </c>
      <c r="FL279" s="191">
        <f t="shared" ca="1" si="37"/>
        <v>0</v>
      </c>
      <c r="FM279" s="191">
        <f t="shared" ca="1" si="38"/>
        <v>0</v>
      </c>
      <c r="FN279" s="190">
        <f>AB279*AB$2*IF($FC279="V",1,-1)*IF($Q279="Fixo",(CP279-INDEX('Curva Forward'!$C$5:$AN$13,MATCH(CONCATENATE(BD_COMERCIAL!$K279," ",BD_COMERCIAL!$L279),'Curva Forward'!$B$5:$B$13,0),MATCH(FN$4,'Curva Forward'!$C$4:$AN$4,0))),CP279)</f>
        <v>0</v>
      </c>
      <c r="FO279" s="190">
        <f>AC279*AC$2*IF($FC279="V",1,-1)*IF($Q279="Fixo",(CQ279-INDEX('Curva Forward'!$C$5:$AN$13,MATCH(CONCATENATE(BD_COMERCIAL!$K279," ",BD_COMERCIAL!$L279),'Curva Forward'!$B$5:$B$13,0),MATCH(FO$4,'Curva Forward'!$C$4:$AN$4,0))),CQ279)</f>
        <v>0</v>
      </c>
      <c r="FP279" s="190">
        <f>AD279*AD$2*IF($FC279="V",1,-1)*IF($Q279="Fixo",(CR279-INDEX('Curva Forward'!$C$5:$AN$13,MATCH(CONCATENATE(BD_COMERCIAL!$K279," ",BD_COMERCIAL!$L279),'Curva Forward'!$B$5:$B$13,0),MATCH(FP$4,'Curva Forward'!$C$4:$AN$4,0))),CR279)</f>
        <v>0</v>
      </c>
      <c r="FQ279" s="190">
        <f>AE279*AE$2*IF($FC279="V",1,-1)*IF($Q279="Fixo",(CS279-INDEX('Curva Forward'!$C$5:$AN$13,MATCH(CONCATENATE(BD_COMERCIAL!$K279," ",BD_COMERCIAL!$L279),'Curva Forward'!$B$5:$B$13,0),MATCH(FQ$4,'Curva Forward'!$C$4:$AN$4,0))),CS279)</f>
        <v>0</v>
      </c>
      <c r="FR279" s="190">
        <f>AF279*AF$2*IF($FC279="V",1,-1)*IF($Q279="Fixo",(CT279-INDEX('Curva Forward'!$C$5:$AN$13,MATCH(CONCATENATE(BD_COMERCIAL!$K279," ",BD_COMERCIAL!$L279),'Curva Forward'!$B$5:$B$13,0),MATCH(FR$4,'Curva Forward'!$C$4:$AN$4,0))),CT279)</f>
        <v>0</v>
      </c>
      <c r="FS279" s="190">
        <f>AG279*AG$2*IF($FC279="V",1,-1)*IF($Q279="Fixo",(CU279-INDEX('Curva Forward'!$C$5:$AN$13,MATCH(CONCATENATE(BD_COMERCIAL!$K279," ",BD_COMERCIAL!$L279),'Curva Forward'!$B$5:$B$13,0),MATCH(FS$4,'Curva Forward'!$C$4:$AN$4,0))),CU279)</f>
        <v>0</v>
      </c>
      <c r="FT279" s="190">
        <f>AH279*AH$2*IF($FC279="V",1,-1)*IF($Q279="Fixo",(CV279-INDEX('Curva Forward'!$C$5:$AN$13,MATCH(CONCATENATE(BD_COMERCIAL!$K279," ",BD_COMERCIAL!$L279),'Curva Forward'!$B$5:$B$13,0),MATCH(FT$4,'Curva Forward'!$C$4:$AN$4,0))),CV279)</f>
        <v>0</v>
      </c>
      <c r="FU279" s="190">
        <f>AI279*AI$2*IF($FC279="V",1,-1)*IF($Q279="Fixo",(CW279-INDEX('Curva Forward'!$C$5:$AN$13,MATCH(CONCATENATE(BD_COMERCIAL!$K279," ",BD_COMERCIAL!$L279),'Curva Forward'!$B$5:$B$13,0),MATCH(FU$4,'Curva Forward'!$C$4:$AN$4,0))),CW279)</f>
        <v>0</v>
      </c>
      <c r="FV279" s="190">
        <f>AJ279*AJ$2*IF($FC279="V",1,-1)*IF($Q279="Fixo",(CX279-INDEX('Curva Forward'!$C$5:$AN$13,MATCH(CONCATENATE(BD_COMERCIAL!$K279," ",BD_COMERCIAL!$L279),'Curva Forward'!$B$5:$B$13,0),MATCH(FV$4,'Curva Forward'!$C$4:$AN$4,0))),CX279)</f>
        <v>0</v>
      </c>
      <c r="FW279" s="190">
        <f>AK279*AK$2*IF($FC279="V",1,-1)*IF($Q279="Fixo",(CY279-INDEX('Curva Forward'!$C$5:$AN$13,MATCH(CONCATENATE(BD_COMERCIAL!$K279," ",BD_COMERCIAL!$L279),'Curva Forward'!$B$5:$B$13,0),MATCH(FW$4,'Curva Forward'!$C$4:$AN$4,0))),CY279)</f>
        <v>0</v>
      </c>
      <c r="FX279" s="190">
        <f>AL279*AL$2*IF($FC279="V",1,-1)*IF($Q279="Fixo",(CZ279-INDEX('Curva Forward'!$C$5:$AN$13,MATCH(CONCATENATE(BD_COMERCIAL!$K279," ",BD_COMERCIAL!$L279),'Curva Forward'!$B$5:$B$13,0),MATCH(FX$4,'Curva Forward'!$C$4:$AN$4,0))),CZ279)</f>
        <v>0</v>
      </c>
      <c r="FY279" s="190">
        <f>AM279*AM$2*IF($FC279="V",1,-1)*IF($Q279="Fixo",(DA279-INDEX('Curva Forward'!$C$5:$AN$13,MATCH(CONCATENATE(BD_COMERCIAL!$K279," ",BD_COMERCIAL!$L279),'Curva Forward'!$B$5:$B$13,0),MATCH(FY$4,'Curva Forward'!$C$4:$AN$4,0))),DA279)</f>
        <v>0</v>
      </c>
      <c r="FZ279" s="190">
        <f>AN279*AN$2*IF($FC279="V",1,-1)*IF($Q279="Fixo",(DB279-INDEX('Curva Forward'!$C$5:$AN$13,MATCH(CONCATENATE(BD_COMERCIAL!$K279," ",BD_COMERCIAL!$L279),'Curva Forward'!$B$5:$B$13,0),MATCH(FZ$4,'Curva Forward'!$C$4:$AN$4,0))),DB279)</f>
        <v>0</v>
      </c>
      <c r="GA279" s="190">
        <f>AO279*AO$2*IF($FC279="V",1,-1)*IF($Q279="Fixo",(DC279-INDEX('Curva Forward'!$C$5:$AN$13,MATCH(CONCATENATE(BD_COMERCIAL!$K279," ",BD_COMERCIAL!$L279),'Curva Forward'!$B$5:$B$13,0),MATCH(GA$4,'Curva Forward'!$C$4:$AN$4,0))),DC279)</f>
        <v>0</v>
      </c>
      <c r="GB279" s="190">
        <f>AP279*AP$2*IF($FC279="V",1,-1)*IF($Q279="Fixo",(DD279-INDEX('Curva Forward'!$C$5:$AN$13,MATCH(CONCATENATE(BD_COMERCIAL!$K279," ",BD_COMERCIAL!$L279),'Curva Forward'!$B$5:$B$13,0),MATCH(GB$4,'Curva Forward'!$C$4:$AN$4,0))),DD279)</f>
        <v>0</v>
      </c>
      <c r="GC279" s="190">
        <f>AQ279*AQ$2*IF($FC279="V",1,-1)*IF($Q279="Fixo",(DE279-INDEX('Curva Forward'!$C$5:$AN$13,MATCH(CONCATENATE(BD_COMERCIAL!$K279," ",BD_COMERCIAL!$L279),'Curva Forward'!$B$5:$B$13,0),MATCH(GC$4,'Curva Forward'!$C$4:$AN$4,0))),DE279)</f>
        <v>0</v>
      </c>
      <c r="GD279" s="190">
        <f>AR279*AR$2*IF($FC279="V",1,-1)*IF($Q279="Fixo",(DF279-INDEX('Curva Forward'!$C$5:$AN$13,MATCH(CONCATENATE(BD_COMERCIAL!$K279," ",BD_COMERCIAL!$L279),'Curva Forward'!$B$5:$B$13,0),MATCH(GD$4,'Curva Forward'!$C$4:$AN$4,0))),DF279)</f>
        <v>0</v>
      </c>
      <c r="GE279" s="190">
        <f>AS279*AS$2*IF($FC279="V",1,-1)*IF($Q279="Fixo",(DG279-INDEX('Curva Forward'!$C$5:$AN$13,MATCH(CONCATENATE(BD_COMERCIAL!$K279," ",BD_COMERCIAL!$L279),'Curva Forward'!$B$5:$B$13,0),MATCH(GE$4,'Curva Forward'!$C$4:$AN$4,0))),DG279)</f>
        <v>0</v>
      </c>
      <c r="GF279" s="190">
        <f>AT279*AT$2*IF($FC279="V",1,-1)*IF($Q279="Fixo",(DH279-INDEX('Curva Forward'!$C$5:$AN$13,MATCH(CONCATENATE(BD_COMERCIAL!$K279," ",BD_COMERCIAL!$L279),'Curva Forward'!$B$5:$B$13,0),MATCH(GF$4,'Curva Forward'!$C$4:$AN$4,0))),DH279)</f>
        <v>0</v>
      </c>
      <c r="GG279" s="190">
        <f>AU279*AU$2*IF($FC279="V",1,-1)*IF($Q279="Fixo",(DI279-INDEX('Curva Forward'!$C$5:$AN$13,MATCH(CONCATENATE(BD_COMERCIAL!$K279," ",BD_COMERCIAL!$L279),'Curva Forward'!$B$5:$B$13,0),MATCH(GG$4,'Curva Forward'!$C$4:$AN$4,0))),DI279)</f>
        <v>0</v>
      </c>
      <c r="GH279" s="190">
        <f>AV279*AV$2*IF($FC279="V",1,-1)*IF($Q279="Fixo",(DJ279-INDEX('Curva Forward'!$C$5:$AN$13,MATCH(CONCATENATE(BD_COMERCIAL!$K279," ",BD_COMERCIAL!$L279),'Curva Forward'!$B$5:$B$13,0),MATCH(GH$4,'Curva Forward'!$C$4:$AN$4,0))),DJ279)</f>
        <v>0</v>
      </c>
      <c r="GI279" s="190">
        <f>AW279*AW$2*IF($FC279="V",1,-1)*IF($Q279="Fixo",(DK279-INDEX('Curva Forward'!$C$5:$AN$13,MATCH(CONCATENATE(BD_COMERCIAL!$K279," ",BD_COMERCIAL!$L279),'Curva Forward'!$B$5:$B$13,0),MATCH(GI$4,'Curva Forward'!$C$4:$AN$4,0))),DK279)</f>
        <v>0</v>
      </c>
      <c r="GJ279" s="190">
        <f>AX279*AX$2*IF($FC279="V",1,-1)*IF($Q279="Fixo",(DL279-INDEX('Curva Forward'!$C$5:$AN$13,MATCH(CONCATENATE(BD_COMERCIAL!$K279," ",BD_COMERCIAL!$L279),'Curva Forward'!$B$5:$B$13,0),MATCH(GJ$4,'Curva Forward'!$C$4:$AN$4,0))),DL279)</f>
        <v>0</v>
      </c>
      <c r="GK279" s="190">
        <f>AY279*AY$2*IF($FC279="V",1,-1)*IF($Q279="Fixo",(DM279-INDEX('Curva Forward'!$C$5:$AN$13,MATCH(CONCATENATE(BD_COMERCIAL!$K279," ",BD_COMERCIAL!$L279),'Curva Forward'!$B$5:$B$13,0),MATCH(GK$4,'Curva Forward'!$C$4:$AN$4,0))),DM279)</f>
        <v>0</v>
      </c>
      <c r="GL279" s="190">
        <f>IF(EZ279="",0,CL279*CL$2*IF($FC279="V",1,-1)*IF($Q279="Fixo",(EZ279-INDEX('Curva Forward'!$C$5:$AN$13,MATCH(CONCATENATE(BD_COMERCIAL!$K279," ",BD_COMERCIAL!$L279),'Curva Forward'!$B$5:$B$13,0),MATCH(GL$4,'Curva Forward'!$C$4:$AN$4,0))),EZ279))</f>
        <v>0</v>
      </c>
      <c r="GM279" s="190">
        <f>IF(FA279="",0,CM279*CM$2*IF($FC279="V",1,-1)*IF($Q279="Fixo",(FA279-INDEX('Curva Forward'!$C$5:$AN$13,MATCH(CONCATENATE(BD_COMERCIAL!$K279," ",BD_COMERCIAL!$L279),'Curva Forward'!$B$5:$B$13,0),MATCH(GM$4,'Curva Forward'!$C$4:$AN$4,0))),FA279))</f>
        <v>0</v>
      </c>
      <c r="GN279" s="190">
        <f>IF(FB279="",0,CN279*CN$2*IF($FC279="V",1,-1)*IF($Q279="Fixo",(FB279-INDEX('Curva Forward'!$C$5:$AN$13,MATCH(CONCATENATE(BD_COMERCIAL!$K279," ",BD_COMERCIAL!$L279),'Curva Forward'!$B$5:$B$13,0),MATCH(GN$4,'Curva Forward'!$C$4:$AN$4,0))),FB279))</f>
        <v>0</v>
      </c>
      <c r="GO279" s="191">
        <f t="shared" ca="1" si="39"/>
        <v>0</v>
      </c>
      <c r="GP279" s="191">
        <f t="shared" ca="1" si="40"/>
        <v>0</v>
      </c>
      <c r="GQ279" s="115"/>
      <c r="GR279" s="115"/>
      <c r="GS279"/>
      <c r="GT279" s="65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</row>
    <row r="280" spans="1:236" s="265" customFormat="1" ht="15" customHeight="1" x14ac:dyDescent="0.35">
      <c r="A280" s="251"/>
      <c r="B280" s="275"/>
      <c r="C280" s="253"/>
      <c r="D280" s="254"/>
      <c r="E280" s="254"/>
      <c r="F280" s="255"/>
      <c r="G280" s="256"/>
      <c r="H280" s="255"/>
      <c r="I280" s="254"/>
      <c r="J280" s="257"/>
      <c r="K280" s="256"/>
      <c r="L280" s="252"/>
      <c r="M280" s="258"/>
      <c r="N280" s="259"/>
      <c r="O280" s="256"/>
      <c r="P280" s="252"/>
      <c r="Q280" s="252"/>
      <c r="R280" s="256"/>
      <c r="S280" s="260"/>
      <c r="T280" s="258"/>
      <c r="U280" s="259"/>
      <c r="V280" s="261"/>
      <c r="W280" s="252"/>
      <c r="X280" s="262"/>
      <c r="Y280" s="257"/>
      <c r="Z280" s="263"/>
      <c r="AA280" s="264"/>
      <c r="AB280" s="266"/>
      <c r="AM280" s="251"/>
      <c r="AN280" s="266"/>
      <c r="AY280" s="251"/>
      <c r="AZ280" s="266"/>
      <c r="BK280" s="251"/>
      <c r="BL280" s="266"/>
      <c r="BW280" s="251"/>
      <c r="BX280" s="266"/>
      <c r="CI280" s="251"/>
      <c r="CJ280" s="267"/>
      <c r="CK280" s="267"/>
      <c r="CL280" s="267"/>
      <c r="CM280" s="267"/>
      <c r="CN280" s="267"/>
      <c r="CO280" s="268"/>
      <c r="CP280" s="266"/>
      <c r="DA280" s="251"/>
      <c r="DB280" s="266"/>
      <c r="DM280" s="251"/>
      <c r="DN280" s="266"/>
      <c r="DY280" s="251"/>
      <c r="DZ280" s="266"/>
      <c r="EK280" s="251"/>
      <c r="EL280" s="266"/>
      <c r="EW280" s="251"/>
      <c r="EX280" s="267"/>
      <c r="EY280" s="267"/>
      <c r="EZ280" s="267"/>
      <c r="FA280" s="267"/>
      <c r="FB280" s="269"/>
      <c r="FD280" s="270"/>
      <c r="FF280" s="276"/>
      <c r="FH280" s="206">
        <f t="shared" si="34"/>
        <v>0</v>
      </c>
      <c r="FI280" s="198">
        <f t="shared" si="35"/>
        <v>0</v>
      </c>
      <c r="FJ280"/>
      <c r="FK280">
        <f t="shared" si="36"/>
        <v>0</v>
      </c>
      <c r="FL280" s="191">
        <f t="shared" ca="1" si="37"/>
        <v>0</v>
      </c>
      <c r="FM280" s="191">
        <f t="shared" ca="1" si="38"/>
        <v>0</v>
      </c>
      <c r="FN280" s="190">
        <f>AB280*AB$2*IF($FC280="V",1,-1)*IF($Q280="Fixo",(CP280-INDEX('Curva Forward'!$C$5:$AN$13,MATCH(CONCATENATE(BD_COMERCIAL!$K280," ",BD_COMERCIAL!$L280),'Curva Forward'!$B$5:$B$13,0),MATCH(FN$4,'Curva Forward'!$C$4:$AN$4,0))),CP280)</f>
        <v>0</v>
      </c>
      <c r="FO280" s="190">
        <f>AC280*AC$2*IF($FC280="V",1,-1)*IF($Q280="Fixo",(CQ280-INDEX('Curva Forward'!$C$5:$AN$13,MATCH(CONCATENATE(BD_COMERCIAL!$K280," ",BD_COMERCIAL!$L280),'Curva Forward'!$B$5:$B$13,0),MATCH(FO$4,'Curva Forward'!$C$4:$AN$4,0))),CQ280)</f>
        <v>0</v>
      </c>
      <c r="FP280" s="190">
        <f>AD280*AD$2*IF($FC280="V",1,-1)*IF($Q280="Fixo",(CR280-INDEX('Curva Forward'!$C$5:$AN$13,MATCH(CONCATENATE(BD_COMERCIAL!$K280," ",BD_COMERCIAL!$L280),'Curva Forward'!$B$5:$B$13,0),MATCH(FP$4,'Curva Forward'!$C$4:$AN$4,0))),CR280)</f>
        <v>0</v>
      </c>
      <c r="FQ280" s="190">
        <f>AE280*AE$2*IF($FC280="V",1,-1)*IF($Q280="Fixo",(CS280-INDEX('Curva Forward'!$C$5:$AN$13,MATCH(CONCATENATE(BD_COMERCIAL!$K280," ",BD_COMERCIAL!$L280),'Curva Forward'!$B$5:$B$13,0),MATCH(FQ$4,'Curva Forward'!$C$4:$AN$4,0))),CS280)</f>
        <v>0</v>
      </c>
      <c r="FR280" s="190">
        <f>AF280*AF$2*IF($FC280="V",1,-1)*IF($Q280="Fixo",(CT280-INDEX('Curva Forward'!$C$5:$AN$13,MATCH(CONCATENATE(BD_COMERCIAL!$K280," ",BD_COMERCIAL!$L280),'Curva Forward'!$B$5:$B$13,0),MATCH(FR$4,'Curva Forward'!$C$4:$AN$4,0))),CT280)</f>
        <v>0</v>
      </c>
      <c r="FS280" s="190">
        <f>AG280*AG$2*IF($FC280="V",1,-1)*IF($Q280="Fixo",(CU280-INDEX('Curva Forward'!$C$5:$AN$13,MATCH(CONCATENATE(BD_COMERCIAL!$K280," ",BD_COMERCIAL!$L280),'Curva Forward'!$B$5:$B$13,0),MATCH(FS$4,'Curva Forward'!$C$4:$AN$4,0))),CU280)</f>
        <v>0</v>
      </c>
      <c r="FT280" s="190">
        <f>AH280*AH$2*IF($FC280="V",1,-1)*IF($Q280="Fixo",(CV280-INDEX('Curva Forward'!$C$5:$AN$13,MATCH(CONCATENATE(BD_COMERCIAL!$K280," ",BD_COMERCIAL!$L280),'Curva Forward'!$B$5:$B$13,0),MATCH(FT$4,'Curva Forward'!$C$4:$AN$4,0))),CV280)</f>
        <v>0</v>
      </c>
      <c r="FU280" s="190">
        <f>AI280*AI$2*IF($FC280="V",1,-1)*IF($Q280="Fixo",(CW280-INDEX('Curva Forward'!$C$5:$AN$13,MATCH(CONCATENATE(BD_COMERCIAL!$K280," ",BD_COMERCIAL!$L280),'Curva Forward'!$B$5:$B$13,0),MATCH(FU$4,'Curva Forward'!$C$4:$AN$4,0))),CW280)</f>
        <v>0</v>
      </c>
      <c r="FV280" s="190">
        <f>AJ280*AJ$2*IF($FC280="V",1,-1)*IF($Q280="Fixo",(CX280-INDEX('Curva Forward'!$C$5:$AN$13,MATCH(CONCATENATE(BD_COMERCIAL!$K280," ",BD_COMERCIAL!$L280),'Curva Forward'!$B$5:$B$13,0),MATCH(FV$4,'Curva Forward'!$C$4:$AN$4,0))),CX280)</f>
        <v>0</v>
      </c>
      <c r="FW280" s="190">
        <f>AK280*AK$2*IF($FC280="V",1,-1)*IF($Q280="Fixo",(CY280-INDEX('Curva Forward'!$C$5:$AN$13,MATCH(CONCATENATE(BD_COMERCIAL!$K280," ",BD_COMERCIAL!$L280),'Curva Forward'!$B$5:$B$13,0),MATCH(FW$4,'Curva Forward'!$C$4:$AN$4,0))),CY280)</f>
        <v>0</v>
      </c>
      <c r="FX280" s="190">
        <f>AL280*AL$2*IF($FC280="V",1,-1)*IF($Q280="Fixo",(CZ280-INDEX('Curva Forward'!$C$5:$AN$13,MATCH(CONCATENATE(BD_COMERCIAL!$K280," ",BD_COMERCIAL!$L280),'Curva Forward'!$B$5:$B$13,0),MATCH(FX$4,'Curva Forward'!$C$4:$AN$4,0))),CZ280)</f>
        <v>0</v>
      </c>
      <c r="FY280" s="190">
        <f>AM280*AM$2*IF($FC280="V",1,-1)*IF($Q280="Fixo",(DA280-INDEX('Curva Forward'!$C$5:$AN$13,MATCH(CONCATENATE(BD_COMERCIAL!$K280," ",BD_COMERCIAL!$L280),'Curva Forward'!$B$5:$B$13,0),MATCH(FY$4,'Curva Forward'!$C$4:$AN$4,0))),DA280)</f>
        <v>0</v>
      </c>
      <c r="FZ280" s="190">
        <f>AN280*AN$2*IF($FC280="V",1,-1)*IF($Q280="Fixo",(DB280-INDEX('Curva Forward'!$C$5:$AN$13,MATCH(CONCATENATE(BD_COMERCIAL!$K280," ",BD_COMERCIAL!$L280),'Curva Forward'!$B$5:$B$13,0),MATCH(FZ$4,'Curva Forward'!$C$4:$AN$4,0))),DB280)</f>
        <v>0</v>
      </c>
      <c r="GA280" s="190">
        <f>AO280*AO$2*IF($FC280="V",1,-1)*IF($Q280="Fixo",(DC280-INDEX('Curva Forward'!$C$5:$AN$13,MATCH(CONCATENATE(BD_COMERCIAL!$K280," ",BD_COMERCIAL!$L280),'Curva Forward'!$B$5:$B$13,0),MATCH(GA$4,'Curva Forward'!$C$4:$AN$4,0))),DC280)</f>
        <v>0</v>
      </c>
      <c r="GB280" s="190">
        <f>AP280*AP$2*IF($FC280="V",1,-1)*IF($Q280="Fixo",(DD280-INDEX('Curva Forward'!$C$5:$AN$13,MATCH(CONCATENATE(BD_COMERCIAL!$K280," ",BD_COMERCIAL!$L280),'Curva Forward'!$B$5:$B$13,0),MATCH(GB$4,'Curva Forward'!$C$4:$AN$4,0))),DD280)</f>
        <v>0</v>
      </c>
      <c r="GC280" s="190">
        <f>AQ280*AQ$2*IF($FC280="V",1,-1)*IF($Q280="Fixo",(DE280-INDEX('Curva Forward'!$C$5:$AN$13,MATCH(CONCATENATE(BD_COMERCIAL!$K280," ",BD_COMERCIAL!$L280),'Curva Forward'!$B$5:$B$13,0),MATCH(GC$4,'Curva Forward'!$C$4:$AN$4,0))),DE280)</f>
        <v>0</v>
      </c>
      <c r="GD280" s="190">
        <f>AR280*AR$2*IF($FC280="V",1,-1)*IF($Q280="Fixo",(DF280-INDEX('Curva Forward'!$C$5:$AN$13,MATCH(CONCATENATE(BD_COMERCIAL!$K280," ",BD_COMERCIAL!$L280),'Curva Forward'!$B$5:$B$13,0),MATCH(GD$4,'Curva Forward'!$C$4:$AN$4,0))),DF280)</f>
        <v>0</v>
      </c>
      <c r="GE280" s="190">
        <f>AS280*AS$2*IF($FC280="V",1,-1)*IF($Q280="Fixo",(DG280-INDEX('Curva Forward'!$C$5:$AN$13,MATCH(CONCATENATE(BD_COMERCIAL!$K280," ",BD_COMERCIAL!$L280),'Curva Forward'!$B$5:$B$13,0),MATCH(GE$4,'Curva Forward'!$C$4:$AN$4,0))),DG280)</f>
        <v>0</v>
      </c>
      <c r="GF280" s="190">
        <f>AT280*AT$2*IF($FC280="V",1,-1)*IF($Q280="Fixo",(DH280-INDEX('Curva Forward'!$C$5:$AN$13,MATCH(CONCATENATE(BD_COMERCIAL!$K280," ",BD_COMERCIAL!$L280),'Curva Forward'!$B$5:$B$13,0),MATCH(GF$4,'Curva Forward'!$C$4:$AN$4,0))),DH280)</f>
        <v>0</v>
      </c>
      <c r="GG280" s="190">
        <f>AU280*AU$2*IF($FC280="V",1,-1)*IF($Q280="Fixo",(DI280-INDEX('Curva Forward'!$C$5:$AN$13,MATCH(CONCATENATE(BD_COMERCIAL!$K280," ",BD_COMERCIAL!$L280),'Curva Forward'!$B$5:$B$13,0),MATCH(GG$4,'Curva Forward'!$C$4:$AN$4,0))),DI280)</f>
        <v>0</v>
      </c>
      <c r="GH280" s="190">
        <f>AV280*AV$2*IF($FC280="V",1,-1)*IF($Q280="Fixo",(DJ280-INDEX('Curva Forward'!$C$5:$AN$13,MATCH(CONCATENATE(BD_COMERCIAL!$K280," ",BD_COMERCIAL!$L280),'Curva Forward'!$B$5:$B$13,0),MATCH(GH$4,'Curva Forward'!$C$4:$AN$4,0))),DJ280)</f>
        <v>0</v>
      </c>
      <c r="GI280" s="190">
        <f>AW280*AW$2*IF($FC280="V",1,-1)*IF($Q280="Fixo",(DK280-INDEX('Curva Forward'!$C$5:$AN$13,MATCH(CONCATENATE(BD_COMERCIAL!$K280," ",BD_COMERCIAL!$L280),'Curva Forward'!$B$5:$B$13,0),MATCH(GI$4,'Curva Forward'!$C$4:$AN$4,0))),DK280)</f>
        <v>0</v>
      </c>
      <c r="GJ280" s="190">
        <f>AX280*AX$2*IF($FC280="V",1,-1)*IF($Q280="Fixo",(DL280-INDEX('Curva Forward'!$C$5:$AN$13,MATCH(CONCATENATE(BD_COMERCIAL!$K280," ",BD_COMERCIAL!$L280),'Curva Forward'!$B$5:$B$13,0),MATCH(GJ$4,'Curva Forward'!$C$4:$AN$4,0))),DL280)</f>
        <v>0</v>
      </c>
      <c r="GK280" s="190">
        <f>AY280*AY$2*IF($FC280="V",1,-1)*IF($Q280="Fixo",(DM280-INDEX('Curva Forward'!$C$5:$AN$13,MATCH(CONCATENATE(BD_COMERCIAL!$K280," ",BD_COMERCIAL!$L280),'Curva Forward'!$B$5:$B$13,0),MATCH(GK$4,'Curva Forward'!$C$4:$AN$4,0))),DM280)</f>
        <v>0</v>
      </c>
      <c r="GL280" s="190">
        <f>IF(EZ280="",0,CL280*CL$2*IF($FC280="V",1,-1)*IF($Q280="Fixo",(EZ280-INDEX('Curva Forward'!$C$5:$AN$13,MATCH(CONCATENATE(BD_COMERCIAL!$K280," ",BD_COMERCIAL!$L280),'Curva Forward'!$B$5:$B$13,0),MATCH(GL$4,'Curva Forward'!$C$4:$AN$4,0))),EZ280))</f>
        <v>0</v>
      </c>
      <c r="GM280" s="190">
        <f>IF(FA280="",0,CM280*CM$2*IF($FC280="V",1,-1)*IF($Q280="Fixo",(FA280-INDEX('Curva Forward'!$C$5:$AN$13,MATCH(CONCATENATE(BD_COMERCIAL!$K280," ",BD_COMERCIAL!$L280),'Curva Forward'!$B$5:$B$13,0),MATCH(GM$4,'Curva Forward'!$C$4:$AN$4,0))),FA280))</f>
        <v>0</v>
      </c>
      <c r="GN280" s="190">
        <f>IF(FB280="",0,CN280*CN$2*IF($FC280="V",1,-1)*IF($Q280="Fixo",(FB280-INDEX('Curva Forward'!$C$5:$AN$13,MATCH(CONCATENATE(BD_COMERCIAL!$K280," ",BD_COMERCIAL!$L280),'Curva Forward'!$B$5:$B$13,0),MATCH(GN$4,'Curva Forward'!$C$4:$AN$4,0))),FB280))</f>
        <v>0</v>
      </c>
      <c r="GO280" s="191">
        <f t="shared" ca="1" si="39"/>
        <v>0</v>
      </c>
      <c r="GP280" s="191">
        <f t="shared" ca="1" si="40"/>
        <v>0</v>
      </c>
      <c r="GQ280" s="115"/>
      <c r="GR280" s="115"/>
      <c r="GS280"/>
      <c r="GT280" s="65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</row>
    <row r="281" spans="1:236" s="265" customFormat="1" ht="15" customHeight="1" x14ac:dyDescent="0.35">
      <c r="A281" s="251"/>
      <c r="B281" s="275"/>
      <c r="C281" s="253"/>
      <c r="D281" s="254"/>
      <c r="E281" s="254"/>
      <c r="F281" s="255"/>
      <c r="G281" s="256"/>
      <c r="H281" s="255"/>
      <c r="I281" s="254"/>
      <c r="J281" s="257"/>
      <c r="K281" s="256"/>
      <c r="L281" s="252"/>
      <c r="M281" s="258"/>
      <c r="N281" s="259"/>
      <c r="O281" s="256"/>
      <c r="P281" s="252"/>
      <c r="Q281" s="252"/>
      <c r="R281" s="256"/>
      <c r="S281" s="260"/>
      <c r="T281" s="258"/>
      <c r="U281" s="259"/>
      <c r="V281" s="261"/>
      <c r="W281" s="252"/>
      <c r="X281" s="262"/>
      <c r="Y281" s="257"/>
      <c r="Z281" s="263"/>
      <c r="AA281" s="264"/>
      <c r="AB281" s="266"/>
      <c r="AM281" s="251"/>
      <c r="AN281" s="266"/>
      <c r="AY281" s="251"/>
      <c r="AZ281" s="266"/>
      <c r="BK281" s="251"/>
      <c r="BL281" s="266"/>
      <c r="BW281" s="251"/>
      <c r="BX281" s="266"/>
      <c r="CI281" s="251"/>
      <c r="CJ281" s="267"/>
      <c r="CK281" s="267"/>
      <c r="CL281" s="267"/>
      <c r="CM281" s="267"/>
      <c r="CN281" s="267"/>
      <c r="CO281" s="268"/>
      <c r="CP281" s="266"/>
      <c r="DA281" s="251"/>
      <c r="DB281" s="266"/>
      <c r="DM281" s="251"/>
      <c r="DN281" s="266"/>
      <c r="DY281" s="251"/>
      <c r="DZ281" s="266"/>
      <c r="EK281" s="251"/>
      <c r="EL281" s="266"/>
      <c r="EW281" s="251"/>
      <c r="EX281" s="267"/>
      <c r="EY281" s="267"/>
      <c r="EZ281" s="267"/>
      <c r="FA281" s="267"/>
      <c r="FB281" s="269"/>
      <c r="FD281" s="270"/>
      <c r="FF281" s="276"/>
      <c r="FH281" s="206">
        <f t="shared" si="34"/>
        <v>0</v>
      </c>
      <c r="FI281" s="198">
        <f t="shared" si="35"/>
        <v>0</v>
      </c>
      <c r="FJ281"/>
      <c r="FK281">
        <f t="shared" si="36"/>
        <v>0</v>
      </c>
      <c r="FL281" s="191">
        <f t="shared" ca="1" si="37"/>
        <v>0</v>
      </c>
      <c r="FM281" s="191">
        <f t="shared" ca="1" si="38"/>
        <v>0</v>
      </c>
      <c r="FN281" s="190">
        <f>AB281*AB$2*IF($FC281="V",1,-1)*IF($Q281="Fixo",(CP281-INDEX('Curva Forward'!$C$5:$AN$13,MATCH(CONCATENATE(BD_COMERCIAL!$K281," ",BD_COMERCIAL!$L281),'Curva Forward'!$B$5:$B$13,0),MATCH(FN$4,'Curva Forward'!$C$4:$AN$4,0))),CP281)</f>
        <v>0</v>
      </c>
      <c r="FO281" s="190">
        <f>AC281*AC$2*IF($FC281="V",1,-1)*IF($Q281="Fixo",(CQ281-INDEX('Curva Forward'!$C$5:$AN$13,MATCH(CONCATENATE(BD_COMERCIAL!$K281," ",BD_COMERCIAL!$L281),'Curva Forward'!$B$5:$B$13,0),MATCH(FO$4,'Curva Forward'!$C$4:$AN$4,0))),CQ281)</f>
        <v>0</v>
      </c>
      <c r="FP281" s="190">
        <f>AD281*AD$2*IF($FC281="V",1,-1)*IF($Q281="Fixo",(CR281-INDEX('Curva Forward'!$C$5:$AN$13,MATCH(CONCATENATE(BD_COMERCIAL!$K281," ",BD_COMERCIAL!$L281),'Curva Forward'!$B$5:$B$13,0),MATCH(FP$4,'Curva Forward'!$C$4:$AN$4,0))),CR281)</f>
        <v>0</v>
      </c>
      <c r="FQ281" s="190">
        <f>AE281*AE$2*IF($FC281="V",1,-1)*IF($Q281="Fixo",(CS281-INDEX('Curva Forward'!$C$5:$AN$13,MATCH(CONCATENATE(BD_COMERCIAL!$K281," ",BD_COMERCIAL!$L281),'Curva Forward'!$B$5:$B$13,0),MATCH(FQ$4,'Curva Forward'!$C$4:$AN$4,0))),CS281)</f>
        <v>0</v>
      </c>
      <c r="FR281" s="190">
        <f>AF281*AF$2*IF($FC281="V",1,-1)*IF($Q281="Fixo",(CT281-INDEX('Curva Forward'!$C$5:$AN$13,MATCH(CONCATENATE(BD_COMERCIAL!$K281," ",BD_COMERCIAL!$L281),'Curva Forward'!$B$5:$B$13,0),MATCH(FR$4,'Curva Forward'!$C$4:$AN$4,0))),CT281)</f>
        <v>0</v>
      </c>
      <c r="FS281" s="190">
        <f>AG281*AG$2*IF($FC281="V",1,-1)*IF($Q281="Fixo",(CU281-INDEX('Curva Forward'!$C$5:$AN$13,MATCH(CONCATENATE(BD_COMERCIAL!$K281," ",BD_COMERCIAL!$L281),'Curva Forward'!$B$5:$B$13,0),MATCH(FS$4,'Curva Forward'!$C$4:$AN$4,0))),CU281)</f>
        <v>0</v>
      </c>
      <c r="FT281" s="190">
        <f>AH281*AH$2*IF($FC281="V",1,-1)*IF($Q281="Fixo",(CV281-INDEX('Curva Forward'!$C$5:$AN$13,MATCH(CONCATENATE(BD_COMERCIAL!$K281," ",BD_COMERCIAL!$L281),'Curva Forward'!$B$5:$B$13,0),MATCH(FT$4,'Curva Forward'!$C$4:$AN$4,0))),CV281)</f>
        <v>0</v>
      </c>
      <c r="FU281" s="190">
        <f>AI281*AI$2*IF($FC281="V",1,-1)*IF($Q281="Fixo",(CW281-INDEX('Curva Forward'!$C$5:$AN$13,MATCH(CONCATENATE(BD_COMERCIAL!$K281," ",BD_COMERCIAL!$L281),'Curva Forward'!$B$5:$B$13,0),MATCH(FU$4,'Curva Forward'!$C$4:$AN$4,0))),CW281)</f>
        <v>0</v>
      </c>
      <c r="FV281" s="190">
        <f>AJ281*AJ$2*IF($FC281="V",1,-1)*IF($Q281="Fixo",(CX281-INDEX('Curva Forward'!$C$5:$AN$13,MATCH(CONCATENATE(BD_COMERCIAL!$K281," ",BD_COMERCIAL!$L281),'Curva Forward'!$B$5:$B$13,0),MATCH(FV$4,'Curva Forward'!$C$4:$AN$4,0))),CX281)</f>
        <v>0</v>
      </c>
      <c r="FW281" s="190">
        <f>AK281*AK$2*IF($FC281="V",1,-1)*IF($Q281="Fixo",(CY281-INDEX('Curva Forward'!$C$5:$AN$13,MATCH(CONCATENATE(BD_COMERCIAL!$K281," ",BD_COMERCIAL!$L281),'Curva Forward'!$B$5:$B$13,0),MATCH(FW$4,'Curva Forward'!$C$4:$AN$4,0))),CY281)</f>
        <v>0</v>
      </c>
      <c r="FX281" s="190">
        <f>AL281*AL$2*IF($FC281="V",1,-1)*IF($Q281="Fixo",(CZ281-INDEX('Curva Forward'!$C$5:$AN$13,MATCH(CONCATENATE(BD_COMERCIAL!$K281," ",BD_COMERCIAL!$L281),'Curva Forward'!$B$5:$B$13,0),MATCH(FX$4,'Curva Forward'!$C$4:$AN$4,0))),CZ281)</f>
        <v>0</v>
      </c>
      <c r="FY281" s="190">
        <f>AM281*AM$2*IF($FC281="V",1,-1)*IF($Q281="Fixo",(DA281-INDEX('Curva Forward'!$C$5:$AN$13,MATCH(CONCATENATE(BD_COMERCIAL!$K281," ",BD_COMERCIAL!$L281),'Curva Forward'!$B$5:$B$13,0),MATCH(FY$4,'Curva Forward'!$C$4:$AN$4,0))),DA281)</f>
        <v>0</v>
      </c>
      <c r="FZ281" s="190">
        <f>AN281*AN$2*IF($FC281="V",1,-1)*IF($Q281="Fixo",(DB281-INDEX('Curva Forward'!$C$5:$AN$13,MATCH(CONCATENATE(BD_COMERCIAL!$K281," ",BD_COMERCIAL!$L281),'Curva Forward'!$B$5:$B$13,0),MATCH(FZ$4,'Curva Forward'!$C$4:$AN$4,0))),DB281)</f>
        <v>0</v>
      </c>
      <c r="GA281" s="190">
        <f>AO281*AO$2*IF($FC281="V",1,-1)*IF($Q281="Fixo",(DC281-INDEX('Curva Forward'!$C$5:$AN$13,MATCH(CONCATENATE(BD_COMERCIAL!$K281," ",BD_COMERCIAL!$L281),'Curva Forward'!$B$5:$B$13,0),MATCH(GA$4,'Curva Forward'!$C$4:$AN$4,0))),DC281)</f>
        <v>0</v>
      </c>
      <c r="GB281" s="190">
        <f>AP281*AP$2*IF($FC281="V",1,-1)*IF($Q281="Fixo",(DD281-INDEX('Curva Forward'!$C$5:$AN$13,MATCH(CONCATENATE(BD_COMERCIAL!$K281," ",BD_COMERCIAL!$L281),'Curva Forward'!$B$5:$B$13,0),MATCH(GB$4,'Curva Forward'!$C$4:$AN$4,0))),DD281)</f>
        <v>0</v>
      </c>
      <c r="GC281" s="190">
        <f>AQ281*AQ$2*IF($FC281="V",1,-1)*IF($Q281="Fixo",(DE281-INDEX('Curva Forward'!$C$5:$AN$13,MATCH(CONCATENATE(BD_COMERCIAL!$K281," ",BD_COMERCIAL!$L281),'Curva Forward'!$B$5:$B$13,0),MATCH(GC$4,'Curva Forward'!$C$4:$AN$4,0))),DE281)</f>
        <v>0</v>
      </c>
      <c r="GD281" s="190">
        <f>AR281*AR$2*IF($FC281="V",1,-1)*IF($Q281="Fixo",(DF281-INDEX('Curva Forward'!$C$5:$AN$13,MATCH(CONCATENATE(BD_COMERCIAL!$K281," ",BD_COMERCIAL!$L281),'Curva Forward'!$B$5:$B$13,0),MATCH(GD$4,'Curva Forward'!$C$4:$AN$4,0))),DF281)</f>
        <v>0</v>
      </c>
      <c r="GE281" s="190">
        <f>AS281*AS$2*IF($FC281="V",1,-1)*IF($Q281="Fixo",(DG281-INDEX('Curva Forward'!$C$5:$AN$13,MATCH(CONCATENATE(BD_COMERCIAL!$K281," ",BD_COMERCIAL!$L281),'Curva Forward'!$B$5:$B$13,0),MATCH(GE$4,'Curva Forward'!$C$4:$AN$4,0))),DG281)</f>
        <v>0</v>
      </c>
      <c r="GF281" s="190">
        <f>AT281*AT$2*IF($FC281="V",1,-1)*IF($Q281="Fixo",(DH281-INDEX('Curva Forward'!$C$5:$AN$13,MATCH(CONCATENATE(BD_COMERCIAL!$K281," ",BD_COMERCIAL!$L281),'Curva Forward'!$B$5:$B$13,0),MATCH(GF$4,'Curva Forward'!$C$4:$AN$4,0))),DH281)</f>
        <v>0</v>
      </c>
      <c r="GG281" s="190">
        <f>AU281*AU$2*IF($FC281="V",1,-1)*IF($Q281="Fixo",(DI281-INDEX('Curva Forward'!$C$5:$AN$13,MATCH(CONCATENATE(BD_COMERCIAL!$K281," ",BD_COMERCIAL!$L281),'Curva Forward'!$B$5:$B$13,0),MATCH(GG$4,'Curva Forward'!$C$4:$AN$4,0))),DI281)</f>
        <v>0</v>
      </c>
      <c r="GH281" s="190">
        <f>AV281*AV$2*IF($FC281="V",1,-1)*IF($Q281="Fixo",(DJ281-INDEX('Curva Forward'!$C$5:$AN$13,MATCH(CONCATENATE(BD_COMERCIAL!$K281," ",BD_COMERCIAL!$L281),'Curva Forward'!$B$5:$B$13,0),MATCH(GH$4,'Curva Forward'!$C$4:$AN$4,0))),DJ281)</f>
        <v>0</v>
      </c>
      <c r="GI281" s="190">
        <f>AW281*AW$2*IF($FC281="V",1,-1)*IF($Q281="Fixo",(DK281-INDEX('Curva Forward'!$C$5:$AN$13,MATCH(CONCATENATE(BD_COMERCIAL!$K281," ",BD_COMERCIAL!$L281),'Curva Forward'!$B$5:$B$13,0),MATCH(GI$4,'Curva Forward'!$C$4:$AN$4,0))),DK281)</f>
        <v>0</v>
      </c>
      <c r="GJ281" s="190">
        <f>AX281*AX$2*IF($FC281="V",1,-1)*IF($Q281="Fixo",(DL281-INDEX('Curva Forward'!$C$5:$AN$13,MATCH(CONCATENATE(BD_COMERCIAL!$K281," ",BD_COMERCIAL!$L281),'Curva Forward'!$B$5:$B$13,0),MATCH(GJ$4,'Curva Forward'!$C$4:$AN$4,0))),DL281)</f>
        <v>0</v>
      </c>
      <c r="GK281" s="190">
        <f>AY281*AY$2*IF($FC281="V",1,-1)*IF($Q281="Fixo",(DM281-INDEX('Curva Forward'!$C$5:$AN$13,MATCH(CONCATENATE(BD_COMERCIAL!$K281," ",BD_COMERCIAL!$L281),'Curva Forward'!$B$5:$B$13,0),MATCH(GK$4,'Curva Forward'!$C$4:$AN$4,0))),DM281)</f>
        <v>0</v>
      </c>
      <c r="GL281" s="190">
        <f>IF(EZ281="",0,CL281*CL$2*IF($FC281="V",1,-1)*IF($Q281="Fixo",(EZ281-INDEX('Curva Forward'!$C$5:$AN$13,MATCH(CONCATENATE(BD_COMERCIAL!$K281," ",BD_COMERCIAL!$L281),'Curva Forward'!$B$5:$B$13,0),MATCH(GL$4,'Curva Forward'!$C$4:$AN$4,0))),EZ281))</f>
        <v>0</v>
      </c>
      <c r="GM281" s="190">
        <f>IF(FA281="",0,CM281*CM$2*IF($FC281="V",1,-1)*IF($Q281="Fixo",(FA281-INDEX('Curva Forward'!$C$5:$AN$13,MATCH(CONCATENATE(BD_COMERCIAL!$K281," ",BD_COMERCIAL!$L281),'Curva Forward'!$B$5:$B$13,0),MATCH(GM$4,'Curva Forward'!$C$4:$AN$4,0))),FA281))</f>
        <v>0</v>
      </c>
      <c r="GN281" s="190">
        <f>IF(FB281="",0,CN281*CN$2*IF($FC281="V",1,-1)*IF($Q281="Fixo",(FB281-INDEX('Curva Forward'!$C$5:$AN$13,MATCH(CONCATENATE(BD_COMERCIAL!$K281," ",BD_COMERCIAL!$L281),'Curva Forward'!$B$5:$B$13,0),MATCH(GN$4,'Curva Forward'!$C$4:$AN$4,0))),FB281))</f>
        <v>0</v>
      </c>
      <c r="GO281" s="191">
        <f t="shared" ca="1" si="39"/>
        <v>0</v>
      </c>
      <c r="GP281" s="191">
        <f t="shared" ca="1" si="40"/>
        <v>0</v>
      </c>
      <c r="GQ281" s="115"/>
      <c r="GR281" s="115"/>
      <c r="GS281"/>
      <c r="GT281" s="65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</row>
    <row r="282" spans="1:236" s="265" customFormat="1" ht="15" customHeight="1" x14ac:dyDescent="0.35">
      <c r="A282" s="251"/>
      <c r="B282" s="275"/>
      <c r="C282" s="253"/>
      <c r="D282" s="254"/>
      <c r="E282" s="254"/>
      <c r="F282" s="255"/>
      <c r="G282" s="256"/>
      <c r="H282" s="255"/>
      <c r="I282" s="254"/>
      <c r="J282" s="257"/>
      <c r="K282" s="256"/>
      <c r="L282" s="252"/>
      <c r="M282" s="258"/>
      <c r="N282" s="259"/>
      <c r="O282" s="256"/>
      <c r="P282" s="252"/>
      <c r="Q282" s="252"/>
      <c r="R282" s="256"/>
      <c r="S282" s="260"/>
      <c r="T282" s="258"/>
      <c r="U282" s="259"/>
      <c r="V282" s="261"/>
      <c r="W282" s="252"/>
      <c r="X282" s="262"/>
      <c r="Y282" s="257"/>
      <c r="Z282" s="263"/>
      <c r="AA282" s="264"/>
      <c r="AB282" s="266"/>
      <c r="AM282" s="251"/>
      <c r="AN282" s="266"/>
      <c r="AY282" s="251"/>
      <c r="AZ282" s="266"/>
      <c r="BK282" s="251"/>
      <c r="BL282" s="266"/>
      <c r="BW282" s="251"/>
      <c r="BX282" s="266"/>
      <c r="CI282" s="251"/>
      <c r="CJ282" s="267"/>
      <c r="CK282" s="267"/>
      <c r="CL282" s="267"/>
      <c r="CM282" s="267"/>
      <c r="CN282" s="267"/>
      <c r="CO282" s="268"/>
      <c r="CP282" s="266"/>
      <c r="DA282" s="251"/>
      <c r="DB282" s="266"/>
      <c r="DM282" s="251"/>
      <c r="DN282" s="266"/>
      <c r="DY282" s="251"/>
      <c r="DZ282" s="266"/>
      <c r="EK282" s="251"/>
      <c r="EL282" s="266"/>
      <c r="EW282" s="251"/>
      <c r="EX282" s="267"/>
      <c r="EY282" s="267"/>
      <c r="EZ282" s="267"/>
      <c r="FA282" s="267"/>
      <c r="FB282" s="269"/>
      <c r="FD282" s="270"/>
      <c r="FF282" s="276"/>
      <c r="FH282" s="206">
        <f t="shared" si="34"/>
        <v>0</v>
      </c>
      <c r="FI282" s="198">
        <f t="shared" si="35"/>
        <v>0</v>
      </c>
      <c r="FJ282"/>
      <c r="FK282">
        <f t="shared" si="36"/>
        <v>0</v>
      </c>
      <c r="FL282" s="191">
        <f t="shared" ca="1" si="37"/>
        <v>0</v>
      </c>
      <c r="FM282" s="191">
        <f t="shared" ca="1" si="38"/>
        <v>0</v>
      </c>
      <c r="FN282" s="190">
        <f>AB282*AB$2*IF($FC282="V",1,-1)*IF($Q282="Fixo",(CP282-INDEX('Curva Forward'!$C$5:$AN$13,MATCH(CONCATENATE(BD_COMERCIAL!$K282," ",BD_COMERCIAL!$L282),'Curva Forward'!$B$5:$B$13,0),MATCH(FN$4,'Curva Forward'!$C$4:$AN$4,0))),CP282)</f>
        <v>0</v>
      </c>
      <c r="FO282" s="190">
        <f>AC282*AC$2*IF($FC282="V",1,-1)*IF($Q282="Fixo",(CQ282-INDEX('Curva Forward'!$C$5:$AN$13,MATCH(CONCATENATE(BD_COMERCIAL!$K282," ",BD_COMERCIAL!$L282),'Curva Forward'!$B$5:$B$13,0),MATCH(FO$4,'Curva Forward'!$C$4:$AN$4,0))),CQ282)</f>
        <v>0</v>
      </c>
      <c r="FP282" s="190">
        <f>AD282*AD$2*IF($FC282="V",1,-1)*IF($Q282="Fixo",(CR282-INDEX('Curva Forward'!$C$5:$AN$13,MATCH(CONCATENATE(BD_COMERCIAL!$K282," ",BD_COMERCIAL!$L282),'Curva Forward'!$B$5:$B$13,0),MATCH(FP$4,'Curva Forward'!$C$4:$AN$4,0))),CR282)</f>
        <v>0</v>
      </c>
      <c r="FQ282" s="190">
        <f>AE282*AE$2*IF($FC282="V",1,-1)*IF($Q282="Fixo",(CS282-INDEX('Curva Forward'!$C$5:$AN$13,MATCH(CONCATENATE(BD_COMERCIAL!$K282," ",BD_COMERCIAL!$L282),'Curva Forward'!$B$5:$B$13,0),MATCH(FQ$4,'Curva Forward'!$C$4:$AN$4,0))),CS282)</f>
        <v>0</v>
      </c>
      <c r="FR282" s="190">
        <f>AF282*AF$2*IF($FC282="V",1,-1)*IF($Q282="Fixo",(CT282-INDEX('Curva Forward'!$C$5:$AN$13,MATCH(CONCATENATE(BD_COMERCIAL!$K282," ",BD_COMERCIAL!$L282),'Curva Forward'!$B$5:$B$13,0),MATCH(FR$4,'Curva Forward'!$C$4:$AN$4,0))),CT282)</f>
        <v>0</v>
      </c>
      <c r="FS282" s="190">
        <f>AG282*AG$2*IF($FC282="V",1,-1)*IF($Q282="Fixo",(CU282-INDEX('Curva Forward'!$C$5:$AN$13,MATCH(CONCATENATE(BD_COMERCIAL!$K282," ",BD_COMERCIAL!$L282),'Curva Forward'!$B$5:$B$13,0),MATCH(FS$4,'Curva Forward'!$C$4:$AN$4,0))),CU282)</f>
        <v>0</v>
      </c>
      <c r="FT282" s="190">
        <f>AH282*AH$2*IF($FC282="V",1,-1)*IF($Q282="Fixo",(CV282-INDEX('Curva Forward'!$C$5:$AN$13,MATCH(CONCATENATE(BD_COMERCIAL!$K282," ",BD_COMERCIAL!$L282),'Curva Forward'!$B$5:$B$13,0),MATCH(FT$4,'Curva Forward'!$C$4:$AN$4,0))),CV282)</f>
        <v>0</v>
      </c>
      <c r="FU282" s="190">
        <f>AI282*AI$2*IF($FC282="V",1,-1)*IF($Q282="Fixo",(CW282-INDEX('Curva Forward'!$C$5:$AN$13,MATCH(CONCATENATE(BD_COMERCIAL!$K282," ",BD_COMERCIAL!$L282),'Curva Forward'!$B$5:$B$13,0),MATCH(FU$4,'Curva Forward'!$C$4:$AN$4,0))),CW282)</f>
        <v>0</v>
      </c>
      <c r="FV282" s="190">
        <f>AJ282*AJ$2*IF($FC282="V",1,-1)*IF($Q282="Fixo",(CX282-INDEX('Curva Forward'!$C$5:$AN$13,MATCH(CONCATENATE(BD_COMERCIAL!$K282," ",BD_COMERCIAL!$L282),'Curva Forward'!$B$5:$B$13,0),MATCH(FV$4,'Curva Forward'!$C$4:$AN$4,0))),CX282)</f>
        <v>0</v>
      </c>
      <c r="FW282" s="190">
        <f>AK282*AK$2*IF($FC282="V",1,-1)*IF($Q282="Fixo",(CY282-INDEX('Curva Forward'!$C$5:$AN$13,MATCH(CONCATENATE(BD_COMERCIAL!$K282," ",BD_COMERCIAL!$L282),'Curva Forward'!$B$5:$B$13,0),MATCH(FW$4,'Curva Forward'!$C$4:$AN$4,0))),CY282)</f>
        <v>0</v>
      </c>
      <c r="FX282" s="190">
        <f>AL282*AL$2*IF($FC282="V",1,-1)*IF($Q282="Fixo",(CZ282-INDEX('Curva Forward'!$C$5:$AN$13,MATCH(CONCATENATE(BD_COMERCIAL!$K282," ",BD_COMERCIAL!$L282),'Curva Forward'!$B$5:$B$13,0),MATCH(FX$4,'Curva Forward'!$C$4:$AN$4,0))),CZ282)</f>
        <v>0</v>
      </c>
      <c r="FY282" s="190">
        <f>AM282*AM$2*IF($FC282="V",1,-1)*IF($Q282="Fixo",(DA282-INDEX('Curva Forward'!$C$5:$AN$13,MATCH(CONCATENATE(BD_COMERCIAL!$K282," ",BD_COMERCIAL!$L282),'Curva Forward'!$B$5:$B$13,0),MATCH(FY$4,'Curva Forward'!$C$4:$AN$4,0))),DA282)</f>
        <v>0</v>
      </c>
      <c r="FZ282" s="190">
        <f>AN282*AN$2*IF($FC282="V",1,-1)*IF($Q282="Fixo",(DB282-INDEX('Curva Forward'!$C$5:$AN$13,MATCH(CONCATENATE(BD_COMERCIAL!$K282," ",BD_COMERCIAL!$L282),'Curva Forward'!$B$5:$B$13,0),MATCH(FZ$4,'Curva Forward'!$C$4:$AN$4,0))),DB282)</f>
        <v>0</v>
      </c>
      <c r="GA282" s="190">
        <f>AO282*AO$2*IF($FC282="V",1,-1)*IF($Q282="Fixo",(DC282-INDEX('Curva Forward'!$C$5:$AN$13,MATCH(CONCATENATE(BD_COMERCIAL!$K282," ",BD_COMERCIAL!$L282),'Curva Forward'!$B$5:$B$13,0),MATCH(GA$4,'Curva Forward'!$C$4:$AN$4,0))),DC282)</f>
        <v>0</v>
      </c>
      <c r="GB282" s="190">
        <f>AP282*AP$2*IF($FC282="V",1,-1)*IF($Q282="Fixo",(DD282-INDEX('Curva Forward'!$C$5:$AN$13,MATCH(CONCATENATE(BD_COMERCIAL!$K282," ",BD_COMERCIAL!$L282),'Curva Forward'!$B$5:$B$13,0),MATCH(GB$4,'Curva Forward'!$C$4:$AN$4,0))),DD282)</f>
        <v>0</v>
      </c>
      <c r="GC282" s="190">
        <f>AQ282*AQ$2*IF($FC282="V",1,-1)*IF($Q282="Fixo",(DE282-INDEX('Curva Forward'!$C$5:$AN$13,MATCH(CONCATENATE(BD_COMERCIAL!$K282," ",BD_COMERCIAL!$L282),'Curva Forward'!$B$5:$B$13,0),MATCH(GC$4,'Curva Forward'!$C$4:$AN$4,0))),DE282)</f>
        <v>0</v>
      </c>
      <c r="GD282" s="190">
        <f>AR282*AR$2*IF($FC282="V",1,-1)*IF($Q282="Fixo",(DF282-INDEX('Curva Forward'!$C$5:$AN$13,MATCH(CONCATENATE(BD_COMERCIAL!$K282," ",BD_COMERCIAL!$L282),'Curva Forward'!$B$5:$B$13,0),MATCH(GD$4,'Curva Forward'!$C$4:$AN$4,0))),DF282)</f>
        <v>0</v>
      </c>
      <c r="GE282" s="190">
        <f>AS282*AS$2*IF($FC282="V",1,-1)*IF($Q282="Fixo",(DG282-INDEX('Curva Forward'!$C$5:$AN$13,MATCH(CONCATENATE(BD_COMERCIAL!$K282," ",BD_COMERCIAL!$L282),'Curva Forward'!$B$5:$B$13,0),MATCH(GE$4,'Curva Forward'!$C$4:$AN$4,0))),DG282)</f>
        <v>0</v>
      </c>
      <c r="GF282" s="190">
        <f>AT282*AT$2*IF($FC282="V",1,-1)*IF($Q282="Fixo",(DH282-INDEX('Curva Forward'!$C$5:$AN$13,MATCH(CONCATENATE(BD_COMERCIAL!$K282," ",BD_COMERCIAL!$L282),'Curva Forward'!$B$5:$B$13,0),MATCH(GF$4,'Curva Forward'!$C$4:$AN$4,0))),DH282)</f>
        <v>0</v>
      </c>
      <c r="GG282" s="190">
        <f>AU282*AU$2*IF($FC282="V",1,-1)*IF($Q282="Fixo",(DI282-INDEX('Curva Forward'!$C$5:$AN$13,MATCH(CONCATENATE(BD_COMERCIAL!$K282," ",BD_COMERCIAL!$L282),'Curva Forward'!$B$5:$B$13,0),MATCH(GG$4,'Curva Forward'!$C$4:$AN$4,0))),DI282)</f>
        <v>0</v>
      </c>
      <c r="GH282" s="190">
        <f>AV282*AV$2*IF($FC282="V",1,-1)*IF($Q282="Fixo",(DJ282-INDEX('Curva Forward'!$C$5:$AN$13,MATCH(CONCATENATE(BD_COMERCIAL!$K282," ",BD_COMERCIAL!$L282),'Curva Forward'!$B$5:$B$13,0),MATCH(GH$4,'Curva Forward'!$C$4:$AN$4,0))),DJ282)</f>
        <v>0</v>
      </c>
      <c r="GI282" s="190">
        <f>AW282*AW$2*IF($FC282="V",1,-1)*IF($Q282="Fixo",(DK282-INDEX('Curva Forward'!$C$5:$AN$13,MATCH(CONCATENATE(BD_COMERCIAL!$K282," ",BD_COMERCIAL!$L282),'Curva Forward'!$B$5:$B$13,0),MATCH(GI$4,'Curva Forward'!$C$4:$AN$4,0))),DK282)</f>
        <v>0</v>
      </c>
      <c r="GJ282" s="190">
        <f>AX282*AX$2*IF($FC282="V",1,-1)*IF($Q282="Fixo",(DL282-INDEX('Curva Forward'!$C$5:$AN$13,MATCH(CONCATENATE(BD_COMERCIAL!$K282," ",BD_COMERCIAL!$L282),'Curva Forward'!$B$5:$B$13,0),MATCH(GJ$4,'Curva Forward'!$C$4:$AN$4,0))),DL282)</f>
        <v>0</v>
      </c>
      <c r="GK282" s="190">
        <f>AY282*AY$2*IF($FC282="V",1,-1)*IF($Q282="Fixo",(DM282-INDEX('Curva Forward'!$C$5:$AN$13,MATCH(CONCATENATE(BD_COMERCIAL!$K282," ",BD_COMERCIAL!$L282),'Curva Forward'!$B$5:$B$13,0),MATCH(GK$4,'Curva Forward'!$C$4:$AN$4,0))),DM282)</f>
        <v>0</v>
      </c>
      <c r="GL282" s="190">
        <f>IF(EZ282="",0,CL282*CL$2*IF($FC282="V",1,-1)*IF($Q282="Fixo",(EZ282-INDEX('Curva Forward'!$C$5:$AN$13,MATCH(CONCATENATE(BD_COMERCIAL!$K282," ",BD_COMERCIAL!$L282),'Curva Forward'!$B$5:$B$13,0),MATCH(GL$4,'Curva Forward'!$C$4:$AN$4,0))),EZ282))</f>
        <v>0</v>
      </c>
      <c r="GM282" s="190">
        <f>IF(FA282="",0,CM282*CM$2*IF($FC282="V",1,-1)*IF($Q282="Fixo",(FA282-INDEX('Curva Forward'!$C$5:$AN$13,MATCH(CONCATENATE(BD_COMERCIAL!$K282," ",BD_COMERCIAL!$L282),'Curva Forward'!$B$5:$B$13,0),MATCH(GM$4,'Curva Forward'!$C$4:$AN$4,0))),FA282))</f>
        <v>0</v>
      </c>
      <c r="GN282" s="190">
        <f>IF(FB282="",0,CN282*CN$2*IF($FC282="V",1,-1)*IF($Q282="Fixo",(FB282-INDEX('Curva Forward'!$C$5:$AN$13,MATCH(CONCATENATE(BD_COMERCIAL!$K282," ",BD_COMERCIAL!$L282),'Curva Forward'!$B$5:$B$13,0),MATCH(GN$4,'Curva Forward'!$C$4:$AN$4,0))),FB282))</f>
        <v>0</v>
      </c>
      <c r="GO282" s="191">
        <f t="shared" ca="1" si="39"/>
        <v>0</v>
      </c>
      <c r="GP282" s="191">
        <f t="shared" ca="1" si="40"/>
        <v>0</v>
      </c>
      <c r="GQ282" s="115"/>
      <c r="GR282" s="115"/>
      <c r="GS282"/>
      <c r="GT282" s="65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</row>
    <row r="283" spans="1:236" s="265" customFormat="1" ht="15" customHeight="1" x14ac:dyDescent="0.35">
      <c r="A283" s="251"/>
      <c r="B283" s="275"/>
      <c r="C283" s="253"/>
      <c r="D283" s="254"/>
      <c r="E283" s="254"/>
      <c r="F283" s="255"/>
      <c r="G283" s="256"/>
      <c r="H283" s="255"/>
      <c r="I283" s="254"/>
      <c r="J283" s="257"/>
      <c r="K283" s="256"/>
      <c r="L283" s="252"/>
      <c r="M283" s="258"/>
      <c r="N283" s="259"/>
      <c r="O283" s="256"/>
      <c r="P283" s="252"/>
      <c r="Q283" s="252"/>
      <c r="R283" s="256"/>
      <c r="S283" s="260"/>
      <c r="T283" s="258"/>
      <c r="U283" s="259"/>
      <c r="V283" s="261"/>
      <c r="W283" s="252"/>
      <c r="X283" s="262"/>
      <c r="Y283" s="257"/>
      <c r="Z283" s="263"/>
      <c r="AA283" s="264"/>
      <c r="AB283" s="266"/>
      <c r="AM283" s="251"/>
      <c r="AN283" s="266"/>
      <c r="AY283" s="251"/>
      <c r="AZ283" s="266"/>
      <c r="BK283" s="251"/>
      <c r="BL283" s="266"/>
      <c r="BW283" s="251"/>
      <c r="BX283" s="266"/>
      <c r="CI283" s="251"/>
      <c r="CJ283" s="267"/>
      <c r="CK283" s="267"/>
      <c r="CL283" s="267"/>
      <c r="CM283" s="267"/>
      <c r="CN283" s="267"/>
      <c r="CO283" s="268"/>
      <c r="CP283" s="266"/>
      <c r="DA283" s="251"/>
      <c r="DB283" s="266"/>
      <c r="DM283" s="251"/>
      <c r="DN283" s="266"/>
      <c r="DY283" s="251"/>
      <c r="DZ283" s="266"/>
      <c r="EK283" s="251"/>
      <c r="EL283" s="266"/>
      <c r="EW283" s="251"/>
      <c r="EX283" s="267"/>
      <c r="EY283" s="267"/>
      <c r="EZ283" s="267"/>
      <c r="FA283" s="267"/>
      <c r="FB283" s="269"/>
      <c r="FD283" s="270"/>
      <c r="FF283" s="276"/>
      <c r="FH283" s="206">
        <f t="shared" si="34"/>
        <v>0</v>
      </c>
      <c r="FI283" s="198">
        <f t="shared" si="35"/>
        <v>0</v>
      </c>
      <c r="FJ283"/>
      <c r="FK283">
        <f t="shared" si="36"/>
        <v>0</v>
      </c>
      <c r="FL283" s="191">
        <f t="shared" ca="1" si="37"/>
        <v>0</v>
      </c>
      <c r="FM283" s="191">
        <f t="shared" ca="1" si="38"/>
        <v>0</v>
      </c>
      <c r="FN283" s="190">
        <f>AB283*AB$2*IF($FC283="V",1,-1)*IF($Q283="Fixo",(CP283-INDEX('Curva Forward'!$C$5:$AN$13,MATCH(CONCATENATE(BD_COMERCIAL!$K283," ",BD_COMERCIAL!$L283),'Curva Forward'!$B$5:$B$13,0),MATCH(FN$4,'Curva Forward'!$C$4:$AN$4,0))),CP283)</f>
        <v>0</v>
      </c>
      <c r="FO283" s="190">
        <f>AC283*AC$2*IF($FC283="V",1,-1)*IF($Q283="Fixo",(CQ283-INDEX('Curva Forward'!$C$5:$AN$13,MATCH(CONCATENATE(BD_COMERCIAL!$K283," ",BD_COMERCIAL!$L283),'Curva Forward'!$B$5:$B$13,0),MATCH(FO$4,'Curva Forward'!$C$4:$AN$4,0))),CQ283)</f>
        <v>0</v>
      </c>
      <c r="FP283" s="190">
        <f>AD283*AD$2*IF($FC283="V",1,-1)*IF($Q283="Fixo",(CR283-INDEX('Curva Forward'!$C$5:$AN$13,MATCH(CONCATENATE(BD_COMERCIAL!$K283," ",BD_COMERCIAL!$L283),'Curva Forward'!$B$5:$B$13,0),MATCH(FP$4,'Curva Forward'!$C$4:$AN$4,0))),CR283)</f>
        <v>0</v>
      </c>
      <c r="FQ283" s="190">
        <f>AE283*AE$2*IF($FC283="V",1,-1)*IF($Q283="Fixo",(CS283-INDEX('Curva Forward'!$C$5:$AN$13,MATCH(CONCATENATE(BD_COMERCIAL!$K283," ",BD_COMERCIAL!$L283),'Curva Forward'!$B$5:$B$13,0),MATCH(FQ$4,'Curva Forward'!$C$4:$AN$4,0))),CS283)</f>
        <v>0</v>
      </c>
      <c r="FR283" s="190">
        <f>AF283*AF$2*IF($FC283="V",1,-1)*IF($Q283="Fixo",(CT283-INDEX('Curva Forward'!$C$5:$AN$13,MATCH(CONCATENATE(BD_COMERCIAL!$K283," ",BD_COMERCIAL!$L283),'Curva Forward'!$B$5:$B$13,0),MATCH(FR$4,'Curva Forward'!$C$4:$AN$4,0))),CT283)</f>
        <v>0</v>
      </c>
      <c r="FS283" s="190">
        <f>AG283*AG$2*IF($FC283="V",1,-1)*IF($Q283="Fixo",(CU283-INDEX('Curva Forward'!$C$5:$AN$13,MATCH(CONCATENATE(BD_COMERCIAL!$K283," ",BD_COMERCIAL!$L283),'Curva Forward'!$B$5:$B$13,0),MATCH(FS$4,'Curva Forward'!$C$4:$AN$4,0))),CU283)</f>
        <v>0</v>
      </c>
      <c r="FT283" s="190">
        <f>AH283*AH$2*IF($FC283="V",1,-1)*IF($Q283="Fixo",(CV283-INDEX('Curva Forward'!$C$5:$AN$13,MATCH(CONCATENATE(BD_COMERCIAL!$K283," ",BD_COMERCIAL!$L283),'Curva Forward'!$B$5:$B$13,0),MATCH(FT$4,'Curva Forward'!$C$4:$AN$4,0))),CV283)</f>
        <v>0</v>
      </c>
      <c r="FU283" s="190">
        <f>AI283*AI$2*IF($FC283="V",1,-1)*IF($Q283="Fixo",(CW283-INDEX('Curva Forward'!$C$5:$AN$13,MATCH(CONCATENATE(BD_COMERCIAL!$K283," ",BD_COMERCIAL!$L283),'Curva Forward'!$B$5:$B$13,0),MATCH(FU$4,'Curva Forward'!$C$4:$AN$4,0))),CW283)</f>
        <v>0</v>
      </c>
      <c r="FV283" s="190">
        <f>AJ283*AJ$2*IF($FC283="V",1,-1)*IF($Q283="Fixo",(CX283-INDEX('Curva Forward'!$C$5:$AN$13,MATCH(CONCATENATE(BD_COMERCIAL!$K283," ",BD_COMERCIAL!$L283),'Curva Forward'!$B$5:$B$13,0),MATCH(FV$4,'Curva Forward'!$C$4:$AN$4,0))),CX283)</f>
        <v>0</v>
      </c>
      <c r="FW283" s="190">
        <f>AK283*AK$2*IF($FC283="V",1,-1)*IF($Q283="Fixo",(CY283-INDEX('Curva Forward'!$C$5:$AN$13,MATCH(CONCATENATE(BD_COMERCIAL!$K283," ",BD_COMERCIAL!$L283),'Curva Forward'!$B$5:$B$13,0),MATCH(FW$4,'Curva Forward'!$C$4:$AN$4,0))),CY283)</f>
        <v>0</v>
      </c>
      <c r="FX283" s="190">
        <f>AL283*AL$2*IF($FC283="V",1,-1)*IF($Q283="Fixo",(CZ283-INDEX('Curva Forward'!$C$5:$AN$13,MATCH(CONCATENATE(BD_COMERCIAL!$K283," ",BD_COMERCIAL!$L283),'Curva Forward'!$B$5:$B$13,0),MATCH(FX$4,'Curva Forward'!$C$4:$AN$4,0))),CZ283)</f>
        <v>0</v>
      </c>
      <c r="FY283" s="190">
        <f>AM283*AM$2*IF($FC283="V",1,-1)*IF($Q283="Fixo",(DA283-INDEX('Curva Forward'!$C$5:$AN$13,MATCH(CONCATENATE(BD_COMERCIAL!$K283," ",BD_COMERCIAL!$L283),'Curva Forward'!$B$5:$B$13,0),MATCH(FY$4,'Curva Forward'!$C$4:$AN$4,0))),DA283)</f>
        <v>0</v>
      </c>
      <c r="FZ283" s="190">
        <f>AN283*AN$2*IF($FC283="V",1,-1)*IF($Q283="Fixo",(DB283-INDEX('Curva Forward'!$C$5:$AN$13,MATCH(CONCATENATE(BD_COMERCIAL!$K283," ",BD_COMERCIAL!$L283),'Curva Forward'!$B$5:$B$13,0),MATCH(FZ$4,'Curva Forward'!$C$4:$AN$4,0))),DB283)</f>
        <v>0</v>
      </c>
      <c r="GA283" s="190">
        <f>AO283*AO$2*IF($FC283="V",1,-1)*IF($Q283="Fixo",(DC283-INDEX('Curva Forward'!$C$5:$AN$13,MATCH(CONCATENATE(BD_COMERCIAL!$K283," ",BD_COMERCIAL!$L283),'Curva Forward'!$B$5:$B$13,0),MATCH(GA$4,'Curva Forward'!$C$4:$AN$4,0))),DC283)</f>
        <v>0</v>
      </c>
      <c r="GB283" s="190">
        <f>AP283*AP$2*IF($FC283="V",1,-1)*IF($Q283="Fixo",(DD283-INDEX('Curva Forward'!$C$5:$AN$13,MATCH(CONCATENATE(BD_COMERCIAL!$K283," ",BD_COMERCIAL!$L283),'Curva Forward'!$B$5:$B$13,0),MATCH(GB$4,'Curva Forward'!$C$4:$AN$4,0))),DD283)</f>
        <v>0</v>
      </c>
      <c r="GC283" s="190">
        <f>AQ283*AQ$2*IF($FC283="V",1,-1)*IF($Q283="Fixo",(DE283-INDEX('Curva Forward'!$C$5:$AN$13,MATCH(CONCATENATE(BD_COMERCIAL!$K283," ",BD_COMERCIAL!$L283),'Curva Forward'!$B$5:$B$13,0),MATCH(GC$4,'Curva Forward'!$C$4:$AN$4,0))),DE283)</f>
        <v>0</v>
      </c>
      <c r="GD283" s="190">
        <f>AR283*AR$2*IF($FC283="V",1,-1)*IF($Q283="Fixo",(DF283-INDEX('Curva Forward'!$C$5:$AN$13,MATCH(CONCATENATE(BD_COMERCIAL!$K283," ",BD_COMERCIAL!$L283),'Curva Forward'!$B$5:$B$13,0),MATCH(GD$4,'Curva Forward'!$C$4:$AN$4,0))),DF283)</f>
        <v>0</v>
      </c>
      <c r="GE283" s="190">
        <f>AS283*AS$2*IF($FC283="V",1,-1)*IF($Q283="Fixo",(DG283-INDEX('Curva Forward'!$C$5:$AN$13,MATCH(CONCATENATE(BD_COMERCIAL!$K283," ",BD_COMERCIAL!$L283),'Curva Forward'!$B$5:$B$13,0),MATCH(GE$4,'Curva Forward'!$C$4:$AN$4,0))),DG283)</f>
        <v>0</v>
      </c>
      <c r="GF283" s="190">
        <f>AT283*AT$2*IF($FC283="V",1,-1)*IF($Q283="Fixo",(DH283-INDEX('Curva Forward'!$C$5:$AN$13,MATCH(CONCATENATE(BD_COMERCIAL!$K283," ",BD_COMERCIAL!$L283),'Curva Forward'!$B$5:$B$13,0),MATCH(GF$4,'Curva Forward'!$C$4:$AN$4,0))),DH283)</f>
        <v>0</v>
      </c>
      <c r="GG283" s="190">
        <f>AU283*AU$2*IF($FC283="V",1,-1)*IF($Q283="Fixo",(DI283-INDEX('Curva Forward'!$C$5:$AN$13,MATCH(CONCATENATE(BD_COMERCIAL!$K283," ",BD_COMERCIAL!$L283),'Curva Forward'!$B$5:$B$13,0),MATCH(GG$4,'Curva Forward'!$C$4:$AN$4,0))),DI283)</f>
        <v>0</v>
      </c>
      <c r="GH283" s="190">
        <f>AV283*AV$2*IF($FC283="V",1,-1)*IF($Q283="Fixo",(DJ283-INDEX('Curva Forward'!$C$5:$AN$13,MATCH(CONCATENATE(BD_COMERCIAL!$K283," ",BD_COMERCIAL!$L283),'Curva Forward'!$B$5:$B$13,0),MATCH(GH$4,'Curva Forward'!$C$4:$AN$4,0))),DJ283)</f>
        <v>0</v>
      </c>
      <c r="GI283" s="190">
        <f>AW283*AW$2*IF($FC283="V",1,-1)*IF($Q283="Fixo",(DK283-INDEX('Curva Forward'!$C$5:$AN$13,MATCH(CONCATENATE(BD_COMERCIAL!$K283," ",BD_COMERCIAL!$L283),'Curva Forward'!$B$5:$B$13,0),MATCH(GI$4,'Curva Forward'!$C$4:$AN$4,0))),DK283)</f>
        <v>0</v>
      </c>
      <c r="GJ283" s="190">
        <f>AX283*AX$2*IF($FC283="V",1,-1)*IF($Q283="Fixo",(DL283-INDEX('Curva Forward'!$C$5:$AN$13,MATCH(CONCATENATE(BD_COMERCIAL!$K283," ",BD_COMERCIAL!$L283),'Curva Forward'!$B$5:$B$13,0),MATCH(GJ$4,'Curva Forward'!$C$4:$AN$4,0))),DL283)</f>
        <v>0</v>
      </c>
      <c r="GK283" s="190">
        <f>AY283*AY$2*IF($FC283="V",1,-1)*IF($Q283="Fixo",(DM283-INDEX('Curva Forward'!$C$5:$AN$13,MATCH(CONCATENATE(BD_COMERCIAL!$K283," ",BD_COMERCIAL!$L283),'Curva Forward'!$B$5:$B$13,0),MATCH(GK$4,'Curva Forward'!$C$4:$AN$4,0))),DM283)</f>
        <v>0</v>
      </c>
      <c r="GL283" s="190">
        <f>IF(EZ283="",0,CL283*CL$2*IF($FC283="V",1,-1)*IF($Q283="Fixo",(EZ283-INDEX('Curva Forward'!$C$5:$AN$13,MATCH(CONCATENATE(BD_COMERCIAL!$K283," ",BD_COMERCIAL!$L283),'Curva Forward'!$B$5:$B$13,0),MATCH(GL$4,'Curva Forward'!$C$4:$AN$4,0))),EZ283))</f>
        <v>0</v>
      </c>
      <c r="GM283" s="190">
        <f>IF(FA283="",0,CM283*CM$2*IF($FC283="V",1,-1)*IF($Q283="Fixo",(FA283-INDEX('Curva Forward'!$C$5:$AN$13,MATCH(CONCATENATE(BD_COMERCIAL!$K283," ",BD_COMERCIAL!$L283),'Curva Forward'!$B$5:$B$13,0),MATCH(GM$4,'Curva Forward'!$C$4:$AN$4,0))),FA283))</f>
        <v>0</v>
      </c>
      <c r="GN283" s="190">
        <f>IF(FB283="",0,CN283*CN$2*IF($FC283="V",1,-1)*IF($Q283="Fixo",(FB283-INDEX('Curva Forward'!$C$5:$AN$13,MATCH(CONCATENATE(BD_COMERCIAL!$K283," ",BD_COMERCIAL!$L283),'Curva Forward'!$B$5:$B$13,0),MATCH(GN$4,'Curva Forward'!$C$4:$AN$4,0))),FB283))</f>
        <v>0</v>
      </c>
      <c r="GO283" s="191">
        <f t="shared" ca="1" si="39"/>
        <v>0</v>
      </c>
      <c r="GP283" s="191">
        <f t="shared" ca="1" si="40"/>
        <v>0</v>
      </c>
      <c r="GQ283" s="115"/>
      <c r="GR283" s="115"/>
      <c r="GS283"/>
      <c r="GT283" s="65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</row>
    <row r="284" spans="1:236" s="265" customFormat="1" ht="15" customHeight="1" x14ac:dyDescent="0.35">
      <c r="A284" s="251"/>
      <c r="B284" s="275"/>
      <c r="C284" s="253"/>
      <c r="D284" s="254"/>
      <c r="E284" s="254"/>
      <c r="F284" s="255"/>
      <c r="G284" s="256"/>
      <c r="H284" s="255"/>
      <c r="I284" s="254"/>
      <c r="J284" s="257"/>
      <c r="K284" s="256"/>
      <c r="L284" s="252"/>
      <c r="M284" s="258"/>
      <c r="N284" s="259"/>
      <c r="O284" s="256"/>
      <c r="P284" s="252"/>
      <c r="Q284" s="252"/>
      <c r="R284" s="256"/>
      <c r="S284" s="260"/>
      <c r="T284" s="258"/>
      <c r="U284" s="259"/>
      <c r="V284" s="261"/>
      <c r="W284" s="252"/>
      <c r="X284" s="262"/>
      <c r="Y284" s="257"/>
      <c r="Z284" s="263"/>
      <c r="AA284" s="264"/>
      <c r="AB284" s="266"/>
      <c r="AM284" s="251"/>
      <c r="AN284" s="266"/>
      <c r="AY284" s="251"/>
      <c r="AZ284" s="266"/>
      <c r="BK284" s="251"/>
      <c r="BL284" s="266"/>
      <c r="BW284" s="251"/>
      <c r="BX284" s="266"/>
      <c r="CI284" s="251"/>
      <c r="CJ284" s="267"/>
      <c r="CK284" s="267"/>
      <c r="CL284" s="267"/>
      <c r="CM284" s="267"/>
      <c r="CN284" s="267"/>
      <c r="CO284" s="268"/>
      <c r="CP284" s="266"/>
      <c r="DA284" s="251"/>
      <c r="DB284" s="266"/>
      <c r="DM284" s="251"/>
      <c r="DN284" s="266"/>
      <c r="DY284" s="251"/>
      <c r="DZ284" s="266"/>
      <c r="EK284" s="251"/>
      <c r="EL284" s="266"/>
      <c r="EW284" s="251"/>
      <c r="EX284" s="267"/>
      <c r="EY284" s="267"/>
      <c r="EZ284" s="267"/>
      <c r="FA284" s="267"/>
      <c r="FB284" s="269"/>
      <c r="FD284" s="270"/>
      <c r="FF284" s="276"/>
      <c r="FH284" s="206">
        <f t="shared" si="34"/>
        <v>0</v>
      </c>
      <c r="FI284" s="198">
        <f t="shared" si="35"/>
        <v>0</v>
      </c>
      <c r="FJ284"/>
      <c r="FK284">
        <f t="shared" si="36"/>
        <v>0</v>
      </c>
      <c r="FL284" s="191">
        <f t="shared" ca="1" si="37"/>
        <v>0</v>
      </c>
      <c r="FM284" s="191">
        <f t="shared" ca="1" si="38"/>
        <v>0</v>
      </c>
      <c r="FN284" s="190">
        <f>AB284*AB$2*IF($FC284="V",1,-1)*IF($Q284="Fixo",(CP284-INDEX('Curva Forward'!$C$5:$AN$13,MATCH(CONCATENATE(BD_COMERCIAL!$K284," ",BD_COMERCIAL!$L284),'Curva Forward'!$B$5:$B$13,0),MATCH(FN$4,'Curva Forward'!$C$4:$AN$4,0))),CP284)</f>
        <v>0</v>
      </c>
      <c r="FO284" s="190">
        <f>AC284*AC$2*IF($FC284="V",1,-1)*IF($Q284="Fixo",(CQ284-INDEX('Curva Forward'!$C$5:$AN$13,MATCH(CONCATENATE(BD_COMERCIAL!$K284," ",BD_COMERCIAL!$L284),'Curva Forward'!$B$5:$B$13,0),MATCH(FO$4,'Curva Forward'!$C$4:$AN$4,0))),CQ284)</f>
        <v>0</v>
      </c>
      <c r="FP284" s="190">
        <f>AD284*AD$2*IF($FC284="V",1,-1)*IF($Q284="Fixo",(CR284-INDEX('Curva Forward'!$C$5:$AN$13,MATCH(CONCATENATE(BD_COMERCIAL!$K284," ",BD_COMERCIAL!$L284),'Curva Forward'!$B$5:$B$13,0),MATCH(FP$4,'Curva Forward'!$C$4:$AN$4,0))),CR284)</f>
        <v>0</v>
      </c>
      <c r="FQ284" s="190">
        <f>AE284*AE$2*IF($FC284="V",1,-1)*IF($Q284="Fixo",(CS284-INDEX('Curva Forward'!$C$5:$AN$13,MATCH(CONCATENATE(BD_COMERCIAL!$K284," ",BD_COMERCIAL!$L284),'Curva Forward'!$B$5:$B$13,0),MATCH(FQ$4,'Curva Forward'!$C$4:$AN$4,0))),CS284)</f>
        <v>0</v>
      </c>
      <c r="FR284" s="190">
        <f>AF284*AF$2*IF($FC284="V",1,-1)*IF($Q284="Fixo",(CT284-INDEX('Curva Forward'!$C$5:$AN$13,MATCH(CONCATENATE(BD_COMERCIAL!$K284," ",BD_COMERCIAL!$L284),'Curva Forward'!$B$5:$B$13,0),MATCH(FR$4,'Curva Forward'!$C$4:$AN$4,0))),CT284)</f>
        <v>0</v>
      </c>
      <c r="FS284" s="190">
        <f>AG284*AG$2*IF($FC284="V",1,-1)*IF($Q284="Fixo",(CU284-INDEX('Curva Forward'!$C$5:$AN$13,MATCH(CONCATENATE(BD_COMERCIAL!$K284," ",BD_COMERCIAL!$L284),'Curva Forward'!$B$5:$B$13,0),MATCH(FS$4,'Curva Forward'!$C$4:$AN$4,0))),CU284)</f>
        <v>0</v>
      </c>
      <c r="FT284" s="190">
        <f>AH284*AH$2*IF($FC284="V",1,-1)*IF($Q284="Fixo",(CV284-INDEX('Curva Forward'!$C$5:$AN$13,MATCH(CONCATENATE(BD_COMERCIAL!$K284," ",BD_COMERCIAL!$L284),'Curva Forward'!$B$5:$B$13,0),MATCH(FT$4,'Curva Forward'!$C$4:$AN$4,0))),CV284)</f>
        <v>0</v>
      </c>
      <c r="FU284" s="190">
        <f>AI284*AI$2*IF($FC284="V",1,-1)*IF($Q284="Fixo",(CW284-INDEX('Curva Forward'!$C$5:$AN$13,MATCH(CONCATENATE(BD_COMERCIAL!$K284," ",BD_COMERCIAL!$L284),'Curva Forward'!$B$5:$B$13,0),MATCH(FU$4,'Curva Forward'!$C$4:$AN$4,0))),CW284)</f>
        <v>0</v>
      </c>
      <c r="FV284" s="190">
        <f>AJ284*AJ$2*IF($FC284="V",1,-1)*IF($Q284="Fixo",(CX284-INDEX('Curva Forward'!$C$5:$AN$13,MATCH(CONCATENATE(BD_COMERCIAL!$K284," ",BD_COMERCIAL!$L284),'Curva Forward'!$B$5:$B$13,0),MATCH(FV$4,'Curva Forward'!$C$4:$AN$4,0))),CX284)</f>
        <v>0</v>
      </c>
      <c r="FW284" s="190">
        <f>AK284*AK$2*IF($FC284="V",1,-1)*IF($Q284="Fixo",(CY284-INDEX('Curva Forward'!$C$5:$AN$13,MATCH(CONCATENATE(BD_COMERCIAL!$K284," ",BD_COMERCIAL!$L284),'Curva Forward'!$B$5:$B$13,0),MATCH(FW$4,'Curva Forward'!$C$4:$AN$4,0))),CY284)</f>
        <v>0</v>
      </c>
      <c r="FX284" s="190">
        <f>AL284*AL$2*IF($FC284="V",1,-1)*IF($Q284="Fixo",(CZ284-INDEX('Curva Forward'!$C$5:$AN$13,MATCH(CONCATENATE(BD_COMERCIAL!$K284," ",BD_COMERCIAL!$L284),'Curva Forward'!$B$5:$B$13,0),MATCH(FX$4,'Curva Forward'!$C$4:$AN$4,0))),CZ284)</f>
        <v>0</v>
      </c>
      <c r="FY284" s="190">
        <f>AM284*AM$2*IF($FC284="V",1,-1)*IF($Q284="Fixo",(DA284-INDEX('Curva Forward'!$C$5:$AN$13,MATCH(CONCATENATE(BD_COMERCIAL!$K284," ",BD_COMERCIAL!$L284),'Curva Forward'!$B$5:$B$13,0),MATCH(FY$4,'Curva Forward'!$C$4:$AN$4,0))),DA284)</f>
        <v>0</v>
      </c>
      <c r="FZ284" s="190">
        <f>AN284*AN$2*IF($FC284="V",1,-1)*IF($Q284="Fixo",(DB284-INDEX('Curva Forward'!$C$5:$AN$13,MATCH(CONCATENATE(BD_COMERCIAL!$K284," ",BD_COMERCIAL!$L284),'Curva Forward'!$B$5:$B$13,0),MATCH(FZ$4,'Curva Forward'!$C$4:$AN$4,0))),DB284)</f>
        <v>0</v>
      </c>
      <c r="GA284" s="190">
        <f>AO284*AO$2*IF($FC284="V",1,-1)*IF($Q284="Fixo",(DC284-INDEX('Curva Forward'!$C$5:$AN$13,MATCH(CONCATENATE(BD_COMERCIAL!$K284," ",BD_COMERCIAL!$L284),'Curva Forward'!$B$5:$B$13,0),MATCH(GA$4,'Curva Forward'!$C$4:$AN$4,0))),DC284)</f>
        <v>0</v>
      </c>
      <c r="GB284" s="190">
        <f>AP284*AP$2*IF($FC284="V",1,-1)*IF($Q284="Fixo",(DD284-INDEX('Curva Forward'!$C$5:$AN$13,MATCH(CONCATENATE(BD_COMERCIAL!$K284," ",BD_COMERCIAL!$L284),'Curva Forward'!$B$5:$B$13,0),MATCH(GB$4,'Curva Forward'!$C$4:$AN$4,0))),DD284)</f>
        <v>0</v>
      </c>
      <c r="GC284" s="190">
        <f>AQ284*AQ$2*IF($FC284="V",1,-1)*IF($Q284="Fixo",(DE284-INDEX('Curva Forward'!$C$5:$AN$13,MATCH(CONCATENATE(BD_COMERCIAL!$K284," ",BD_COMERCIAL!$L284),'Curva Forward'!$B$5:$B$13,0),MATCH(GC$4,'Curva Forward'!$C$4:$AN$4,0))),DE284)</f>
        <v>0</v>
      </c>
      <c r="GD284" s="190">
        <f>AR284*AR$2*IF($FC284="V",1,-1)*IF($Q284="Fixo",(DF284-INDEX('Curva Forward'!$C$5:$AN$13,MATCH(CONCATENATE(BD_COMERCIAL!$K284," ",BD_COMERCIAL!$L284),'Curva Forward'!$B$5:$B$13,0),MATCH(GD$4,'Curva Forward'!$C$4:$AN$4,0))),DF284)</f>
        <v>0</v>
      </c>
      <c r="GE284" s="190">
        <f>AS284*AS$2*IF($FC284="V",1,-1)*IF($Q284="Fixo",(DG284-INDEX('Curva Forward'!$C$5:$AN$13,MATCH(CONCATENATE(BD_COMERCIAL!$K284," ",BD_COMERCIAL!$L284),'Curva Forward'!$B$5:$B$13,0),MATCH(GE$4,'Curva Forward'!$C$4:$AN$4,0))),DG284)</f>
        <v>0</v>
      </c>
      <c r="GF284" s="190">
        <f>AT284*AT$2*IF($FC284="V",1,-1)*IF($Q284="Fixo",(DH284-INDEX('Curva Forward'!$C$5:$AN$13,MATCH(CONCATENATE(BD_COMERCIAL!$K284," ",BD_COMERCIAL!$L284),'Curva Forward'!$B$5:$B$13,0),MATCH(GF$4,'Curva Forward'!$C$4:$AN$4,0))),DH284)</f>
        <v>0</v>
      </c>
      <c r="GG284" s="190">
        <f>AU284*AU$2*IF($FC284="V",1,-1)*IF($Q284="Fixo",(DI284-INDEX('Curva Forward'!$C$5:$AN$13,MATCH(CONCATENATE(BD_COMERCIAL!$K284," ",BD_COMERCIAL!$L284),'Curva Forward'!$B$5:$B$13,0),MATCH(GG$4,'Curva Forward'!$C$4:$AN$4,0))),DI284)</f>
        <v>0</v>
      </c>
      <c r="GH284" s="190">
        <f>AV284*AV$2*IF($FC284="V",1,-1)*IF($Q284="Fixo",(DJ284-INDEX('Curva Forward'!$C$5:$AN$13,MATCH(CONCATENATE(BD_COMERCIAL!$K284," ",BD_COMERCIAL!$L284),'Curva Forward'!$B$5:$B$13,0),MATCH(GH$4,'Curva Forward'!$C$4:$AN$4,0))),DJ284)</f>
        <v>0</v>
      </c>
      <c r="GI284" s="190">
        <f>AW284*AW$2*IF($FC284="V",1,-1)*IF($Q284="Fixo",(DK284-INDEX('Curva Forward'!$C$5:$AN$13,MATCH(CONCATENATE(BD_COMERCIAL!$K284," ",BD_COMERCIAL!$L284),'Curva Forward'!$B$5:$B$13,0),MATCH(GI$4,'Curva Forward'!$C$4:$AN$4,0))),DK284)</f>
        <v>0</v>
      </c>
      <c r="GJ284" s="190">
        <f>AX284*AX$2*IF($FC284="V",1,-1)*IF($Q284="Fixo",(DL284-INDEX('Curva Forward'!$C$5:$AN$13,MATCH(CONCATENATE(BD_COMERCIAL!$K284," ",BD_COMERCIAL!$L284),'Curva Forward'!$B$5:$B$13,0),MATCH(GJ$4,'Curva Forward'!$C$4:$AN$4,0))),DL284)</f>
        <v>0</v>
      </c>
      <c r="GK284" s="190">
        <f>AY284*AY$2*IF($FC284="V",1,-1)*IF($Q284="Fixo",(DM284-INDEX('Curva Forward'!$C$5:$AN$13,MATCH(CONCATENATE(BD_COMERCIAL!$K284," ",BD_COMERCIAL!$L284),'Curva Forward'!$B$5:$B$13,0),MATCH(GK$4,'Curva Forward'!$C$4:$AN$4,0))),DM284)</f>
        <v>0</v>
      </c>
      <c r="GL284" s="190">
        <f>IF(EZ284="",0,CL284*CL$2*IF($FC284="V",1,-1)*IF($Q284="Fixo",(EZ284-INDEX('Curva Forward'!$C$5:$AN$13,MATCH(CONCATENATE(BD_COMERCIAL!$K284," ",BD_COMERCIAL!$L284),'Curva Forward'!$B$5:$B$13,0),MATCH(GL$4,'Curva Forward'!$C$4:$AN$4,0))),EZ284))</f>
        <v>0</v>
      </c>
      <c r="GM284" s="190">
        <f>IF(FA284="",0,CM284*CM$2*IF($FC284="V",1,-1)*IF($Q284="Fixo",(FA284-INDEX('Curva Forward'!$C$5:$AN$13,MATCH(CONCATENATE(BD_COMERCIAL!$K284," ",BD_COMERCIAL!$L284),'Curva Forward'!$B$5:$B$13,0),MATCH(GM$4,'Curva Forward'!$C$4:$AN$4,0))),FA284))</f>
        <v>0</v>
      </c>
      <c r="GN284" s="190">
        <f>IF(FB284="",0,CN284*CN$2*IF($FC284="V",1,-1)*IF($Q284="Fixo",(FB284-INDEX('Curva Forward'!$C$5:$AN$13,MATCH(CONCATENATE(BD_COMERCIAL!$K284," ",BD_COMERCIAL!$L284),'Curva Forward'!$B$5:$B$13,0),MATCH(GN$4,'Curva Forward'!$C$4:$AN$4,0))),FB284))</f>
        <v>0</v>
      </c>
      <c r="GO284" s="191">
        <f t="shared" ca="1" si="39"/>
        <v>0</v>
      </c>
      <c r="GP284" s="191">
        <f t="shared" ca="1" si="40"/>
        <v>0</v>
      </c>
      <c r="GQ284" s="115"/>
      <c r="GR284" s="115"/>
      <c r="GS284"/>
      <c r="GT284" s="65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</row>
    <row r="285" spans="1:236" s="265" customFormat="1" ht="15" customHeight="1" x14ac:dyDescent="0.35">
      <c r="A285" s="251"/>
      <c r="B285" s="275"/>
      <c r="C285" s="253"/>
      <c r="D285" s="254"/>
      <c r="E285" s="254"/>
      <c r="F285" s="255"/>
      <c r="G285" s="256"/>
      <c r="H285" s="255"/>
      <c r="I285" s="254"/>
      <c r="J285" s="257"/>
      <c r="K285" s="256"/>
      <c r="L285" s="252"/>
      <c r="M285" s="258"/>
      <c r="N285" s="259"/>
      <c r="O285" s="256"/>
      <c r="P285" s="252"/>
      <c r="Q285" s="252"/>
      <c r="R285" s="256"/>
      <c r="S285" s="260"/>
      <c r="T285" s="258"/>
      <c r="U285" s="259"/>
      <c r="V285" s="261"/>
      <c r="W285" s="252"/>
      <c r="X285" s="262"/>
      <c r="Y285" s="257"/>
      <c r="Z285" s="263"/>
      <c r="AA285" s="264"/>
      <c r="AB285" s="266"/>
      <c r="AM285" s="251"/>
      <c r="AN285" s="266"/>
      <c r="AY285" s="251"/>
      <c r="AZ285" s="266"/>
      <c r="BK285" s="251"/>
      <c r="BL285" s="266"/>
      <c r="BW285" s="251"/>
      <c r="BX285" s="266"/>
      <c r="CI285" s="251"/>
      <c r="CJ285" s="267"/>
      <c r="CK285" s="267"/>
      <c r="CL285" s="267"/>
      <c r="CM285" s="267"/>
      <c r="CN285" s="267"/>
      <c r="CO285" s="268"/>
      <c r="CP285" s="266"/>
      <c r="DA285" s="251"/>
      <c r="DB285" s="266"/>
      <c r="DM285" s="251"/>
      <c r="DN285" s="266"/>
      <c r="DY285" s="251"/>
      <c r="DZ285" s="266"/>
      <c r="EK285" s="251"/>
      <c r="EL285" s="266"/>
      <c r="EW285" s="251"/>
      <c r="EX285" s="267"/>
      <c r="EY285" s="267"/>
      <c r="EZ285" s="267"/>
      <c r="FA285" s="267"/>
      <c r="FB285" s="269"/>
      <c r="FD285" s="270"/>
      <c r="FF285" s="276"/>
      <c r="FH285" s="206">
        <f t="shared" si="34"/>
        <v>0</v>
      </c>
      <c r="FI285" s="198">
        <f t="shared" si="35"/>
        <v>0</v>
      </c>
      <c r="FJ285"/>
      <c r="FK285">
        <f t="shared" si="36"/>
        <v>0</v>
      </c>
      <c r="FL285" s="191">
        <f t="shared" ca="1" si="37"/>
        <v>0</v>
      </c>
      <c r="FM285" s="191">
        <f t="shared" ca="1" si="38"/>
        <v>0</v>
      </c>
      <c r="FN285" s="190">
        <f>AB285*AB$2*IF($FC285="V",1,-1)*IF($Q285="Fixo",(CP285-INDEX('Curva Forward'!$C$5:$AN$13,MATCH(CONCATENATE(BD_COMERCIAL!$K285," ",BD_COMERCIAL!$L285),'Curva Forward'!$B$5:$B$13,0),MATCH(FN$4,'Curva Forward'!$C$4:$AN$4,0))),CP285)</f>
        <v>0</v>
      </c>
      <c r="FO285" s="190">
        <f>AC285*AC$2*IF($FC285="V",1,-1)*IF($Q285="Fixo",(CQ285-INDEX('Curva Forward'!$C$5:$AN$13,MATCH(CONCATENATE(BD_COMERCIAL!$K285," ",BD_COMERCIAL!$L285),'Curva Forward'!$B$5:$B$13,0),MATCH(FO$4,'Curva Forward'!$C$4:$AN$4,0))),CQ285)</f>
        <v>0</v>
      </c>
      <c r="FP285" s="190">
        <f>AD285*AD$2*IF($FC285="V",1,-1)*IF($Q285="Fixo",(CR285-INDEX('Curva Forward'!$C$5:$AN$13,MATCH(CONCATENATE(BD_COMERCIAL!$K285," ",BD_COMERCIAL!$L285),'Curva Forward'!$B$5:$B$13,0),MATCH(FP$4,'Curva Forward'!$C$4:$AN$4,0))),CR285)</f>
        <v>0</v>
      </c>
      <c r="FQ285" s="190">
        <f>AE285*AE$2*IF($FC285="V",1,-1)*IF($Q285="Fixo",(CS285-INDEX('Curva Forward'!$C$5:$AN$13,MATCH(CONCATENATE(BD_COMERCIAL!$K285," ",BD_COMERCIAL!$L285),'Curva Forward'!$B$5:$B$13,0),MATCH(FQ$4,'Curva Forward'!$C$4:$AN$4,0))),CS285)</f>
        <v>0</v>
      </c>
      <c r="FR285" s="190">
        <f>AF285*AF$2*IF($FC285="V",1,-1)*IF($Q285="Fixo",(CT285-INDEX('Curva Forward'!$C$5:$AN$13,MATCH(CONCATENATE(BD_COMERCIAL!$K285," ",BD_COMERCIAL!$L285),'Curva Forward'!$B$5:$B$13,0),MATCH(FR$4,'Curva Forward'!$C$4:$AN$4,0))),CT285)</f>
        <v>0</v>
      </c>
      <c r="FS285" s="190">
        <f>AG285*AG$2*IF($FC285="V",1,-1)*IF($Q285="Fixo",(CU285-INDEX('Curva Forward'!$C$5:$AN$13,MATCH(CONCATENATE(BD_COMERCIAL!$K285," ",BD_COMERCIAL!$L285),'Curva Forward'!$B$5:$B$13,0),MATCH(FS$4,'Curva Forward'!$C$4:$AN$4,0))),CU285)</f>
        <v>0</v>
      </c>
      <c r="FT285" s="190">
        <f>AH285*AH$2*IF($FC285="V",1,-1)*IF($Q285="Fixo",(CV285-INDEX('Curva Forward'!$C$5:$AN$13,MATCH(CONCATENATE(BD_COMERCIAL!$K285," ",BD_COMERCIAL!$L285),'Curva Forward'!$B$5:$B$13,0),MATCH(FT$4,'Curva Forward'!$C$4:$AN$4,0))),CV285)</f>
        <v>0</v>
      </c>
      <c r="FU285" s="190">
        <f>AI285*AI$2*IF($FC285="V",1,-1)*IF($Q285="Fixo",(CW285-INDEX('Curva Forward'!$C$5:$AN$13,MATCH(CONCATENATE(BD_COMERCIAL!$K285," ",BD_COMERCIAL!$L285),'Curva Forward'!$B$5:$B$13,0),MATCH(FU$4,'Curva Forward'!$C$4:$AN$4,0))),CW285)</f>
        <v>0</v>
      </c>
      <c r="FV285" s="190">
        <f>AJ285*AJ$2*IF($FC285="V",1,-1)*IF($Q285="Fixo",(CX285-INDEX('Curva Forward'!$C$5:$AN$13,MATCH(CONCATENATE(BD_COMERCIAL!$K285," ",BD_COMERCIAL!$L285),'Curva Forward'!$B$5:$B$13,0),MATCH(FV$4,'Curva Forward'!$C$4:$AN$4,0))),CX285)</f>
        <v>0</v>
      </c>
      <c r="FW285" s="190">
        <f>AK285*AK$2*IF($FC285="V",1,-1)*IF($Q285="Fixo",(CY285-INDEX('Curva Forward'!$C$5:$AN$13,MATCH(CONCATENATE(BD_COMERCIAL!$K285," ",BD_COMERCIAL!$L285),'Curva Forward'!$B$5:$B$13,0),MATCH(FW$4,'Curva Forward'!$C$4:$AN$4,0))),CY285)</f>
        <v>0</v>
      </c>
      <c r="FX285" s="190">
        <f>AL285*AL$2*IF($FC285="V",1,-1)*IF($Q285="Fixo",(CZ285-INDEX('Curva Forward'!$C$5:$AN$13,MATCH(CONCATENATE(BD_COMERCIAL!$K285," ",BD_COMERCIAL!$L285),'Curva Forward'!$B$5:$B$13,0),MATCH(FX$4,'Curva Forward'!$C$4:$AN$4,0))),CZ285)</f>
        <v>0</v>
      </c>
      <c r="FY285" s="190">
        <f>AM285*AM$2*IF($FC285="V",1,-1)*IF($Q285="Fixo",(DA285-INDEX('Curva Forward'!$C$5:$AN$13,MATCH(CONCATENATE(BD_COMERCIAL!$K285," ",BD_COMERCIAL!$L285),'Curva Forward'!$B$5:$B$13,0),MATCH(FY$4,'Curva Forward'!$C$4:$AN$4,0))),DA285)</f>
        <v>0</v>
      </c>
      <c r="FZ285" s="190">
        <f>AN285*AN$2*IF($FC285="V",1,-1)*IF($Q285="Fixo",(DB285-INDEX('Curva Forward'!$C$5:$AN$13,MATCH(CONCATENATE(BD_COMERCIAL!$K285," ",BD_COMERCIAL!$L285),'Curva Forward'!$B$5:$B$13,0),MATCH(FZ$4,'Curva Forward'!$C$4:$AN$4,0))),DB285)</f>
        <v>0</v>
      </c>
      <c r="GA285" s="190">
        <f>AO285*AO$2*IF($FC285="V",1,-1)*IF($Q285="Fixo",(DC285-INDEX('Curva Forward'!$C$5:$AN$13,MATCH(CONCATENATE(BD_COMERCIAL!$K285," ",BD_COMERCIAL!$L285),'Curva Forward'!$B$5:$B$13,0),MATCH(GA$4,'Curva Forward'!$C$4:$AN$4,0))),DC285)</f>
        <v>0</v>
      </c>
      <c r="GB285" s="190">
        <f>AP285*AP$2*IF($FC285="V",1,-1)*IF($Q285="Fixo",(DD285-INDEX('Curva Forward'!$C$5:$AN$13,MATCH(CONCATENATE(BD_COMERCIAL!$K285," ",BD_COMERCIAL!$L285),'Curva Forward'!$B$5:$B$13,0),MATCH(GB$4,'Curva Forward'!$C$4:$AN$4,0))),DD285)</f>
        <v>0</v>
      </c>
      <c r="GC285" s="190">
        <f>AQ285*AQ$2*IF($FC285="V",1,-1)*IF($Q285="Fixo",(DE285-INDEX('Curva Forward'!$C$5:$AN$13,MATCH(CONCATENATE(BD_COMERCIAL!$K285," ",BD_COMERCIAL!$L285),'Curva Forward'!$B$5:$B$13,0),MATCH(GC$4,'Curva Forward'!$C$4:$AN$4,0))),DE285)</f>
        <v>0</v>
      </c>
      <c r="GD285" s="190">
        <f>AR285*AR$2*IF($FC285="V",1,-1)*IF($Q285="Fixo",(DF285-INDEX('Curva Forward'!$C$5:$AN$13,MATCH(CONCATENATE(BD_COMERCIAL!$K285," ",BD_COMERCIAL!$L285),'Curva Forward'!$B$5:$B$13,0),MATCH(GD$4,'Curva Forward'!$C$4:$AN$4,0))),DF285)</f>
        <v>0</v>
      </c>
      <c r="GE285" s="190">
        <f>AS285*AS$2*IF($FC285="V",1,-1)*IF($Q285="Fixo",(DG285-INDEX('Curva Forward'!$C$5:$AN$13,MATCH(CONCATENATE(BD_COMERCIAL!$K285," ",BD_COMERCIAL!$L285),'Curva Forward'!$B$5:$B$13,0),MATCH(GE$4,'Curva Forward'!$C$4:$AN$4,0))),DG285)</f>
        <v>0</v>
      </c>
      <c r="GF285" s="190">
        <f>AT285*AT$2*IF($FC285="V",1,-1)*IF($Q285="Fixo",(DH285-INDEX('Curva Forward'!$C$5:$AN$13,MATCH(CONCATENATE(BD_COMERCIAL!$K285," ",BD_COMERCIAL!$L285),'Curva Forward'!$B$5:$B$13,0),MATCH(GF$4,'Curva Forward'!$C$4:$AN$4,0))),DH285)</f>
        <v>0</v>
      </c>
      <c r="GG285" s="190">
        <f>AU285*AU$2*IF($FC285="V",1,-1)*IF($Q285="Fixo",(DI285-INDEX('Curva Forward'!$C$5:$AN$13,MATCH(CONCATENATE(BD_COMERCIAL!$K285," ",BD_COMERCIAL!$L285),'Curva Forward'!$B$5:$B$13,0),MATCH(GG$4,'Curva Forward'!$C$4:$AN$4,0))),DI285)</f>
        <v>0</v>
      </c>
      <c r="GH285" s="190">
        <f>AV285*AV$2*IF($FC285="V",1,-1)*IF($Q285="Fixo",(DJ285-INDEX('Curva Forward'!$C$5:$AN$13,MATCH(CONCATENATE(BD_COMERCIAL!$K285," ",BD_COMERCIAL!$L285),'Curva Forward'!$B$5:$B$13,0),MATCH(GH$4,'Curva Forward'!$C$4:$AN$4,0))),DJ285)</f>
        <v>0</v>
      </c>
      <c r="GI285" s="190">
        <f>AW285*AW$2*IF($FC285="V",1,-1)*IF($Q285="Fixo",(DK285-INDEX('Curva Forward'!$C$5:$AN$13,MATCH(CONCATENATE(BD_COMERCIAL!$K285," ",BD_COMERCIAL!$L285),'Curva Forward'!$B$5:$B$13,0),MATCH(GI$4,'Curva Forward'!$C$4:$AN$4,0))),DK285)</f>
        <v>0</v>
      </c>
      <c r="GJ285" s="190">
        <f>AX285*AX$2*IF($FC285="V",1,-1)*IF($Q285="Fixo",(DL285-INDEX('Curva Forward'!$C$5:$AN$13,MATCH(CONCATENATE(BD_COMERCIAL!$K285," ",BD_COMERCIAL!$L285),'Curva Forward'!$B$5:$B$13,0),MATCH(GJ$4,'Curva Forward'!$C$4:$AN$4,0))),DL285)</f>
        <v>0</v>
      </c>
      <c r="GK285" s="190">
        <f>AY285*AY$2*IF($FC285="V",1,-1)*IF($Q285="Fixo",(DM285-INDEX('Curva Forward'!$C$5:$AN$13,MATCH(CONCATENATE(BD_COMERCIAL!$K285," ",BD_COMERCIAL!$L285),'Curva Forward'!$B$5:$B$13,0),MATCH(GK$4,'Curva Forward'!$C$4:$AN$4,0))),DM285)</f>
        <v>0</v>
      </c>
      <c r="GL285" s="190">
        <f>IF(EZ285="",0,CL285*CL$2*IF($FC285="V",1,-1)*IF($Q285="Fixo",(EZ285-INDEX('Curva Forward'!$C$5:$AN$13,MATCH(CONCATENATE(BD_COMERCIAL!$K285," ",BD_COMERCIAL!$L285),'Curva Forward'!$B$5:$B$13,0),MATCH(GL$4,'Curva Forward'!$C$4:$AN$4,0))),EZ285))</f>
        <v>0</v>
      </c>
      <c r="GM285" s="190">
        <f>IF(FA285="",0,CM285*CM$2*IF($FC285="V",1,-1)*IF($Q285="Fixo",(FA285-INDEX('Curva Forward'!$C$5:$AN$13,MATCH(CONCATENATE(BD_COMERCIAL!$K285," ",BD_COMERCIAL!$L285),'Curva Forward'!$B$5:$B$13,0),MATCH(GM$4,'Curva Forward'!$C$4:$AN$4,0))),FA285))</f>
        <v>0</v>
      </c>
      <c r="GN285" s="190">
        <f>IF(FB285="",0,CN285*CN$2*IF($FC285="V",1,-1)*IF($Q285="Fixo",(FB285-INDEX('Curva Forward'!$C$5:$AN$13,MATCH(CONCATENATE(BD_COMERCIAL!$K285," ",BD_COMERCIAL!$L285),'Curva Forward'!$B$5:$B$13,0),MATCH(GN$4,'Curva Forward'!$C$4:$AN$4,0))),FB285))</f>
        <v>0</v>
      </c>
      <c r="GO285" s="191">
        <f t="shared" ca="1" si="39"/>
        <v>0</v>
      </c>
      <c r="GP285" s="191">
        <f t="shared" ca="1" si="40"/>
        <v>0</v>
      </c>
      <c r="GQ285" s="115"/>
      <c r="GR285" s="115"/>
      <c r="GS285"/>
      <c r="GT285" s="6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</row>
    <row r="286" spans="1:236" s="265" customFormat="1" ht="15" customHeight="1" x14ac:dyDescent="0.35">
      <c r="A286" s="251"/>
      <c r="B286" s="275"/>
      <c r="C286" s="253"/>
      <c r="D286" s="254"/>
      <c r="E286" s="254"/>
      <c r="F286" s="255"/>
      <c r="G286" s="256"/>
      <c r="H286" s="255"/>
      <c r="I286" s="254"/>
      <c r="J286" s="257"/>
      <c r="K286" s="256"/>
      <c r="L286" s="252"/>
      <c r="M286" s="258"/>
      <c r="N286" s="259"/>
      <c r="O286" s="256"/>
      <c r="P286" s="252"/>
      <c r="Q286" s="252"/>
      <c r="R286" s="256"/>
      <c r="S286" s="260"/>
      <c r="T286" s="258"/>
      <c r="U286" s="259"/>
      <c r="V286" s="261"/>
      <c r="W286" s="252"/>
      <c r="X286" s="262"/>
      <c r="Y286" s="257"/>
      <c r="Z286" s="263"/>
      <c r="AA286" s="264"/>
      <c r="AB286" s="266"/>
      <c r="AM286" s="251"/>
      <c r="AN286" s="266"/>
      <c r="AY286" s="251"/>
      <c r="AZ286" s="266"/>
      <c r="BK286" s="251"/>
      <c r="BL286" s="266"/>
      <c r="BW286" s="251"/>
      <c r="BX286" s="266"/>
      <c r="CI286" s="251"/>
      <c r="CJ286" s="267"/>
      <c r="CK286" s="267"/>
      <c r="CL286" s="267"/>
      <c r="CM286" s="267"/>
      <c r="CN286" s="267"/>
      <c r="CO286" s="268"/>
      <c r="CP286" s="266"/>
      <c r="DA286" s="251"/>
      <c r="DB286" s="266"/>
      <c r="DM286" s="251"/>
      <c r="DN286" s="266"/>
      <c r="DY286" s="251"/>
      <c r="DZ286" s="266"/>
      <c r="EK286" s="251"/>
      <c r="EL286" s="266"/>
      <c r="EW286" s="251"/>
      <c r="EX286" s="267"/>
      <c r="EY286" s="267"/>
      <c r="EZ286" s="267"/>
      <c r="FA286" s="267"/>
      <c r="FB286" s="269"/>
      <c r="FD286" s="270"/>
      <c r="FF286" s="276"/>
      <c r="FH286" s="206">
        <f t="shared" si="34"/>
        <v>0</v>
      </c>
      <c r="FI286" s="198">
        <f t="shared" si="35"/>
        <v>0</v>
      </c>
      <c r="FJ286"/>
      <c r="FK286">
        <f t="shared" si="36"/>
        <v>0</v>
      </c>
      <c r="FL286" s="191">
        <f t="shared" ca="1" si="37"/>
        <v>0</v>
      </c>
      <c r="FM286" s="191">
        <f t="shared" ca="1" si="38"/>
        <v>0</v>
      </c>
      <c r="FN286" s="190">
        <f>AB286*AB$2*IF($FC286="V",1,-1)*IF($Q286="Fixo",(CP286-INDEX('Curva Forward'!$C$5:$AN$13,MATCH(CONCATENATE(BD_COMERCIAL!$K286," ",BD_COMERCIAL!$L286),'Curva Forward'!$B$5:$B$13,0),MATCH(FN$4,'Curva Forward'!$C$4:$AN$4,0))),CP286)</f>
        <v>0</v>
      </c>
      <c r="FO286" s="190">
        <f>AC286*AC$2*IF($FC286="V",1,-1)*IF($Q286="Fixo",(CQ286-INDEX('Curva Forward'!$C$5:$AN$13,MATCH(CONCATENATE(BD_COMERCIAL!$K286," ",BD_COMERCIAL!$L286),'Curva Forward'!$B$5:$B$13,0),MATCH(FO$4,'Curva Forward'!$C$4:$AN$4,0))),CQ286)</f>
        <v>0</v>
      </c>
      <c r="FP286" s="190">
        <f>AD286*AD$2*IF($FC286="V",1,-1)*IF($Q286="Fixo",(CR286-INDEX('Curva Forward'!$C$5:$AN$13,MATCH(CONCATENATE(BD_COMERCIAL!$K286," ",BD_COMERCIAL!$L286),'Curva Forward'!$B$5:$B$13,0),MATCH(FP$4,'Curva Forward'!$C$4:$AN$4,0))),CR286)</f>
        <v>0</v>
      </c>
      <c r="FQ286" s="190">
        <f>AE286*AE$2*IF($FC286="V",1,-1)*IF($Q286="Fixo",(CS286-INDEX('Curva Forward'!$C$5:$AN$13,MATCH(CONCATENATE(BD_COMERCIAL!$K286," ",BD_COMERCIAL!$L286),'Curva Forward'!$B$5:$B$13,0),MATCH(FQ$4,'Curva Forward'!$C$4:$AN$4,0))),CS286)</f>
        <v>0</v>
      </c>
      <c r="FR286" s="190">
        <f>AF286*AF$2*IF($FC286="V",1,-1)*IF($Q286="Fixo",(CT286-INDEX('Curva Forward'!$C$5:$AN$13,MATCH(CONCATENATE(BD_COMERCIAL!$K286," ",BD_COMERCIAL!$L286),'Curva Forward'!$B$5:$B$13,0),MATCH(FR$4,'Curva Forward'!$C$4:$AN$4,0))),CT286)</f>
        <v>0</v>
      </c>
      <c r="FS286" s="190">
        <f>AG286*AG$2*IF($FC286="V",1,-1)*IF($Q286="Fixo",(CU286-INDEX('Curva Forward'!$C$5:$AN$13,MATCH(CONCATENATE(BD_COMERCIAL!$K286," ",BD_COMERCIAL!$L286),'Curva Forward'!$B$5:$B$13,0),MATCH(FS$4,'Curva Forward'!$C$4:$AN$4,0))),CU286)</f>
        <v>0</v>
      </c>
      <c r="FT286" s="190">
        <f>AH286*AH$2*IF($FC286="V",1,-1)*IF($Q286="Fixo",(CV286-INDEX('Curva Forward'!$C$5:$AN$13,MATCH(CONCATENATE(BD_COMERCIAL!$K286," ",BD_COMERCIAL!$L286),'Curva Forward'!$B$5:$B$13,0),MATCH(FT$4,'Curva Forward'!$C$4:$AN$4,0))),CV286)</f>
        <v>0</v>
      </c>
      <c r="FU286" s="190">
        <f>AI286*AI$2*IF($FC286="V",1,-1)*IF($Q286="Fixo",(CW286-INDEX('Curva Forward'!$C$5:$AN$13,MATCH(CONCATENATE(BD_COMERCIAL!$K286," ",BD_COMERCIAL!$L286),'Curva Forward'!$B$5:$B$13,0),MATCH(FU$4,'Curva Forward'!$C$4:$AN$4,0))),CW286)</f>
        <v>0</v>
      </c>
      <c r="FV286" s="190">
        <f>AJ286*AJ$2*IF($FC286="V",1,-1)*IF($Q286="Fixo",(CX286-INDEX('Curva Forward'!$C$5:$AN$13,MATCH(CONCATENATE(BD_COMERCIAL!$K286," ",BD_COMERCIAL!$L286),'Curva Forward'!$B$5:$B$13,0),MATCH(FV$4,'Curva Forward'!$C$4:$AN$4,0))),CX286)</f>
        <v>0</v>
      </c>
      <c r="FW286" s="190">
        <f>AK286*AK$2*IF($FC286="V",1,-1)*IF($Q286="Fixo",(CY286-INDEX('Curva Forward'!$C$5:$AN$13,MATCH(CONCATENATE(BD_COMERCIAL!$K286," ",BD_COMERCIAL!$L286),'Curva Forward'!$B$5:$B$13,0),MATCH(FW$4,'Curva Forward'!$C$4:$AN$4,0))),CY286)</f>
        <v>0</v>
      </c>
      <c r="FX286" s="190">
        <f>AL286*AL$2*IF($FC286="V",1,-1)*IF($Q286="Fixo",(CZ286-INDEX('Curva Forward'!$C$5:$AN$13,MATCH(CONCATENATE(BD_COMERCIAL!$K286," ",BD_COMERCIAL!$L286),'Curva Forward'!$B$5:$B$13,0),MATCH(FX$4,'Curva Forward'!$C$4:$AN$4,0))),CZ286)</f>
        <v>0</v>
      </c>
      <c r="FY286" s="190">
        <f>AM286*AM$2*IF($FC286="V",1,-1)*IF($Q286="Fixo",(DA286-INDEX('Curva Forward'!$C$5:$AN$13,MATCH(CONCATENATE(BD_COMERCIAL!$K286," ",BD_COMERCIAL!$L286),'Curva Forward'!$B$5:$B$13,0),MATCH(FY$4,'Curva Forward'!$C$4:$AN$4,0))),DA286)</f>
        <v>0</v>
      </c>
      <c r="FZ286" s="190">
        <f>AN286*AN$2*IF($FC286="V",1,-1)*IF($Q286="Fixo",(DB286-INDEX('Curva Forward'!$C$5:$AN$13,MATCH(CONCATENATE(BD_COMERCIAL!$K286," ",BD_COMERCIAL!$L286),'Curva Forward'!$B$5:$B$13,0),MATCH(FZ$4,'Curva Forward'!$C$4:$AN$4,0))),DB286)</f>
        <v>0</v>
      </c>
      <c r="GA286" s="190">
        <f>AO286*AO$2*IF($FC286="V",1,-1)*IF($Q286="Fixo",(DC286-INDEX('Curva Forward'!$C$5:$AN$13,MATCH(CONCATENATE(BD_COMERCIAL!$K286," ",BD_COMERCIAL!$L286),'Curva Forward'!$B$5:$B$13,0),MATCH(GA$4,'Curva Forward'!$C$4:$AN$4,0))),DC286)</f>
        <v>0</v>
      </c>
      <c r="GB286" s="190">
        <f>AP286*AP$2*IF($FC286="V",1,-1)*IF($Q286="Fixo",(DD286-INDEX('Curva Forward'!$C$5:$AN$13,MATCH(CONCATENATE(BD_COMERCIAL!$K286," ",BD_COMERCIAL!$L286),'Curva Forward'!$B$5:$B$13,0),MATCH(GB$4,'Curva Forward'!$C$4:$AN$4,0))),DD286)</f>
        <v>0</v>
      </c>
      <c r="GC286" s="190">
        <f>AQ286*AQ$2*IF($FC286="V",1,-1)*IF($Q286="Fixo",(DE286-INDEX('Curva Forward'!$C$5:$AN$13,MATCH(CONCATENATE(BD_COMERCIAL!$K286," ",BD_COMERCIAL!$L286),'Curva Forward'!$B$5:$B$13,0),MATCH(GC$4,'Curva Forward'!$C$4:$AN$4,0))),DE286)</f>
        <v>0</v>
      </c>
      <c r="GD286" s="190">
        <f>AR286*AR$2*IF($FC286="V",1,-1)*IF($Q286="Fixo",(DF286-INDEX('Curva Forward'!$C$5:$AN$13,MATCH(CONCATENATE(BD_COMERCIAL!$K286," ",BD_COMERCIAL!$L286),'Curva Forward'!$B$5:$B$13,0),MATCH(GD$4,'Curva Forward'!$C$4:$AN$4,0))),DF286)</f>
        <v>0</v>
      </c>
      <c r="GE286" s="190">
        <f>AS286*AS$2*IF($FC286="V",1,-1)*IF($Q286="Fixo",(DG286-INDEX('Curva Forward'!$C$5:$AN$13,MATCH(CONCATENATE(BD_COMERCIAL!$K286," ",BD_COMERCIAL!$L286),'Curva Forward'!$B$5:$B$13,0),MATCH(GE$4,'Curva Forward'!$C$4:$AN$4,0))),DG286)</f>
        <v>0</v>
      </c>
      <c r="GF286" s="190">
        <f>AT286*AT$2*IF($FC286="V",1,-1)*IF($Q286="Fixo",(DH286-INDEX('Curva Forward'!$C$5:$AN$13,MATCH(CONCATENATE(BD_COMERCIAL!$K286," ",BD_COMERCIAL!$L286),'Curva Forward'!$B$5:$B$13,0),MATCH(GF$4,'Curva Forward'!$C$4:$AN$4,0))),DH286)</f>
        <v>0</v>
      </c>
      <c r="GG286" s="190">
        <f>AU286*AU$2*IF($FC286="V",1,-1)*IF($Q286="Fixo",(DI286-INDEX('Curva Forward'!$C$5:$AN$13,MATCH(CONCATENATE(BD_COMERCIAL!$K286," ",BD_COMERCIAL!$L286),'Curva Forward'!$B$5:$B$13,0),MATCH(GG$4,'Curva Forward'!$C$4:$AN$4,0))),DI286)</f>
        <v>0</v>
      </c>
      <c r="GH286" s="190">
        <f>AV286*AV$2*IF($FC286="V",1,-1)*IF($Q286="Fixo",(DJ286-INDEX('Curva Forward'!$C$5:$AN$13,MATCH(CONCATENATE(BD_COMERCIAL!$K286," ",BD_COMERCIAL!$L286),'Curva Forward'!$B$5:$B$13,0),MATCH(GH$4,'Curva Forward'!$C$4:$AN$4,0))),DJ286)</f>
        <v>0</v>
      </c>
      <c r="GI286" s="190">
        <f>AW286*AW$2*IF($FC286="V",1,-1)*IF($Q286="Fixo",(DK286-INDEX('Curva Forward'!$C$5:$AN$13,MATCH(CONCATENATE(BD_COMERCIAL!$K286," ",BD_COMERCIAL!$L286),'Curva Forward'!$B$5:$B$13,0),MATCH(GI$4,'Curva Forward'!$C$4:$AN$4,0))),DK286)</f>
        <v>0</v>
      </c>
      <c r="GJ286" s="190">
        <f>AX286*AX$2*IF($FC286="V",1,-1)*IF($Q286="Fixo",(DL286-INDEX('Curva Forward'!$C$5:$AN$13,MATCH(CONCATENATE(BD_COMERCIAL!$K286," ",BD_COMERCIAL!$L286),'Curva Forward'!$B$5:$B$13,0),MATCH(GJ$4,'Curva Forward'!$C$4:$AN$4,0))),DL286)</f>
        <v>0</v>
      </c>
      <c r="GK286" s="190">
        <f>AY286*AY$2*IF($FC286="V",1,-1)*IF($Q286="Fixo",(DM286-INDEX('Curva Forward'!$C$5:$AN$13,MATCH(CONCATENATE(BD_COMERCIAL!$K286," ",BD_COMERCIAL!$L286),'Curva Forward'!$B$5:$B$13,0),MATCH(GK$4,'Curva Forward'!$C$4:$AN$4,0))),DM286)</f>
        <v>0</v>
      </c>
      <c r="GL286" s="190">
        <f>IF(EZ286="",0,CL286*CL$2*IF($FC286="V",1,-1)*IF($Q286="Fixo",(EZ286-INDEX('Curva Forward'!$C$5:$AN$13,MATCH(CONCATENATE(BD_COMERCIAL!$K286," ",BD_COMERCIAL!$L286),'Curva Forward'!$B$5:$B$13,0),MATCH(GL$4,'Curva Forward'!$C$4:$AN$4,0))),EZ286))</f>
        <v>0</v>
      </c>
      <c r="GM286" s="190">
        <f>IF(FA286="",0,CM286*CM$2*IF($FC286="V",1,-1)*IF($Q286="Fixo",(FA286-INDEX('Curva Forward'!$C$5:$AN$13,MATCH(CONCATENATE(BD_COMERCIAL!$K286," ",BD_COMERCIAL!$L286),'Curva Forward'!$B$5:$B$13,0),MATCH(GM$4,'Curva Forward'!$C$4:$AN$4,0))),FA286))</f>
        <v>0</v>
      </c>
      <c r="GN286" s="190">
        <f>IF(FB286="",0,CN286*CN$2*IF($FC286="V",1,-1)*IF($Q286="Fixo",(FB286-INDEX('Curva Forward'!$C$5:$AN$13,MATCH(CONCATENATE(BD_COMERCIAL!$K286," ",BD_COMERCIAL!$L286),'Curva Forward'!$B$5:$B$13,0),MATCH(GN$4,'Curva Forward'!$C$4:$AN$4,0))),FB286))</f>
        <v>0</v>
      </c>
      <c r="GO286" s="191">
        <f t="shared" ca="1" si="39"/>
        <v>0</v>
      </c>
      <c r="GP286" s="191">
        <f t="shared" ca="1" si="40"/>
        <v>0</v>
      </c>
      <c r="GQ286" s="115"/>
      <c r="GR286" s="115"/>
      <c r="GS286"/>
      <c r="GT286" s="65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</row>
    <row r="287" spans="1:236" s="265" customFormat="1" ht="15" customHeight="1" x14ac:dyDescent="0.35">
      <c r="A287" s="251"/>
      <c r="B287" s="275"/>
      <c r="C287" s="253"/>
      <c r="D287" s="254"/>
      <c r="E287" s="254"/>
      <c r="F287" s="255"/>
      <c r="G287" s="256"/>
      <c r="H287" s="255"/>
      <c r="I287" s="254"/>
      <c r="J287" s="257"/>
      <c r="K287" s="256"/>
      <c r="L287" s="252"/>
      <c r="M287" s="258"/>
      <c r="N287" s="259"/>
      <c r="O287" s="256"/>
      <c r="P287" s="252"/>
      <c r="Q287" s="252"/>
      <c r="R287" s="256"/>
      <c r="S287" s="260"/>
      <c r="T287" s="258"/>
      <c r="U287" s="259"/>
      <c r="V287" s="261"/>
      <c r="W287" s="252"/>
      <c r="X287" s="262"/>
      <c r="Y287" s="257"/>
      <c r="Z287" s="263"/>
      <c r="AA287" s="264"/>
      <c r="AB287" s="266"/>
      <c r="AM287" s="251"/>
      <c r="AN287" s="266"/>
      <c r="AY287" s="251"/>
      <c r="AZ287" s="266"/>
      <c r="BK287" s="251"/>
      <c r="BL287" s="266"/>
      <c r="BW287" s="251"/>
      <c r="BX287" s="266"/>
      <c r="CI287" s="251"/>
      <c r="CJ287" s="267"/>
      <c r="CK287" s="267"/>
      <c r="CL287" s="267"/>
      <c r="CM287" s="267"/>
      <c r="CN287" s="267"/>
      <c r="CO287" s="268"/>
      <c r="CP287" s="266"/>
      <c r="DA287" s="251"/>
      <c r="DB287" s="266"/>
      <c r="DM287" s="251"/>
      <c r="DN287" s="266"/>
      <c r="DY287" s="251"/>
      <c r="DZ287" s="266"/>
      <c r="EK287" s="251"/>
      <c r="EL287" s="266"/>
      <c r="EW287" s="251"/>
      <c r="EX287" s="267"/>
      <c r="EY287" s="267"/>
      <c r="EZ287" s="267"/>
      <c r="FA287" s="267"/>
      <c r="FB287" s="269"/>
      <c r="FD287" s="270"/>
      <c r="FF287" s="276"/>
      <c r="FH287" s="206">
        <f t="shared" si="34"/>
        <v>0</v>
      </c>
      <c r="FI287" s="198">
        <f t="shared" si="35"/>
        <v>0</v>
      </c>
      <c r="FJ287"/>
      <c r="FK287">
        <f t="shared" si="36"/>
        <v>0</v>
      </c>
      <c r="FL287" s="191">
        <f t="shared" ca="1" si="37"/>
        <v>0</v>
      </c>
      <c r="FM287" s="191">
        <f t="shared" ca="1" si="38"/>
        <v>0</v>
      </c>
      <c r="FN287" s="190">
        <f>AB287*AB$2*IF($FC287="V",1,-1)*IF($Q287="Fixo",(CP287-INDEX('Curva Forward'!$C$5:$AN$13,MATCH(CONCATENATE(BD_COMERCIAL!$K287," ",BD_COMERCIAL!$L287),'Curva Forward'!$B$5:$B$13,0),MATCH(FN$4,'Curva Forward'!$C$4:$AN$4,0))),CP287)</f>
        <v>0</v>
      </c>
      <c r="FO287" s="190">
        <f>AC287*AC$2*IF($FC287="V",1,-1)*IF($Q287="Fixo",(CQ287-INDEX('Curva Forward'!$C$5:$AN$13,MATCH(CONCATENATE(BD_COMERCIAL!$K287," ",BD_COMERCIAL!$L287),'Curva Forward'!$B$5:$B$13,0),MATCH(FO$4,'Curva Forward'!$C$4:$AN$4,0))),CQ287)</f>
        <v>0</v>
      </c>
      <c r="FP287" s="190">
        <f>AD287*AD$2*IF($FC287="V",1,-1)*IF($Q287="Fixo",(CR287-INDEX('Curva Forward'!$C$5:$AN$13,MATCH(CONCATENATE(BD_COMERCIAL!$K287," ",BD_COMERCIAL!$L287),'Curva Forward'!$B$5:$B$13,0),MATCH(FP$4,'Curva Forward'!$C$4:$AN$4,0))),CR287)</f>
        <v>0</v>
      </c>
      <c r="FQ287" s="190">
        <f>AE287*AE$2*IF($FC287="V",1,-1)*IF($Q287="Fixo",(CS287-INDEX('Curva Forward'!$C$5:$AN$13,MATCH(CONCATENATE(BD_COMERCIAL!$K287," ",BD_COMERCIAL!$L287),'Curva Forward'!$B$5:$B$13,0),MATCH(FQ$4,'Curva Forward'!$C$4:$AN$4,0))),CS287)</f>
        <v>0</v>
      </c>
      <c r="FR287" s="190">
        <f>AF287*AF$2*IF($FC287="V",1,-1)*IF($Q287="Fixo",(CT287-INDEX('Curva Forward'!$C$5:$AN$13,MATCH(CONCATENATE(BD_COMERCIAL!$K287," ",BD_COMERCIAL!$L287),'Curva Forward'!$B$5:$B$13,0),MATCH(FR$4,'Curva Forward'!$C$4:$AN$4,0))),CT287)</f>
        <v>0</v>
      </c>
      <c r="FS287" s="190">
        <f>AG287*AG$2*IF($FC287="V",1,-1)*IF($Q287="Fixo",(CU287-INDEX('Curva Forward'!$C$5:$AN$13,MATCH(CONCATENATE(BD_COMERCIAL!$K287," ",BD_COMERCIAL!$L287),'Curva Forward'!$B$5:$B$13,0),MATCH(FS$4,'Curva Forward'!$C$4:$AN$4,0))),CU287)</f>
        <v>0</v>
      </c>
      <c r="FT287" s="190">
        <f>AH287*AH$2*IF($FC287="V",1,-1)*IF($Q287="Fixo",(CV287-INDEX('Curva Forward'!$C$5:$AN$13,MATCH(CONCATENATE(BD_COMERCIAL!$K287," ",BD_COMERCIAL!$L287),'Curva Forward'!$B$5:$B$13,0),MATCH(FT$4,'Curva Forward'!$C$4:$AN$4,0))),CV287)</f>
        <v>0</v>
      </c>
      <c r="FU287" s="190">
        <f>AI287*AI$2*IF($FC287="V",1,-1)*IF($Q287="Fixo",(CW287-INDEX('Curva Forward'!$C$5:$AN$13,MATCH(CONCATENATE(BD_COMERCIAL!$K287," ",BD_COMERCIAL!$L287),'Curva Forward'!$B$5:$B$13,0),MATCH(FU$4,'Curva Forward'!$C$4:$AN$4,0))),CW287)</f>
        <v>0</v>
      </c>
      <c r="FV287" s="190">
        <f>AJ287*AJ$2*IF($FC287="V",1,-1)*IF($Q287="Fixo",(CX287-INDEX('Curva Forward'!$C$5:$AN$13,MATCH(CONCATENATE(BD_COMERCIAL!$K287," ",BD_COMERCIAL!$L287),'Curva Forward'!$B$5:$B$13,0),MATCH(FV$4,'Curva Forward'!$C$4:$AN$4,0))),CX287)</f>
        <v>0</v>
      </c>
      <c r="FW287" s="190">
        <f>AK287*AK$2*IF($FC287="V",1,-1)*IF($Q287="Fixo",(CY287-INDEX('Curva Forward'!$C$5:$AN$13,MATCH(CONCATENATE(BD_COMERCIAL!$K287," ",BD_COMERCIAL!$L287),'Curva Forward'!$B$5:$B$13,0),MATCH(FW$4,'Curva Forward'!$C$4:$AN$4,0))),CY287)</f>
        <v>0</v>
      </c>
      <c r="FX287" s="190">
        <f>AL287*AL$2*IF($FC287="V",1,-1)*IF($Q287="Fixo",(CZ287-INDEX('Curva Forward'!$C$5:$AN$13,MATCH(CONCATENATE(BD_COMERCIAL!$K287," ",BD_COMERCIAL!$L287),'Curva Forward'!$B$5:$B$13,0),MATCH(FX$4,'Curva Forward'!$C$4:$AN$4,0))),CZ287)</f>
        <v>0</v>
      </c>
      <c r="FY287" s="190">
        <f>AM287*AM$2*IF($FC287="V",1,-1)*IF($Q287="Fixo",(DA287-INDEX('Curva Forward'!$C$5:$AN$13,MATCH(CONCATENATE(BD_COMERCIAL!$K287," ",BD_COMERCIAL!$L287),'Curva Forward'!$B$5:$B$13,0),MATCH(FY$4,'Curva Forward'!$C$4:$AN$4,0))),DA287)</f>
        <v>0</v>
      </c>
      <c r="FZ287" s="190">
        <f>AN287*AN$2*IF($FC287="V",1,-1)*IF($Q287="Fixo",(DB287-INDEX('Curva Forward'!$C$5:$AN$13,MATCH(CONCATENATE(BD_COMERCIAL!$K287," ",BD_COMERCIAL!$L287),'Curva Forward'!$B$5:$B$13,0),MATCH(FZ$4,'Curva Forward'!$C$4:$AN$4,0))),DB287)</f>
        <v>0</v>
      </c>
      <c r="GA287" s="190">
        <f>AO287*AO$2*IF($FC287="V",1,-1)*IF($Q287="Fixo",(DC287-INDEX('Curva Forward'!$C$5:$AN$13,MATCH(CONCATENATE(BD_COMERCIAL!$K287," ",BD_COMERCIAL!$L287),'Curva Forward'!$B$5:$B$13,0),MATCH(GA$4,'Curva Forward'!$C$4:$AN$4,0))),DC287)</f>
        <v>0</v>
      </c>
      <c r="GB287" s="190">
        <f>AP287*AP$2*IF($FC287="V",1,-1)*IF($Q287="Fixo",(DD287-INDEX('Curva Forward'!$C$5:$AN$13,MATCH(CONCATENATE(BD_COMERCIAL!$K287," ",BD_COMERCIAL!$L287),'Curva Forward'!$B$5:$B$13,0),MATCH(GB$4,'Curva Forward'!$C$4:$AN$4,0))),DD287)</f>
        <v>0</v>
      </c>
      <c r="GC287" s="190">
        <f>AQ287*AQ$2*IF($FC287="V",1,-1)*IF($Q287="Fixo",(DE287-INDEX('Curva Forward'!$C$5:$AN$13,MATCH(CONCATENATE(BD_COMERCIAL!$K287," ",BD_COMERCIAL!$L287),'Curva Forward'!$B$5:$B$13,0),MATCH(GC$4,'Curva Forward'!$C$4:$AN$4,0))),DE287)</f>
        <v>0</v>
      </c>
      <c r="GD287" s="190">
        <f>AR287*AR$2*IF($FC287="V",1,-1)*IF($Q287="Fixo",(DF287-INDEX('Curva Forward'!$C$5:$AN$13,MATCH(CONCATENATE(BD_COMERCIAL!$K287," ",BD_COMERCIAL!$L287),'Curva Forward'!$B$5:$B$13,0),MATCH(GD$4,'Curva Forward'!$C$4:$AN$4,0))),DF287)</f>
        <v>0</v>
      </c>
      <c r="GE287" s="190">
        <f>AS287*AS$2*IF($FC287="V",1,-1)*IF($Q287="Fixo",(DG287-INDEX('Curva Forward'!$C$5:$AN$13,MATCH(CONCATENATE(BD_COMERCIAL!$K287," ",BD_COMERCIAL!$L287),'Curva Forward'!$B$5:$B$13,0),MATCH(GE$4,'Curva Forward'!$C$4:$AN$4,0))),DG287)</f>
        <v>0</v>
      </c>
      <c r="GF287" s="190">
        <f>AT287*AT$2*IF($FC287="V",1,-1)*IF($Q287="Fixo",(DH287-INDEX('Curva Forward'!$C$5:$AN$13,MATCH(CONCATENATE(BD_COMERCIAL!$K287," ",BD_COMERCIAL!$L287),'Curva Forward'!$B$5:$B$13,0),MATCH(GF$4,'Curva Forward'!$C$4:$AN$4,0))),DH287)</f>
        <v>0</v>
      </c>
      <c r="GG287" s="190">
        <f>AU287*AU$2*IF($FC287="V",1,-1)*IF($Q287="Fixo",(DI287-INDEX('Curva Forward'!$C$5:$AN$13,MATCH(CONCATENATE(BD_COMERCIAL!$K287," ",BD_COMERCIAL!$L287),'Curva Forward'!$B$5:$B$13,0),MATCH(GG$4,'Curva Forward'!$C$4:$AN$4,0))),DI287)</f>
        <v>0</v>
      </c>
      <c r="GH287" s="190">
        <f>AV287*AV$2*IF($FC287="V",1,-1)*IF($Q287="Fixo",(DJ287-INDEX('Curva Forward'!$C$5:$AN$13,MATCH(CONCATENATE(BD_COMERCIAL!$K287," ",BD_COMERCIAL!$L287),'Curva Forward'!$B$5:$B$13,0),MATCH(GH$4,'Curva Forward'!$C$4:$AN$4,0))),DJ287)</f>
        <v>0</v>
      </c>
      <c r="GI287" s="190">
        <f>AW287*AW$2*IF($FC287="V",1,-1)*IF($Q287="Fixo",(DK287-INDEX('Curva Forward'!$C$5:$AN$13,MATCH(CONCATENATE(BD_COMERCIAL!$K287," ",BD_COMERCIAL!$L287),'Curva Forward'!$B$5:$B$13,0),MATCH(GI$4,'Curva Forward'!$C$4:$AN$4,0))),DK287)</f>
        <v>0</v>
      </c>
      <c r="GJ287" s="190">
        <f>AX287*AX$2*IF($FC287="V",1,-1)*IF($Q287="Fixo",(DL287-INDEX('Curva Forward'!$C$5:$AN$13,MATCH(CONCATENATE(BD_COMERCIAL!$K287," ",BD_COMERCIAL!$L287),'Curva Forward'!$B$5:$B$13,0),MATCH(GJ$4,'Curva Forward'!$C$4:$AN$4,0))),DL287)</f>
        <v>0</v>
      </c>
      <c r="GK287" s="190">
        <f>AY287*AY$2*IF($FC287="V",1,-1)*IF($Q287="Fixo",(DM287-INDEX('Curva Forward'!$C$5:$AN$13,MATCH(CONCATENATE(BD_COMERCIAL!$K287," ",BD_COMERCIAL!$L287),'Curva Forward'!$B$5:$B$13,0),MATCH(GK$4,'Curva Forward'!$C$4:$AN$4,0))),DM287)</f>
        <v>0</v>
      </c>
      <c r="GL287" s="190">
        <f>IF(EZ287="",0,CL287*CL$2*IF($FC287="V",1,-1)*IF($Q287="Fixo",(EZ287-INDEX('Curva Forward'!$C$5:$AN$13,MATCH(CONCATENATE(BD_COMERCIAL!$K287," ",BD_COMERCIAL!$L287),'Curva Forward'!$B$5:$B$13,0),MATCH(GL$4,'Curva Forward'!$C$4:$AN$4,0))),EZ287))</f>
        <v>0</v>
      </c>
      <c r="GM287" s="190">
        <f>IF(FA287="",0,CM287*CM$2*IF($FC287="V",1,-1)*IF($Q287="Fixo",(FA287-INDEX('Curva Forward'!$C$5:$AN$13,MATCH(CONCATENATE(BD_COMERCIAL!$K287," ",BD_COMERCIAL!$L287),'Curva Forward'!$B$5:$B$13,0),MATCH(GM$4,'Curva Forward'!$C$4:$AN$4,0))),FA287))</f>
        <v>0</v>
      </c>
      <c r="GN287" s="190">
        <f>IF(FB287="",0,CN287*CN$2*IF($FC287="V",1,-1)*IF($Q287="Fixo",(FB287-INDEX('Curva Forward'!$C$5:$AN$13,MATCH(CONCATENATE(BD_COMERCIAL!$K287," ",BD_COMERCIAL!$L287),'Curva Forward'!$B$5:$B$13,0),MATCH(GN$4,'Curva Forward'!$C$4:$AN$4,0))),FB287))</f>
        <v>0</v>
      </c>
      <c r="GO287" s="191">
        <f t="shared" ca="1" si="39"/>
        <v>0</v>
      </c>
      <c r="GP287" s="191">
        <f t="shared" ca="1" si="40"/>
        <v>0</v>
      </c>
      <c r="GQ287" s="115"/>
      <c r="GR287" s="115"/>
      <c r="GS287"/>
      <c r="GT287" s="65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</row>
    <row r="288" spans="1:236" s="265" customFormat="1" ht="15" customHeight="1" x14ac:dyDescent="0.35">
      <c r="A288" s="251"/>
      <c r="B288" s="275"/>
      <c r="C288" s="253"/>
      <c r="D288" s="254"/>
      <c r="E288" s="254"/>
      <c r="F288" s="255"/>
      <c r="G288" s="256"/>
      <c r="H288" s="255"/>
      <c r="I288" s="254"/>
      <c r="J288" s="257"/>
      <c r="K288" s="256"/>
      <c r="L288" s="252"/>
      <c r="M288" s="258"/>
      <c r="N288" s="259"/>
      <c r="O288" s="256"/>
      <c r="P288" s="252"/>
      <c r="Q288" s="252"/>
      <c r="R288" s="256"/>
      <c r="S288" s="260"/>
      <c r="T288" s="258"/>
      <c r="U288" s="259"/>
      <c r="V288" s="261"/>
      <c r="W288" s="252"/>
      <c r="X288" s="262"/>
      <c r="Y288" s="257"/>
      <c r="Z288" s="263"/>
      <c r="AA288" s="264"/>
      <c r="AB288" s="266"/>
      <c r="AM288" s="251"/>
      <c r="AN288" s="266"/>
      <c r="AY288" s="251"/>
      <c r="AZ288" s="266"/>
      <c r="BK288" s="251"/>
      <c r="BL288" s="266"/>
      <c r="BW288" s="251"/>
      <c r="BX288" s="266"/>
      <c r="CI288" s="251"/>
      <c r="CJ288" s="267"/>
      <c r="CK288" s="267"/>
      <c r="CL288" s="267"/>
      <c r="CM288" s="267"/>
      <c r="CN288" s="267"/>
      <c r="CO288" s="268"/>
      <c r="CP288" s="266"/>
      <c r="DA288" s="251"/>
      <c r="DB288" s="266"/>
      <c r="DM288" s="251"/>
      <c r="DN288" s="266"/>
      <c r="DY288" s="251"/>
      <c r="DZ288" s="266"/>
      <c r="EK288" s="251"/>
      <c r="EL288" s="266"/>
      <c r="EW288" s="251"/>
      <c r="EX288" s="267"/>
      <c r="EY288" s="267"/>
      <c r="EZ288" s="267"/>
      <c r="FA288" s="267"/>
      <c r="FB288" s="269"/>
      <c r="FD288" s="270"/>
      <c r="FF288" s="276"/>
      <c r="FH288" s="206">
        <f t="shared" si="34"/>
        <v>0</v>
      </c>
      <c r="FI288" s="198">
        <f t="shared" si="35"/>
        <v>0</v>
      </c>
      <c r="FJ288"/>
      <c r="FK288">
        <f t="shared" si="36"/>
        <v>0</v>
      </c>
      <c r="FL288" s="191">
        <f t="shared" ca="1" si="37"/>
        <v>0</v>
      </c>
      <c r="FM288" s="191">
        <f t="shared" ca="1" si="38"/>
        <v>0</v>
      </c>
      <c r="FN288" s="190">
        <f>AB288*AB$2*IF($FC288="V",1,-1)*IF($Q288="Fixo",(CP288-INDEX('Curva Forward'!$C$5:$AN$13,MATCH(CONCATENATE(BD_COMERCIAL!$K288," ",BD_COMERCIAL!$L288),'Curva Forward'!$B$5:$B$13,0),MATCH(FN$4,'Curva Forward'!$C$4:$AN$4,0))),CP288)</f>
        <v>0</v>
      </c>
      <c r="FO288" s="190">
        <f>AC288*AC$2*IF($FC288="V",1,-1)*IF($Q288="Fixo",(CQ288-INDEX('Curva Forward'!$C$5:$AN$13,MATCH(CONCATENATE(BD_COMERCIAL!$K288," ",BD_COMERCIAL!$L288),'Curva Forward'!$B$5:$B$13,0),MATCH(FO$4,'Curva Forward'!$C$4:$AN$4,0))),CQ288)</f>
        <v>0</v>
      </c>
      <c r="FP288" s="190">
        <f>AD288*AD$2*IF($FC288="V",1,-1)*IF($Q288="Fixo",(CR288-INDEX('Curva Forward'!$C$5:$AN$13,MATCH(CONCATENATE(BD_COMERCIAL!$K288," ",BD_COMERCIAL!$L288),'Curva Forward'!$B$5:$B$13,0),MATCH(FP$4,'Curva Forward'!$C$4:$AN$4,0))),CR288)</f>
        <v>0</v>
      </c>
      <c r="FQ288" s="190">
        <f>AE288*AE$2*IF($FC288="V",1,-1)*IF($Q288="Fixo",(CS288-INDEX('Curva Forward'!$C$5:$AN$13,MATCH(CONCATENATE(BD_COMERCIAL!$K288," ",BD_COMERCIAL!$L288),'Curva Forward'!$B$5:$B$13,0),MATCH(FQ$4,'Curva Forward'!$C$4:$AN$4,0))),CS288)</f>
        <v>0</v>
      </c>
      <c r="FR288" s="190">
        <f>AF288*AF$2*IF($FC288="V",1,-1)*IF($Q288="Fixo",(CT288-INDEX('Curva Forward'!$C$5:$AN$13,MATCH(CONCATENATE(BD_COMERCIAL!$K288," ",BD_COMERCIAL!$L288),'Curva Forward'!$B$5:$B$13,0),MATCH(FR$4,'Curva Forward'!$C$4:$AN$4,0))),CT288)</f>
        <v>0</v>
      </c>
      <c r="FS288" s="190">
        <f>AG288*AG$2*IF($FC288="V",1,-1)*IF($Q288="Fixo",(CU288-INDEX('Curva Forward'!$C$5:$AN$13,MATCH(CONCATENATE(BD_COMERCIAL!$K288," ",BD_COMERCIAL!$L288),'Curva Forward'!$B$5:$B$13,0),MATCH(FS$4,'Curva Forward'!$C$4:$AN$4,0))),CU288)</f>
        <v>0</v>
      </c>
      <c r="FT288" s="190">
        <f>AH288*AH$2*IF($FC288="V",1,-1)*IF($Q288="Fixo",(CV288-INDEX('Curva Forward'!$C$5:$AN$13,MATCH(CONCATENATE(BD_COMERCIAL!$K288," ",BD_COMERCIAL!$L288),'Curva Forward'!$B$5:$B$13,0),MATCH(FT$4,'Curva Forward'!$C$4:$AN$4,0))),CV288)</f>
        <v>0</v>
      </c>
      <c r="FU288" s="190">
        <f>AI288*AI$2*IF($FC288="V",1,-1)*IF($Q288="Fixo",(CW288-INDEX('Curva Forward'!$C$5:$AN$13,MATCH(CONCATENATE(BD_COMERCIAL!$K288," ",BD_COMERCIAL!$L288),'Curva Forward'!$B$5:$B$13,0),MATCH(FU$4,'Curva Forward'!$C$4:$AN$4,0))),CW288)</f>
        <v>0</v>
      </c>
      <c r="FV288" s="190">
        <f>AJ288*AJ$2*IF($FC288="V",1,-1)*IF($Q288="Fixo",(CX288-INDEX('Curva Forward'!$C$5:$AN$13,MATCH(CONCATENATE(BD_COMERCIAL!$K288," ",BD_COMERCIAL!$L288),'Curva Forward'!$B$5:$B$13,0),MATCH(FV$4,'Curva Forward'!$C$4:$AN$4,0))),CX288)</f>
        <v>0</v>
      </c>
      <c r="FW288" s="190">
        <f>AK288*AK$2*IF($FC288="V",1,-1)*IF($Q288="Fixo",(CY288-INDEX('Curva Forward'!$C$5:$AN$13,MATCH(CONCATENATE(BD_COMERCIAL!$K288," ",BD_COMERCIAL!$L288),'Curva Forward'!$B$5:$B$13,0),MATCH(FW$4,'Curva Forward'!$C$4:$AN$4,0))),CY288)</f>
        <v>0</v>
      </c>
      <c r="FX288" s="190">
        <f>AL288*AL$2*IF($FC288="V",1,-1)*IF($Q288="Fixo",(CZ288-INDEX('Curva Forward'!$C$5:$AN$13,MATCH(CONCATENATE(BD_COMERCIAL!$K288," ",BD_COMERCIAL!$L288),'Curva Forward'!$B$5:$B$13,0),MATCH(FX$4,'Curva Forward'!$C$4:$AN$4,0))),CZ288)</f>
        <v>0</v>
      </c>
      <c r="FY288" s="190">
        <f>AM288*AM$2*IF($FC288="V",1,-1)*IF($Q288="Fixo",(DA288-INDEX('Curva Forward'!$C$5:$AN$13,MATCH(CONCATENATE(BD_COMERCIAL!$K288," ",BD_COMERCIAL!$L288),'Curva Forward'!$B$5:$B$13,0),MATCH(FY$4,'Curva Forward'!$C$4:$AN$4,0))),DA288)</f>
        <v>0</v>
      </c>
      <c r="FZ288" s="190">
        <f>AN288*AN$2*IF($FC288="V",1,-1)*IF($Q288="Fixo",(DB288-INDEX('Curva Forward'!$C$5:$AN$13,MATCH(CONCATENATE(BD_COMERCIAL!$K288," ",BD_COMERCIAL!$L288),'Curva Forward'!$B$5:$B$13,0),MATCH(FZ$4,'Curva Forward'!$C$4:$AN$4,0))),DB288)</f>
        <v>0</v>
      </c>
      <c r="GA288" s="190">
        <f>AO288*AO$2*IF($FC288="V",1,-1)*IF($Q288="Fixo",(DC288-INDEX('Curva Forward'!$C$5:$AN$13,MATCH(CONCATENATE(BD_COMERCIAL!$K288," ",BD_COMERCIAL!$L288),'Curva Forward'!$B$5:$B$13,0),MATCH(GA$4,'Curva Forward'!$C$4:$AN$4,0))),DC288)</f>
        <v>0</v>
      </c>
      <c r="GB288" s="190">
        <f>AP288*AP$2*IF($FC288="V",1,-1)*IF($Q288="Fixo",(DD288-INDEX('Curva Forward'!$C$5:$AN$13,MATCH(CONCATENATE(BD_COMERCIAL!$K288," ",BD_COMERCIAL!$L288),'Curva Forward'!$B$5:$B$13,0),MATCH(GB$4,'Curva Forward'!$C$4:$AN$4,0))),DD288)</f>
        <v>0</v>
      </c>
      <c r="GC288" s="190">
        <f>AQ288*AQ$2*IF($FC288="V",1,-1)*IF($Q288="Fixo",(DE288-INDEX('Curva Forward'!$C$5:$AN$13,MATCH(CONCATENATE(BD_COMERCIAL!$K288," ",BD_COMERCIAL!$L288),'Curva Forward'!$B$5:$B$13,0),MATCH(GC$4,'Curva Forward'!$C$4:$AN$4,0))),DE288)</f>
        <v>0</v>
      </c>
      <c r="GD288" s="190">
        <f>AR288*AR$2*IF($FC288="V",1,-1)*IF($Q288="Fixo",(DF288-INDEX('Curva Forward'!$C$5:$AN$13,MATCH(CONCATENATE(BD_COMERCIAL!$K288," ",BD_COMERCIAL!$L288),'Curva Forward'!$B$5:$B$13,0),MATCH(GD$4,'Curva Forward'!$C$4:$AN$4,0))),DF288)</f>
        <v>0</v>
      </c>
      <c r="GE288" s="190">
        <f>AS288*AS$2*IF($FC288="V",1,-1)*IF($Q288="Fixo",(DG288-INDEX('Curva Forward'!$C$5:$AN$13,MATCH(CONCATENATE(BD_COMERCIAL!$K288," ",BD_COMERCIAL!$L288),'Curva Forward'!$B$5:$B$13,0),MATCH(GE$4,'Curva Forward'!$C$4:$AN$4,0))),DG288)</f>
        <v>0</v>
      </c>
      <c r="GF288" s="190">
        <f>AT288*AT$2*IF($FC288="V",1,-1)*IF($Q288="Fixo",(DH288-INDEX('Curva Forward'!$C$5:$AN$13,MATCH(CONCATENATE(BD_COMERCIAL!$K288," ",BD_COMERCIAL!$L288),'Curva Forward'!$B$5:$B$13,0),MATCH(GF$4,'Curva Forward'!$C$4:$AN$4,0))),DH288)</f>
        <v>0</v>
      </c>
      <c r="GG288" s="190">
        <f>AU288*AU$2*IF($FC288="V",1,-1)*IF($Q288="Fixo",(DI288-INDEX('Curva Forward'!$C$5:$AN$13,MATCH(CONCATENATE(BD_COMERCIAL!$K288," ",BD_COMERCIAL!$L288),'Curva Forward'!$B$5:$B$13,0),MATCH(GG$4,'Curva Forward'!$C$4:$AN$4,0))),DI288)</f>
        <v>0</v>
      </c>
      <c r="GH288" s="190">
        <f>AV288*AV$2*IF($FC288="V",1,-1)*IF($Q288="Fixo",(DJ288-INDEX('Curva Forward'!$C$5:$AN$13,MATCH(CONCATENATE(BD_COMERCIAL!$K288," ",BD_COMERCIAL!$L288),'Curva Forward'!$B$5:$B$13,0),MATCH(GH$4,'Curva Forward'!$C$4:$AN$4,0))),DJ288)</f>
        <v>0</v>
      </c>
      <c r="GI288" s="190">
        <f>AW288*AW$2*IF($FC288="V",1,-1)*IF($Q288="Fixo",(DK288-INDEX('Curva Forward'!$C$5:$AN$13,MATCH(CONCATENATE(BD_COMERCIAL!$K288," ",BD_COMERCIAL!$L288),'Curva Forward'!$B$5:$B$13,0),MATCH(GI$4,'Curva Forward'!$C$4:$AN$4,0))),DK288)</f>
        <v>0</v>
      </c>
      <c r="GJ288" s="190">
        <f>AX288*AX$2*IF($FC288="V",1,-1)*IF($Q288="Fixo",(DL288-INDEX('Curva Forward'!$C$5:$AN$13,MATCH(CONCATENATE(BD_COMERCIAL!$K288," ",BD_COMERCIAL!$L288),'Curva Forward'!$B$5:$B$13,0),MATCH(GJ$4,'Curva Forward'!$C$4:$AN$4,0))),DL288)</f>
        <v>0</v>
      </c>
      <c r="GK288" s="190">
        <f>AY288*AY$2*IF($FC288="V",1,-1)*IF($Q288="Fixo",(DM288-INDEX('Curva Forward'!$C$5:$AN$13,MATCH(CONCATENATE(BD_COMERCIAL!$K288," ",BD_COMERCIAL!$L288),'Curva Forward'!$B$5:$B$13,0),MATCH(GK$4,'Curva Forward'!$C$4:$AN$4,0))),DM288)</f>
        <v>0</v>
      </c>
      <c r="GL288" s="190">
        <f>IF(EZ288="",0,CL288*CL$2*IF($FC288="V",1,-1)*IF($Q288="Fixo",(EZ288-INDEX('Curva Forward'!$C$5:$AN$13,MATCH(CONCATENATE(BD_COMERCIAL!$K288," ",BD_COMERCIAL!$L288),'Curva Forward'!$B$5:$B$13,0),MATCH(GL$4,'Curva Forward'!$C$4:$AN$4,0))),EZ288))</f>
        <v>0</v>
      </c>
      <c r="GM288" s="190">
        <f>IF(FA288="",0,CM288*CM$2*IF($FC288="V",1,-1)*IF($Q288="Fixo",(FA288-INDEX('Curva Forward'!$C$5:$AN$13,MATCH(CONCATENATE(BD_COMERCIAL!$K288," ",BD_COMERCIAL!$L288),'Curva Forward'!$B$5:$B$13,0),MATCH(GM$4,'Curva Forward'!$C$4:$AN$4,0))),FA288))</f>
        <v>0</v>
      </c>
      <c r="GN288" s="190">
        <f>IF(FB288="",0,CN288*CN$2*IF($FC288="V",1,-1)*IF($Q288="Fixo",(FB288-INDEX('Curva Forward'!$C$5:$AN$13,MATCH(CONCATENATE(BD_COMERCIAL!$K288," ",BD_COMERCIAL!$L288),'Curva Forward'!$B$5:$B$13,0),MATCH(GN$4,'Curva Forward'!$C$4:$AN$4,0))),FB288))</f>
        <v>0</v>
      </c>
      <c r="GO288" s="191">
        <f t="shared" ca="1" si="39"/>
        <v>0</v>
      </c>
      <c r="GP288" s="191">
        <f t="shared" ca="1" si="40"/>
        <v>0</v>
      </c>
      <c r="GQ288" s="115"/>
      <c r="GR288" s="115"/>
      <c r="GS288"/>
      <c r="GT288" s="65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</row>
    <row r="289" spans="1:236" s="265" customFormat="1" ht="15" customHeight="1" x14ac:dyDescent="0.35">
      <c r="A289" s="251"/>
      <c r="B289" s="275"/>
      <c r="C289" s="253"/>
      <c r="D289" s="254"/>
      <c r="E289" s="254"/>
      <c r="F289" s="255"/>
      <c r="G289" s="256"/>
      <c r="H289" s="255"/>
      <c r="I289" s="254"/>
      <c r="J289" s="257"/>
      <c r="K289" s="256"/>
      <c r="L289" s="252"/>
      <c r="M289" s="258"/>
      <c r="N289" s="259"/>
      <c r="O289" s="256"/>
      <c r="P289" s="252"/>
      <c r="Q289" s="252"/>
      <c r="R289" s="256"/>
      <c r="S289" s="260"/>
      <c r="T289" s="258"/>
      <c r="U289" s="259"/>
      <c r="V289" s="261"/>
      <c r="W289" s="252"/>
      <c r="X289" s="262"/>
      <c r="Y289" s="257"/>
      <c r="Z289" s="263"/>
      <c r="AA289" s="264"/>
      <c r="AB289" s="266"/>
      <c r="AM289" s="251"/>
      <c r="AN289" s="266"/>
      <c r="AY289" s="251"/>
      <c r="AZ289" s="266"/>
      <c r="BK289" s="251"/>
      <c r="BL289" s="266"/>
      <c r="BW289" s="251"/>
      <c r="BX289" s="266"/>
      <c r="CI289" s="251"/>
      <c r="CJ289" s="267"/>
      <c r="CK289" s="267"/>
      <c r="CL289" s="267"/>
      <c r="CM289" s="267"/>
      <c r="CN289" s="267"/>
      <c r="CO289" s="268"/>
      <c r="CP289" s="266"/>
      <c r="DA289" s="251"/>
      <c r="DB289" s="266"/>
      <c r="DM289" s="251"/>
      <c r="DN289" s="266"/>
      <c r="DY289" s="251"/>
      <c r="DZ289" s="266"/>
      <c r="EK289" s="251"/>
      <c r="EL289" s="266"/>
      <c r="EW289" s="251"/>
      <c r="EX289" s="267"/>
      <c r="EY289" s="267"/>
      <c r="EZ289" s="267"/>
      <c r="FA289" s="267"/>
      <c r="FB289" s="269"/>
      <c r="FD289" s="270"/>
      <c r="FF289" s="276"/>
      <c r="FH289" s="206">
        <f t="shared" si="34"/>
        <v>0</v>
      </c>
      <c r="FI289" s="198">
        <f t="shared" si="35"/>
        <v>0</v>
      </c>
      <c r="FJ289"/>
      <c r="FK289">
        <f t="shared" si="36"/>
        <v>0</v>
      </c>
      <c r="FL289" s="191">
        <f t="shared" ca="1" si="37"/>
        <v>0</v>
      </c>
      <c r="FM289" s="191">
        <f t="shared" ca="1" si="38"/>
        <v>0</v>
      </c>
      <c r="FN289" s="190">
        <f>AB289*AB$2*IF($FC289="V",1,-1)*IF($Q289="Fixo",(CP289-INDEX('Curva Forward'!$C$5:$AN$13,MATCH(CONCATENATE(BD_COMERCIAL!$K289," ",BD_COMERCIAL!$L289),'Curva Forward'!$B$5:$B$13,0),MATCH(FN$4,'Curva Forward'!$C$4:$AN$4,0))),CP289)</f>
        <v>0</v>
      </c>
      <c r="FO289" s="190">
        <f>AC289*AC$2*IF($FC289="V",1,-1)*IF($Q289="Fixo",(CQ289-INDEX('Curva Forward'!$C$5:$AN$13,MATCH(CONCATENATE(BD_COMERCIAL!$K289," ",BD_COMERCIAL!$L289),'Curva Forward'!$B$5:$B$13,0),MATCH(FO$4,'Curva Forward'!$C$4:$AN$4,0))),CQ289)</f>
        <v>0</v>
      </c>
      <c r="FP289" s="190">
        <f>AD289*AD$2*IF($FC289="V",1,-1)*IF($Q289="Fixo",(CR289-INDEX('Curva Forward'!$C$5:$AN$13,MATCH(CONCATENATE(BD_COMERCIAL!$K289," ",BD_COMERCIAL!$L289),'Curva Forward'!$B$5:$B$13,0),MATCH(FP$4,'Curva Forward'!$C$4:$AN$4,0))),CR289)</f>
        <v>0</v>
      </c>
      <c r="FQ289" s="190">
        <f>AE289*AE$2*IF($FC289="V",1,-1)*IF($Q289="Fixo",(CS289-INDEX('Curva Forward'!$C$5:$AN$13,MATCH(CONCATENATE(BD_COMERCIAL!$K289," ",BD_COMERCIAL!$L289),'Curva Forward'!$B$5:$B$13,0),MATCH(FQ$4,'Curva Forward'!$C$4:$AN$4,0))),CS289)</f>
        <v>0</v>
      </c>
      <c r="FR289" s="190">
        <f>AF289*AF$2*IF($FC289="V",1,-1)*IF($Q289="Fixo",(CT289-INDEX('Curva Forward'!$C$5:$AN$13,MATCH(CONCATENATE(BD_COMERCIAL!$K289," ",BD_COMERCIAL!$L289),'Curva Forward'!$B$5:$B$13,0),MATCH(FR$4,'Curva Forward'!$C$4:$AN$4,0))),CT289)</f>
        <v>0</v>
      </c>
      <c r="FS289" s="190">
        <f>AG289*AG$2*IF($FC289="V",1,-1)*IF($Q289="Fixo",(CU289-INDEX('Curva Forward'!$C$5:$AN$13,MATCH(CONCATENATE(BD_COMERCIAL!$K289," ",BD_COMERCIAL!$L289),'Curva Forward'!$B$5:$B$13,0),MATCH(FS$4,'Curva Forward'!$C$4:$AN$4,0))),CU289)</f>
        <v>0</v>
      </c>
      <c r="FT289" s="190">
        <f>AH289*AH$2*IF($FC289="V",1,-1)*IF($Q289="Fixo",(CV289-INDEX('Curva Forward'!$C$5:$AN$13,MATCH(CONCATENATE(BD_COMERCIAL!$K289," ",BD_COMERCIAL!$L289),'Curva Forward'!$B$5:$B$13,0),MATCH(FT$4,'Curva Forward'!$C$4:$AN$4,0))),CV289)</f>
        <v>0</v>
      </c>
      <c r="FU289" s="190">
        <f>AI289*AI$2*IF($FC289="V",1,-1)*IF($Q289="Fixo",(CW289-INDEX('Curva Forward'!$C$5:$AN$13,MATCH(CONCATENATE(BD_COMERCIAL!$K289," ",BD_COMERCIAL!$L289),'Curva Forward'!$B$5:$B$13,0),MATCH(FU$4,'Curva Forward'!$C$4:$AN$4,0))),CW289)</f>
        <v>0</v>
      </c>
      <c r="FV289" s="190">
        <f>AJ289*AJ$2*IF($FC289="V",1,-1)*IF($Q289="Fixo",(CX289-INDEX('Curva Forward'!$C$5:$AN$13,MATCH(CONCATENATE(BD_COMERCIAL!$K289," ",BD_COMERCIAL!$L289),'Curva Forward'!$B$5:$B$13,0),MATCH(FV$4,'Curva Forward'!$C$4:$AN$4,0))),CX289)</f>
        <v>0</v>
      </c>
      <c r="FW289" s="190">
        <f>AK289*AK$2*IF($FC289="V",1,-1)*IF($Q289="Fixo",(CY289-INDEX('Curva Forward'!$C$5:$AN$13,MATCH(CONCATENATE(BD_COMERCIAL!$K289," ",BD_COMERCIAL!$L289),'Curva Forward'!$B$5:$B$13,0),MATCH(FW$4,'Curva Forward'!$C$4:$AN$4,0))),CY289)</f>
        <v>0</v>
      </c>
      <c r="FX289" s="190">
        <f>AL289*AL$2*IF($FC289="V",1,-1)*IF($Q289="Fixo",(CZ289-INDEX('Curva Forward'!$C$5:$AN$13,MATCH(CONCATENATE(BD_COMERCIAL!$K289," ",BD_COMERCIAL!$L289),'Curva Forward'!$B$5:$B$13,0),MATCH(FX$4,'Curva Forward'!$C$4:$AN$4,0))),CZ289)</f>
        <v>0</v>
      </c>
      <c r="FY289" s="190">
        <f>AM289*AM$2*IF($FC289="V",1,-1)*IF($Q289="Fixo",(DA289-INDEX('Curva Forward'!$C$5:$AN$13,MATCH(CONCATENATE(BD_COMERCIAL!$K289," ",BD_COMERCIAL!$L289),'Curva Forward'!$B$5:$B$13,0),MATCH(FY$4,'Curva Forward'!$C$4:$AN$4,0))),DA289)</f>
        <v>0</v>
      </c>
      <c r="FZ289" s="190">
        <f>AN289*AN$2*IF($FC289="V",1,-1)*IF($Q289="Fixo",(DB289-INDEX('Curva Forward'!$C$5:$AN$13,MATCH(CONCATENATE(BD_COMERCIAL!$K289," ",BD_COMERCIAL!$L289),'Curva Forward'!$B$5:$B$13,0),MATCH(FZ$4,'Curva Forward'!$C$4:$AN$4,0))),DB289)</f>
        <v>0</v>
      </c>
      <c r="GA289" s="190">
        <f>AO289*AO$2*IF($FC289="V",1,-1)*IF($Q289="Fixo",(DC289-INDEX('Curva Forward'!$C$5:$AN$13,MATCH(CONCATENATE(BD_COMERCIAL!$K289," ",BD_COMERCIAL!$L289),'Curva Forward'!$B$5:$B$13,0),MATCH(GA$4,'Curva Forward'!$C$4:$AN$4,0))),DC289)</f>
        <v>0</v>
      </c>
      <c r="GB289" s="190">
        <f>AP289*AP$2*IF($FC289="V",1,-1)*IF($Q289="Fixo",(DD289-INDEX('Curva Forward'!$C$5:$AN$13,MATCH(CONCATENATE(BD_COMERCIAL!$K289," ",BD_COMERCIAL!$L289),'Curva Forward'!$B$5:$B$13,0),MATCH(GB$4,'Curva Forward'!$C$4:$AN$4,0))),DD289)</f>
        <v>0</v>
      </c>
      <c r="GC289" s="190">
        <f>AQ289*AQ$2*IF($FC289="V",1,-1)*IF($Q289="Fixo",(DE289-INDEX('Curva Forward'!$C$5:$AN$13,MATCH(CONCATENATE(BD_COMERCIAL!$K289," ",BD_COMERCIAL!$L289),'Curva Forward'!$B$5:$B$13,0),MATCH(GC$4,'Curva Forward'!$C$4:$AN$4,0))),DE289)</f>
        <v>0</v>
      </c>
      <c r="GD289" s="190">
        <f>AR289*AR$2*IF($FC289="V",1,-1)*IF($Q289="Fixo",(DF289-INDEX('Curva Forward'!$C$5:$AN$13,MATCH(CONCATENATE(BD_COMERCIAL!$K289," ",BD_COMERCIAL!$L289),'Curva Forward'!$B$5:$B$13,0),MATCH(GD$4,'Curva Forward'!$C$4:$AN$4,0))),DF289)</f>
        <v>0</v>
      </c>
      <c r="GE289" s="190">
        <f>AS289*AS$2*IF($FC289="V",1,-1)*IF($Q289="Fixo",(DG289-INDEX('Curva Forward'!$C$5:$AN$13,MATCH(CONCATENATE(BD_COMERCIAL!$K289," ",BD_COMERCIAL!$L289),'Curva Forward'!$B$5:$B$13,0),MATCH(GE$4,'Curva Forward'!$C$4:$AN$4,0))),DG289)</f>
        <v>0</v>
      </c>
      <c r="GF289" s="190">
        <f>AT289*AT$2*IF($FC289="V",1,-1)*IF($Q289="Fixo",(DH289-INDEX('Curva Forward'!$C$5:$AN$13,MATCH(CONCATENATE(BD_COMERCIAL!$K289," ",BD_COMERCIAL!$L289),'Curva Forward'!$B$5:$B$13,0),MATCH(GF$4,'Curva Forward'!$C$4:$AN$4,0))),DH289)</f>
        <v>0</v>
      </c>
      <c r="GG289" s="190">
        <f>AU289*AU$2*IF($FC289="V",1,-1)*IF($Q289="Fixo",(DI289-INDEX('Curva Forward'!$C$5:$AN$13,MATCH(CONCATENATE(BD_COMERCIAL!$K289," ",BD_COMERCIAL!$L289),'Curva Forward'!$B$5:$B$13,0),MATCH(GG$4,'Curva Forward'!$C$4:$AN$4,0))),DI289)</f>
        <v>0</v>
      </c>
      <c r="GH289" s="190">
        <f>AV289*AV$2*IF($FC289="V",1,-1)*IF($Q289="Fixo",(DJ289-INDEX('Curva Forward'!$C$5:$AN$13,MATCH(CONCATENATE(BD_COMERCIAL!$K289," ",BD_COMERCIAL!$L289),'Curva Forward'!$B$5:$B$13,0),MATCH(GH$4,'Curva Forward'!$C$4:$AN$4,0))),DJ289)</f>
        <v>0</v>
      </c>
      <c r="GI289" s="190">
        <f>AW289*AW$2*IF($FC289="V",1,-1)*IF($Q289="Fixo",(DK289-INDEX('Curva Forward'!$C$5:$AN$13,MATCH(CONCATENATE(BD_COMERCIAL!$K289," ",BD_COMERCIAL!$L289),'Curva Forward'!$B$5:$B$13,0),MATCH(GI$4,'Curva Forward'!$C$4:$AN$4,0))),DK289)</f>
        <v>0</v>
      </c>
      <c r="GJ289" s="190">
        <f>AX289*AX$2*IF($FC289="V",1,-1)*IF($Q289="Fixo",(DL289-INDEX('Curva Forward'!$C$5:$AN$13,MATCH(CONCATENATE(BD_COMERCIAL!$K289," ",BD_COMERCIAL!$L289),'Curva Forward'!$B$5:$B$13,0),MATCH(GJ$4,'Curva Forward'!$C$4:$AN$4,0))),DL289)</f>
        <v>0</v>
      </c>
      <c r="GK289" s="190">
        <f>AY289*AY$2*IF($FC289="V",1,-1)*IF($Q289="Fixo",(DM289-INDEX('Curva Forward'!$C$5:$AN$13,MATCH(CONCATENATE(BD_COMERCIAL!$K289," ",BD_COMERCIAL!$L289),'Curva Forward'!$B$5:$B$13,0),MATCH(GK$4,'Curva Forward'!$C$4:$AN$4,0))),DM289)</f>
        <v>0</v>
      </c>
      <c r="GL289" s="190">
        <f>IF(EZ289="",0,CL289*CL$2*IF($FC289="V",1,-1)*IF($Q289="Fixo",(EZ289-INDEX('Curva Forward'!$C$5:$AN$13,MATCH(CONCATENATE(BD_COMERCIAL!$K289," ",BD_COMERCIAL!$L289),'Curva Forward'!$B$5:$B$13,0),MATCH(GL$4,'Curva Forward'!$C$4:$AN$4,0))),EZ289))</f>
        <v>0</v>
      </c>
      <c r="GM289" s="190">
        <f>IF(FA289="",0,CM289*CM$2*IF($FC289="V",1,-1)*IF($Q289="Fixo",(FA289-INDEX('Curva Forward'!$C$5:$AN$13,MATCH(CONCATENATE(BD_COMERCIAL!$K289," ",BD_COMERCIAL!$L289),'Curva Forward'!$B$5:$B$13,0),MATCH(GM$4,'Curva Forward'!$C$4:$AN$4,0))),FA289))</f>
        <v>0</v>
      </c>
      <c r="GN289" s="190">
        <f>IF(FB289="",0,CN289*CN$2*IF($FC289="V",1,-1)*IF($Q289="Fixo",(FB289-INDEX('Curva Forward'!$C$5:$AN$13,MATCH(CONCATENATE(BD_COMERCIAL!$K289," ",BD_COMERCIAL!$L289),'Curva Forward'!$B$5:$B$13,0),MATCH(GN$4,'Curva Forward'!$C$4:$AN$4,0))),FB289))</f>
        <v>0</v>
      </c>
      <c r="GO289" s="191">
        <f t="shared" ca="1" si="39"/>
        <v>0</v>
      </c>
      <c r="GP289" s="191">
        <f t="shared" ca="1" si="40"/>
        <v>0</v>
      </c>
      <c r="GQ289" s="115"/>
      <c r="GR289" s="115"/>
      <c r="GS289"/>
      <c r="GT289" s="65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</row>
    <row r="290" spans="1:236" s="265" customFormat="1" ht="15" customHeight="1" x14ac:dyDescent="0.35">
      <c r="A290" s="251"/>
      <c r="B290" s="275"/>
      <c r="C290" s="253"/>
      <c r="D290" s="254"/>
      <c r="E290" s="254"/>
      <c r="F290" s="255"/>
      <c r="G290" s="256"/>
      <c r="H290" s="255"/>
      <c r="I290" s="254"/>
      <c r="J290" s="257"/>
      <c r="K290" s="256"/>
      <c r="L290" s="252"/>
      <c r="M290" s="258"/>
      <c r="N290" s="259"/>
      <c r="O290" s="256"/>
      <c r="P290" s="252"/>
      <c r="Q290" s="252"/>
      <c r="R290" s="256"/>
      <c r="S290" s="260"/>
      <c r="T290" s="258"/>
      <c r="U290" s="259"/>
      <c r="V290" s="261"/>
      <c r="W290" s="252"/>
      <c r="X290" s="262"/>
      <c r="Y290" s="257"/>
      <c r="Z290" s="263"/>
      <c r="AA290" s="264"/>
      <c r="AB290" s="266"/>
      <c r="AM290" s="251"/>
      <c r="AN290" s="266"/>
      <c r="AY290" s="251"/>
      <c r="AZ290" s="266"/>
      <c r="BK290" s="251"/>
      <c r="BL290" s="266"/>
      <c r="BW290" s="251"/>
      <c r="BX290" s="266"/>
      <c r="CI290" s="251"/>
      <c r="CJ290" s="267"/>
      <c r="CK290" s="267"/>
      <c r="CL290" s="267"/>
      <c r="CM290" s="267"/>
      <c r="CN290" s="267"/>
      <c r="CO290" s="268"/>
      <c r="CP290" s="266"/>
      <c r="DA290" s="251"/>
      <c r="DB290" s="266"/>
      <c r="DM290" s="251"/>
      <c r="DN290" s="266"/>
      <c r="DY290" s="251"/>
      <c r="DZ290" s="266"/>
      <c r="EK290" s="251"/>
      <c r="EL290" s="266"/>
      <c r="EW290" s="251"/>
      <c r="EX290" s="267"/>
      <c r="EY290" s="267"/>
      <c r="EZ290" s="267"/>
      <c r="FA290" s="267"/>
      <c r="FB290" s="269"/>
      <c r="FD290" s="270"/>
      <c r="FF290" s="276"/>
      <c r="FH290" s="206">
        <f t="shared" si="34"/>
        <v>0</v>
      </c>
      <c r="FI290" s="198">
        <f t="shared" si="35"/>
        <v>0</v>
      </c>
      <c r="FJ290"/>
      <c r="FK290">
        <f t="shared" si="36"/>
        <v>0</v>
      </c>
      <c r="FL290" s="191">
        <f t="shared" ca="1" si="37"/>
        <v>0</v>
      </c>
      <c r="FM290" s="191">
        <f t="shared" ca="1" si="38"/>
        <v>0</v>
      </c>
      <c r="FN290" s="190">
        <f>AB290*AB$2*IF($FC290="V",1,-1)*IF($Q290="Fixo",(CP290-INDEX('Curva Forward'!$C$5:$AN$13,MATCH(CONCATENATE(BD_COMERCIAL!$K290," ",BD_COMERCIAL!$L290),'Curva Forward'!$B$5:$B$13,0),MATCH(FN$4,'Curva Forward'!$C$4:$AN$4,0))),CP290)</f>
        <v>0</v>
      </c>
      <c r="FO290" s="190">
        <f>AC290*AC$2*IF($FC290="V",1,-1)*IF($Q290="Fixo",(CQ290-INDEX('Curva Forward'!$C$5:$AN$13,MATCH(CONCATENATE(BD_COMERCIAL!$K290," ",BD_COMERCIAL!$L290),'Curva Forward'!$B$5:$B$13,0),MATCH(FO$4,'Curva Forward'!$C$4:$AN$4,0))),CQ290)</f>
        <v>0</v>
      </c>
      <c r="FP290" s="190">
        <f>AD290*AD$2*IF($FC290="V",1,-1)*IF($Q290="Fixo",(CR290-INDEX('Curva Forward'!$C$5:$AN$13,MATCH(CONCATENATE(BD_COMERCIAL!$K290," ",BD_COMERCIAL!$L290),'Curva Forward'!$B$5:$B$13,0),MATCH(FP$4,'Curva Forward'!$C$4:$AN$4,0))),CR290)</f>
        <v>0</v>
      </c>
      <c r="FQ290" s="190">
        <f>AE290*AE$2*IF($FC290="V",1,-1)*IF($Q290="Fixo",(CS290-INDEX('Curva Forward'!$C$5:$AN$13,MATCH(CONCATENATE(BD_COMERCIAL!$K290," ",BD_COMERCIAL!$L290),'Curva Forward'!$B$5:$B$13,0),MATCH(FQ$4,'Curva Forward'!$C$4:$AN$4,0))),CS290)</f>
        <v>0</v>
      </c>
      <c r="FR290" s="190">
        <f>AF290*AF$2*IF($FC290="V",1,-1)*IF($Q290="Fixo",(CT290-INDEX('Curva Forward'!$C$5:$AN$13,MATCH(CONCATENATE(BD_COMERCIAL!$K290," ",BD_COMERCIAL!$L290),'Curva Forward'!$B$5:$B$13,0),MATCH(FR$4,'Curva Forward'!$C$4:$AN$4,0))),CT290)</f>
        <v>0</v>
      </c>
      <c r="FS290" s="190">
        <f>AG290*AG$2*IF($FC290="V",1,-1)*IF($Q290="Fixo",(CU290-INDEX('Curva Forward'!$C$5:$AN$13,MATCH(CONCATENATE(BD_COMERCIAL!$K290," ",BD_COMERCIAL!$L290),'Curva Forward'!$B$5:$B$13,0),MATCH(FS$4,'Curva Forward'!$C$4:$AN$4,0))),CU290)</f>
        <v>0</v>
      </c>
      <c r="FT290" s="190">
        <f>AH290*AH$2*IF($FC290="V",1,-1)*IF($Q290="Fixo",(CV290-INDEX('Curva Forward'!$C$5:$AN$13,MATCH(CONCATENATE(BD_COMERCIAL!$K290," ",BD_COMERCIAL!$L290),'Curva Forward'!$B$5:$B$13,0),MATCH(FT$4,'Curva Forward'!$C$4:$AN$4,0))),CV290)</f>
        <v>0</v>
      </c>
      <c r="FU290" s="190">
        <f>AI290*AI$2*IF($FC290="V",1,-1)*IF($Q290="Fixo",(CW290-INDEX('Curva Forward'!$C$5:$AN$13,MATCH(CONCATENATE(BD_COMERCIAL!$K290," ",BD_COMERCIAL!$L290),'Curva Forward'!$B$5:$B$13,0),MATCH(FU$4,'Curva Forward'!$C$4:$AN$4,0))),CW290)</f>
        <v>0</v>
      </c>
      <c r="FV290" s="190">
        <f>AJ290*AJ$2*IF($FC290="V",1,-1)*IF($Q290="Fixo",(CX290-INDEX('Curva Forward'!$C$5:$AN$13,MATCH(CONCATENATE(BD_COMERCIAL!$K290," ",BD_COMERCIAL!$L290),'Curva Forward'!$B$5:$B$13,0),MATCH(FV$4,'Curva Forward'!$C$4:$AN$4,0))),CX290)</f>
        <v>0</v>
      </c>
      <c r="FW290" s="190">
        <f>AK290*AK$2*IF($FC290="V",1,-1)*IF($Q290="Fixo",(CY290-INDEX('Curva Forward'!$C$5:$AN$13,MATCH(CONCATENATE(BD_COMERCIAL!$K290," ",BD_COMERCIAL!$L290),'Curva Forward'!$B$5:$B$13,0),MATCH(FW$4,'Curva Forward'!$C$4:$AN$4,0))),CY290)</f>
        <v>0</v>
      </c>
      <c r="FX290" s="190">
        <f>AL290*AL$2*IF($FC290="V",1,-1)*IF($Q290="Fixo",(CZ290-INDEX('Curva Forward'!$C$5:$AN$13,MATCH(CONCATENATE(BD_COMERCIAL!$K290," ",BD_COMERCIAL!$L290),'Curva Forward'!$B$5:$B$13,0),MATCH(FX$4,'Curva Forward'!$C$4:$AN$4,0))),CZ290)</f>
        <v>0</v>
      </c>
      <c r="FY290" s="190">
        <f>AM290*AM$2*IF($FC290="V",1,-1)*IF($Q290="Fixo",(DA290-INDEX('Curva Forward'!$C$5:$AN$13,MATCH(CONCATENATE(BD_COMERCIAL!$K290," ",BD_COMERCIAL!$L290),'Curva Forward'!$B$5:$B$13,0),MATCH(FY$4,'Curva Forward'!$C$4:$AN$4,0))),DA290)</f>
        <v>0</v>
      </c>
      <c r="FZ290" s="190">
        <f>AN290*AN$2*IF($FC290="V",1,-1)*IF($Q290="Fixo",(DB290-INDEX('Curva Forward'!$C$5:$AN$13,MATCH(CONCATENATE(BD_COMERCIAL!$K290," ",BD_COMERCIAL!$L290),'Curva Forward'!$B$5:$B$13,0),MATCH(FZ$4,'Curva Forward'!$C$4:$AN$4,0))),DB290)</f>
        <v>0</v>
      </c>
      <c r="GA290" s="190">
        <f>AO290*AO$2*IF($FC290="V",1,-1)*IF($Q290="Fixo",(DC290-INDEX('Curva Forward'!$C$5:$AN$13,MATCH(CONCATENATE(BD_COMERCIAL!$K290," ",BD_COMERCIAL!$L290),'Curva Forward'!$B$5:$B$13,0),MATCH(GA$4,'Curva Forward'!$C$4:$AN$4,0))),DC290)</f>
        <v>0</v>
      </c>
      <c r="GB290" s="190">
        <f>AP290*AP$2*IF($FC290="V",1,-1)*IF($Q290="Fixo",(DD290-INDEX('Curva Forward'!$C$5:$AN$13,MATCH(CONCATENATE(BD_COMERCIAL!$K290," ",BD_COMERCIAL!$L290),'Curva Forward'!$B$5:$B$13,0),MATCH(GB$4,'Curva Forward'!$C$4:$AN$4,0))),DD290)</f>
        <v>0</v>
      </c>
      <c r="GC290" s="190">
        <f>AQ290*AQ$2*IF($FC290="V",1,-1)*IF($Q290="Fixo",(DE290-INDEX('Curva Forward'!$C$5:$AN$13,MATCH(CONCATENATE(BD_COMERCIAL!$K290," ",BD_COMERCIAL!$L290),'Curva Forward'!$B$5:$B$13,0),MATCH(GC$4,'Curva Forward'!$C$4:$AN$4,0))),DE290)</f>
        <v>0</v>
      </c>
      <c r="GD290" s="190">
        <f>AR290*AR$2*IF($FC290="V",1,-1)*IF($Q290="Fixo",(DF290-INDEX('Curva Forward'!$C$5:$AN$13,MATCH(CONCATENATE(BD_COMERCIAL!$K290," ",BD_COMERCIAL!$L290),'Curva Forward'!$B$5:$B$13,0),MATCH(GD$4,'Curva Forward'!$C$4:$AN$4,0))),DF290)</f>
        <v>0</v>
      </c>
      <c r="GE290" s="190">
        <f>AS290*AS$2*IF($FC290="V",1,-1)*IF($Q290="Fixo",(DG290-INDEX('Curva Forward'!$C$5:$AN$13,MATCH(CONCATENATE(BD_COMERCIAL!$K290," ",BD_COMERCIAL!$L290),'Curva Forward'!$B$5:$B$13,0),MATCH(GE$4,'Curva Forward'!$C$4:$AN$4,0))),DG290)</f>
        <v>0</v>
      </c>
      <c r="GF290" s="190">
        <f>AT290*AT$2*IF($FC290="V",1,-1)*IF($Q290="Fixo",(DH290-INDEX('Curva Forward'!$C$5:$AN$13,MATCH(CONCATENATE(BD_COMERCIAL!$K290," ",BD_COMERCIAL!$L290),'Curva Forward'!$B$5:$B$13,0),MATCH(GF$4,'Curva Forward'!$C$4:$AN$4,0))),DH290)</f>
        <v>0</v>
      </c>
      <c r="GG290" s="190">
        <f>AU290*AU$2*IF($FC290="V",1,-1)*IF($Q290="Fixo",(DI290-INDEX('Curva Forward'!$C$5:$AN$13,MATCH(CONCATENATE(BD_COMERCIAL!$K290," ",BD_COMERCIAL!$L290),'Curva Forward'!$B$5:$B$13,0),MATCH(GG$4,'Curva Forward'!$C$4:$AN$4,0))),DI290)</f>
        <v>0</v>
      </c>
      <c r="GH290" s="190">
        <f>AV290*AV$2*IF($FC290="V",1,-1)*IF($Q290="Fixo",(DJ290-INDEX('Curva Forward'!$C$5:$AN$13,MATCH(CONCATENATE(BD_COMERCIAL!$K290," ",BD_COMERCIAL!$L290),'Curva Forward'!$B$5:$B$13,0),MATCH(GH$4,'Curva Forward'!$C$4:$AN$4,0))),DJ290)</f>
        <v>0</v>
      </c>
      <c r="GI290" s="190">
        <f>AW290*AW$2*IF($FC290="V",1,-1)*IF($Q290="Fixo",(DK290-INDEX('Curva Forward'!$C$5:$AN$13,MATCH(CONCATENATE(BD_COMERCIAL!$K290," ",BD_COMERCIAL!$L290),'Curva Forward'!$B$5:$B$13,0),MATCH(GI$4,'Curva Forward'!$C$4:$AN$4,0))),DK290)</f>
        <v>0</v>
      </c>
      <c r="GJ290" s="190">
        <f>AX290*AX$2*IF($FC290="V",1,-1)*IF($Q290="Fixo",(DL290-INDEX('Curva Forward'!$C$5:$AN$13,MATCH(CONCATENATE(BD_COMERCIAL!$K290," ",BD_COMERCIAL!$L290),'Curva Forward'!$B$5:$B$13,0),MATCH(GJ$4,'Curva Forward'!$C$4:$AN$4,0))),DL290)</f>
        <v>0</v>
      </c>
      <c r="GK290" s="190">
        <f>AY290*AY$2*IF($FC290="V",1,-1)*IF($Q290="Fixo",(DM290-INDEX('Curva Forward'!$C$5:$AN$13,MATCH(CONCATENATE(BD_COMERCIAL!$K290," ",BD_COMERCIAL!$L290),'Curva Forward'!$B$5:$B$13,0),MATCH(GK$4,'Curva Forward'!$C$4:$AN$4,0))),DM290)</f>
        <v>0</v>
      </c>
      <c r="GL290" s="190">
        <f>IF(EZ290="",0,CL290*CL$2*IF($FC290="V",1,-1)*IF($Q290="Fixo",(EZ290-INDEX('Curva Forward'!$C$5:$AN$13,MATCH(CONCATENATE(BD_COMERCIAL!$K290," ",BD_COMERCIAL!$L290),'Curva Forward'!$B$5:$B$13,0),MATCH(GL$4,'Curva Forward'!$C$4:$AN$4,0))),EZ290))</f>
        <v>0</v>
      </c>
      <c r="GM290" s="190">
        <f>IF(FA290="",0,CM290*CM$2*IF($FC290="V",1,-1)*IF($Q290="Fixo",(FA290-INDEX('Curva Forward'!$C$5:$AN$13,MATCH(CONCATENATE(BD_COMERCIAL!$K290," ",BD_COMERCIAL!$L290),'Curva Forward'!$B$5:$B$13,0),MATCH(GM$4,'Curva Forward'!$C$4:$AN$4,0))),FA290))</f>
        <v>0</v>
      </c>
      <c r="GN290" s="190">
        <f>IF(FB290="",0,CN290*CN$2*IF($FC290="V",1,-1)*IF($Q290="Fixo",(FB290-INDEX('Curva Forward'!$C$5:$AN$13,MATCH(CONCATENATE(BD_COMERCIAL!$K290," ",BD_COMERCIAL!$L290),'Curva Forward'!$B$5:$B$13,0),MATCH(GN$4,'Curva Forward'!$C$4:$AN$4,0))),FB290))</f>
        <v>0</v>
      </c>
      <c r="GO290" s="191">
        <f t="shared" ca="1" si="39"/>
        <v>0</v>
      </c>
      <c r="GP290" s="191">
        <f t="shared" ca="1" si="40"/>
        <v>0</v>
      </c>
      <c r="GQ290" s="115"/>
      <c r="GR290" s="115"/>
      <c r="GS290"/>
      <c r="GT290" s="65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</row>
    <row r="291" spans="1:236" s="265" customFormat="1" ht="15" customHeight="1" x14ac:dyDescent="0.35">
      <c r="A291" s="251"/>
      <c r="B291" s="275"/>
      <c r="C291" s="253"/>
      <c r="D291" s="254"/>
      <c r="E291" s="254"/>
      <c r="F291" s="255"/>
      <c r="G291" s="256"/>
      <c r="H291" s="255"/>
      <c r="I291" s="254"/>
      <c r="J291" s="257"/>
      <c r="K291" s="256"/>
      <c r="L291" s="252"/>
      <c r="M291" s="258"/>
      <c r="N291" s="259"/>
      <c r="O291" s="256"/>
      <c r="P291" s="252"/>
      <c r="Q291" s="252"/>
      <c r="R291" s="256"/>
      <c r="S291" s="260"/>
      <c r="T291" s="258"/>
      <c r="U291" s="259"/>
      <c r="V291" s="261"/>
      <c r="W291" s="252"/>
      <c r="X291" s="262"/>
      <c r="Y291" s="257"/>
      <c r="Z291" s="263"/>
      <c r="AA291" s="264"/>
      <c r="AB291" s="266"/>
      <c r="AM291" s="251"/>
      <c r="AN291" s="266"/>
      <c r="AY291" s="251"/>
      <c r="AZ291" s="266"/>
      <c r="BK291" s="251"/>
      <c r="BL291" s="266"/>
      <c r="BW291" s="251"/>
      <c r="BX291" s="266"/>
      <c r="CI291" s="251"/>
      <c r="CJ291" s="267"/>
      <c r="CK291" s="267"/>
      <c r="CL291" s="267"/>
      <c r="CM291" s="267"/>
      <c r="CN291" s="267"/>
      <c r="CO291" s="268"/>
      <c r="CP291" s="266"/>
      <c r="DA291" s="251"/>
      <c r="DB291" s="266"/>
      <c r="DM291" s="251"/>
      <c r="DN291" s="266"/>
      <c r="DY291" s="251"/>
      <c r="DZ291" s="266"/>
      <c r="EK291" s="251"/>
      <c r="EL291" s="266"/>
      <c r="EW291" s="251"/>
      <c r="EX291" s="267"/>
      <c r="EY291" s="267"/>
      <c r="EZ291" s="267"/>
      <c r="FA291" s="267"/>
      <c r="FB291" s="269"/>
      <c r="FD291" s="270"/>
      <c r="FF291" s="276"/>
      <c r="FH291" s="206">
        <f t="shared" si="34"/>
        <v>0</v>
      </c>
      <c r="FI291" s="198">
        <f t="shared" si="35"/>
        <v>0</v>
      </c>
      <c r="FJ291"/>
      <c r="FK291">
        <f t="shared" si="36"/>
        <v>0</v>
      </c>
      <c r="FL291" s="191">
        <f t="shared" ca="1" si="37"/>
        <v>0</v>
      </c>
      <c r="FM291" s="191">
        <f t="shared" ca="1" si="38"/>
        <v>0</v>
      </c>
      <c r="FN291" s="190">
        <f>AB291*AB$2*IF($FC291="V",1,-1)*IF($Q291="Fixo",(CP291-INDEX('Curva Forward'!$C$5:$AN$13,MATCH(CONCATENATE(BD_COMERCIAL!$K291," ",BD_COMERCIAL!$L291),'Curva Forward'!$B$5:$B$13,0),MATCH(FN$4,'Curva Forward'!$C$4:$AN$4,0))),CP291)</f>
        <v>0</v>
      </c>
      <c r="FO291" s="190">
        <f>AC291*AC$2*IF($FC291="V",1,-1)*IF($Q291="Fixo",(CQ291-INDEX('Curva Forward'!$C$5:$AN$13,MATCH(CONCATENATE(BD_COMERCIAL!$K291," ",BD_COMERCIAL!$L291),'Curva Forward'!$B$5:$B$13,0),MATCH(FO$4,'Curva Forward'!$C$4:$AN$4,0))),CQ291)</f>
        <v>0</v>
      </c>
      <c r="FP291" s="190">
        <f>AD291*AD$2*IF($FC291="V",1,-1)*IF($Q291="Fixo",(CR291-INDEX('Curva Forward'!$C$5:$AN$13,MATCH(CONCATENATE(BD_COMERCIAL!$K291," ",BD_COMERCIAL!$L291),'Curva Forward'!$B$5:$B$13,0),MATCH(FP$4,'Curva Forward'!$C$4:$AN$4,0))),CR291)</f>
        <v>0</v>
      </c>
      <c r="FQ291" s="190">
        <f>AE291*AE$2*IF($FC291="V",1,-1)*IF($Q291="Fixo",(CS291-INDEX('Curva Forward'!$C$5:$AN$13,MATCH(CONCATENATE(BD_COMERCIAL!$K291," ",BD_COMERCIAL!$L291),'Curva Forward'!$B$5:$B$13,0),MATCH(FQ$4,'Curva Forward'!$C$4:$AN$4,0))),CS291)</f>
        <v>0</v>
      </c>
      <c r="FR291" s="190">
        <f>AF291*AF$2*IF($FC291="V",1,-1)*IF($Q291="Fixo",(CT291-INDEX('Curva Forward'!$C$5:$AN$13,MATCH(CONCATENATE(BD_COMERCIAL!$K291," ",BD_COMERCIAL!$L291),'Curva Forward'!$B$5:$B$13,0),MATCH(FR$4,'Curva Forward'!$C$4:$AN$4,0))),CT291)</f>
        <v>0</v>
      </c>
      <c r="FS291" s="190">
        <f>AG291*AG$2*IF($FC291="V",1,-1)*IF($Q291="Fixo",(CU291-INDEX('Curva Forward'!$C$5:$AN$13,MATCH(CONCATENATE(BD_COMERCIAL!$K291," ",BD_COMERCIAL!$L291),'Curva Forward'!$B$5:$B$13,0),MATCH(FS$4,'Curva Forward'!$C$4:$AN$4,0))),CU291)</f>
        <v>0</v>
      </c>
      <c r="FT291" s="190">
        <f>AH291*AH$2*IF($FC291="V",1,-1)*IF($Q291="Fixo",(CV291-INDEX('Curva Forward'!$C$5:$AN$13,MATCH(CONCATENATE(BD_COMERCIAL!$K291," ",BD_COMERCIAL!$L291),'Curva Forward'!$B$5:$B$13,0),MATCH(FT$4,'Curva Forward'!$C$4:$AN$4,0))),CV291)</f>
        <v>0</v>
      </c>
      <c r="FU291" s="190">
        <f>AI291*AI$2*IF($FC291="V",1,-1)*IF($Q291="Fixo",(CW291-INDEX('Curva Forward'!$C$5:$AN$13,MATCH(CONCATENATE(BD_COMERCIAL!$K291," ",BD_COMERCIAL!$L291),'Curva Forward'!$B$5:$B$13,0),MATCH(FU$4,'Curva Forward'!$C$4:$AN$4,0))),CW291)</f>
        <v>0</v>
      </c>
      <c r="FV291" s="190">
        <f>AJ291*AJ$2*IF($FC291="V",1,-1)*IF($Q291="Fixo",(CX291-INDEX('Curva Forward'!$C$5:$AN$13,MATCH(CONCATENATE(BD_COMERCIAL!$K291," ",BD_COMERCIAL!$L291),'Curva Forward'!$B$5:$B$13,0),MATCH(FV$4,'Curva Forward'!$C$4:$AN$4,0))),CX291)</f>
        <v>0</v>
      </c>
      <c r="FW291" s="190">
        <f>AK291*AK$2*IF($FC291="V",1,-1)*IF($Q291="Fixo",(CY291-INDEX('Curva Forward'!$C$5:$AN$13,MATCH(CONCATENATE(BD_COMERCIAL!$K291," ",BD_COMERCIAL!$L291),'Curva Forward'!$B$5:$B$13,0),MATCH(FW$4,'Curva Forward'!$C$4:$AN$4,0))),CY291)</f>
        <v>0</v>
      </c>
      <c r="FX291" s="190">
        <f>AL291*AL$2*IF($FC291="V",1,-1)*IF($Q291="Fixo",(CZ291-INDEX('Curva Forward'!$C$5:$AN$13,MATCH(CONCATENATE(BD_COMERCIAL!$K291," ",BD_COMERCIAL!$L291),'Curva Forward'!$B$5:$B$13,0),MATCH(FX$4,'Curva Forward'!$C$4:$AN$4,0))),CZ291)</f>
        <v>0</v>
      </c>
      <c r="FY291" s="190">
        <f>AM291*AM$2*IF($FC291="V",1,-1)*IF($Q291="Fixo",(DA291-INDEX('Curva Forward'!$C$5:$AN$13,MATCH(CONCATENATE(BD_COMERCIAL!$K291," ",BD_COMERCIAL!$L291),'Curva Forward'!$B$5:$B$13,0),MATCH(FY$4,'Curva Forward'!$C$4:$AN$4,0))),DA291)</f>
        <v>0</v>
      </c>
      <c r="FZ291" s="190">
        <f>AN291*AN$2*IF($FC291="V",1,-1)*IF($Q291="Fixo",(DB291-INDEX('Curva Forward'!$C$5:$AN$13,MATCH(CONCATENATE(BD_COMERCIAL!$K291," ",BD_COMERCIAL!$L291),'Curva Forward'!$B$5:$B$13,0),MATCH(FZ$4,'Curva Forward'!$C$4:$AN$4,0))),DB291)</f>
        <v>0</v>
      </c>
      <c r="GA291" s="190">
        <f>AO291*AO$2*IF($FC291="V",1,-1)*IF($Q291="Fixo",(DC291-INDEX('Curva Forward'!$C$5:$AN$13,MATCH(CONCATENATE(BD_COMERCIAL!$K291," ",BD_COMERCIAL!$L291),'Curva Forward'!$B$5:$B$13,0),MATCH(GA$4,'Curva Forward'!$C$4:$AN$4,0))),DC291)</f>
        <v>0</v>
      </c>
      <c r="GB291" s="190">
        <f>AP291*AP$2*IF($FC291="V",1,-1)*IF($Q291="Fixo",(DD291-INDEX('Curva Forward'!$C$5:$AN$13,MATCH(CONCATENATE(BD_COMERCIAL!$K291," ",BD_COMERCIAL!$L291),'Curva Forward'!$B$5:$B$13,0),MATCH(GB$4,'Curva Forward'!$C$4:$AN$4,0))),DD291)</f>
        <v>0</v>
      </c>
      <c r="GC291" s="190">
        <f>AQ291*AQ$2*IF($FC291="V",1,-1)*IF($Q291="Fixo",(DE291-INDEX('Curva Forward'!$C$5:$AN$13,MATCH(CONCATENATE(BD_COMERCIAL!$K291," ",BD_COMERCIAL!$L291),'Curva Forward'!$B$5:$B$13,0),MATCH(GC$4,'Curva Forward'!$C$4:$AN$4,0))),DE291)</f>
        <v>0</v>
      </c>
      <c r="GD291" s="190">
        <f>AR291*AR$2*IF($FC291="V",1,-1)*IF($Q291="Fixo",(DF291-INDEX('Curva Forward'!$C$5:$AN$13,MATCH(CONCATENATE(BD_COMERCIAL!$K291," ",BD_COMERCIAL!$L291),'Curva Forward'!$B$5:$B$13,0),MATCH(GD$4,'Curva Forward'!$C$4:$AN$4,0))),DF291)</f>
        <v>0</v>
      </c>
      <c r="GE291" s="190">
        <f>AS291*AS$2*IF($FC291="V",1,-1)*IF($Q291="Fixo",(DG291-INDEX('Curva Forward'!$C$5:$AN$13,MATCH(CONCATENATE(BD_COMERCIAL!$K291," ",BD_COMERCIAL!$L291),'Curva Forward'!$B$5:$B$13,0),MATCH(GE$4,'Curva Forward'!$C$4:$AN$4,0))),DG291)</f>
        <v>0</v>
      </c>
      <c r="GF291" s="190">
        <f>AT291*AT$2*IF($FC291="V",1,-1)*IF($Q291="Fixo",(DH291-INDEX('Curva Forward'!$C$5:$AN$13,MATCH(CONCATENATE(BD_COMERCIAL!$K291," ",BD_COMERCIAL!$L291),'Curva Forward'!$B$5:$B$13,0),MATCH(GF$4,'Curva Forward'!$C$4:$AN$4,0))),DH291)</f>
        <v>0</v>
      </c>
      <c r="GG291" s="190">
        <f>AU291*AU$2*IF($FC291="V",1,-1)*IF($Q291="Fixo",(DI291-INDEX('Curva Forward'!$C$5:$AN$13,MATCH(CONCATENATE(BD_COMERCIAL!$K291," ",BD_COMERCIAL!$L291),'Curva Forward'!$B$5:$B$13,0),MATCH(GG$4,'Curva Forward'!$C$4:$AN$4,0))),DI291)</f>
        <v>0</v>
      </c>
      <c r="GH291" s="190">
        <f>AV291*AV$2*IF($FC291="V",1,-1)*IF($Q291="Fixo",(DJ291-INDEX('Curva Forward'!$C$5:$AN$13,MATCH(CONCATENATE(BD_COMERCIAL!$K291," ",BD_COMERCIAL!$L291),'Curva Forward'!$B$5:$B$13,0),MATCH(GH$4,'Curva Forward'!$C$4:$AN$4,0))),DJ291)</f>
        <v>0</v>
      </c>
      <c r="GI291" s="190">
        <f>AW291*AW$2*IF($FC291="V",1,-1)*IF($Q291="Fixo",(DK291-INDEX('Curva Forward'!$C$5:$AN$13,MATCH(CONCATENATE(BD_COMERCIAL!$K291," ",BD_COMERCIAL!$L291),'Curva Forward'!$B$5:$B$13,0),MATCH(GI$4,'Curva Forward'!$C$4:$AN$4,0))),DK291)</f>
        <v>0</v>
      </c>
      <c r="GJ291" s="190">
        <f>AX291*AX$2*IF($FC291="V",1,-1)*IF($Q291="Fixo",(DL291-INDEX('Curva Forward'!$C$5:$AN$13,MATCH(CONCATENATE(BD_COMERCIAL!$K291," ",BD_COMERCIAL!$L291),'Curva Forward'!$B$5:$B$13,0),MATCH(GJ$4,'Curva Forward'!$C$4:$AN$4,0))),DL291)</f>
        <v>0</v>
      </c>
      <c r="GK291" s="190">
        <f>AY291*AY$2*IF($FC291="V",1,-1)*IF($Q291="Fixo",(DM291-INDEX('Curva Forward'!$C$5:$AN$13,MATCH(CONCATENATE(BD_COMERCIAL!$K291," ",BD_COMERCIAL!$L291),'Curva Forward'!$B$5:$B$13,0),MATCH(GK$4,'Curva Forward'!$C$4:$AN$4,0))),DM291)</f>
        <v>0</v>
      </c>
      <c r="GL291" s="190">
        <f>IF(EZ291="",0,CL291*CL$2*IF($FC291="V",1,-1)*IF($Q291="Fixo",(EZ291-INDEX('Curva Forward'!$C$5:$AN$13,MATCH(CONCATENATE(BD_COMERCIAL!$K291," ",BD_COMERCIAL!$L291),'Curva Forward'!$B$5:$B$13,0),MATCH(GL$4,'Curva Forward'!$C$4:$AN$4,0))),EZ291))</f>
        <v>0</v>
      </c>
      <c r="GM291" s="190">
        <f>IF(FA291="",0,CM291*CM$2*IF($FC291="V",1,-1)*IF($Q291="Fixo",(FA291-INDEX('Curva Forward'!$C$5:$AN$13,MATCH(CONCATENATE(BD_COMERCIAL!$K291," ",BD_COMERCIAL!$L291),'Curva Forward'!$B$5:$B$13,0),MATCH(GM$4,'Curva Forward'!$C$4:$AN$4,0))),FA291))</f>
        <v>0</v>
      </c>
      <c r="GN291" s="190">
        <f>IF(FB291="",0,CN291*CN$2*IF($FC291="V",1,-1)*IF($Q291="Fixo",(FB291-INDEX('Curva Forward'!$C$5:$AN$13,MATCH(CONCATENATE(BD_COMERCIAL!$K291," ",BD_COMERCIAL!$L291),'Curva Forward'!$B$5:$B$13,0),MATCH(GN$4,'Curva Forward'!$C$4:$AN$4,0))),FB291))</f>
        <v>0</v>
      </c>
      <c r="GO291" s="191">
        <f t="shared" ca="1" si="39"/>
        <v>0</v>
      </c>
      <c r="GP291" s="191">
        <f t="shared" ca="1" si="40"/>
        <v>0</v>
      </c>
      <c r="GQ291" s="115"/>
      <c r="GR291" s="115"/>
      <c r="GS291"/>
      <c r="GT291" s="65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</row>
    <row r="292" spans="1:236" s="265" customFormat="1" ht="15" customHeight="1" x14ac:dyDescent="0.35">
      <c r="A292" s="251"/>
      <c r="B292" s="275"/>
      <c r="C292" s="253"/>
      <c r="D292" s="254"/>
      <c r="E292" s="254"/>
      <c r="F292" s="255"/>
      <c r="G292" s="256"/>
      <c r="H292" s="255"/>
      <c r="I292" s="254"/>
      <c r="J292" s="257"/>
      <c r="K292" s="256"/>
      <c r="L292" s="252"/>
      <c r="M292" s="258"/>
      <c r="N292" s="259"/>
      <c r="O292" s="256"/>
      <c r="P292" s="252"/>
      <c r="Q292" s="252"/>
      <c r="R292" s="256"/>
      <c r="S292" s="260"/>
      <c r="T292" s="258"/>
      <c r="U292" s="259"/>
      <c r="V292" s="261"/>
      <c r="W292" s="252"/>
      <c r="X292" s="262"/>
      <c r="Y292" s="257"/>
      <c r="Z292" s="263"/>
      <c r="AA292" s="264"/>
      <c r="AB292" s="266"/>
      <c r="AM292" s="251"/>
      <c r="AN292" s="266"/>
      <c r="AY292" s="251"/>
      <c r="AZ292" s="266"/>
      <c r="BK292" s="251"/>
      <c r="BL292" s="266"/>
      <c r="BW292" s="251"/>
      <c r="BX292" s="266"/>
      <c r="CI292" s="251"/>
      <c r="CJ292" s="267"/>
      <c r="CK292" s="267"/>
      <c r="CL292" s="267"/>
      <c r="CM292" s="267"/>
      <c r="CN292" s="267"/>
      <c r="CO292" s="268"/>
      <c r="CP292" s="266"/>
      <c r="DA292" s="251"/>
      <c r="DB292" s="266"/>
      <c r="DM292" s="251"/>
      <c r="DN292" s="266"/>
      <c r="DY292" s="251"/>
      <c r="DZ292" s="266"/>
      <c r="EK292" s="251"/>
      <c r="EL292" s="266"/>
      <c r="EW292" s="251"/>
      <c r="EX292" s="267"/>
      <c r="EY292" s="267"/>
      <c r="EZ292" s="267"/>
      <c r="FA292" s="267"/>
      <c r="FB292" s="269"/>
      <c r="FD292" s="270"/>
      <c r="FF292" s="276"/>
      <c r="FH292" s="206">
        <f t="shared" si="34"/>
        <v>0</v>
      </c>
      <c r="FI292" s="198">
        <f t="shared" si="35"/>
        <v>0</v>
      </c>
      <c r="FJ292"/>
      <c r="FK292">
        <f t="shared" si="36"/>
        <v>0</v>
      </c>
      <c r="FL292" s="191">
        <f t="shared" ca="1" si="37"/>
        <v>0</v>
      </c>
      <c r="FM292" s="191">
        <f t="shared" ca="1" si="38"/>
        <v>0</v>
      </c>
      <c r="FN292" s="190">
        <f>AB292*AB$2*IF($FC292="V",1,-1)*IF($Q292="Fixo",(CP292-INDEX('Curva Forward'!$C$5:$AN$13,MATCH(CONCATENATE(BD_COMERCIAL!$K292," ",BD_COMERCIAL!$L292),'Curva Forward'!$B$5:$B$13,0),MATCH(FN$4,'Curva Forward'!$C$4:$AN$4,0))),CP292)</f>
        <v>0</v>
      </c>
      <c r="FO292" s="190">
        <f>AC292*AC$2*IF($FC292="V",1,-1)*IF($Q292="Fixo",(CQ292-INDEX('Curva Forward'!$C$5:$AN$13,MATCH(CONCATENATE(BD_COMERCIAL!$K292," ",BD_COMERCIAL!$L292),'Curva Forward'!$B$5:$B$13,0),MATCH(FO$4,'Curva Forward'!$C$4:$AN$4,0))),CQ292)</f>
        <v>0</v>
      </c>
      <c r="FP292" s="190">
        <f>AD292*AD$2*IF($FC292="V",1,-1)*IF($Q292="Fixo",(CR292-INDEX('Curva Forward'!$C$5:$AN$13,MATCH(CONCATENATE(BD_COMERCIAL!$K292," ",BD_COMERCIAL!$L292),'Curva Forward'!$B$5:$B$13,0),MATCH(FP$4,'Curva Forward'!$C$4:$AN$4,0))),CR292)</f>
        <v>0</v>
      </c>
      <c r="FQ292" s="190">
        <f>AE292*AE$2*IF($FC292="V",1,-1)*IF($Q292="Fixo",(CS292-INDEX('Curva Forward'!$C$5:$AN$13,MATCH(CONCATENATE(BD_COMERCIAL!$K292," ",BD_COMERCIAL!$L292),'Curva Forward'!$B$5:$B$13,0),MATCH(FQ$4,'Curva Forward'!$C$4:$AN$4,0))),CS292)</f>
        <v>0</v>
      </c>
      <c r="FR292" s="190">
        <f>AF292*AF$2*IF($FC292="V",1,-1)*IF($Q292="Fixo",(CT292-INDEX('Curva Forward'!$C$5:$AN$13,MATCH(CONCATENATE(BD_COMERCIAL!$K292," ",BD_COMERCIAL!$L292),'Curva Forward'!$B$5:$B$13,0),MATCH(FR$4,'Curva Forward'!$C$4:$AN$4,0))),CT292)</f>
        <v>0</v>
      </c>
      <c r="FS292" s="190">
        <f>AG292*AG$2*IF($FC292="V",1,-1)*IF($Q292="Fixo",(CU292-INDEX('Curva Forward'!$C$5:$AN$13,MATCH(CONCATENATE(BD_COMERCIAL!$K292," ",BD_COMERCIAL!$L292),'Curva Forward'!$B$5:$B$13,0),MATCH(FS$4,'Curva Forward'!$C$4:$AN$4,0))),CU292)</f>
        <v>0</v>
      </c>
      <c r="FT292" s="190">
        <f>AH292*AH$2*IF($FC292="V",1,-1)*IF($Q292="Fixo",(CV292-INDEX('Curva Forward'!$C$5:$AN$13,MATCH(CONCATENATE(BD_COMERCIAL!$K292," ",BD_COMERCIAL!$L292),'Curva Forward'!$B$5:$B$13,0),MATCH(FT$4,'Curva Forward'!$C$4:$AN$4,0))),CV292)</f>
        <v>0</v>
      </c>
      <c r="FU292" s="190">
        <f>AI292*AI$2*IF($FC292="V",1,-1)*IF($Q292="Fixo",(CW292-INDEX('Curva Forward'!$C$5:$AN$13,MATCH(CONCATENATE(BD_COMERCIAL!$K292," ",BD_COMERCIAL!$L292),'Curva Forward'!$B$5:$B$13,0),MATCH(FU$4,'Curva Forward'!$C$4:$AN$4,0))),CW292)</f>
        <v>0</v>
      </c>
      <c r="FV292" s="190">
        <f>AJ292*AJ$2*IF($FC292="V",1,-1)*IF($Q292="Fixo",(CX292-INDEX('Curva Forward'!$C$5:$AN$13,MATCH(CONCATENATE(BD_COMERCIAL!$K292," ",BD_COMERCIAL!$L292),'Curva Forward'!$B$5:$B$13,0),MATCH(FV$4,'Curva Forward'!$C$4:$AN$4,0))),CX292)</f>
        <v>0</v>
      </c>
      <c r="FW292" s="190">
        <f>AK292*AK$2*IF($FC292="V",1,-1)*IF($Q292="Fixo",(CY292-INDEX('Curva Forward'!$C$5:$AN$13,MATCH(CONCATENATE(BD_COMERCIAL!$K292," ",BD_COMERCIAL!$L292),'Curva Forward'!$B$5:$B$13,0),MATCH(FW$4,'Curva Forward'!$C$4:$AN$4,0))),CY292)</f>
        <v>0</v>
      </c>
      <c r="FX292" s="190">
        <f>AL292*AL$2*IF($FC292="V",1,-1)*IF($Q292="Fixo",(CZ292-INDEX('Curva Forward'!$C$5:$AN$13,MATCH(CONCATENATE(BD_COMERCIAL!$K292," ",BD_COMERCIAL!$L292),'Curva Forward'!$B$5:$B$13,0),MATCH(FX$4,'Curva Forward'!$C$4:$AN$4,0))),CZ292)</f>
        <v>0</v>
      </c>
      <c r="FY292" s="190">
        <f>AM292*AM$2*IF($FC292="V",1,-1)*IF($Q292="Fixo",(DA292-INDEX('Curva Forward'!$C$5:$AN$13,MATCH(CONCATENATE(BD_COMERCIAL!$K292," ",BD_COMERCIAL!$L292),'Curva Forward'!$B$5:$B$13,0),MATCH(FY$4,'Curva Forward'!$C$4:$AN$4,0))),DA292)</f>
        <v>0</v>
      </c>
      <c r="FZ292" s="190">
        <f>AN292*AN$2*IF($FC292="V",1,-1)*IF($Q292="Fixo",(DB292-INDEX('Curva Forward'!$C$5:$AN$13,MATCH(CONCATENATE(BD_COMERCIAL!$K292," ",BD_COMERCIAL!$L292),'Curva Forward'!$B$5:$B$13,0),MATCH(FZ$4,'Curva Forward'!$C$4:$AN$4,0))),DB292)</f>
        <v>0</v>
      </c>
      <c r="GA292" s="190">
        <f>AO292*AO$2*IF($FC292="V",1,-1)*IF($Q292="Fixo",(DC292-INDEX('Curva Forward'!$C$5:$AN$13,MATCH(CONCATENATE(BD_COMERCIAL!$K292," ",BD_COMERCIAL!$L292),'Curva Forward'!$B$5:$B$13,0),MATCH(GA$4,'Curva Forward'!$C$4:$AN$4,0))),DC292)</f>
        <v>0</v>
      </c>
      <c r="GB292" s="190">
        <f>AP292*AP$2*IF($FC292="V",1,-1)*IF($Q292="Fixo",(DD292-INDEX('Curva Forward'!$C$5:$AN$13,MATCH(CONCATENATE(BD_COMERCIAL!$K292," ",BD_COMERCIAL!$L292),'Curva Forward'!$B$5:$B$13,0),MATCH(GB$4,'Curva Forward'!$C$4:$AN$4,0))),DD292)</f>
        <v>0</v>
      </c>
      <c r="GC292" s="190">
        <f>AQ292*AQ$2*IF($FC292="V",1,-1)*IF($Q292="Fixo",(DE292-INDEX('Curva Forward'!$C$5:$AN$13,MATCH(CONCATENATE(BD_COMERCIAL!$K292," ",BD_COMERCIAL!$L292),'Curva Forward'!$B$5:$B$13,0),MATCH(GC$4,'Curva Forward'!$C$4:$AN$4,0))),DE292)</f>
        <v>0</v>
      </c>
      <c r="GD292" s="190">
        <f>AR292*AR$2*IF($FC292="V",1,-1)*IF($Q292="Fixo",(DF292-INDEX('Curva Forward'!$C$5:$AN$13,MATCH(CONCATENATE(BD_COMERCIAL!$K292," ",BD_COMERCIAL!$L292),'Curva Forward'!$B$5:$B$13,0),MATCH(GD$4,'Curva Forward'!$C$4:$AN$4,0))),DF292)</f>
        <v>0</v>
      </c>
      <c r="GE292" s="190">
        <f>AS292*AS$2*IF($FC292="V",1,-1)*IF($Q292="Fixo",(DG292-INDEX('Curva Forward'!$C$5:$AN$13,MATCH(CONCATENATE(BD_COMERCIAL!$K292," ",BD_COMERCIAL!$L292),'Curva Forward'!$B$5:$B$13,0),MATCH(GE$4,'Curva Forward'!$C$4:$AN$4,0))),DG292)</f>
        <v>0</v>
      </c>
      <c r="GF292" s="190">
        <f>AT292*AT$2*IF($FC292="V",1,-1)*IF($Q292="Fixo",(DH292-INDEX('Curva Forward'!$C$5:$AN$13,MATCH(CONCATENATE(BD_COMERCIAL!$K292," ",BD_COMERCIAL!$L292),'Curva Forward'!$B$5:$B$13,0),MATCH(GF$4,'Curva Forward'!$C$4:$AN$4,0))),DH292)</f>
        <v>0</v>
      </c>
      <c r="GG292" s="190">
        <f>AU292*AU$2*IF($FC292="V",1,-1)*IF($Q292="Fixo",(DI292-INDEX('Curva Forward'!$C$5:$AN$13,MATCH(CONCATENATE(BD_COMERCIAL!$K292," ",BD_COMERCIAL!$L292),'Curva Forward'!$B$5:$B$13,0),MATCH(GG$4,'Curva Forward'!$C$4:$AN$4,0))),DI292)</f>
        <v>0</v>
      </c>
      <c r="GH292" s="190">
        <f>AV292*AV$2*IF($FC292="V",1,-1)*IF($Q292="Fixo",(DJ292-INDEX('Curva Forward'!$C$5:$AN$13,MATCH(CONCATENATE(BD_COMERCIAL!$K292," ",BD_COMERCIAL!$L292),'Curva Forward'!$B$5:$B$13,0),MATCH(GH$4,'Curva Forward'!$C$4:$AN$4,0))),DJ292)</f>
        <v>0</v>
      </c>
      <c r="GI292" s="190">
        <f>AW292*AW$2*IF($FC292="V",1,-1)*IF($Q292="Fixo",(DK292-INDEX('Curva Forward'!$C$5:$AN$13,MATCH(CONCATENATE(BD_COMERCIAL!$K292," ",BD_COMERCIAL!$L292),'Curva Forward'!$B$5:$B$13,0),MATCH(GI$4,'Curva Forward'!$C$4:$AN$4,0))),DK292)</f>
        <v>0</v>
      </c>
      <c r="GJ292" s="190">
        <f>AX292*AX$2*IF($FC292="V",1,-1)*IF($Q292="Fixo",(DL292-INDEX('Curva Forward'!$C$5:$AN$13,MATCH(CONCATENATE(BD_COMERCIAL!$K292," ",BD_COMERCIAL!$L292),'Curva Forward'!$B$5:$B$13,0),MATCH(GJ$4,'Curva Forward'!$C$4:$AN$4,0))),DL292)</f>
        <v>0</v>
      </c>
      <c r="GK292" s="190">
        <f>AY292*AY$2*IF($FC292="V",1,-1)*IF($Q292="Fixo",(DM292-INDEX('Curva Forward'!$C$5:$AN$13,MATCH(CONCATENATE(BD_COMERCIAL!$K292," ",BD_COMERCIAL!$L292),'Curva Forward'!$B$5:$B$13,0),MATCH(GK$4,'Curva Forward'!$C$4:$AN$4,0))),DM292)</f>
        <v>0</v>
      </c>
      <c r="GL292" s="190">
        <f>IF(EZ292="",0,CL292*CL$2*IF($FC292="V",1,-1)*IF($Q292="Fixo",(EZ292-INDEX('Curva Forward'!$C$5:$AN$13,MATCH(CONCATENATE(BD_COMERCIAL!$K292," ",BD_COMERCIAL!$L292),'Curva Forward'!$B$5:$B$13,0),MATCH(GL$4,'Curva Forward'!$C$4:$AN$4,0))),EZ292))</f>
        <v>0</v>
      </c>
      <c r="GM292" s="190">
        <f>IF(FA292="",0,CM292*CM$2*IF($FC292="V",1,-1)*IF($Q292="Fixo",(FA292-INDEX('Curva Forward'!$C$5:$AN$13,MATCH(CONCATENATE(BD_COMERCIAL!$K292," ",BD_COMERCIAL!$L292),'Curva Forward'!$B$5:$B$13,0),MATCH(GM$4,'Curva Forward'!$C$4:$AN$4,0))),FA292))</f>
        <v>0</v>
      </c>
      <c r="GN292" s="190">
        <f>IF(FB292="",0,CN292*CN$2*IF($FC292="V",1,-1)*IF($Q292="Fixo",(FB292-INDEX('Curva Forward'!$C$5:$AN$13,MATCH(CONCATENATE(BD_COMERCIAL!$K292," ",BD_COMERCIAL!$L292),'Curva Forward'!$B$5:$B$13,0),MATCH(GN$4,'Curva Forward'!$C$4:$AN$4,0))),FB292))</f>
        <v>0</v>
      </c>
      <c r="GO292" s="191">
        <f t="shared" ca="1" si="39"/>
        <v>0</v>
      </c>
      <c r="GP292" s="191">
        <f t="shared" ca="1" si="40"/>
        <v>0</v>
      </c>
      <c r="GQ292" s="115"/>
      <c r="GR292" s="115"/>
      <c r="GS292"/>
      <c r="GT292" s="65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</row>
    <row r="293" spans="1:236" s="265" customFormat="1" ht="15" customHeight="1" x14ac:dyDescent="0.35">
      <c r="A293" s="251"/>
      <c r="B293" s="275"/>
      <c r="C293" s="253"/>
      <c r="D293" s="254"/>
      <c r="E293" s="254"/>
      <c r="F293" s="255"/>
      <c r="G293" s="256"/>
      <c r="H293" s="255"/>
      <c r="I293" s="254"/>
      <c r="J293" s="257"/>
      <c r="K293" s="256"/>
      <c r="L293" s="252"/>
      <c r="M293" s="258"/>
      <c r="N293" s="259"/>
      <c r="O293" s="256"/>
      <c r="P293" s="252"/>
      <c r="Q293" s="252"/>
      <c r="R293" s="256"/>
      <c r="S293" s="260"/>
      <c r="T293" s="258"/>
      <c r="U293" s="259"/>
      <c r="V293" s="261"/>
      <c r="W293" s="252"/>
      <c r="X293" s="262"/>
      <c r="Y293" s="257"/>
      <c r="Z293" s="263"/>
      <c r="AA293" s="264"/>
      <c r="AB293" s="266"/>
      <c r="AM293" s="251"/>
      <c r="AN293" s="266"/>
      <c r="AY293" s="251"/>
      <c r="AZ293" s="266"/>
      <c r="BK293" s="251"/>
      <c r="BL293" s="266"/>
      <c r="BW293" s="251"/>
      <c r="BX293" s="266"/>
      <c r="CI293" s="251"/>
      <c r="CJ293" s="267"/>
      <c r="CK293" s="267"/>
      <c r="CL293" s="267"/>
      <c r="CM293" s="267"/>
      <c r="CN293" s="267"/>
      <c r="CO293" s="268"/>
      <c r="CP293" s="266"/>
      <c r="DA293" s="251"/>
      <c r="DB293" s="266"/>
      <c r="DM293" s="251"/>
      <c r="DN293" s="266"/>
      <c r="DY293" s="251"/>
      <c r="DZ293" s="266"/>
      <c r="EK293" s="251"/>
      <c r="EL293" s="266"/>
      <c r="EW293" s="251"/>
      <c r="EX293" s="267"/>
      <c r="EY293" s="267"/>
      <c r="EZ293" s="267"/>
      <c r="FA293" s="267"/>
      <c r="FB293" s="269"/>
      <c r="FD293" s="270"/>
      <c r="FF293" s="276"/>
      <c r="FH293" s="206">
        <f t="shared" si="34"/>
        <v>0</v>
      </c>
      <c r="FI293" s="198">
        <f t="shared" si="35"/>
        <v>0</v>
      </c>
      <c r="FJ293"/>
      <c r="FK293">
        <f t="shared" si="36"/>
        <v>0</v>
      </c>
      <c r="FL293" s="191">
        <f t="shared" ca="1" si="37"/>
        <v>0</v>
      </c>
      <c r="FM293" s="191">
        <f t="shared" ca="1" si="38"/>
        <v>0</v>
      </c>
      <c r="FN293" s="190">
        <f>AB293*AB$2*IF($FC293="V",1,-1)*IF($Q293="Fixo",(CP293-INDEX('Curva Forward'!$C$5:$AN$13,MATCH(CONCATENATE(BD_COMERCIAL!$K293," ",BD_COMERCIAL!$L293),'Curva Forward'!$B$5:$B$13,0),MATCH(FN$4,'Curva Forward'!$C$4:$AN$4,0))),CP293)</f>
        <v>0</v>
      </c>
      <c r="FO293" s="190">
        <f>AC293*AC$2*IF($FC293="V",1,-1)*IF($Q293="Fixo",(CQ293-INDEX('Curva Forward'!$C$5:$AN$13,MATCH(CONCATENATE(BD_COMERCIAL!$K293," ",BD_COMERCIAL!$L293),'Curva Forward'!$B$5:$B$13,0),MATCH(FO$4,'Curva Forward'!$C$4:$AN$4,0))),CQ293)</f>
        <v>0</v>
      </c>
      <c r="FP293" s="190">
        <f>AD293*AD$2*IF($FC293="V",1,-1)*IF($Q293="Fixo",(CR293-INDEX('Curva Forward'!$C$5:$AN$13,MATCH(CONCATENATE(BD_COMERCIAL!$K293," ",BD_COMERCIAL!$L293),'Curva Forward'!$B$5:$B$13,0),MATCH(FP$4,'Curva Forward'!$C$4:$AN$4,0))),CR293)</f>
        <v>0</v>
      </c>
      <c r="FQ293" s="190">
        <f>AE293*AE$2*IF($FC293="V",1,-1)*IF($Q293="Fixo",(CS293-INDEX('Curva Forward'!$C$5:$AN$13,MATCH(CONCATENATE(BD_COMERCIAL!$K293," ",BD_COMERCIAL!$L293),'Curva Forward'!$B$5:$B$13,0),MATCH(FQ$4,'Curva Forward'!$C$4:$AN$4,0))),CS293)</f>
        <v>0</v>
      </c>
      <c r="FR293" s="190">
        <f>AF293*AF$2*IF($FC293="V",1,-1)*IF($Q293="Fixo",(CT293-INDEX('Curva Forward'!$C$5:$AN$13,MATCH(CONCATENATE(BD_COMERCIAL!$K293," ",BD_COMERCIAL!$L293),'Curva Forward'!$B$5:$B$13,0),MATCH(FR$4,'Curva Forward'!$C$4:$AN$4,0))),CT293)</f>
        <v>0</v>
      </c>
      <c r="FS293" s="190">
        <f>AG293*AG$2*IF($FC293="V",1,-1)*IF($Q293="Fixo",(CU293-INDEX('Curva Forward'!$C$5:$AN$13,MATCH(CONCATENATE(BD_COMERCIAL!$K293," ",BD_COMERCIAL!$L293),'Curva Forward'!$B$5:$B$13,0),MATCH(FS$4,'Curva Forward'!$C$4:$AN$4,0))),CU293)</f>
        <v>0</v>
      </c>
      <c r="FT293" s="190">
        <f>AH293*AH$2*IF($FC293="V",1,-1)*IF($Q293="Fixo",(CV293-INDEX('Curva Forward'!$C$5:$AN$13,MATCH(CONCATENATE(BD_COMERCIAL!$K293," ",BD_COMERCIAL!$L293),'Curva Forward'!$B$5:$B$13,0),MATCH(FT$4,'Curva Forward'!$C$4:$AN$4,0))),CV293)</f>
        <v>0</v>
      </c>
      <c r="FU293" s="190">
        <f>AI293*AI$2*IF($FC293="V",1,-1)*IF($Q293="Fixo",(CW293-INDEX('Curva Forward'!$C$5:$AN$13,MATCH(CONCATENATE(BD_COMERCIAL!$K293," ",BD_COMERCIAL!$L293),'Curva Forward'!$B$5:$B$13,0),MATCH(FU$4,'Curva Forward'!$C$4:$AN$4,0))),CW293)</f>
        <v>0</v>
      </c>
      <c r="FV293" s="190">
        <f>AJ293*AJ$2*IF($FC293="V",1,-1)*IF($Q293="Fixo",(CX293-INDEX('Curva Forward'!$C$5:$AN$13,MATCH(CONCATENATE(BD_COMERCIAL!$K293," ",BD_COMERCIAL!$L293),'Curva Forward'!$B$5:$B$13,0),MATCH(FV$4,'Curva Forward'!$C$4:$AN$4,0))),CX293)</f>
        <v>0</v>
      </c>
      <c r="FW293" s="190">
        <f>AK293*AK$2*IF($FC293="V",1,-1)*IF($Q293="Fixo",(CY293-INDEX('Curva Forward'!$C$5:$AN$13,MATCH(CONCATENATE(BD_COMERCIAL!$K293," ",BD_COMERCIAL!$L293),'Curva Forward'!$B$5:$B$13,0),MATCH(FW$4,'Curva Forward'!$C$4:$AN$4,0))),CY293)</f>
        <v>0</v>
      </c>
      <c r="FX293" s="190">
        <f>AL293*AL$2*IF($FC293="V",1,-1)*IF($Q293="Fixo",(CZ293-INDEX('Curva Forward'!$C$5:$AN$13,MATCH(CONCATENATE(BD_COMERCIAL!$K293," ",BD_COMERCIAL!$L293),'Curva Forward'!$B$5:$B$13,0),MATCH(FX$4,'Curva Forward'!$C$4:$AN$4,0))),CZ293)</f>
        <v>0</v>
      </c>
      <c r="FY293" s="190">
        <f>AM293*AM$2*IF($FC293="V",1,-1)*IF($Q293="Fixo",(DA293-INDEX('Curva Forward'!$C$5:$AN$13,MATCH(CONCATENATE(BD_COMERCIAL!$K293," ",BD_COMERCIAL!$L293),'Curva Forward'!$B$5:$B$13,0),MATCH(FY$4,'Curva Forward'!$C$4:$AN$4,0))),DA293)</f>
        <v>0</v>
      </c>
      <c r="FZ293" s="190">
        <f>AN293*AN$2*IF($FC293="V",1,-1)*IF($Q293="Fixo",(DB293-INDEX('Curva Forward'!$C$5:$AN$13,MATCH(CONCATENATE(BD_COMERCIAL!$K293," ",BD_COMERCIAL!$L293),'Curva Forward'!$B$5:$B$13,0),MATCH(FZ$4,'Curva Forward'!$C$4:$AN$4,0))),DB293)</f>
        <v>0</v>
      </c>
      <c r="GA293" s="190">
        <f>AO293*AO$2*IF($FC293="V",1,-1)*IF($Q293="Fixo",(DC293-INDEX('Curva Forward'!$C$5:$AN$13,MATCH(CONCATENATE(BD_COMERCIAL!$K293," ",BD_COMERCIAL!$L293),'Curva Forward'!$B$5:$B$13,0),MATCH(GA$4,'Curva Forward'!$C$4:$AN$4,0))),DC293)</f>
        <v>0</v>
      </c>
      <c r="GB293" s="190">
        <f>AP293*AP$2*IF($FC293="V",1,-1)*IF($Q293="Fixo",(DD293-INDEX('Curva Forward'!$C$5:$AN$13,MATCH(CONCATENATE(BD_COMERCIAL!$K293," ",BD_COMERCIAL!$L293),'Curva Forward'!$B$5:$B$13,0),MATCH(GB$4,'Curva Forward'!$C$4:$AN$4,0))),DD293)</f>
        <v>0</v>
      </c>
      <c r="GC293" s="190">
        <f>AQ293*AQ$2*IF($FC293="V",1,-1)*IF($Q293="Fixo",(DE293-INDEX('Curva Forward'!$C$5:$AN$13,MATCH(CONCATENATE(BD_COMERCIAL!$K293," ",BD_COMERCIAL!$L293),'Curva Forward'!$B$5:$B$13,0),MATCH(GC$4,'Curva Forward'!$C$4:$AN$4,0))),DE293)</f>
        <v>0</v>
      </c>
      <c r="GD293" s="190">
        <f>AR293*AR$2*IF($FC293="V",1,-1)*IF($Q293="Fixo",(DF293-INDEX('Curva Forward'!$C$5:$AN$13,MATCH(CONCATENATE(BD_COMERCIAL!$K293," ",BD_COMERCIAL!$L293),'Curva Forward'!$B$5:$B$13,0),MATCH(GD$4,'Curva Forward'!$C$4:$AN$4,0))),DF293)</f>
        <v>0</v>
      </c>
      <c r="GE293" s="190">
        <f>AS293*AS$2*IF($FC293="V",1,-1)*IF($Q293="Fixo",(DG293-INDEX('Curva Forward'!$C$5:$AN$13,MATCH(CONCATENATE(BD_COMERCIAL!$K293," ",BD_COMERCIAL!$L293),'Curva Forward'!$B$5:$B$13,0),MATCH(GE$4,'Curva Forward'!$C$4:$AN$4,0))),DG293)</f>
        <v>0</v>
      </c>
      <c r="GF293" s="190">
        <f>AT293*AT$2*IF($FC293="V",1,-1)*IF($Q293="Fixo",(DH293-INDEX('Curva Forward'!$C$5:$AN$13,MATCH(CONCATENATE(BD_COMERCIAL!$K293," ",BD_COMERCIAL!$L293),'Curva Forward'!$B$5:$B$13,0),MATCH(GF$4,'Curva Forward'!$C$4:$AN$4,0))),DH293)</f>
        <v>0</v>
      </c>
      <c r="GG293" s="190">
        <f>AU293*AU$2*IF($FC293="V",1,-1)*IF($Q293="Fixo",(DI293-INDEX('Curva Forward'!$C$5:$AN$13,MATCH(CONCATENATE(BD_COMERCIAL!$K293," ",BD_COMERCIAL!$L293),'Curva Forward'!$B$5:$B$13,0),MATCH(GG$4,'Curva Forward'!$C$4:$AN$4,0))),DI293)</f>
        <v>0</v>
      </c>
      <c r="GH293" s="190">
        <f>AV293*AV$2*IF($FC293="V",1,-1)*IF($Q293="Fixo",(DJ293-INDEX('Curva Forward'!$C$5:$AN$13,MATCH(CONCATENATE(BD_COMERCIAL!$K293," ",BD_COMERCIAL!$L293),'Curva Forward'!$B$5:$B$13,0),MATCH(GH$4,'Curva Forward'!$C$4:$AN$4,0))),DJ293)</f>
        <v>0</v>
      </c>
      <c r="GI293" s="190">
        <f>AW293*AW$2*IF($FC293="V",1,-1)*IF($Q293="Fixo",(DK293-INDEX('Curva Forward'!$C$5:$AN$13,MATCH(CONCATENATE(BD_COMERCIAL!$K293," ",BD_COMERCIAL!$L293),'Curva Forward'!$B$5:$B$13,0),MATCH(GI$4,'Curva Forward'!$C$4:$AN$4,0))),DK293)</f>
        <v>0</v>
      </c>
      <c r="GJ293" s="190">
        <f>AX293*AX$2*IF($FC293="V",1,-1)*IF($Q293="Fixo",(DL293-INDEX('Curva Forward'!$C$5:$AN$13,MATCH(CONCATENATE(BD_COMERCIAL!$K293," ",BD_COMERCIAL!$L293),'Curva Forward'!$B$5:$B$13,0),MATCH(GJ$4,'Curva Forward'!$C$4:$AN$4,0))),DL293)</f>
        <v>0</v>
      </c>
      <c r="GK293" s="190">
        <f>AY293*AY$2*IF($FC293="V",1,-1)*IF($Q293="Fixo",(DM293-INDEX('Curva Forward'!$C$5:$AN$13,MATCH(CONCATENATE(BD_COMERCIAL!$K293," ",BD_COMERCIAL!$L293),'Curva Forward'!$B$5:$B$13,0),MATCH(GK$4,'Curva Forward'!$C$4:$AN$4,0))),DM293)</f>
        <v>0</v>
      </c>
      <c r="GL293" s="190">
        <f>IF(EZ293="",0,CL293*CL$2*IF($FC293="V",1,-1)*IF($Q293="Fixo",(EZ293-INDEX('Curva Forward'!$C$5:$AN$13,MATCH(CONCATENATE(BD_COMERCIAL!$K293," ",BD_COMERCIAL!$L293),'Curva Forward'!$B$5:$B$13,0),MATCH(GL$4,'Curva Forward'!$C$4:$AN$4,0))),EZ293))</f>
        <v>0</v>
      </c>
      <c r="GM293" s="190">
        <f>IF(FA293="",0,CM293*CM$2*IF($FC293="V",1,-1)*IF($Q293="Fixo",(FA293-INDEX('Curva Forward'!$C$5:$AN$13,MATCH(CONCATENATE(BD_COMERCIAL!$K293," ",BD_COMERCIAL!$L293),'Curva Forward'!$B$5:$B$13,0),MATCH(GM$4,'Curva Forward'!$C$4:$AN$4,0))),FA293))</f>
        <v>0</v>
      </c>
      <c r="GN293" s="190">
        <f>IF(FB293="",0,CN293*CN$2*IF($FC293="V",1,-1)*IF($Q293="Fixo",(FB293-INDEX('Curva Forward'!$C$5:$AN$13,MATCH(CONCATENATE(BD_COMERCIAL!$K293," ",BD_COMERCIAL!$L293),'Curva Forward'!$B$5:$B$13,0),MATCH(GN$4,'Curva Forward'!$C$4:$AN$4,0))),FB293))</f>
        <v>0</v>
      </c>
      <c r="GO293" s="191">
        <f t="shared" ca="1" si="39"/>
        <v>0</v>
      </c>
      <c r="GP293" s="191">
        <f t="shared" ca="1" si="40"/>
        <v>0</v>
      </c>
      <c r="GQ293" s="115"/>
      <c r="GR293" s="115"/>
      <c r="GS293"/>
      <c r="GT293" s="65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</row>
    <row r="294" spans="1:236" s="265" customFormat="1" ht="15" customHeight="1" x14ac:dyDescent="0.35">
      <c r="A294" s="251"/>
      <c r="B294" s="275"/>
      <c r="C294" s="253"/>
      <c r="D294" s="254"/>
      <c r="E294" s="254"/>
      <c r="F294" s="255"/>
      <c r="G294" s="256"/>
      <c r="H294" s="255"/>
      <c r="I294" s="254"/>
      <c r="J294" s="257"/>
      <c r="K294" s="256"/>
      <c r="L294" s="252"/>
      <c r="M294" s="258"/>
      <c r="N294" s="259"/>
      <c r="O294" s="256"/>
      <c r="P294" s="252"/>
      <c r="Q294" s="252"/>
      <c r="R294" s="256"/>
      <c r="S294" s="260"/>
      <c r="T294" s="258"/>
      <c r="U294" s="259"/>
      <c r="V294" s="261"/>
      <c r="W294" s="252"/>
      <c r="X294" s="262"/>
      <c r="Y294" s="257"/>
      <c r="Z294" s="263"/>
      <c r="AA294" s="264"/>
      <c r="AB294" s="266"/>
      <c r="AM294" s="251"/>
      <c r="AN294" s="266"/>
      <c r="AY294" s="251"/>
      <c r="AZ294" s="266"/>
      <c r="BK294" s="251"/>
      <c r="BL294" s="266"/>
      <c r="BW294" s="251"/>
      <c r="BX294" s="266"/>
      <c r="CI294" s="251"/>
      <c r="CJ294" s="267"/>
      <c r="CK294" s="267"/>
      <c r="CL294" s="267"/>
      <c r="CM294" s="267"/>
      <c r="CN294" s="267"/>
      <c r="CO294" s="268"/>
      <c r="CP294" s="266"/>
      <c r="DA294" s="251"/>
      <c r="DB294" s="266"/>
      <c r="DM294" s="251"/>
      <c r="DN294" s="266"/>
      <c r="DY294" s="251"/>
      <c r="DZ294" s="266"/>
      <c r="EK294" s="251"/>
      <c r="EL294" s="266"/>
      <c r="EW294" s="251"/>
      <c r="EX294" s="267"/>
      <c r="EY294" s="267"/>
      <c r="EZ294" s="267"/>
      <c r="FA294" s="267"/>
      <c r="FB294" s="269"/>
      <c r="FD294" s="270"/>
      <c r="FF294" s="276"/>
      <c r="FH294" s="206">
        <f t="shared" si="34"/>
        <v>0</v>
      </c>
      <c r="FI294" s="198">
        <f t="shared" si="35"/>
        <v>0</v>
      </c>
      <c r="FJ294"/>
      <c r="FK294">
        <f t="shared" si="36"/>
        <v>0</v>
      </c>
      <c r="FL294" s="191">
        <f t="shared" ca="1" si="37"/>
        <v>0</v>
      </c>
      <c r="FM294" s="191">
        <f t="shared" ca="1" si="38"/>
        <v>0</v>
      </c>
      <c r="FN294" s="190">
        <f>AB294*AB$2*IF($FC294="V",1,-1)*IF($Q294="Fixo",(CP294-INDEX('Curva Forward'!$C$5:$AN$13,MATCH(CONCATENATE(BD_COMERCIAL!$K294," ",BD_COMERCIAL!$L294),'Curva Forward'!$B$5:$B$13,0),MATCH(FN$4,'Curva Forward'!$C$4:$AN$4,0))),CP294)</f>
        <v>0</v>
      </c>
      <c r="FO294" s="190">
        <f>AC294*AC$2*IF($FC294="V",1,-1)*IF($Q294="Fixo",(CQ294-INDEX('Curva Forward'!$C$5:$AN$13,MATCH(CONCATENATE(BD_COMERCIAL!$K294," ",BD_COMERCIAL!$L294),'Curva Forward'!$B$5:$B$13,0),MATCH(FO$4,'Curva Forward'!$C$4:$AN$4,0))),CQ294)</f>
        <v>0</v>
      </c>
      <c r="FP294" s="190">
        <f>AD294*AD$2*IF($FC294="V",1,-1)*IF($Q294="Fixo",(CR294-INDEX('Curva Forward'!$C$5:$AN$13,MATCH(CONCATENATE(BD_COMERCIAL!$K294," ",BD_COMERCIAL!$L294),'Curva Forward'!$B$5:$B$13,0),MATCH(FP$4,'Curva Forward'!$C$4:$AN$4,0))),CR294)</f>
        <v>0</v>
      </c>
      <c r="FQ294" s="190">
        <f>AE294*AE$2*IF($FC294="V",1,-1)*IF($Q294="Fixo",(CS294-INDEX('Curva Forward'!$C$5:$AN$13,MATCH(CONCATENATE(BD_COMERCIAL!$K294," ",BD_COMERCIAL!$L294),'Curva Forward'!$B$5:$B$13,0),MATCH(FQ$4,'Curva Forward'!$C$4:$AN$4,0))),CS294)</f>
        <v>0</v>
      </c>
      <c r="FR294" s="190">
        <f>AF294*AF$2*IF($FC294="V",1,-1)*IF($Q294="Fixo",(CT294-INDEX('Curva Forward'!$C$5:$AN$13,MATCH(CONCATENATE(BD_COMERCIAL!$K294," ",BD_COMERCIAL!$L294),'Curva Forward'!$B$5:$B$13,0),MATCH(FR$4,'Curva Forward'!$C$4:$AN$4,0))),CT294)</f>
        <v>0</v>
      </c>
      <c r="FS294" s="190">
        <f>AG294*AG$2*IF($FC294="V",1,-1)*IF($Q294="Fixo",(CU294-INDEX('Curva Forward'!$C$5:$AN$13,MATCH(CONCATENATE(BD_COMERCIAL!$K294," ",BD_COMERCIAL!$L294),'Curva Forward'!$B$5:$B$13,0),MATCH(FS$4,'Curva Forward'!$C$4:$AN$4,0))),CU294)</f>
        <v>0</v>
      </c>
      <c r="FT294" s="190">
        <f>AH294*AH$2*IF($FC294="V",1,-1)*IF($Q294="Fixo",(CV294-INDEX('Curva Forward'!$C$5:$AN$13,MATCH(CONCATENATE(BD_COMERCIAL!$K294," ",BD_COMERCIAL!$L294),'Curva Forward'!$B$5:$B$13,0),MATCH(FT$4,'Curva Forward'!$C$4:$AN$4,0))),CV294)</f>
        <v>0</v>
      </c>
      <c r="FU294" s="190">
        <f>AI294*AI$2*IF($FC294="V",1,-1)*IF($Q294="Fixo",(CW294-INDEX('Curva Forward'!$C$5:$AN$13,MATCH(CONCATENATE(BD_COMERCIAL!$K294," ",BD_COMERCIAL!$L294),'Curva Forward'!$B$5:$B$13,0),MATCH(FU$4,'Curva Forward'!$C$4:$AN$4,0))),CW294)</f>
        <v>0</v>
      </c>
      <c r="FV294" s="190">
        <f>AJ294*AJ$2*IF($FC294="V",1,-1)*IF($Q294="Fixo",(CX294-INDEX('Curva Forward'!$C$5:$AN$13,MATCH(CONCATENATE(BD_COMERCIAL!$K294," ",BD_COMERCIAL!$L294),'Curva Forward'!$B$5:$B$13,0),MATCH(FV$4,'Curva Forward'!$C$4:$AN$4,0))),CX294)</f>
        <v>0</v>
      </c>
      <c r="FW294" s="190">
        <f>AK294*AK$2*IF($FC294="V",1,-1)*IF($Q294="Fixo",(CY294-INDEX('Curva Forward'!$C$5:$AN$13,MATCH(CONCATENATE(BD_COMERCIAL!$K294," ",BD_COMERCIAL!$L294),'Curva Forward'!$B$5:$B$13,0),MATCH(FW$4,'Curva Forward'!$C$4:$AN$4,0))),CY294)</f>
        <v>0</v>
      </c>
      <c r="FX294" s="190">
        <f>AL294*AL$2*IF($FC294="V",1,-1)*IF($Q294="Fixo",(CZ294-INDEX('Curva Forward'!$C$5:$AN$13,MATCH(CONCATENATE(BD_COMERCIAL!$K294," ",BD_COMERCIAL!$L294),'Curva Forward'!$B$5:$B$13,0),MATCH(FX$4,'Curva Forward'!$C$4:$AN$4,0))),CZ294)</f>
        <v>0</v>
      </c>
      <c r="FY294" s="190">
        <f>AM294*AM$2*IF($FC294="V",1,-1)*IF($Q294="Fixo",(DA294-INDEX('Curva Forward'!$C$5:$AN$13,MATCH(CONCATENATE(BD_COMERCIAL!$K294," ",BD_COMERCIAL!$L294),'Curva Forward'!$B$5:$B$13,0),MATCH(FY$4,'Curva Forward'!$C$4:$AN$4,0))),DA294)</f>
        <v>0</v>
      </c>
      <c r="FZ294" s="190">
        <f>AN294*AN$2*IF($FC294="V",1,-1)*IF($Q294="Fixo",(DB294-INDEX('Curva Forward'!$C$5:$AN$13,MATCH(CONCATENATE(BD_COMERCIAL!$K294," ",BD_COMERCIAL!$L294),'Curva Forward'!$B$5:$B$13,0),MATCH(FZ$4,'Curva Forward'!$C$4:$AN$4,0))),DB294)</f>
        <v>0</v>
      </c>
      <c r="GA294" s="190">
        <f>AO294*AO$2*IF($FC294="V",1,-1)*IF($Q294="Fixo",(DC294-INDEX('Curva Forward'!$C$5:$AN$13,MATCH(CONCATENATE(BD_COMERCIAL!$K294," ",BD_COMERCIAL!$L294),'Curva Forward'!$B$5:$B$13,0),MATCH(GA$4,'Curva Forward'!$C$4:$AN$4,0))),DC294)</f>
        <v>0</v>
      </c>
      <c r="GB294" s="190">
        <f>AP294*AP$2*IF($FC294="V",1,-1)*IF($Q294="Fixo",(DD294-INDEX('Curva Forward'!$C$5:$AN$13,MATCH(CONCATENATE(BD_COMERCIAL!$K294," ",BD_COMERCIAL!$L294),'Curva Forward'!$B$5:$B$13,0),MATCH(GB$4,'Curva Forward'!$C$4:$AN$4,0))),DD294)</f>
        <v>0</v>
      </c>
      <c r="GC294" s="190">
        <f>AQ294*AQ$2*IF($FC294="V",1,-1)*IF($Q294="Fixo",(DE294-INDEX('Curva Forward'!$C$5:$AN$13,MATCH(CONCATENATE(BD_COMERCIAL!$K294," ",BD_COMERCIAL!$L294),'Curva Forward'!$B$5:$B$13,0),MATCH(GC$4,'Curva Forward'!$C$4:$AN$4,0))),DE294)</f>
        <v>0</v>
      </c>
      <c r="GD294" s="190">
        <f>AR294*AR$2*IF($FC294="V",1,-1)*IF($Q294="Fixo",(DF294-INDEX('Curva Forward'!$C$5:$AN$13,MATCH(CONCATENATE(BD_COMERCIAL!$K294," ",BD_COMERCIAL!$L294),'Curva Forward'!$B$5:$B$13,0),MATCH(GD$4,'Curva Forward'!$C$4:$AN$4,0))),DF294)</f>
        <v>0</v>
      </c>
      <c r="GE294" s="190">
        <f>AS294*AS$2*IF($FC294="V",1,-1)*IF($Q294="Fixo",(DG294-INDEX('Curva Forward'!$C$5:$AN$13,MATCH(CONCATENATE(BD_COMERCIAL!$K294," ",BD_COMERCIAL!$L294),'Curva Forward'!$B$5:$B$13,0),MATCH(GE$4,'Curva Forward'!$C$4:$AN$4,0))),DG294)</f>
        <v>0</v>
      </c>
      <c r="GF294" s="190">
        <f>AT294*AT$2*IF($FC294="V",1,-1)*IF($Q294="Fixo",(DH294-INDEX('Curva Forward'!$C$5:$AN$13,MATCH(CONCATENATE(BD_COMERCIAL!$K294," ",BD_COMERCIAL!$L294),'Curva Forward'!$B$5:$B$13,0),MATCH(GF$4,'Curva Forward'!$C$4:$AN$4,0))),DH294)</f>
        <v>0</v>
      </c>
      <c r="GG294" s="190">
        <f>AU294*AU$2*IF($FC294="V",1,-1)*IF($Q294="Fixo",(DI294-INDEX('Curva Forward'!$C$5:$AN$13,MATCH(CONCATENATE(BD_COMERCIAL!$K294," ",BD_COMERCIAL!$L294),'Curva Forward'!$B$5:$B$13,0),MATCH(GG$4,'Curva Forward'!$C$4:$AN$4,0))),DI294)</f>
        <v>0</v>
      </c>
      <c r="GH294" s="190">
        <f>AV294*AV$2*IF($FC294="V",1,-1)*IF($Q294="Fixo",(DJ294-INDEX('Curva Forward'!$C$5:$AN$13,MATCH(CONCATENATE(BD_COMERCIAL!$K294," ",BD_COMERCIAL!$L294),'Curva Forward'!$B$5:$B$13,0),MATCH(GH$4,'Curva Forward'!$C$4:$AN$4,0))),DJ294)</f>
        <v>0</v>
      </c>
      <c r="GI294" s="190">
        <f>AW294*AW$2*IF($FC294="V",1,-1)*IF($Q294="Fixo",(DK294-INDEX('Curva Forward'!$C$5:$AN$13,MATCH(CONCATENATE(BD_COMERCIAL!$K294," ",BD_COMERCIAL!$L294),'Curva Forward'!$B$5:$B$13,0),MATCH(GI$4,'Curva Forward'!$C$4:$AN$4,0))),DK294)</f>
        <v>0</v>
      </c>
      <c r="GJ294" s="190">
        <f>AX294*AX$2*IF($FC294="V",1,-1)*IF($Q294="Fixo",(DL294-INDEX('Curva Forward'!$C$5:$AN$13,MATCH(CONCATENATE(BD_COMERCIAL!$K294," ",BD_COMERCIAL!$L294),'Curva Forward'!$B$5:$B$13,0),MATCH(GJ$4,'Curva Forward'!$C$4:$AN$4,0))),DL294)</f>
        <v>0</v>
      </c>
      <c r="GK294" s="190">
        <f>AY294*AY$2*IF($FC294="V",1,-1)*IF($Q294="Fixo",(DM294-INDEX('Curva Forward'!$C$5:$AN$13,MATCH(CONCATENATE(BD_COMERCIAL!$K294," ",BD_COMERCIAL!$L294),'Curva Forward'!$B$5:$B$13,0),MATCH(GK$4,'Curva Forward'!$C$4:$AN$4,0))),DM294)</f>
        <v>0</v>
      </c>
      <c r="GL294" s="190">
        <f>IF(EZ294="",0,CL294*CL$2*IF($FC294="V",1,-1)*IF($Q294="Fixo",(EZ294-INDEX('Curva Forward'!$C$5:$AN$13,MATCH(CONCATENATE(BD_COMERCIAL!$K294," ",BD_COMERCIAL!$L294),'Curva Forward'!$B$5:$B$13,0),MATCH(GL$4,'Curva Forward'!$C$4:$AN$4,0))),EZ294))</f>
        <v>0</v>
      </c>
      <c r="GM294" s="190">
        <f>IF(FA294="",0,CM294*CM$2*IF($FC294="V",1,-1)*IF($Q294="Fixo",(FA294-INDEX('Curva Forward'!$C$5:$AN$13,MATCH(CONCATENATE(BD_COMERCIAL!$K294," ",BD_COMERCIAL!$L294),'Curva Forward'!$B$5:$B$13,0),MATCH(GM$4,'Curva Forward'!$C$4:$AN$4,0))),FA294))</f>
        <v>0</v>
      </c>
      <c r="GN294" s="190">
        <f>IF(FB294="",0,CN294*CN$2*IF($FC294="V",1,-1)*IF($Q294="Fixo",(FB294-INDEX('Curva Forward'!$C$5:$AN$13,MATCH(CONCATENATE(BD_COMERCIAL!$K294," ",BD_COMERCIAL!$L294),'Curva Forward'!$B$5:$B$13,0),MATCH(GN$4,'Curva Forward'!$C$4:$AN$4,0))),FB294))</f>
        <v>0</v>
      </c>
      <c r="GO294" s="191">
        <f t="shared" ca="1" si="39"/>
        <v>0</v>
      </c>
      <c r="GP294" s="191">
        <f t="shared" ca="1" si="40"/>
        <v>0</v>
      </c>
      <c r="GQ294" s="115"/>
      <c r="GR294" s="115"/>
      <c r="GS294"/>
      <c r="GT294" s="65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</row>
    <row r="295" spans="1:236" s="265" customFormat="1" ht="15" customHeight="1" x14ac:dyDescent="0.35">
      <c r="A295" s="251"/>
      <c r="B295" s="275"/>
      <c r="C295" s="253"/>
      <c r="D295" s="254"/>
      <c r="E295" s="254"/>
      <c r="F295" s="255"/>
      <c r="G295" s="256"/>
      <c r="H295" s="255"/>
      <c r="I295" s="254"/>
      <c r="J295" s="257"/>
      <c r="K295" s="256"/>
      <c r="L295" s="252"/>
      <c r="M295" s="258"/>
      <c r="N295" s="259"/>
      <c r="O295" s="256"/>
      <c r="P295" s="252"/>
      <c r="Q295" s="252"/>
      <c r="R295" s="256"/>
      <c r="S295" s="260"/>
      <c r="T295" s="258"/>
      <c r="U295" s="259"/>
      <c r="V295" s="261"/>
      <c r="W295" s="252"/>
      <c r="X295" s="262"/>
      <c r="Y295" s="257"/>
      <c r="Z295" s="263"/>
      <c r="AA295" s="264"/>
      <c r="AB295" s="266"/>
      <c r="AM295" s="251"/>
      <c r="AN295" s="266"/>
      <c r="AY295" s="251"/>
      <c r="AZ295" s="266"/>
      <c r="BK295" s="251"/>
      <c r="BL295" s="266"/>
      <c r="BW295" s="251"/>
      <c r="BX295" s="266"/>
      <c r="CI295" s="251"/>
      <c r="CJ295" s="267"/>
      <c r="CK295" s="267"/>
      <c r="CL295" s="267"/>
      <c r="CM295" s="267"/>
      <c r="CN295" s="267"/>
      <c r="CO295" s="268"/>
      <c r="CP295" s="266"/>
      <c r="DA295" s="251"/>
      <c r="DB295" s="266"/>
      <c r="DM295" s="251"/>
      <c r="DN295" s="266"/>
      <c r="DY295" s="251"/>
      <c r="DZ295" s="266"/>
      <c r="EK295" s="251"/>
      <c r="EL295" s="266"/>
      <c r="EW295" s="251"/>
      <c r="EX295" s="267"/>
      <c r="EY295" s="267"/>
      <c r="EZ295" s="267"/>
      <c r="FA295" s="267"/>
      <c r="FB295" s="269"/>
      <c r="FD295" s="270"/>
      <c r="FF295" s="276"/>
      <c r="FH295" s="206">
        <f t="shared" si="34"/>
        <v>0</v>
      </c>
      <c r="FI295" s="198">
        <f t="shared" si="35"/>
        <v>0</v>
      </c>
      <c r="FJ295"/>
      <c r="FK295">
        <f t="shared" si="36"/>
        <v>0</v>
      </c>
      <c r="FL295" s="191">
        <f t="shared" ca="1" si="37"/>
        <v>0</v>
      </c>
      <c r="FM295" s="191">
        <f t="shared" ca="1" si="38"/>
        <v>0</v>
      </c>
      <c r="FN295" s="190">
        <f>AB295*AB$2*IF($FC295="V",1,-1)*IF($Q295="Fixo",(CP295-INDEX('Curva Forward'!$C$5:$AN$13,MATCH(CONCATENATE(BD_COMERCIAL!$K295," ",BD_COMERCIAL!$L295),'Curva Forward'!$B$5:$B$13,0),MATCH(FN$4,'Curva Forward'!$C$4:$AN$4,0))),CP295)</f>
        <v>0</v>
      </c>
      <c r="FO295" s="190">
        <f>AC295*AC$2*IF($FC295="V",1,-1)*IF($Q295="Fixo",(CQ295-INDEX('Curva Forward'!$C$5:$AN$13,MATCH(CONCATENATE(BD_COMERCIAL!$K295," ",BD_COMERCIAL!$L295),'Curva Forward'!$B$5:$B$13,0),MATCH(FO$4,'Curva Forward'!$C$4:$AN$4,0))),CQ295)</f>
        <v>0</v>
      </c>
      <c r="FP295" s="190">
        <f>AD295*AD$2*IF($FC295="V",1,-1)*IF($Q295="Fixo",(CR295-INDEX('Curva Forward'!$C$5:$AN$13,MATCH(CONCATENATE(BD_COMERCIAL!$K295," ",BD_COMERCIAL!$L295),'Curva Forward'!$B$5:$B$13,0),MATCH(FP$4,'Curva Forward'!$C$4:$AN$4,0))),CR295)</f>
        <v>0</v>
      </c>
      <c r="FQ295" s="190">
        <f>AE295*AE$2*IF($FC295="V",1,-1)*IF($Q295="Fixo",(CS295-INDEX('Curva Forward'!$C$5:$AN$13,MATCH(CONCATENATE(BD_COMERCIAL!$K295," ",BD_COMERCIAL!$L295),'Curva Forward'!$B$5:$B$13,0),MATCH(FQ$4,'Curva Forward'!$C$4:$AN$4,0))),CS295)</f>
        <v>0</v>
      </c>
      <c r="FR295" s="190">
        <f>AF295*AF$2*IF($FC295="V",1,-1)*IF($Q295="Fixo",(CT295-INDEX('Curva Forward'!$C$5:$AN$13,MATCH(CONCATENATE(BD_COMERCIAL!$K295," ",BD_COMERCIAL!$L295),'Curva Forward'!$B$5:$B$13,0),MATCH(FR$4,'Curva Forward'!$C$4:$AN$4,0))),CT295)</f>
        <v>0</v>
      </c>
      <c r="FS295" s="190">
        <f>AG295*AG$2*IF($FC295="V",1,-1)*IF($Q295="Fixo",(CU295-INDEX('Curva Forward'!$C$5:$AN$13,MATCH(CONCATENATE(BD_COMERCIAL!$K295," ",BD_COMERCIAL!$L295),'Curva Forward'!$B$5:$B$13,0),MATCH(FS$4,'Curva Forward'!$C$4:$AN$4,0))),CU295)</f>
        <v>0</v>
      </c>
      <c r="FT295" s="190">
        <f>AH295*AH$2*IF($FC295="V",1,-1)*IF($Q295="Fixo",(CV295-INDEX('Curva Forward'!$C$5:$AN$13,MATCH(CONCATENATE(BD_COMERCIAL!$K295," ",BD_COMERCIAL!$L295),'Curva Forward'!$B$5:$B$13,0),MATCH(FT$4,'Curva Forward'!$C$4:$AN$4,0))),CV295)</f>
        <v>0</v>
      </c>
      <c r="FU295" s="190">
        <f>AI295*AI$2*IF($FC295="V",1,-1)*IF($Q295="Fixo",(CW295-INDEX('Curva Forward'!$C$5:$AN$13,MATCH(CONCATENATE(BD_COMERCIAL!$K295," ",BD_COMERCIAL!$L295),'Curva Forward'!$B$5:$B$13,0),MATCH(FU$4,'Curva Forward'!$C$4:$AN$4,0))),CW295)</f>
        <v>0</v>
      </c>
      <c r="FV295" s="190">
        <f>AJ295*AJ$2*IF($FC295="V",1,-1)*IF($Q295="Fixo",(CX295-INDEX('Curva Forward'!$C$5:$AN$13,MATCH(CONCATENATE(BD_COMERCIAL!$K295," ",BD_COMERCIAL!$L295),'Curva Forward'!$B$5:$B$13,0),MATCH(FV$4,'Curva Forward'!$C$4:$AN$4,0))),CX295)</f>
        <v>0</v>
      </c>
      <c r="FW295" s="190">
        <f>AK295*AK$2*IF($FC295="V",1,-1)*IF($Q295="Fixo",(CY295-INDEX('Curva Forward'!$C$5:$AN$13,MATCH(CONCATENATE(BD_COMERCIAL!$K295," ",BD_COMERCIAL!$L295),'Curva Forward'!$B$5:$B$13,0),MATCH(FW$4,'Curva Forward'!$C$4:$AN$4,0))),CY295)</f>
        <v>0</v>
      </c>
      <c r="FX295" s="190">
        <f>AL295*AL$2*IF($FC295="V",1,-1)*IF($Q295="Fixo",(CZ295-INDEX('Curva Forward'!$C$5:$AN$13,MATCH(CONCATENATE(BD_COMERCIAL!$K295," ",BD_COMERCIAL!$L295),'Curva Forward'!$B$5:$B$13,0),MATCH(FX$4,'Curva Forward'!$C$4:$AN$4,0))),CZ295)</f>
        <v>0</v>
      </c>
      <c r="FY295" s="190">
        <f>AM295*AM$2*IF($FC295="V",1,-1)*IF($Q295="Fixo",(DA295-INDEX('Curva Forward'!$C$5:$AN$13,MATCH(CONCATENATE(BD_COMERCIAL!$K295," ",BD_COMERCIAL!$L295),'Curva Forward'!$B$5:$B$13,0),MATCH(FY$4,'Curva Forward'!$C$4:$AN$4,0))),DA295)</f>
        <v>0</v>
      </c>
      <c r="FZ295" s="190">
        <f>AN295*AN$2*IF($FC295="V",1,-1)*IF($Q295="Fixo",(DB295-INDEX('Curva Forward'!$C$5:$AN$13,MATCH(CONCATENATE(BD_COMERCIAL!$K295," ",BD_COMERCIAL!$L295),'Curva Forward'!$B$5:$B$13,0),MATCH(FZ$4,'Curva Forward'!$C$4:$AN$4,0))),DB295)</f>
        <v>0</v>
      </c>
      <c r="GA295" s="190">
        <f>AO295*AO$2*IF($FC295="V",1,-1)*IF($Q295="Fixo",(DC295-INDEX('Curva Forward'!$C$5:$AN$13,MATCH(CONCATENATE(BD_COMERCIAL!$K295," ",BD_COMERCIAL!$L295),'Curva Forward'!$B$5:$B$13,0),MATCH(GA$4,'Curva Forward'!$C$4:$AN$4,0))),DC295)</f>
        <v>0</v>
      </c>
      <c r="GB295" s="190">
        <f>AP295*AP$2*IF($FC295="V",1,-1)*IF($Q295="Fixo",(DD295-INDEX('Curva Forward'!$C$5:$AN$13,MATCH(CONCATENATE(BD_COMERCIAL!$K295," ",BD_COMERCIAL!$L295),'Curva Forward'!$B$5:$B$13,0),MATCH(GB$4,'Curva Forward'!$C$4:$AN$4,0))),DD295)</f>
        <v>0</v>
      </c>
      <c r="GC295" s="190">
        <f>AQ295*AQ$2*IF($FC295="V",1,-1)*IF($Q295="Fixo",(DE295-INDEX('Curva Forward'!$C$5:$AN$13,MATCH(CONCATENATE(BD_COMERCIAL!$K295," ",BD_COMERCIAL!$L295),'Curva Forward'!$B$5:$B$13,0),MATCH(GC$4,'Curva Forward'!$C$4:$AN$4,0))),DE295)</f>
        <v>0</v>
      </c>
      <c r="GD295" s="190">
        <f>AR295*AR$2*IF($FC295="V",1,-1)*IF($Q295="Fixo",(DF295-INDEX('Curva Forward'!$C$5:$AN$13,MATCH(CONCATENATE(BD_COMERCIAL!$K295," ",BD_COMERCIAL!$L295),'Curva Forward'!$B$5:$B$13,0),MATCH(GD$4,'Curva Forward'!$C$4:$AN$4,0))),DF295)</f>
        <v>0</v>
      </c>
      <c r="GE295" s="190">
        <f>AS295*AS$2*IF($FC295="V",1,-1)*IF($Q295="Fixo",(DG295-INDEX('Curva Forward'!$C$5:$AN$13,MATCH(CONCATENATE(BD_COMERCIAL!$K295," ",BD_COMERCIAL!$L295),'Curva Forward'!$B$5:$B$13,0),MATCH(GE$4,'Curva Forward'!$C$4:$AN$4,0))),DG295)</f>
        <v>0</v>
      </c>
      <c r="GF295" s="190">
        <f>AT295*AT$2*IF($FC295="V",1,-1)*IF($Q295="Fixo",(DH295-INDEX('Curva Forward'!$C$5:$AN$13,MATCH(CONCATENATE(BD_COMERCIAL!$K295," ",BD_COMERCIAL!$L295),'Curva Forward'!$B$5:$B$13,0),MATCH(GF$4,'Curva Forward'!$C$4:$AN$4,0))),DH295)</f>
        <v>0</v>
      </c>
      <c r="GG295" s="190">
        <f>AU295*AU$2*IF($FC295="V",1,-1)*IF($Q295="Fixo",(DI295-INDEX('Curva Forward'!$C$5:$AN$13,MATCH(CONCATENATE(BD_COMERCIAL!$K295," ",BD_COMERCIAL!$L295),'Curva Forward'!$B$5:$B$13,0),MATCH(GG$4,'Curva Forward'!$C$4:$AN$4,0))),DI295)</f>
        <v>0</v>
      </c>
      <c r="GH295" s="190">
        <f>AV295*AV$2*IF($FC295="V",1,-1)*IF($Q295="Fixo",(DJ295-INDEX('Curva Forward'!$C$5:$AN$13,MATCH(CONCATENATE(BD_COMERCIAL!$K295," ",BD_COMERCIAL!$L295),'Curva Forward'!$B$5:$B$13,0),MATCH(GH$4,'Curva Forward'!$C$4:$AN$4,0))),DJ295)</f>
        <v>0</v>
      </c>
      <c r="GI295" s="190">
        <f>AW295*AW$2*IF($FC295="V",1,-1)*IF($Q295="Fixo",(DK295-INDEX('Curva Forward'!$C$5:$AN$13,MATCH(CONCATENATE(BD_COMERCIAL!$K295," ",BD_COMERCIAL!$L295),'Curva Forward'!$B$5:$B$13,0),MATCH(GI$4,'Curva Forward'!$C$4:$AN$4,0))),DK295)</f>
        <v>0</v>
      </c>
      <c r="GJ295" s="190">
        <f>AX295*AX$2*IF($FC295="V",1,-1)*IF($Q295="Fixo",(DL295-INDEX('Curva Forward'!$C$5:$AN$13,MATCH(CONCATENATE(BD_COMERCIAL!$K295," ",BD_COMERCIAL!$L295),'Curva Forward'!$B$5:$B$13,0),MATCH(GJ$4,'Curva Forward'!$C$4:$AN$4,0))),DL295)</f>
        <v>0</v>
      </c>
      <c r="GK295" s="190">
        <f>AY295*AY$2*IF($FC295="V",1,-1)*IF($Q295="Fixo",(DM295-INDEX('Curva Forward'!$C$5:$AN$13,MATCH(CONCATENATE(BD_COMERCIAL!$K295," ",BD_COMERCIAL!$L295),'Curva Forward'!$B$5:$B$13,0),MATCH(GK$4,'Curva Forward'!$C$4:$AN$4,0))),DM295)</f>
        <v>0</v>
      </c>
      <c r="GL295" s="190">
        <f>IF(EZ295="",0,CL295*CL$2*IF($FC295="V",1,-1)*IF($Q295="Fixo",(EZ295-INDEX('Curva Forward'!$C$5:$AN$13,MATCH(CONCATENATE(BD_COMERCIAL!$K295," ",BD_COMERCIAL!$L295),'Curva Forward'!$B$5:$B$13,0),MATCH(GL$4,'Curva Forward'!$C$4:$AN$4,0))),EZ295))</f>
        <v>0</v>
      </c>
      <c r="GM295" s="190">
        <f>IF(FA295="",0,CM295*CM$2*IF($FC295="V",1,-1)*IF($Q295="Fixo",(FA295-INDEX('Curva Forward'!$C$5:$AN$13,MATCH(CONCATENATE(BD_COMERCIAL!$K295," ",BD_COMERCIAL!$L295),'Curva Forward'!$B$5:$B$13,0),MATCH(GM$4,'Curva Forward'!$C$4:$AN$4,0))),FA295))</f>
        <v>0</v>
      </c>
      <c r="GN295" s="190">
        <f>IF(FB295="",0,CN295*CN$2*IF($FC295="V",1,-1)*IF($Q295="Fixo",(FB295-INDEX('Curva Forward'!$C$5:$AN$13,MATCH(CONCATENATE(BD_COMERCIAL!$K295," ",BD_COMERCIAL!$L295),'Curva Forward'!$B$5:$B$13,0),MATCH(GN$4,'Curva Forward'!$C$4:$AN$4,0))),FB295))</f>
        <v>0</v>
      </c>
      <c r="GO295" s="191">
        <f t="shared" ca="1" si="39"/>
        <v>0</v>
      </c>
      <c r="GP295" s="191">
        <f t="shared" ca="1" si="40"/>
        <v>0</v>
      </c>
      <c r="GQ295" s="115"/>
      <c r="GR295" s="115"/>
      <c r="GS295"/>
      <c r="GT295" s="6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</row>
    <row r="296" spans="1:236" s="265" customFormat="1" ht="15" customHeight="1" x14ac:dyDescent="0.35">
      <c r="A296" s="251"/>
      <c r="B296" s="275"/>
      <c r="C296" s="253"/>
      <c r="D296" s="254"/>
      <c r="E296" s="254"/>
      <c r="F296" s="255"/>
      <c r="G296" s="256"/>
      <c r="H296" s="255"/>
      <c r="I296" s="254"/>
      <c r="J296" s="257"/>
      <c r="K296" s="256"/>
      <c r="L296" s="252"/>
      <c r="M296" s="258"/>
      <c r="N296" s="259"/>
      <c r="O296" s="256"/>
      <c r="P296" s="252"/>
      <c r="Q296" s="252"/>
      <c r="R296" s="256"/>
      <c r="S296" s="260"/>
      <c r="T296" s="258"/>
      <c r="U296" s="259"/>
      <c r="V296" s="261"/>
      <c r="W296" s="252"/>
      <c r="X296" s="262"/>
      <c r="Y296" s="257"/>
      <c r="Z296" s="263"/>
      <c r="AA296" s="264"/>
      <c r="AB296" s="266"/>
      <c r="AM296" s="251"/>
      <c r="AN296" s="266"/>
      <c r="AY296" s="251"/>
      <c r="AZ296" s="266"/>
      <c r="BK296" s="251"/>
      <c r="BL296" s="266"/>
      <c r="BW296" s="251"/>
      <c r="BX296" s="266"/>
      <c r="CI296" s="251"/>
      <c r="CJ296" s="267"/>
      <c r="CK296" s="267"/>
      <c r="CL296" s="267"/>
      <c r="CM296" s="267"/>
      <c r="CN296" s="267"/>
      <c r="CO296" s="268"/>
      <c r="CP296" s="266"/>
      <c r="DA296" s="251"/>
      <c r="DB296" s="266"/>
      <c r="DM296" s="251"/>
      <c r="DN296" s="266"/>
      <c r="DY296" s="251"/>
      <c r="DZ296" s="266"/>
      <c r="EK296" s="251"/>
      <c r="EL296" s="266"/>
      <c r="EW296" s="251"/>
      <c r="EX296" s="267"/>
      <c r="EY296" s="267"/>
      <c r="EZ296" s="267"/>
      <c r="FA296" s="267"/>
      <c r="FB296" s="269"/>
      <c r="FD296" s="270"/>
      <c r="FF296" s="276"/>
      <c r="FH296" s="206">
        <f t="shared" si="34"/>
        <v>0</v>
      </c>
      <c r="FI296" s="198">
        <f t="shared" si="35"/>
        <v>0</v>
      </c>
      <c r="FJ296"/>
      <c r="FK296">
        <f t="shared" si="36"/>
        <v>0</v>
      </c>
      <c r="FL296" s="191">
        <f t="shared" ca="1" si="37"/>
        <v>0</v>
      </c>
      <c r="FM296" s="191">
        <f t="shared" ca="1" si="38"/>
        <v>0</v>
      </c>
      <c r="FN296" s="190">
        <f>AB296*AB$2*IF($FC296="V",1,-1)*IF($Q296="Fixo",(CP296-INDEX('Curva Forward'!$C$5:$AN$13,MATCH(CONCATENATE(BD_COMERCIAL!$K296," ",BD_COMERCIAL!$L296),'Curva Forward'!$B$5:$B$13,0),MATCH(FN$4,'Curva Forward'!$C$4:$AN$4,0))),CP296)</f>
        <v>0</v>
      </c>
      <c r="FO296" s="190">
        <f>AC296*AC$2*IF($FC296="V",1,-1)*IF($Q296="Fixo",(CQ296-INDEX('Curva Forward'!$C$5:$AN$13,MATCH(CONCATENATE(BD_COMERCIAL!$K296," ",BD_COMERCIAL!$L296),'Curva Forward'!$B$5:$B$13,0),MATCH(FO$4,'Curva Forward'!$C$4:$AN$4,0))),CQ296)</f>
        <v>0</v>
      </c>
      <c r="FP296" s="190">
        <f>AD296*AD$2*IF($FC296="V",1,-1)*IF($Q296="Fixo",(CR296-INDEX('Curva Forward'!$C$5:$AN$13,MATCH(CONCATENATE(BD_COMERCIAL!$K296," ",BD_COMERCIAL!$L296),'Curva Forward'!$B$5:$B$13,0),MATCH(FP$4,'Curva Forward'!$C$4:$AN$4,0))),CR296)</f>
        <v>0</v>
      </c>
      <c r="FQ296" s="190">
        <f>AE296*AE$2*IF($FC296="V",1,-1)*IF($Q296="Fixo",(CS296-INDEX('Curva Forward'!$C$5:$AN$13,MATCH(CONCATENATE(BD_COMERCIAL!$K296," ",BD_COMERCIAL!$L296),'Curva Forward'!$B$5:$B$13,0),MATCH(FQ$4,'Curva Forward'!$C$4:$AN$4,0))),CS296)</f>
        <v>0</v>
      </c>
      <c r="FR296" s="190">
        <f>AF296*AF$2*IF($FC296="V",1,-1)*IF($Q296="Fixo",(CT296-INDEX('Curva Forward'!$C$5:$AN$13,MATCH(CONCATENATE(BD_COMERCIAL!$K296," ",BD_COMERCIAL!$L296),'Curva Forward'!$B$5:$B$13,0),MATCH(FR$4,'Curva Forward'!$C$4:$AN$4,0))),CT296)</f>
        <v>0</v>
      </c>
      <c r="FS296" s="190">
        <f>AG296*AG$2*IF($FC296="V",1,-1)*IF($Q296="Fixo",(CU296-INDEX('Curva Forward'!$C$5:$AN$13,MATCH(CONCATENATE(BD_COMERCIAL!$K296," ",BD_COMERCIAL!$L296),'Curva Forward'!$B$5:$B$13,0),MATCH(FS$4,'Curva Forward'!$C$4:$AN$4,0))),CU296)</f>
        <v>0</v>
      </c>
      <c r="FT296" s="190">
        <f>AH296*AH$2*IF($FC296="V",1,-1)*IF($Q296="Fixo",(CV296-INDEX('Curva Forward'!$C$5:$AN$13,MATCH(CONCATENATE(BD_COMERCIAL!$K296," ",BD_COMERCIAL!$L296),'Curva Forward'!$B$5:$B$13,0),MATCH(FT$4,'Curva Forward'!$C$4:$AN$4,0))),CV296)</f>
        <v>0</v>
      </c>
      <c r="FU296" s="190">
        <f>AI296*AI$2*IF($FC296="V",1,-1)*IF($Q296="Fixo",(CW296-INDEX('Curva Forward'!$C$5:$AN$13,MATCH(CONCATENATE(BD_COMERCIAL!$K296," ",BD_COMERCIAL!$L296),'Curva Forward'!$B$5:$B$13,0),MATCH(FU$4,'Curva Forward'!$C$4:$AN$4,0))),CW296)</f>
        <v>0</v>
      </c>
      <c r="FV296" s="190">
        <f>AJ296*AJ$2*IF($FC296="V",1,-1)*IF($Q296="Fixo",(CX296-INDEX('Curva Forward'!$C$5:$AN$13,MATCH(CONCATENATE(BD_COMERCIAL!$K296," ",BD_COMERCIAL!$L296),'Curva Forward'!$B$5:$B$13,0),MATCH(FV$4,'Curva Forward'!$C$4:$AN$4,0))),CX296)</f>
        <v>0</v>
      </c>
      <c r="FW296" s="190">
        <f>AK296*AK$2*IF($FC296="V",1,-1)*IF($Q296="Fixo",(CY296-INDEX('Curva Forward'!$C$5:$AN$13,MATCH(CONCATENATE(BD_COMERCIAL!$K296," ",BD_COMERCIAL!$L296),'Curva Forward'!$B$5:$B$13,0),MATCH(FW$4,'Curva Forward'!$C$4:$AN$4,0))),CY296)</f>
        <v>0</v>
      </c>
      <c r="FX296" s="190">
        <f>AL296*AL$2*IF($FC296="V",1,-1)*IF($Q296="Fixo",(CZ296-INDEX('Curva Forward'!$C$5:$AN$13,MATCH(CONCATENATE(BD_COMERCIAL!$K296," ",BD_COMERCIAL!$L296),'Curva Forward'!$B$5:$B$13,0),MATCH(FX$4,'Curva Forward'!$C$4:$AN$4,0))),CZ296)</f>
        <v>0</v>
      </c>
      <c r="FY296" s="190">
        <f>AM296*AM$2*IF($FC296="V",1,-1)*IF($Q296="Fixo",(DA296-INDEX('Curva Forward'!$C$5:$AN$13,MATCH(CONCATENATE(BD_COMERCIAL!$K296," ",BD_COMERCIAL!$L296),'Curva Forward'!$B$5:$B$13,0),MATCH(FY$4,'Curva Forward'!$C$4:$AN$4,0))),DA296)</f>
        <v>0</v>
      </c>
      <c r="FZ296" s="190">
        <f>AN296*AN$2*IF($FC296="V",1,-1)*IF($Q296="Fixo",(DB296-INDEX('Curva Forward'!$C$5:$AN$13,MATCH(CONCATENATE(BD_COMERCIAL!$K296," ",BD_COMERCIAL!$L296),'Curva Forward'!$B$5:$B$13,0),MATCH(FZ$4,'Curva Forward'!$C$4:$AN$4,0))),DB296)</f>
        <v>0</v>
      </c>
      <c r="GA296" s="190">
        <f>AO296*AO$2*IF($FC296="V",1,-1)*IF($Q296="Fixo",(DC296-INDEX('Curva Forward'!$C$5:$AN$13,MATCH(CONCATENATE(BD_COMERCIAL!$K296," ",BD_COMERCIAL!$L296),'Curva Forward'!$B$5:$B$13,0),MATCH(GA$4,'Curva Forward'!$C$4:$AN$4,0))),DC296)</f>
        <v>0</v>
      </c>
      <c r="GB296" s="190">
        <f>AP296*AP$2*IF($FC296="V",1,-1)*IF($Q296="Fixo",(DD296-INDEX('Curva Forward'!$C$5:$AN$13,MATCH(CONCATENATE(BD_COMERCIAL!$K296," ",BD_COMERCIAL!$L296),'Curva Forward'!$B$5:$B$13,0),MATCH(GB$4,'Curva Forward'!$C$4:$AN$4,0))),DD296)</f>
        <v>0</v>
      </c>
      <c r="GC296" s="190">
        <f>AQ296*AQ$2*IF($FC296="V",1,-1)*IF($Q296="Fixo",(DE296-INDEX('Curva Forward'!$C$5:$AN$13,MATCH(CONCATENATE(BD_COMERCIAL!$K296," ",BD_COMERCIAL!$L296),'Curva Forward'!$B$5:$B$13,0),MATCH(GC$4,'Curva Forward'!$C$4:$AN$4,0))),DE296)</f>
        <v>0</v>
      </c>
      <c r="GD296" s="190">
        <f>AR296*AR$2*IF($FC296="V",1,-1)*IF($Q296="Fixo",(DF296-INDEX('Curva Forward'!$C$5:$AN$13,MATCH(CONCATENATE(BD_COMERCIAL!$K296," ",BD_COMERCIAL!$L296),'Curva Forward'!$B$5:$B$13,0),MATCH(GD$4,'Curva Forward'!$C$4:$AN$4,0))),DF296)</f>
        <v>0</v>
      </c>
      <c r="GE296" s="190">
        <f>AS296*AS$2*IF($FC296="V",1,-1)*IF($Q296="Fixo",(DG296-INDEX('Curva Forward'!$C$5:$AN$13,MATCH(CONCATENATE(BD_COMERCIAL!$K296," ",BD_COMERCIAL!$L296),'Curva Forward'!$B$5:$B$13,0),MATCH(GE$4,'Curva Forward'!$C$4:$AN$4,0))),DG296)</f>
        <v>0</v>
      </c>
      <c r="GF296" s="190">
        <f>AT296*AT$2*IF($FC296="V",1,-1)*IF($Q296="Fixo",(DH296-INDEX('Curva Forward'!$C$5:$AN$13,MATCH(CONCATENATE(BD_COMERCIAL!$K296," ",BD_COMERCIAL!$L296),'Curva Forward'!$B$5:$B$13,0),MATCH(GF$4,'Curva Forward'!$C$4:$AN$4,0))),DH296)</f>
        <v>0</v>
      </c>
      <c r="GG296" s="190">
        <f>AU296*AU$2*IF($FC296="V",1,-1)*IF($Q296="Fixo",(DI296-INDEX('Curva Forward'!$C$5:$AN$13,MATCH(CONCATENATE(BD_COMERCIAL!$K296," ",BD_COMERCIAL!$L296),'Curva Forward'!$B$5:$B$13,0),MATCH(GG$4,'Curva Forward'!$C$4:$AN$4,0))),DI296)</f>
        <v>0</v>
      </c>
      <c r="GH296" s="190">
        <f>AV296*AV$2*IF($FC296="V",1,-1)*IF($Q296="Fixo",(DJ296-INDEX('Curva Forward'!$C$5:$AN$13,MATCH(CONCATENATE(BD_COMERCIAL!$K296," ",BD_COMERCIAL!$L296),'Curva Forward'!$B$5:$B$13,0),MATCH(GH$4,'Curva Forward'!$C$4:$AN$4,0))),DJ296)</f>
        <v>0</v>
      </c>
      <c r="GI296" s="190">
        <f>AW296*AW$2*IF($FC296="V",1,-1)*IF($Q296="Fixo",(DK296-INDEX('Curva Forward'!$C$5:$AN$13,MATCH(CONCATENATE(BD_COMERCIAL!$K296," ",BD_COMERCIAL!$L296),'Curva Forward'!$B$5:$B$13,0),MATCH(GI$4,'Curva Forward'!$C$4:$AN$4,0))),DK296)</f>
        <v>0</v>
      </c>
      <c r="GJ296" s="190">
        <f>AX296*AX$2*IF($FC296="V",1,-1)*IF($Q296="Fixo",(DL296-INDEX('Curva Forward'!$C$5:$AN$13,MATCH(CONCATENATE(BD_COMERCIAL!$K296," ",BD_COMERCIAL!$L296),'Curva Forward'!$B$5:$B$13,0),MATCH(GJ$4,'Curva Forward'!$C$4:$AN$4,0))),DL296)</f>
        <v>0</v>
      </c>
      <c r="GK296" s="190">
        <f>AY296*AY$2*IF($FC296="V",1,-1)*IF($Q296="Fixo",(DM296-INDEX('Curva Forward'!$C$5:$AN$13,MATCH(CONCATENATE(BD_COMERCIAL!$K296," ",BD_COMERCIAL!$L296),'Curva Forward'!$B$5:$B$13,0),MATCH(GK$4,'Curva Forward'!$C$4:$AN$4,0))),DM296)</f>
        <v>0</v>
      </c>
      <c r="GL296" s="190">
        <f>IF(EZ296="",0,CL296*CL$2*IF($FC296="V",1,-1)*IF($Q296="Fixo",(EZ296-INDEX('Curva Forward'!$C$5:$AN$13,MATCH(CONCATENATE(BD_COMERCIAL!$K296," ",BD_COMERCIAL!$L296),'Curva Forward'!$B$5:$B$13,0),MATCH(GL$4,'Curva Forward'!$C$4:$AN$4,0))),EZ296))</f>
        <v>0</v>
      </c>
      <c r="GM296" s="190">
        <f>IF(FA296="",0,CM296*CM$2*IF($FC296="V",1,-1)*IF($Q296="Fixo",(FA296-INDEX('Curva Forward'!$C$5:$AN$13,MATCH(CONCATENATE(BD_COMERCIAL!$K296," ",BD_COMERCIAL!$L296),'Curva Forward'!$B$5:$B$13,0),MATCH(GM$4,'Curva Forward'!$C$4:$AN$4,0))),FA296))</f>
        <v>0</v>
      </c>
      <c r="GN296" s="190">
        <f>IF(FB296="",0,CN296*CN$2*IF($FC296="V",1,-1)*IF($Q296="Fixo",(FB296-INDEX('Curva Forward'!$C$5:$AN$13,MATCH(CONCATENATE(BD_COMERCIAL!$K296," ",BD_COMERCIAL!$L296),'Curva Forward'!$B$5:$B$13,0),MATCH(GN$4,'Curva Forward'!$C$4:$AN$4,0))),FB296))</f>
        <v>0</v>
      </c>
      <c r="GO296" s="191">
        <f t="shared" ca="1" si="39"/>
        <v>0</v>
      </c>
      <c r="GP296" s="191">
        <f t="shared" ca="1" si="40"/>
        <v>0</v>
      </c>
      <c r="GQ296" s="115"/>
      <c r="GR296" s="115"/>
      <c r="GS296"/>
      <c r="GT296" s="65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</row>
    <row r="297" spans="1:236" s="265" customFormat="1" ht="15" customHeight="1" x14ac:dyDescent="0.35">
      <c r="A297" s="251"/>
      <c r="B297" s="275"/>
      <c r="C297" s="253"/>
      <c r="D297" s="254"/>
      <c r="E297" s="254"/>
      <c r="F297" s="255"/>
      <c r="G297" s="256"/>
      <c r="H297" s="255"/>
      <c r="I297" s="254"/>
      <c r="J297" s="257"/>
      <c r="K297" s="256"/>
      <c r="L297" s="252"/>
      <c r="M297" s="258"/>
      <c r="N297" s="259"/>
      <c r="O297" s="256"/>
      <c r="P297" s="252"/>
      <c r="Q297" s="252"/>
      <c r="R297" s="256"/>
      <c r="S297" s="260"/>
      <c r="T297" s="258"/>
      <c r="U297" s="259"/>
      <c r="V297" s="261"/>
      <c r="W297" s="252"/>
      <c r="X297" s="262"/>
      <c r="Y297" s="257"/>
      <c r="Z297" s="263"/>
      <c r="AA297" s="264"/>
      <c r="AB297" s="266"/>
      <c r="AM297" s="251"/>
      <c r="AN297" s="266"/>
      <c r="AY297" s="251"/>
      <c r="AZ297" s="266"/>
      <c r="BK297" s="251"/>
      <c r="BL297" s="266"/>
      <c r="BW297" s="251"/>
      <c r="BX297" s="266"/>
      <c r="CI297" s="251"/>
      <c r="CJ297" s="267"/>
      <c r="CK297" s="267"/>
      <c r="CL297" s="267"/>
      <c r="CM297" s="267"/>
      <c r="CN297" s="267"/>
      <c r="CO297" s="268"/>
      <c r="CP297" s="266"/>
      <c r="DA297" s="251"/>
      <c r="DB297" s="266"/>
      <c r="DM297" s="251"/>
      <c r="DN297" s="266"/>
      <c r="DY297" s="251"/>
      <c r="DZ297" s="266"/>
      <c r="EK297" s="251"/>
      <c r="EL297" s="266"/>
      <c r="EW297" s="251"/>
      <c r="EX297" s="267"/>
      <c r="EY297" s="267"/>
      <c r="EZ297" s="267"/>
      <c r="FA297" s="267"/>
      <c r="FB297" s="269"/>
      <c r="FD297" s="270"/>
      <c r="FF297" s="276"/>
      <c r="FH297" s="206">
        <f t="shared" si="34"/>
        <v>0</v>
      </c>
      <c r="FI297" s="198">
        <f t="shared" si="35"/>
        <v>0</v>
      </c>
      <c r="FJ297"/>
      <c r="FK297">
        <f t="shared" si="36"/>
        <v>0</v>
      </c>
      <c r="FL297" s="191">
        <f t="shared" ca="1" si="37"/>
        <v>0</v>
      </c>
      <c r="FM297" s="191">
        <f t="shared" ca="1" si="38"/>
        <v>0</v>
      </c>
      <c r="FN297" s="190">
        <f>AB297*AB$2*IF($FC297="V",1,-1)*IF($Q297="Fixo",(CP297-INDEX('Curva Forward'!$C$5:$AN$13,MATCH(CONCATENATE(BD_COMERCIAL!$K297," ",BD_COMERCIAL!$L297),'Curva Forward'!$B$5:$B$13,0),MATCH(FN$4,'Curva Forward'!$C$4:$AN$4,0))),CP297)</f>
        <v>0</v>
      </c>
      <c r="FO297" s="190">
        <f>AC297*AC$2*IF($FC297="V",1,-1)*IF($Q297="Fixo",(CQ297-INDEX('Curva Forward'!$C$5:$AN$13,MATCH(CONCATENATE(BD_COMERCIAL!$K297," ",BD_COMERCIAL!$L297),'Curva Forward'!$B$5:$B$13,0),MATCH(FO$4,'Curva Forward'!$C$4:$AN$4,0))),CQ297)</f>
        <v>0</v>
      </c>
      <c r="FP297" s="190">
        <f>AD297*AD$2*IF($FC297="V",1,-1)*IF($Q297="Fixo",(CR297-INDEX('Curva Forward'!$C$5:$AN$13,MATCH(CONCATENATE(BD_COMERCIAL!$K297," ",BD_COMERCIAL!$L297),'Curva Forward'!$B$5:$B$13,0),MATCH(FP$4,'Curva Forward'!$C$4:$AN$4,0))),CR297)</f>
        <v>0</v>
      </c>
      <c r="FQ297" s="190">
        <f>AE297*AE$2*IF($FC297="V",1,-1)*IF($Q297="Fixo",(CS297-INDEX('Curva Forward'!$C$5:$AN$13,MATCH(CONCATENATE(BD_COMERCIAL!$K297," ",BD_COMERCIAL!$L297),'Curva Forward'!$B$5:$B$13,0),MATCH(FQ$4,'Curva Forward'!$C$4:$AN$4,0))),CS297)</f>
        <v>0</v>
      </c>
      <c r="FR297" s="190">
        <f>AF297*AF$2*IF($FC297="V",1,-1)*IF($Q297="Fixo",(CT297-INDEX('Curva Forward'!$C$5:$AN$13,MATCH(CONCATENATE(BD_COMERCIAL!$K297," ",BD_COMERCIAL!$L297),'Curva Forward'!$B$5:$B$13,0),MATCH(FR$4,'Curva Forward'!$C$4:$AN$4,0))),CT297)</f>
        <v>0</v>
      </c>
      <c r="FS297" s="190">
        <f>AG297*AG$2*IF($FC297="V",1,-1)*IF($Q297="Fixo",(CU297-INDEX('Curva Forward'!$C$5:$AN$13,MATCH(CONCATENATE(BD_COMERCIAL!$K297," ",BD_COMERCIAL!$L297),'Curva Forward'!$B$5:$B$13,0),MATCH(FS$4,'Curva Forward'!$C$4:$AN$4,0))),CU297)</f>
        <v>0</v>
      </c>
      <c r="FT297" s="190">
        <f>AH297*AH$2*IF($FC297="V",1,-1)*IF($Q297="Fixo",(CV297-INDEX('Curva Forward'!$C$5:$AN$13,MATCH(CONCATENATE(BD_COMERCIAL!$K297," ",BD_COMERCIAL!$L297),'Curva Forward'!$B$5:$B$13,0),MATCH(FT$4,'Curva Forward'!$C$4:$AN$4,0))),CV297)</f>
        <v>0</v>
      </c>
      <c r="FU297" s="190">
        <f>AI297*AI$2*IF($FC297="V",1,-1)*IF($Q297="Fixo",(CW297-INDEX('Curva Forward'!$C$5:$AN$13,MATCH(CONCATENATE(BD_COMERCIAL!$K297," ",BD_COMERCIAL!$L297),'Curva Forward'!$B$5:$B$13,0),MATCH(FU$4,'Curva Forward'!$C$4:$AN$4,0))),CW297)</f>
        <v>0</v>
      </c>
      <c r="FV297" s="190">
        <f>AJ297*AJ$2*IF($FC297="V",1,-1)*IF($Q297="Fixo",(CX297-INDEX('Curva Forward'!$C$5:$AN$13,MATCH(CONCATENATE(BD_COMERCIAL!$K297," ",BD_COMERCIAL!$L297),'Curva Forward'!$B$5:$B$13,0),MATCH(FV$4,'Curva Forward'!$C$4:$AN$4,0))),CX297)</f>
        <v>0</v>
      </c>
      <c r="FW297" s="190">
        <f>AK297*AK$2*IF($FC297="V",1,-1)*IF($Q297="Fixo",(CY297-INDEX('Curva Forward'!$C$5:$AN$13,MATCH(CONCATENATE(BD_COMERCIAL!$K297," ",BD_COMERCIAL!$L297),'Curva Forward'!$B$5:$B$13,0),MATCH(FW$4,'Curva Forward'!$C$4:$AN$4,0))),CY297)</f>
        <v>0</v>
      </c>
      <c r="FX297" s="190">
        <f>AL297*AL$2*IF($FC297="V",1,-1)*IF($Q297="Fixo",(CZ297-INDEX('Curva Forward'!$C$5:$AN$13,MATCH(CONCATENATE(BD_COMERCIAL!$K297," ",BD_COMERCIAL!$L297),'Curva Forward'!$B$5:$B$13,0),MATCH(FX$4,'Curva Forward'!$C$4:$AN$4,0))),CZ297)</f>
        <v>0</v>
      </c>
      <c r="FY297" s="190">
        <f>AM297*AM$2*IF($FC297="V",1,-1)*IF($Q297="Fixo",(DA297-INDEX('Curva Forward'!$C$5:$AN$13,MATCH(CONCATENATE(BD_COMERCIAL!$K297," ",BD_COMERCIAL!$L297),'Curva Forward'!$B$5:$B$13,0),MATCH(FY$4,'Curva Forward'!$C$4:$AN$4,0))),DA297)</f>
        <v>0</v>
      </c>
      <c r="FZ297" s="190">
        <f>AN297*AN$2*IF($FC297="V",1,-1)*IF($Q297="Fixo",(DB297-INDEX('Curva Forward'!$C$5:$AN$13,MATCH(CONCATENATE(BD_COMERCIAL!$K297," ",BD_COMERCIAL!$L297),'Curva Forward'!$B$5:$B$13,0),MATCH(FZ$4,'Curva Forward'!$C$4:$AN$4,0))),DB297)</f>
        <v>0</v>
      </c>
      <c r="GA297" s="190">
        <f>AO297*AO$2*IF($FC297="V",1,-1)*IF($Q297="Fixo",(DC297-INDEX('Curva Forward'!$C$5:$AN$13,MATCH(CONCATENATE(BD_COMERCIAL!$K297," ",BD_COMERCIAL!$L297),'Curva Forward'!$B$5:$B$13,0),MATCH(GA$4,'Curva Forward'!$C$4:$AN$4,0))),DC297)</f>
        <v>0</v>
      </c>
      <c r="GB297" s="190">
        <f>AP297*AP$2*IF($FC297="V",1,-1)*IF($Q297="Fixo",(DD297-INDEX('Curva Forward'!$C$5:$AN$13,MATCH(CONCATENATE(BD_COMERCIAL!$K297," ",BD_COMERCIAL!$L297),'Curva Forward'!$B$5:$B$13,0),MATCH(GB$4,'Curva Forward'!$C$4:$AN$4,0))),DD297)</f>
        <v>0</v>
      </c>
      <c r="GC297" s="190">
        <f>AQ297*AQ$2*IF($FC297="V",1,-1)*IF($Q297="Fixo",(DE297-INDEX('Curva Forward'!$C$5:$AN$13,MATCH(CONCATENATE(BD_COMERCIAL!$K297," ",BD_COMERCIAL!$L297),'Curva Forward'!$B$5:$B$13,0),MATCH(GC$4,'Curva Forward'!$C$4:$AN$4,0))),DE297)</f>
        <v>0</v>
      </c>
      <c r="GD297" s="190">
        <f>AR297*AR$2*IF($FC297="V",1,-1)*IF($Q297="Fixo",(DF297-INDEX('Curva Forward'!$C$5:$AN$13,MATCH(CONCATENATE(BD_COMERCIAL!$K297," ",BD_COMERCIAL!$L297),'Curva Forward'!$B$5:$B$13,0),MATCH(GD$4,'Curva Forward'!$C$4:$AN$4,0))),DF297)</f>
        <v>0</v>
      </c>
      <c r="GE297" s="190">
        <f>AS297*AS$2*IF($FC297="V",1,-1)*IF($Q297="Fixo",(DG297-INDEX('Curva Forward'!$C$5:$AN$13,MATCH(CONCATENATE(BD_COMERCIAL!$K297," ",BD_COMERCIAL!$L297),'Curva Forward'!$B$5:$B$13,0),MATCH(GE$4,'Curva Forward'!$C$4:$AN$4,0))),DG297)</f>
        <v>0</v>
      </c>
      <c r="GF297" s="190">
        <f>AT297*AT$2*IF($FC297="V",1,-1)*IF($Q297="Fixo",(DH297-INDEX('Curva Forward'!$C$5:$AN$13,MATCH(CONCATENATE(BD_COMERCIAL!$K297," ",BD_COMERCIAL!$L297),'Curva Forward'!$B$5:$B$13,0),MATCH(GF$4,'Curva Forward'!$C$4:$AN$4,0))),DH297)</f>
        <v>0</v>
      </c>
      <c r="GG297" s="190">
        <f>AU297*AU$2*IF($FC297="V",1,-1)*IF($Q297="Fixo",(DI297-INDEX('Curva Forward'!$C$5:$AN$13,MATCH(CONCATENATE(BD_COMERCIAL!$K297," ",BD_COMERCIAL!$L297),'Curva Forward'!$B$5:$B$13,0),MATCH(GG$4,'Curva Forward'!$C$4:$AN$4,0))),DI297)</f>
        <v>0</v>
      </c>
      <c r="GH297" s="190">
        <f>AV297*AV$2*IF($FC297="V",1,-1)*IF($Q297="Fixo",(DJ297-INDEX('Curva Forward'!$C$5:$AN$13,MATCH(CONCATENATE(BD_COMERCIAL!$K297," ",BD_COMERCIAL!$L297),'Curva Forward'!$B$5:$B$13,0),MATCH(GH$4,'Curva Forward'!$C$4:$AN$4,0))),DJ297)</f>
        <v>0</v>
      </c>
      <c r="GI297" s="190">
        <f>AW297*AW$2*IF($FC297="V",1,-1)*IF($Q297="Fixo",(DK297-INDEX('Curva Forward'!$C$5:$AN$13,MATCH(CONCATENATE(BD_COMERCIAL!$K297," ",BD_COMERCIAL!$L297),'Curva Forward'!$B$5:$B$13,0),MATCH(GI$4,'Curva Forward'!$C$4:$AN$4,0))),DK297)</f>
        <v>0</v>
      </c>
      <c r="GJ297" s="190">
        <f>AX297*AX$2*IF($FC297="V",1,-1)*IF($Q297="Fixo",(DL297-INDEX('Curva Forward'!$C$5:$AN$13,MATCH(CONCATENATE(BD_COMERCIAL!$K297," ",BD_COMERCIAL!$L297),'Curva Forward'!$B$5:$B$13,0),MATCH(GJ$4,'Curva Forward'!$C$4:$AN$4,0))),DL297)</f>
        <v>0</v>
      </c>
      <c r="GK297" s="190">
        <f>AY297*AY$2*IF($FC297="V",1,-1)*IF($Q297="Fixo",(DM297-INDEX('Curva Forward'!$C$5:$AN$13,MATCH(CONCATENATE(BD_COMERCIAL!$K297," ",BD_COMERCIAL!$L297),'Curva Forward'!$B$5:$B$13,0),MATCH(GK$4,'Curva Forward'!$C$4:$AN$4,0))),DM297)</f>
        <v>0</v>
      </c>
      <c r="GL297" s="190">
        <f>IF(EZ297="",0,CL297*CL$2*IF($FC297="V",1,-1)*IF($Q297="Fixo",(EZ297-INDEX('Curva Forward'!$C$5:$AN$13,MATCH(CONCATENATE(BD_COMERCIAL!$K297," ",BD_COMERCIAL!$L297),'Curva Forward'!$B$5:$B$13,0),MATCH(GL$4,'Curva Forward'!$C$4:$AN$4,0))),EZ297))</f>
        <v>0</v>
      </c>
      <c r="GM297" s="190">
        <f>IF(FA297="",0,CM297*CM$2*IF($FC297="V",1,-1)*IF($Q297="Fixo",(FA297-INDEX('Curva Forward'!$C$5:$AN$13,MATCH(CONCATENATE(BD_COMERCIAL!$K297," ",BD_COMERCIAL!$L297),'Curva Forward'!$B$5:$B$13,0),MATCH(GM$4,'Curva Forward'!$C$4:$AN$4,0))),FA297))</f>
        <v>0</v>
      </c>
      <c r="GN297" s="190">
        <f>IF(FB297="",0,CN297*CN$2*IF($FC297="V",1,-1)*IF($Q297="Fixo",(FB297-INDEX('Curva Forward'!$C$5:$AN$13,MATCH(CONCATENATE(BD_COMERCIAL!$K297," ",BD_COMERCIAL!$L297),'Curva Forward'!$B$5:$B$13,0),MATCH(GN$4,'Curva Forward'!$C$4:$AN$4,0))),FB297))</f>
        <v>0</v>
      </c>
      <c r="GO297" s="191">
        <f t="shared" ca="1" si="39"/>
        <v>0</v>
      </c>
      <c r="GP297" s="191">
        <f t="shared" ca="1" si="40"/>
        <v>0</v>
      </c>
      <c r="GQ297" s="115"/>
      <c r="GR297" s="115"/>
      <c r="GS297"/>
      <c r="GT297" s="65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</row>
    <row r="298" spans="1:236" s="265" customFormat="1" ht="15" customHeight="1" x14ac:dyDescent="0.35">
      <c r="A298" s="251"/>
      <c r="B298" s="275"/>
      <c r="C298" s="253"/>
      <c r="D298" s="254"/>
      <c r="E298" s="254"/>
      <c r="F298" s="255"/>
      <c r="G298" s="256"/>
      <c r="H298" s="255"/>
      <c r="I298" s="254"/>
      <c r="J298" s="257"/>
      <c r="K298" s="256"/>
      <c r="L298" s="252"/>
      <c r="M298" s="258"/>
      <c r="N298" s="259"/>
      <c r="O298" s="256"/>
      <c r="P298" s="252"/>
      <c r="Q298" s="252"/>
      <c r="R298" s="256"/>
      <c r="S298" s="260"/>
      <c r="T298" s="258"/>
      <c r="U298" s="259"/>
      <c r="V298" s="261"/>
      <c r="W298" s="252"/>
      <c r="X298" s="262"/>
      <c r="Y298" s="257"/>
      <c r="Z298" s="263"/>
      <c r="AA298" s="264"/>
      <c r="AB298" s="266"/>
      <c r="AM298" s="251"/>
      <c r="AN298" s="266"/>
      <c r="AY298" s="251"/>
      <c r="AZ298" s="266"/>
      <c r="BK298" s="251"/>
      <c r="BL298" s="266"/>
      <c r="BW298" s="251"/>
      <c r="BX298" s="266"/>
      <c r="CI298" s="251"/>
      <c r="CJ298" s="267"/>
      <c r="CK298" s="267"/>
      <c r="CL298" s="267"/>
      <c r="CM298" s="267"/>
      <c r="CN298" s="267"/>
      <c r="CO298" s="268"/>
      <c r="CP298" s="266"/>
      <c r="DA298" s="251"/>
      <c r="DB298" s="266"/>
      <c r="DM298" s="251"/>
      <c r="DN298" s="266"/>
      <c r="DY298" s="251"/>
      <c r="DZ298" s="266"/>
      <c r="EK298" s="251"/>
      <c r="EL298" s="266"/>
      <c r="EW298" s="251"/>
      <c r="EX298" s="267"/>
      <c r="EY298" s="267"/>
      <c r="EZ298" s="267"/>
      <c r="FA298" s="267"/>
      <c r="FB298" s="269"/>
      <c r="FD298" s="270"/>
      <c r="FF298" s="276"/>
      <c r="FH298" s="206">
        <f t="shared" si="34"/>
        <v>0</v>
      </c>
      <c r="FI298" s="198">
        <f t="shared" si="35"/>
        <v>0</v>
      </c>
      <c r="FJ298"/>
      <c r="FK298">
        <f t="shared" si="36"/>
        <v>0</v>
      </c>
      <c r="FL298" s="191">
        <f t="shared" ca="1" si="37"/>
        <v>0</v>
      </c>
      <c r="FM298" s="191">
        <f t="shared" ca="1" si="38"/>
        <v>0</v>
      </c>
      <c r="FN298" s="190">
        <f>AB298*AB$2*IF($FC298="V",1,-1)*IF($Q298="Fixo",(CP298-INDEX('Curva Forward'!$C$5:$AN$13,MATCH(CONCATENATE(BD_COMERCIAL!$K298," ",BD_COMERCIAL!$L298),'Curva Forward'!$B$5:$B$13,0),MATCH(FN$4,'Curva Forward'!$C$4:$AN$4,0))),CP298)</f>
        <v>0</v>
      </c>
      <c r="FO298" s="190">
        <f>AC298*AC$2*IF($FC298="V",1,-1)*IF($Q298="Fixo",(CQ298-INDEX('Curva Forward'!$C$5:$AN$13,MATCH(CONCATENATE(BD_COMERCIAL!$K298," ",BD_COMERCIAL!$L298),'Curva Forward'!$B$5:$B$13,0),MATCH(FO$4,'Curva Forward'!$C$4:$AN$4,0))),CQ298)</f>
        <v>0</v>
      </c>
      <c r="FP298" s="190">
        <f>AD298*AD$2*IF($FC298="V",1,-1)*IF($Q298="Fixo",(CR298-INDEX('Curva Forward'!$C$5:$AN$13,MATCH(CONCATENATE(BD_COMERCIAL!$K298," ",BD_COMERCIAL!$L298),'Curva Forward'!$B$5:$B$13,0),MATCH(FP$4,'Curva Forward'!$C$4:$AN$4,0))),CR298)</f>
        <v>0</v>
      </c>
      <c r="FQ298" s="190">
        <f>AE298*AE$2*IF($FC298="V",1,-1)*IF($Q298="Fixo",(CS298-INDEX('Curva Forward'!$C$5:$AN$13,MATCH(CONCATENATE(BD_COMERCIAL!$K298," ",BD_COMERCIAL!$L298),'Curva Forward'!$B$5:$B$13,0),MATCH(FQ$4,'Curva Forward'!$C$4:$AN$4,0))),CS298)</f>
        <v>0</v>
      </c>
      <c r="FR298" s="190">
        <f>AF298*AF$2*IF($FC298="V",1,-1)*IF($Q298="Fixo",(CT298-INDEX('Curva Forward'!$C$5:$AN$13,MATCH(CONCATENATE(BD_COMERCIAL!$K298," ",BD_COMERCIAL!$L298),'Curva Forward'!$B$5:$B$13,0),MATCH(FR$4,'Curva Forward'!$C$4:$AN$4,0))),CT298)</f>
        <v>0</v>
      </c>
      <c r="FS298" s="190">
        <f>AG298*AG$2*IF($FC298="V",1,-1)*IF($Q298="Fixo",(CU298-INDEX('Curva Forward'!$C$5:$AN$13,MATCH(CONCATENATE(BD_COMERCIAL!$K298," ",BD_COMERCIAL!$L298),'Curva Forward'!$B$5:$B$13,0),MATCH(FS$4,'Curva Forward'!$C$4:$AN$4,0))),CU298)</f>
        <v>0</v>
      </c>
      <c r="FT298" s="190">
        <f>AH298*AH$2*IF($FC298="V",1,-1)*IF($Q298="Fixo",(CV298-INDEX('Curva Forward'!$C$5:$AN$13,MATCH(CONCATENATE(BD_COMERCIAL!$K298," ",BD_COMERCIAL!$L298),'Curva Forward'!$B$5:$B$13,0),MATCH(FT$4,'Curva Forward'!$C$4:$AN$4,0))),CV298)</f>
        <v>0</v>
      </c>
      <c r="FU298" s="190">
        <f>AI298*AI$2*IF($FC298="V",1,-1)*IF($Q298="Fixo",(CW298-INDEX('Curva Forward'!$C$5:$AN$13,MATCH(CONCATENATE(BD_COMERCIAL!$K298," ",BD_COMERCIAL!$L298),'Curva Forward'!$B$5:$B$13,0),MATCH(FU$4,'Curva Forward'!$C$4:$AN$4,0))),CW298)</f>
        <v>0</v>
      </c>
      <c r="FV298" s="190">
        <f>AJ298*AJ$2*IF($FC298="V",1,-1)*IF($Q298="Fixo",(CX298-INDEX('Curva Forward'!$C$5:$AN$13,MATCH(CONCATENATE(BD_COMERCIAL!$K298," ",BD_COMERCIAL!$L298),'Curva Forward'!$B$5:$B$13,0),MATCH(FV$4,'Curva Forward'!$C$4:$AN$4,0))),CX298)</f>
        <v>0</v>
      </c>
      <c r="FW298" s="190">
        <f>AK298*AK$2*IF($FC298="V",1,-1)*IF($Q298="Fixo",(CY298-INDEX('Curva Forward'!$C$5:$AN$13,MATCH(CONCATENATE(BD_COMERCIAL!$K298," ",BD_COMERCIAL!$L298),'Curva Forward'!$B$5:$B$13,0),MATCH(FW$4,'Curva Forward'!$C$4:$AN$4,0))),CY298)</f>
        <v>0</v>
      </c>
      <c r="FX298" s="190">
        <f>AL298*AL$2*IF($FC298="V",1,-1)*IF($Q298="Fixo",(CZ298-INDEX('Curva Forward'!$C$5:$AN$13,MATCH(CONCATENATE(BD_COMERCIAL!$K298," ",BD_COMERCIAL!$L298),'Curva Forward'!$B$5:$B$13,0),MATCH(FX$4,'Curva Forward'!$C$4:$AN$4,0))),CZ298)</f>
        <v>0</v>
      </c>
      <c r="FY298" s="190">
        <f>AM298*AM$2*IF($FC298="V",1,-1)*IF($Q298="Fixo",(DA298-INDEX('Curva Forward'!$C$5:$AN$13,MATCH(CONCATENATE(BD_COMERCIAL!$K298," ",BD_COMERCIAL!$L298),'Curva Forward'!$B$5:$B$13,0),MATCH(FY$4,'Curva Forward'!$C$4:$AN$4,0))),DA298)</f>
        <v>0</v>
      </c>
      <c r="FZ298" s="190">
        <f>AN298*AN$2*IF($FC298="V",1,-1)*IF($Q298="Fixo",(DB298-INDEX('Curva Forward'!$C$5:$AN$13,MATCH(CONCATENATE(BD_COMERCIAL!$K298," ",BD_COMERCIAL!$L298),'Curva Forward'!$B$5:$B$13,0),MATCH(FZ$4,'Curva Forward'!$C$4:$AN$4,0))),DB298)</f>
        <v>0</v>
      </c>
      <c r="GA298" s="190">
        <f>AO298*AO$2*IF($FC298="V",1,-1)*IF($Q298="Fixo",(DC298-INDEX('Curva Forward'!$C$5:$AN$13,MATCH(CONCATENATE(BD_COMERCIAL!$K298," ",BD_COMERCIAL!$L298),'Curva Forward'!$B$5:$B$13,0),MATCH(GA$4,'Curva Forward'!$C$4:$AN$4,0))),DC298)</f>
        <v>0</v>
      </c>
      <c r="GB298" s="190">
        <f>AP298*AP$2*IF($FC298="V",1,-1)*IF($Q298="Fixo",(DD298-INDEX('Curva Forward'!$C$5:$AN$13,MATCH(CONCATENATE(BD_COMERCIAL!$K298," ",BD_COMERCIAL!$L298),'Curva Forward'!$B$5:$B$13,0),MATCH(GB$4,'Curva Forward'!$C$4:$AN$4,0))),DD298)</f>
        <v>0</v>
      </c>
      <c r="GC298" s="190">
        <f>AQ298*AQ$2*IF($FC298="V",1,-1)*IF($Q298="Fixo",(DE298-INDEX('Curva Forward'!$C$5:$AN$13,MATCH(CONCATENATE(BD_COMERCIAL!$K298," ",BD_COMERCIAL!$L298),'Curva Forward'!$B$5:$B$13,0),MATCH(GC$4,'Curva Forward'!$C$4:$AN$4,0))),DE298)</f>
        <v>0</v>
      </c>
      <c r="GD298" s="190">
        <f>AR298*AR$2*IF($FC298="V",1,-1)*IF($Q298="Fixo",(DF298-INDEX('Curva Forward'!$C$5:$AN$13,MATCH(CONCATENATE(BD_COMERCIAL!$K298," ",BD_COMERCIAL!$L298),'Curva Forward'!$B$5:$B$13,0),MATCH(GD$4,'Curva Forward'!$C$4:$AN$4,0))),DF298)</f>
        <v>0</v>
      </c>
      <c r="GE298" s="190">
        <f>AS298*AS$2*IF($FC298="V",1,-1)*IF($Q298="Fixo",(DG298-INDEX('Curva Forward'!$C$5:$AN$13,MATCH(CONCATENATE(BD_COMERCIAL!$K298," ",BD_COMERCIAL!$L298),'Curva Forward'!$B$5:$B$13,0),MATCH(GE$4,'Curva Forward'!$C$4:$AN$4,0))),DG298)</f>
        <v>0</v>
      </c>
      <c r="GF298" s="190">
        <f>AT298*AT$2*IF($FC298="V",1,-1)*IF($Q298="Fixo",(DH298-INDEX('Curva Forward'!$C$5:$AN$13,MATCH(CONCATENATE(BD_COMERCIAL!$K298," ",BD_COMERCIAL!$L298),'Curva Forward'!$B$5:$B$13,0),MATCH(GF$4,'Curva Forward'!$C$4:$AN$4,0))),DH298)</f>
        <v>0</v>
      </c>
      <c r="GG298" s="190">
        <f>AU298*AU$2*IF($FC298="V",1,-1)*IF($Q298="Fixo",(DI298-INDEX('Curva Forward'!$C$5:$AN$13,MATCH(CONCATENATE(BD_COMERCIAL!$K298," ",BD_COMERCIAL!$L298),'Curva Forward'!$B$5:$B$13,0),MATCH(GG$4,'Curva Forward'!$C$4:$AN$4,0))),DI298)</f>
        <v>0</v>
      </c>
      <c r="GH298" s="190">
        <f>AV298*AV$2*IF($FC298="V",1,-1)*IF($Q298="Fixo",(DJ298-INDEX('Curva Forward'!$C$5:$AN$13,MATCH(CONCATENATE(BD_COMERCIAL!$K298," ",BD_COMERCIAL!$L298),'Curva Forward'!$B$5:$B$13,0),MATCH(GH$4,'Curva Forward'!$C$4:$AN$4,0))),DJ298)</f>
        <v>0</v>
      </c>
      <c r="GI298" s="190">
        <f>AW298*AW$2*IF($FC298="V",1,-1)*IF($Q298="Fixo",(DK298-INDEX('Curva Forward'!$C$5:$AN$13,MATCH(CONCATENATE(BD_COMERCIAL!$K298," ",BD_COMERCIAL!$L298),'Curva Forward'!$B$5:$B$13,0),MATCH(GI$4,'Curva Forward'!$C$4:$AN$4,0))),DK298)</f>
        <v>0</v>
      </c>
      <c r="GJ298" s="190">
        <f>AX298*AX$2*IF($FC298="V",1,-1)*IF($Q298="Fixo",(DL298-INDEX('Curva Forward'!$C$5:$AN$13,MATCH(CONCATENATE(BD_COMERCIAL!$K298," ",BD_COMERCIAL!$L298),'Curva Forward'!$B$5:$B$13,0),MATCH(GJ$4,'Curva Forward'!$C$4:$AN$4,0))),DL298)</f>
        <v>0</v>
      </c>
      <c r="GK298" s="190">
        <f>AY298*AY$2*IF($FC298="V",1,-1)*IF($Q298="Fixo",(DM298-INDEX('Curva Forward'!$C$5:$AN$13,MATCH(CONCATENATE(BD_COMERCIAL!$K298," ",BD_COMERCIAL!$L298),'Curva Forward'!$B$5:$B$13,0),MATCH(GK$4,'Curva Forward'!$C$4:$AN$4,0))),DM298)</f>
        <v>0</v>
      </c>
      <c r="GL298" s="190">
        <f>IF(EZ298="",0,CL298*CL$2*IF($FC298="V",1,-1)*IF($Q298="Fixo",(EZ298-INDEX('Curva Forward'!$C$5:$AN$13,MATCH(CONCATENATE(BD_COMERCIAL!$K298," ",BD_COMERCIAL!$L298),'Curva Forward'!$B$5:$B$13,0),MATCH(GL$4,'Curva Forward'!$C$4:$AN$4,0))),EZ298))</f>
        <v>0</v>
      </c>
      <c r="GM298" s="190">
        <f>IF(FA298="",0,CM298*CM$2*IF($FC298="V",1,-1)*IF($Q298="Fixo",(FA298-INDEX('Curva Forward'!$C$5:$AN$13,MATCH(CONCATENATE(BD_COMERCIAL!$K298," ",BD_COMERCIAL!$L298),'Curva Forward'!$B$5:$B$13,0),MATCH(GM$4,'Curva Forward'!$C$4:$AN$4,0))),FA298))</f>
        <v>0</v>
      </c>
      <c r="GN298" s="190">
        <f>IF(FB298="",0,CN298*CN$2*IF($FC298="V",1,-1)*IF($Q298="Fixo",(FB298-INDEX('Curva Forward'!$C$5:$AN$13,MATCH(CONCATENATE(BD_COMERCIAL!$K298," ",BD_COMERCIAL!$L298),'Curva Forward'!$B$5:$B$13,0),MATCH(GN$4,'Curva Forward'!$C$4:$AN$4,0))),FB298))</f>
        <v>0</v>
      </c>
      <c r="GO298" s="191">
        <f t="shared" ca="1" si="39"/>
        <v>0</v>
      </c>
      <c r="GP298" s="191">
        <f t="shared" ca="1" si="40"/>
        <v>0</v>
      </c>
      <c r="GQ298" s="115"/>
      <c r="GR298" s="115"/>
      <c r="GS298"/>
      <c r="GT298" s="65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</row>
    <row r="299" spans="1:236" s="265" customFormat="1" ht="15" customHeight="1" x14ac:dyDescent="0.35">
      <c r="A299" s="251"/>
      <c r="B299" s="275"/>
      <c r="C299" s="253"/>
      <c r="D299" s="254"/>
      <c r="E299" s="254"/>
      <c r="F299" s="255"/>
      <c r="G299" s="256"/>
      <c r="H299" s="255"/>
      <c r="I299" s="254"/>
      <c r="J299" s="257"/>
      <c r="K299" s="256"/>
      <c r="L299" s="252"/>
      <c r="M299" s="258"/>
      <c r="N299" s="259"/>
      <c r="O299" s="256"/>
      <c r="P299" s="252"/>
      <c r="Q299" s="252"/>
      <c r="R299" s="256"/>
      <c r="S299" s="260"/>
      <c r="T299" s="258"/>
      <c r="U299" s="259"/>
      <c r="V299" s="261"/>
      <c r="W299" s="252"/>
      <c r="X299" s="262"/>
      <c r="Y299" s="257"/>
      <c r="Z299" s="263"/>
      <c r="AA299" s="264"/>
      <c r="AB299" s="266"/>
      <c r="AM299" s="251"/>
      <c r="AN299" s="266"/>
      <c r="AY299" s="251"/>
      <c r="AZ299" s="266"/>
      <c r="BK299" s="251"/>
      <c r="BL299" s="266"/>
      <c r="BW299" s="251"/>
      <c r="BX299" s="266"/>
      <c r="CI299" s="251"/>
      <c r="CJ299" s="267"/>
      <c r="CK299" s="267"/>
      <c r="CL299" s="267"/>
      <c r="CM299" s="267"/>
      <c r="CN299" s="267"/>
      <c r="CO299" s="268"/>
      <c r="CP299" s="266"/>
      <c r="DA299" s="251"/>
      <c r="DB299" s="266"/>
      <c r="DM299" s="251"/>
      <c r="DN299" s="266"/>
      <c r="DY299" s="251"/>
      <c r="DZ299" s="266"/>
      <c r="EK299" s="251"/>
      <c r="EL299" s="266"/>
      <c r="EW299" s="251"/>
      <c r="EX299" s="267"/>
      <c r="EY299" s="267"/>
      <c r="EZ299" s="267"/>
      <c r="FA299" s="267"/>
      <c r="FB299" s="269"/>
      <c r="FD299" s="270"/>
      <c r="FF299" s="276"/>
      <c r="FH299" s="206">
        <f t="shared" si="34"/>
        <v>0</v>
      </c>
      <c r="FI299" s="198">
        <f t="shared" si="35"/>
        <v>0</v>
      </c>
      <c r="FJ299"/>
      <c r="FK299">
        <f t="shared" si="36"/>
        <v>0</v>
      </c>
      <c r="FL299" s="191">
        <f t="shared" ca="1" si="37"/>
        <v>0</v>
      </c>
      <c r="FM299" s="191">
        <f t="shared" ca="1" si="38"/>
        <v>0</v>
      </c>
      <c r="FN299" s="190">
        <f>AB299*AB$2*IF($FC299="V",1,-1)*IF($Q299="Fixo",(CP299-INDEX('Curva Forward'!$C$5:$AN$13,MATCH(CONCATENATE(BD_COMERCIAL!$K299," ",BD_COMERCIAL!$L299),'Curva Forward'!$B$5:$B$13,0),MATCH(FN$4,'Curva Forward'!$C$4:$AN$4,0))),CP299)</f>
        <v>0</v>
      </c>
      <c r="FO299" s="190">
        <f>AC299*AC$2*IF($FC299="V",1,-1)*IF($Q299="Fixo",(CQ299-INDEX('Curva Forward'!$C$5:$AN$13,MATCH(CONCATENATE(BD_COMERCIAL!$K299," ",BD_COMERCIAL!$L299),'Curva Forward'!$B$5:$B$13,0),MATCH(FO$4,'Curva Forward'!$C$4:$AN$4,0))),CQ299)</f>
        <v>0</v>
      </c>
      <c r="FP299" s="190">
        <f>AD299*AD$2*IF($FC299="V",1,-1)*IF($Q299="Fixo",(CR299-INDEX('Curva Forward'!$C$5:$AN$13,MATCH(CONCATENATE(BD_COMERCIAL!$K299," ",BD_COMERCIAL!$L299),'Curva Forward'!$B$5:$B$13,0),MATCH(FP$4,'Curva Forward'!$C$4:$AN$4,0))),CR299)</f>
        <v>0</v>
      </c>
      <c r="FQ299" s="190">
        <f>AE299*AE$2*IF($FC299="V",1,-1)*IF($Q299="Fixo",(CS299-INDEX('Curva Forward'!$C$5:$AN$13,MATCH(CONCATENATE(BD_COMERCIAL!$K299," ",BD_COMERCIAL!$L299),'Curva Forward'!$B$5:$B$13,0),MATCH(FQ$4,'Curva Forward'!$C$4:$AN$4,0))),CS299)</f>
        <v>0</v>
      </c>
      <c r="FR299" s="190">
        <f>AF299*AF$2*IF($FC299="V",1,-1)*IF($Q299="Fixo",(CT299-INDEX('Curva Forward'!$C$5:$AN$13,MATCH(CONCATENATE(BD_COMERCIAL!$K299," ",BD_COMERCIAL!$L299),'Curva Forward'!$B$5:$B$13,0),MATCH(FR$4,'Curva Forward'!$C$4:$AN$4,0))),CT299)</f>
        <v>0</v>
      </c>
      <c r="FS299" s="190">
        <f>AG299*AG$2*IF($FC299="V",1,-1)*IF($Q299="Fixo",(CU299-INDEX('Curva Forward'!$C$5:$AN$13,MATCH(CONCATENATE(BD_COMERCIAL!$K299," ",BD_COMERCIAL!$L299),'Curva Forward'!$B$5:$B$13,0),MATCH(FS$4,'Curva Forward'!$C$4:$AN$4,0))),CU299)</f>
        <v>0</v>
      </c>
      <c r="FT299" s="190">
        <f>AH299*AH$2*IF($FC299="V",1,-1)*IF($Q299="Fixo",(CV299-INDEX('Curva Forward'!$C$5:$AN$13,MATCH(CONCATENATE(BD_COMERCIAL!$K299," ",BD_COMERCIAL!$L299),'Curva Forward'!$B$5:$B$13,0),MATCH(FT$4,'Curva Forward'!$C$4:$AN$4,0))),CV299)</f>
        <v>0</v>
      </c>
      <c r="FU299" s="190">
        <f>AI299*AI$2*IF($FC299="V",1,-1)*IF($Q299="Fixo",(CW299-INDEX('Curva Forward'!$C$5:$AN$13,MATCH(CONCATENATE(BD_COMERCIAL!$K299," ",BD_COMERCIAL!$L299),'Curva Forward'!$B$5:$B$13,0),MATCH(FU$4,'Curva Forward'!$C$4:$AN$4,0))),CW299)</f>
        <v>0</v>
      </c>
      <c r="FV299" s="190">
        <f>AJ299*AJ$2*IF($FC299="V",1,-1)*IF($Q299="Fixo",(CX299-INDEX('Curva Forward'!$C$5:$AN$13,MATCH(CONCATENATE(BD_COMERCIAL!$K299," ",BD_COMERCIAL!$L299),'Curva Forward'!$B$5:$B$13,0),MATCH(FV$4,'Curva Forward'!$C$4:$AN$4,0))),CX299)</f>
        <v>0</v>
      </c>
      <c r="FW299" s="190">
        <f>AK299*AK$2*IF($FC299="V",1,-1)*IF($Q299="Fixo",(CY299-INDEX('Curva Forward'!$C$5:$AN$13,MATCH(CONCATENATE(BD_COMERCIAL!$K299," ",BD_COMERCIAL!$L299),'Curva Forward'!$B$5:$B$13,0),MATCH(FW$4,'Curva Forward'!$C$4:$AN$4,0))),CY299)</f>
        <v>0</v>
      </c>
      <c r="FX299" s="190">
        <f>AL299*AL$2*IF($FC299="V",1,-1)*IF($Q299="Fixo",(CZ299-INDEX('Curva Forward'!$C$5:$AN$13,MATCH(CONCATENATE(BD_COMERCIAL!$K299," ",BD_COMERCIAL!$L299),'Curva Forward'!$B$5:$B$13,0),MATCH(FX$4,'Curva Forward'!$C$4:$AN$4,0))),CZ299)</f>
        <v>0</v>
      </c>
      <c r="FY299" s="190">
        <f>AM299*AM$2*IF($FC299="V",1,-1)*IF($Q299="Fixo",(DA299-INDEX('Curva Forward'!$C$5:$AN$13,MATCH(CONCATENATE(BD_COMERCIAL!$K299," ",BD_COMERCIAL!$L299),'Curva Forward'!$B$5:$B$13,0),MATCH(FY$4,'Curva Forward'!$C$4:$AN$4,0))),DA299)</f>
        <v>0</v>
      </c>
      <c r="FZ299" s="190">
        <f>AN299*AN$2*IF($FC299="V",1,-1)*IF($Q299="Fixo",(DB299-INDEX('Curva Forward'!$C$5:$AN$13,MATCH(CONCATENATE(BD_COMERCIAL!$K299," ",BD_COMERCIAL!$L299),'Curva Forward'!$B$5:$B$13,0),MATCH(FZ$4,'Curva Forward'!$C$4:$AN$4,0))),DB299)</f>
        <v>0</v>
      </c>
      <c r="GA299" s="190">
        <f>AO299*AO$2*IF($FC299="V",1,-1)*IF($Q299="Fixo",(DC299-INDEX('Curva Forward'!$C$5:$AN$13,MATCH(CONCATENATE(BD_COMERCIAL!$K299," ",BD_COMERCIAL!$L299),'Curva Forward'!$B$5:$B$13,0),MATCH(GA$4,'Curva Forward'!$C$4:$AN$4,0))),DC299)</f>
        <v>0</v>
      </c>
      <c r="GB299" s="190">
        <f>AP299*AP$2*IF($FC299="V",1,-1)*IF($Q299="Fixo",(DD299-INDEX('Curva Forward'!$C$5:$AN$13,MATCH(CONCATENATE(BD_COMERCIAL!$K299," ",BD_COMERCIAL!$L299),'Curva Forward'!$B$5:$B$13,0),MATCH(GB$4,'Curva Forward'!$C$4:$AN$4,0))),DD299)</f>
        <v>0</v>
      </c>
      <c r="GC299" s="190">
        <f>AQ299*AQ$2*IF($FC299="V",1,-1)*IF($Q299="Fixo",(DE299-INDEX('Curva Forward'!$C$5:$AN$13,MATCH(CONCATENATE(BD_COMERCIAL!$K299," ",BD_COMERCIAL!$L299),'Curva Forward'!$B$5:$B$13,0),MATCH(GC$4,'Curva Forward'!$C$4:$AN$4,0))),DE299)</f>
        <v>0</v>
      </c>
      <c r="GD299" s="190">
        <f>AR299*AR$2*IF($FC299="V",1,-1)*IF($Q299="Fixo",(DF299-INDEX('Curva Forward'!$C$5:$AN$13,MATCH(CONCATENATE(BD_COMERCIAL!$K299," ",BD_COMERCIAL!$L299),'Curva Forward'!$B$5:$B$13,0),MATCH(GD$4,'Curva Forward'!$C$4:$AN$4,0))),DF299)</f>
        <v>0</v>
      </c>
      <c r="GE299" s="190">
        <f>AS299*AS$2*IF($FC299="V",1,-1)*IF($Q299="Fixo",(DG299-INDEX('Curva Forward'!$C$5:$AN$13,MATCH(CONCATENATE(BD_COMERCIAL!$K299," ",BD_COMERCIAL!$L299),'Curva Forward'!$B$5:$B$13,0),MATCH(GE$4,'Curva Forward'!$C$4:$AN$4,0))),DG299)</f>
        <v>0</v>
      </c>
      <c r="GF299" s="190">
        <f>AT299*AT$2*IF($FC299="V",1,-1)*IF($Q299="Fixo",(DH299-INDEX('Curva Forward'!$C$5:$AN$13,MATCH(CONCATENATE(BD_COMERCIAL!$K299," ",BD_COMERCIAL!$L299),'Curva Forward'!$B$5:$B$13,0),MATCH(GF$4,'Curva Forward'!$C$4:$AN$4,0))),DH299)</f>
        <v>0</v>
      </c>
      <c r="GG299" s="190">
        <f>AU299*AU$2*IF($FC299="V",1,-1)*IF($Q299="Fixo",(DI299-INDEX('Curva Forward'!$C$5:$AN$13,MATCH(CONCATENATE(BD_COMERCIAL!$K299," ",BD_COMERCIAL!$L299),'Curva Forward'!$B$5:$B$13,0),MATCH(GG$4,'Curva Forward'!$C$4:$AN$4,0))),DI299)</f>
        <v>0</v>
      </c>
      <c r="GH299" s="190">
        <f>AV299*AV$2*IF($FC299="V",1,-1)*IF($Q299="Fixo",(DJ299-INDEX('Curva Forward'!$C$5:$AN$13,MATCH(CONCATENATE(BD_COMERCIAL!$K299," ",BD_COMERCIAL!$L299),'Curva Forward'!$B$5:$B$13,0),MATCH(GH$4,'Curva Forward'!$C$4:$AN$4,0))),DJ299)</f>
        <v>0</v>
      </c>
      <c r="GI299" s="190">
        <f>AW299*AW$2*IF($FC299="V",1,-1)*IF($Q299="Fixo",(DK299-INDEX('Curva Forward'!$C$5:$AN$13,MATCH(CONCATENATE(BD_COMERCIAL!$K299," ",BD_COMERCIAL!$L299),'Curva Forward'!$B$5:$B$13,0),MATCH(GI$4,'Curva Forward'!$C$4:$AN$4,0))),DK299)</f>
        <v>0</v>
      </c>
      <c r="GJ299" s="190">
        <f>AX299*AX$2*IF($FC299="V",1,-1)*IF($Q299="Fixo",(DL299-INDEX('Curva Forward'!$C$5:$AN$13,MATCH(CONCATENATE(BD_COMERCIAL!$K299," ",BD_COMERCIAL!$L299),'Curva Forward'!$B$5:$B$13,0),MATCH(GJ$4,'Curva Forward'!$C$4:$AN$4,0))),DL299)</f>
        <v>0</v>
      </c>
      <c r="GK299" s="190">
        <f>AY299*AY$2*IF($FC299="V",1,-1)*IF($Q299="Fixo",(DM299-INDEX('Curva Forward'!$C$5:$AN$13,MATCH(CONCATENATE(BD_COMERCIAL!$K299," ",BD_COMERCIAL!$L299),'Curva Forward'!$B$5:$B$13,0),MATCH(GK$4,'Curva Forward'!$C$4:$AN$4,0))),DM299)</f>
        <v>0</v>
      </c>
      <c r="GL299" s="190">
        <f>IF(EZ299="",0,CL299*CL$2*IF($FC299="V",1,-1)*IF($Q299="Fixo",(EZ299-INDEX('Curva Forward'!$C$5:$AN$13,MATCH(CONCATENATE(BD_COMERCIAL!$K299," ",BD_COMERCIAL!$L299),'Curva Forward'!$B$5:$B$13,0),MATCH(GL$4,'Curva Forward'!$C$4:$AN$4,0))),EZ299))</f>
        <v>0</v>
      </c>
      <c r="GM299" s="190">
        <f>IF(FA299="",0,CM299*CM$2*IF($FC299="V",1,-1)*IF($Q299="Fixo",(FA299-INDEX('Curva Forward'!$C$5:$AN$13,MATCH(CONCATENATE(BD_COMERCIAL!$K299," ",BD_COMERCIAL!$L299),'Curva Forward'!$B$5:$B$13,0),MATCH(GM$4,'Curva Forward'!$C$4:$AN$4,0))),FA299))</f>
        <v>0</v>
      </c>
      <c r="GN299" s="190">
        <f>IF(FB299="",0,CN299*CN$2*IF($FC299="V",1,-1)*IF($Q299="Fixo",(FB299-INDEX('Curva Forward'!$C$5:$AN$13,MATCH(CONCATENATE(BD_COMERCIAL!$K299," ",BD_COMERCIAL!$L299),'Curva Forward'!$B$5:$B$13,0),MATCH(GN$4,'Curva Forward'!$C$4:$AN$4,0))),FB299))</f>
        <v>0</v>
      </c>
      <c r="GO299" s="191">
        <f t="shared" ca="1" si="39"/>
        <v>0</v>
      </c>
      <c r="GP299" s="191">
        <f t="shared" ca="1" si="40"/>
        <v>0</v>
      </c>
      <c r="GQ299" s="115"/>
      <c r="GR299" s="115"/>
      <c r="GS299"/>
      <c r="GT299" s="65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</row>
    <row r="300" spans="1:236" s="265" customFormat="1" ht="15" customHeight="1" x14ac:dyDescent="0.35">
      <c r="A300" s="251"/>
      <c r="B300" s="275"/>
      <c r="C300" s="253"/>
      <c r="D300" s="254"/>
      <c r="E300" s="254"/>
      <c r="F300" s="255"/>
      <c r="G300" s="256"/>
      <c r="H300" s="255"/>
      <c r="I300" s="254"/>
      <c r="J300" s="257"/>
      <c r="K300" s="256"/>
      <c r="L300" s="252"/>
      <c r="M300" s="258"/>
      <c r="N300" s="259"/>
      <c r="O300" s="256"/>
      <c r="P300" s="252"/>
      <c r="Q300" s="252"/>
      <c r="R300" s="256"/>
      <c r="S300" s="260"/>
      <c r="T300" s="258"/>
      <c r="U300" s="259"/>
      <c r="V300" s="261"/>
      <c r="W300" s="252"/>
      <c r="X300" s="262"/>
      <c r="Y300" s="257"/>
      <c r="Z300" s="263"/>
      <c r="AA300" s="264"/>
      <c r="AB300" s="266"/>
      <c r="AM300" s="251"/>
      <c r="AN300" s="266"/>
      <c r="AY300" s="251"/>
      <c r="AZ300" s="266"/>
      <c r="BK300" s="251"/>
      <c r="BL300" s="266"/>
      <c r="BW300" s="251"/>
      <c r="BX300" s="266"/>
      <c r="CI300" s="251"/>
      <c r="CJ300" s="267"/>
      <c r="CK300" s="267"/>
      <c r="CL300" s="267"/>
      <c r="CM300" s="267"/>
      <c r="CN300" s="267"/>
      <c r="CO300" s="268"/>
      <c r="CP300" s="266"/>
      <c r="DA300" s="251"/>
      <c r="DB300" s="266"/>
      <c r="DM300" s="251"/>
      <c r="DN300" s="266"/>
      <c r="DY300" s="251"/>
      <c r="DZ300" s="266"/>
      <c r="EK300" s="251"/>
      <c r="EL300" s="266"/>
      <c r="EW300" s="251"/>
      <c r="EX300" s="267"/>
      <c r="EY300" s="267"/>
      <c r="EZ300" s="267"/>
      <c r="FA300" s="267"/>
      <c r="FB300" s="269"/>
      <c r="FD300" s="270"/>
      <c r="FF300" s="276"/>
      <c r="FH300" s="206">
        <f t="shared" si="34"/>
        <v>0</v>
      </c>
      <c r="FI300" s="198">
        <f t="shared" si="35"/>
        <v>0</v>
      </c>
      <c r="FJ300"/>
      <c r="FK300">
        <f t="shared" si="36"/>
        <v>0</v>
      </c>
      <c r="FL300" s="191">
        <f t="shared" ca="1" si="37"/>
        <v>0</v>
      </c>
      <c r="FM300" s="191">
        <f t="shared" ca="1" si="38"/>
        <v>0</v>
      </c>
      <c r="FN300" s="190">
        <f>AB300*AB$2*IF($FC300="V",1,-1)*IF($Q300="Fixo",(CP300-INDEX('Curva Forward'!$C$5:$AN$13,MATCH(CONCATENATE(BD_COMERCIAL!$K300," ",BD_COMERCIAL!$L300),'Curva Forward'!$B$5:$B$13,0),MATCH(FN$4,'Curva Forward'!$C$4:$AN$4,0))),CP300)</f>
        <v>0</v>
      </c>
      <c r="FO300" s="190">
        <f>AC300*AC$2*IF($FC300="V",1,-1)*IF($Q300="Fixo",(CQ300-INDEX('Curva Forward'!$C$5:$AN$13,MATCH(CONCATENATE(BD_COMERCIAL!$K300," ",BD_COMERCIAL!$L300),'Curva Forward'!$B$5:$B$13,0),MATCH(FO$4,'Curva Forward'!$C$4:$AN$4,0))),CQ300)</f>
        <v>0</v>
      </c>
      <c r="FP300" s="190">
        <f>AD300*AD$2*IF($FC300="V",1,-1)*IF($Q300="Fixo",(CR300-INDEX('Curva Forward'!$C$5:$AN$13,MATCH(CONCATENATE(BD_COMERCIAL!$K300," ",BD_COMERCIAL!$L300),'Curva Forward'!$B$5:$B$13,0),MATCH(FP$4,'Curva Forward'!$C$4:$AN$4,0))),CR300)</f>
        <v>0</v>
      </c>
      <c r="FQ300" s="190">
        <f>AE300*AE$2*IF($FC300="V",1,-1)*IF($Q300="Fixo",(CS300-INDEX('Curva Forward'!$C$5:$AN$13,MATCH(CONCATENATE(BD_COMERCIAL!$K300," ",BD_COMERCIAL!$L300),'Curva Forward'!$B$5:$B$13,0),MATCH(FQ$4,'Curva Forward'!$C$4:$AN$4,0))),CS300)</f>
        <v>0</v>
      </c>
      <c r="FR300" s="190">
        <f>AF300*AF$2*IF($FC300="V",1,-1)*IF($Q300="Fixo",(CT300-INDEX('Curva Forward'!$C$5:$AN$13,MATCH(CONCATENATE(BD_COMERCIAL!$K300," ",BD_COMERCIAL!$L300),'Curva Forward'!$B$5:$B$13,0),MATCH(FR$4,'Curva Forward'!$C$4:$AN$4,0))),CT300)</f>
        <v>0</v>
      </c>
      <c r="FS300" s="190">
        <f>AG300*AG$2*IF($FC300="V",1,-1)*IF($Q300="Fixo",(CU300-INDEX('Curva Forward'!$C$5:$AN$13,MATCH(CONCATENATE(BD_COMERCIAL!$K300," ",BD_COMERCIAL!$L300),'Curva Forward'!$B$5:$B$13,0),MATCH(FS$4,'Curva Forward'!$C$4:$AN$4,0))),CU300)</f>
        <v>0</v>
      </c>
      <c r="FT300" s="190">
        <f>AH300*AH$2*IF($FC300="V",1,-1)*IF($Q300="Fixo",(CV300-INDEX('Curva Forward'!$C$5:$AN$13,MATCH(CONCATENATE(BD_COMERCIAL!$K300," ",BD_COMERCIAL!$L300),'Curva Forward'!$B$5:$B$13,0),MATCH(FT$4,'Curva Forward'!$C$4:$AN$4,0))),CV300)</f>
        <v>0</v>
      </c>
      <c r="FU300" s="190">
        <f>AI300*AI$2*IF($FC300="V",1,-1)*IF($Q300="Fixo",(CW300-INDEX('Curva Forward'!$C$5:$AN$13,MATCH(CONCATENATE(BD_COMERCIAL!$K300," ",BD_COMERCIAL!$L300),'Curva Forward'!$B$5:$B$13,0),MATCH(FU$4,'Curva Forward'!$C$4:$AN$4,0))),CW300)</f>
        <v>0</v>
      </c>
      <c r="FV300" s="190">
        <f>AJ300*AJ$2*IF($FC300="V",1,-1)*IF($Q300="Fixo",(CX300-INDEX('Curva Forward'!$C$5:$AN$13,MATCH(CONCATENATE(BD_COMERCIAL!$K300," ",BD_COMERCIAL!$L300),'Curva Forward'!$B$5:$B$13,0),MATCH(FV$4,'Curva Forward'!$C$4:$AN$4,0))),CX300)</f>
        <v>0</v>
      </c>
      <c r="FW300" s="190">
        <f>AK300*AK$2*IF($FC300="V",1,-1)*IF($Q300="Fixo",(CY300-INDEX('Curva Forward'!$C$5:$AN$13,MATCH(CONCATENATE(BD_COMERCIAL!$K300," ",BD_COMERCIAL!$L300),'Curva Forward'!$B$5:$B$13,0),MATCH(FW$4,'Curva Forward'!$C$4:$AN$4,0))),CY300)</f>
        <v>0</v>
      </c>
      <c r="FX300" s="190">
        <f>AL300*AL$2*IF($FC300="V",1,-1)*IF($Q300="Fixo",(CZ300-INDEX('Curva Forward'!$C$5:$AN$13,MATCH(CONCATENATE(BD_COMERCIAL!$K300," ",BD_COMERCIAL!$L300),'Curva Forward'!$B$5:$B$13,0),MATCH(FX$4,'Curva Forward'!$C$4:$AN$4,0))),CZ300)</f>
        <v>0</v>
      </c>
      <c r="FY300" s="190">
        <f>AM300*AM$2*IF($FC300="V",1,-1)*IF($Q300="Fixo",(DA300-INDEX('Curva Forward'!$C$5:$AN$13,MATCH(CONCATENATE(BD_COMERCIAL!$K300," ",BD_COMERCIAL!$L300),'Curva Forward'!$B$5:$B$13,0),MATCH(FY$4,'Curva Forward'!$C$4:$AN$4,0))),DA300)</f>
        <v>0</v>
      </c>
      <c r="FZ300" s="190">
        <f>AN300*AN$2*IF($FC300="V",1,-1)*IF($Q300="Fixo",(DB300-INDEX('Curva Forward'!$C$5:$AN$13,MATCH(CONCATENATE(BD_COMERCIAL!$K300," ",BD_COMERCIAL!$L300),'Curva Forward'!$B$5:$B$13,0),MATCH(FZ$4,'Curva Forward'!$C$4:$AN$4,0))),DB300)</f>
        <v>0</v>
      </c>
      <c r="GA300" s="190">
        <f>AO300*AO$2*IF($FC300="V",1,-1)*IF($Q300="Fixo",(DC300-INDEX('Curva Forward'!$C$5:$AN$13,MATCH(CONCATENATE(BD_COMERCIAL!$K300," ",BD_COMERCIAL!$L300),'Curva Forward'!$B$5:$B$13,0),MATCH(GA$4,'Curva Forward'!$C$4:$AN$4,0))),DC300)</f>
        <v>0</v>
      </c>
      <c r="GB300" s="190">
        <f>AP300*AP$2*IF($FC300="V",1,-1)*IF($Q300="Fixo",(DD300-INDEX('Curva Forward'!$C$5:$AN$13,MATCH(CONCATENATE(BD_COMERCIAL!$K300," ",BD_COMERCIAL!$L300),'Curva Forward'!$B$5:$B$13,0),MATCH(GB$4,'Curva Forward'!$C$4:$AN$4,0))),DD300)</f>
        <v>0</v>
      </c>
      <c r="GC300" s="190">
        <f>AQ300*AQ$2*IF($FC300="V",1,-1)*IF($Q300="Fixo",(DE300-INDEX('Curva Forward'!$C$5:$AN$13,MATCH(CONCATENATE(BD_COMERCIAL!$K300," ",BD_COMERCIAL!$L300),'Curva Forward'!$B$5:$B$13,0),MATCH(GC$4,'Curva Forward'!$C$4:$AN$4,0))),DE300)</f>
        <v>0</v>
      </c>
      <c r="GD300" s="190">
        <f>AR300*AR$2*IF($FC300="V",1,-1)*IF($Q300="Fixo",(DF300-INDEX('Curva Forward'!$C$5:$AN$13,MATCH(CONCATENATE(BD_COMERCIAL!$K300," ",BD_COMERCIAL!$L300),'Curva Forward'!$B$5:$B$13,0),MATCH(GD$4,'Curva Forward'!$C$4:$AN$4,0))),DF300)</f>
        <v>0</v>
      </c>
      <c r="GE300" s="190">
        <f>AS300*AS$2*IF($FC300="V",1,-1)*IF($Q300="Fixo",(DG300-INDEX('Curva Forward'!$C$5:$AN$13,MATCH(CONCATENATE(BD_COMERCIAL!$K300," ",BD_COMERCIAL!$L300),'Curva Forward'!$B$5:$B$13,0),MATCH(GE$4,'Curva Forward'!$C$4:$AN$4,0))),DG300)</f>
        <v>0</v>
      </c>
      <c r="GF300" s="190">
        <f>AT300*AT$2*IF($FC300="V",1,-1)*IF($Q300="Fixo",(DH300-INDEX('Curva Forward'!$C$5:$AN$13,MATCH(CONCATENATE(BD_COMERCIAL!$K300," ",BD_COMERCIAL!$L300),'Curva Forward'!$B$5:$B$13,0),MATCH(GF$4,'Curva Forward'!$C$4:$AN$4,0))),DH300)</f>
        <v>0</v>
      </c>
      <c r="GG300" s="190">
        <f>AU300*AU$2*IF($FC300="V",1,-1)*IF($Q300="Fixo",(DI300-INDEX('Curva Forward'!$C$5:$AN$13,MATCH(CONCATENATE(BD_COMERCIAL!$K300," ",BD_COMERCIAL!$L300),'Curva Forward'!$B$5:$B$13,0),MATCH(GG$4,'Curva Forward'!$C$4:$AN$4,0))),DI300)</f>
        <v>0</v>
      </c>
      <c r="GH300" s="190">
        <f>AV300*AV$2*IF($FC300="V",1,-1)*IF($Q300="Fixo",(DJ300-INDEX('Curva Forward'!$C$5:$AN$13,MATCH(CONCATENATE(BD_COMERCIAL!$K300," ",BD_COMERCIAL!$L300),'Curva Forward'!$B$5:$B$13,0),MATCH(GH$4,'Curva Forward'!$C$4:$AN$4,0))),DJ300)</f>
        <v>0</v>
      </c>
      <c r="GI300" s="190">
        <f>AW300*AW$2*IF($FC300="V",1,-1)*IF($Q300="Fixo",(DK300-INDEX('Curva Forward'!$C$5:$AN$13,MATCH(CONCATENATE(BD_COMERCIAL!$K300," ",BD_COMERCIAL!$L300),'Curva Forward'!$B$5:$B$13,0),MATCH(GI$4,'Curva Forward'!$C$4:$AN$4,0))),DK300)</f>
        <v>0</v>
      </c>
      <c r="GJ300" s="190">
        <f>AX300*AX$2*IF($FC300="V",1,-1)*IF($Q300="Fixo",(DL300-INDEX('Curva Forward'!$C$5:$AN$13,MATCH(CONCATENATE(BD_COMERCIAL!$K300," ",BD_COMERCIAL!$L300),'Curva Forward'!$B$5:$B$13,0),MATCH(GJ$4,'Curva Forward'!$C$4:$AN$4,0))),DL300)</f>
        <v>0</v>
      </c>
      <c r="GK300" s="190">
        <f>AY300*AY$2*IF($FC300="V",1,-1)*IF($Q300="Fixo",(DM300-INDEX('Curva Forward'!$C$5:$AN$13,MATCH(CONCATENATE(BD_COMERCIAL!$K300," ",BD_COMERCIAL!$L300),'Curva Forward'!$B$5:$B$13,0),MATCH(GK$4,'Curva Forward'!$C$4:$AN$4,0))),DM300)</f>
        <v>0</v>
      </c>
      <c r="GL300" s="190">
        <f>IF(EZ300="",0,CL300*CL$2*IF($FC300="V",1,-1)*IF($Q300="Fixo",(EZ300-INDEX('Curva Forward'!$C$5:$AN$13,MATCH(CONCATENATE(BD_COMERCIAL!$K300," ",BD_COMERCIAL!$L300),'Curva Forward'!$B$5:$B$13,0),MATCH(GL$4,'Curva Forward'!$C$4:$AN$4,0))),EZ300))</f>
        <v>0</v>
      </c>
      <c r="GM300" s="190">
        <f>IF(FA300="",0,CM300*CM$2*IF($FC300="V",1,-1)*IF($Q300="Fixo",(FA300-INDEX('Curva Forward'!$C$5:$AN$13,MATCH(CONCATENATE(BD_COMERCIAL!$K300," ",BD_COMERCIAL!$L300),'Curva Forward'!$B$5:$B$13,0),MATCH(GM$4,'Curva Forward'!$C$4:$AN$4,0))),FA300))</f>
        <v>0</v>
      </c>
      <c r="GN300" s="190">
        <f>IF(FB300="",0,CN300*CN$2*IF($FC300="V",1,-1)*IF($Q300="Fixo",(FB300-INDEX('Curva Forward'!$C$5:$AN$13,MATCH(CONCATENATE(BD_COMERCIAL!$K300," ",BD_COMERCIAL!$L300),'Curva Forward'!$B$5:$B$13,0),MATCH(GN$4,'Curva Forward'!$C$4:$AN$4,0))),FB300))</f>
        <v>0</v>
      </c>
      <c r="GO300" s="191">
        <f t="shared" ca="1" si="39"/>
        <v>0</v>
      </c>
      <c r="GP300" s="191">
        <f t="shared" ca="1" si="40"/>
        <v>0</v>
      </c>
      <c r="GQ300" s="115"/>
      <c r="GR300" s="115"/>
      <c r="GS300"/>
      <c r="GT300" s="65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</row>
    <row r="301" spans="1:236" s="265" customFormat="1" ht="15" customHeight="1" x14ac:dyDescent="0.35">
      <c r="A301" s="251"/>
      <c r="B301" s="275"/>
      <c r="C301" s="253"/>
      <c r="D301" s="254"/>
      <c r="E301" s="254"/>
      <c r="F301" s="255"/>
      <c r="G301" s="256"/>
      <c r="H301" s="255"/>
      <c r="I301" s="254"/>
      <c r="J301" s="257"/>
      <c r="K301" s="256"/>
      <c r="L301" s="252"/>
      <c r="M301" s="258"/>
      <c r="N301" s="259"/>
      <c r="O301" s="256"/>
      <c r="P301" s="252"/>
      <c r="Q301" s="252"/>
      <c r="R301" s="256"/>
      <c r="S301" s="260"/>
      <c r="T301" s="258"/>
      <c r="U301" s="259"/>
      <c r="V301" s="261"/>
      <c r="W301" s="252"/>
      <c r="X301" s="262"/>
      <c r="Y301" s="257"/>
      <c r="Z301" s="263"/>
      <c r="AA301" s="264"/>
      <c r="AB301" s="266"/>
      <c r="AM301" s="251"/>
      <c r="AN301" s="266"/>
      <c r="AY301" s="251"/>
      <c r="AZ301" s="266"/>
      <c r="BK301" s="251"/>
      <c r="BL301" s="266"/>
      <c r="BW301" s="251"/>
      <c r="BX301" s="266"/>
      <c r="CI301" s="251"/>
      <c r="CJ301" s="267"/>
      <c r="CK301" s="267"/>
      <c r="CL301" s="267"/>
      <c r="CM301" s="267"/>
      <c r="CN301" s="267"/>
      <c r="CO301" s="268"/>
      <c r="CP301" s="266"/>
      <c r="DA301" s="251"/>
      <c r="DB301" s="266"/>
      <c r="DM301" s="251"/>
      <c r="DN301" s="266"/>
      <c r="DY301" s="251"/>
      <c r="DZ301" s="266"/>
      <c r="EK301" s="251"/>
      <c r="EL301" s="266"/>
      <c r="EW301" s="251"/>
      <c r="EX301" s="267"/>
      <c r="EY301" s="267"/>
      <c r="EZ301" s="267"/>
      <c r="FA301" s="267"/>
      <c r="FB301" s="269"/>
      <c r="FD301" s="270"/>
      <c r="FF301" s="276"/>
      <c r="FH301" s="206">
        <f t="shared" si="34"/>
        <v>0</v>
      </c>
      <c r="FI301" s="198">
        <f t="shared" si="35"/>
        <v>0</v>
      </c>
      <c r="FJ301"/>
      <c r="FK301">
        <f t="shared" si="36"/>
        <v>0</v>
      </c>
      <c r="FL301" s="191">
        <f t="shared" ca="1" si="37"/>
        <v>0</v>
      </c>
      <c r="FM301" s="191">
        <f t="shared" ca="1" si="38"/>
        <v>0</v>
      </c>
      <c r="FN301" s="190">
        <f>AB301*AB$2*IF($FC301="V",1,-1)*IF($Q301="Fixo",(CP301-INDEX('Curva Forward'!$C$5:$AN$13,MATCH(CONCATENATE(BD_COMERCIAL!$K301," ",BD_COMERCIAL!$L301),'Curva Forward'!$B$5:$B$13,0),MATCH(FN$4,'Curva Forward'!$C$4:$AN$4,0))),CP301)</f>
        <v>0</v>
      </c>
      <c r="FO301" s="190">
        <f>AC301*AC$2*IF($FC301="V",1,-1)*IF($Q301="Fixo",(CQ301-INDEX('Curva Forward'!$C$5:$AN$13,MATCH(CONCATENATE(BD_COMERCIAL!$K301," ",BD_COMERCIAL!$L301),'Curva Forward'!$B$5:$B$13,0),MATCH(FO$4,'Curva Forward'!$C$4:$AN$4,0))),CQ301)</f>
        <v>0</v>
      </c>
      <c r="FP301" s="190">
        <f>AD301*AD$2*IF($FC301="V",1,-1)*IF($Q301="Fixo",(CR301-INDEX('Curva Forward'!$C$5:$AN$13,MATCH(CONCATENATE(BD_COMERCIAL!$K301," ",BD_COMERCIAL!$L301),'Curva Forward'!$B$5:$B$13,0),MATCH(FP$4,'Curva Forward'!$C$4:$AN$4,0))),CR301)</f>
        <v>0</v>
      </c>
      <c r="FQ301" s="190">
        <f>AE301*AE$2*IF($FC301="V",1,-1)*IF($Q301="Fixo",(CS301-INDEX('Curva Forward'!$C$5:$AN$13,MATCH(CONCATENATE(BD_COMERCIAL!$K301," ",BD_COMERCIAL!$L301),'Curva Forward'!$B$5:$B$13,0),MATCH(FQ$4,'Curva Forward'!$C$4:$AN$4,0))),CS301)</f>
        <v>0</v>
      </c>
      <c r="FR301" s="190">
        <f>AF301*AF$2*IF($FC301="V",1,-1)*IF($Q301="Fixo",(CT301-INDEX('Curva Forward'!$C$5:$AN$13,MATCH(CONCATENATE(BD_COMERCIAL!$K301," ",BD_COMERCIAL!$L301),'Curva Forward'!$B$5:$B$13,0),MATCH(FR$4,'Curva Forward'!$C$4:$AN$4,0))),CT301)</f>
        <v>0</v>
      </c>
      <c r="FS301" s="190">
        <f>AG301*AG$2*IF($FC301="V",1,-1)*IF($Q301="Fixo",(CU301-INDEX('Curva Forward'!$C$5:$AN$13,MATCH(CONCATENATE(BD_COMERCIAL!$K301," ",BD_COMERCIAL!$L301),'Curva Forward'!$B$5:$B$13,0),MATCH(FS$4,'Curva Forward'!$C$4:$AN$4,0))),CU301)</f>
        <v>0</v>
      </c>
      <c r="FT301" s="190">
        <f>AH301*AH$2*IF($FC301="V",1,-1)*IF($Q301="Fixo",(CV301-INDEX('Curva Forward'!$C$5:$AN$13,MATCH(CONCATENATE(BD_COMERCIAL!$K301," ",BD_COMERCIAL!$L301),'Curva Forward'!$B$5:$B$13,0),MATCH(FT$4,'Curva Forward'!$C$4:$AN$4,0))),CV301)</f>
        <v>0</v>
      </c>
      <c r="FU301" s="190">
        <f>AI301*AI$2*IF($FC301="V",1,-1)*IF($Q301="Fixo",(CW301-INDEX('Curva Forward'!$C$5:$AN$13,MATCH(CONCATENATE(BD_COMERCIAL!$K301," ",BD_COMERCIAL!$L301),'Curva Forward'!$B$5:$B$13,0),MATCH(FU$4,'Curva Forward'!$C$4:$AN$4,0))),CW301)</f>
        <v>0</v>
      </c>
      <c r="FV301" s="190">
        <f>AJ301*AJ$2*IF($FC301="V",1,-1)*IF($Q301="Fixo",(CX301-INDEX('Curva Forward'!$C$5:$AN$13,MATCH(CONCATENATE(BD_COMERCIAL!$K301," ",BD_COMERCIAL!$L301),'Curva Forward'!$B$5:$B$13,0),MATCH(FV$4,'Curva Forward'!$C$4:$AN$4,0))),CX301)</f>
        <v>0</v>
      </c>
      <c r="FW301" s="190">
        <f>AK301*AK$2*IF($FC301="V",1,-1)*IF($Q301="Fixo",(CY301-INDEX('Curva Forward'!$C$5:$AN$13,MATCH(CONCATENATE(BD_COMERCIAL!$K301," ",BD_COMERCIAL!$L301),'Curva Forward'!$B$5:$B$13,0),MATCH(FW$4,'Curva Forward'!$C$4:$AN$4,0))),CY301)</f>
        <v>0</v>
      </c>
      <c r="FX301" s="190">
        <f>AL301*AL$2*IF($FC301="V",1,-1)*IF($Q301="Fixo",(CZ301-INDEX('Curva Forward'!$C$5:$AN$13,MATCH(CONCATENATE(BD_COMERCIAL!$K301," ",BD_COMERCIAL!$L301),'Curva Forward'!$B$5:$B$13,0),MATCH(FX$4,'Curva Forward'!$C$4:$AN$4,0))),CZ301)</f>
        <v>0</v>
      </c>
      <c r="FY301" s="190">
        <f>AM301*AM$2*IF($FC301="V",1,-1)*IF($Q301="Fixo",(DA301-INDEX('Curva Forward'!$C$5:$AN$13,MATCH(CONCATENATE(BD_COMERCIAL!$K301," ",BD_COMERCIAL!$L301),'Curva Forward'!$B$5:$B$13,0),MATCH(FY$4,'Curva Forward'!$C$4:$AN$4,0))),DA301)</f>
        <v>0</v>
      </c>
      <c r="FZ301" s="190">
        <f>AN301*AN$2*IF($FC301="V",1,-1)*IF($Q301="Fixo",(DB301-INDEX('Curva Forward'!$C$5:$AN$13,MATCH(CONCATENATE(BD_COMERCIAL!$K301," ",BD_COMERCIAL!$L301),'Curva Forward'!$B$5:$B$13,0),MATCH(FZ$4,'Curva Forward'!$C$4:$AN$4,0))),DB301)</f>
        <v>0</v>
      </c>
      <c r="GA301" s="190">
        <f>AO301*AO$2*IF($FC301="V",1,-1)*IF($Q301="Fixo",(DC301-INDEX('Curva Forward'!$C$5:$AN$13,MATCH(CONCATENATE(BD_COMERCIAL!$K301," ",BD_COMERCIAL!$L301),'Curva Forward'!$B$5:$B$13,0),MATCH(GA$4,'Curva Forward'!$C$4:$AN$4,0))),DC301)</f>
        <v>0</v>
      </c>
      <c r="GB301" s="190">
        <f>AP301*AP$2*IF($FC301="V",1,-1)*IF($Q301="Fixo",(DD301-INDEX('Curva Forward'!$C$5:$AN$13,MATCH(CONCATENATE(BD_COMERCIAL!$K301," ",BD_COMERCIAL!$L301),'Curva Forward'!$B$5:$B$13,0),MATCH(GB$4,'Curva Forward'!$C$4:$AN$4,0))),DD301)</f>
        <v>0</v>
      </c>
      <c r="GC301" s="190">
        <f>AQ301*AQ$2*IF($FC301="V",1,-1)*IF($Q301="Fixo",(DE301-INDEX('Curva Forward'!$C$5:$AN$13,MATCH(CONCATENATE(BD_COMERCIAL!$K301," ",BD_COMERCIAL!$L301),'Curva Forward'!$B$5:$B$13,0),MATCH(GC$4,'Curva Forward'!$C$4:$AN$4,0))),DE301)</f>
        <v>0</v>
      </c>
      <c r="GD301" s="190">
        <f>AR301*AR$2*IF($FC301="V",1,-1)*IF($Q301="Fixo",(DF301-INDEX('Curva Forward'!$C$5:$AN$13,MATCH(CONCATENATE(BD_COMERCIAL!$K301," ",BD_COMERCIAL!$L301),'Curva Forward'!$B$5:$B$13,0),MATCH(GD$4,'Curva Forward'!$C$4:$AN$4,0))),DF301)</f>
        <v>0</v>
      </c>
      <c r="GE301" s="190">
        <f>AS301*AS$2*IF($FC301="V",1,-1)*IF($Q301="Fixo",(DG301-INDEX('Curva Forward'!$C$5:$AN$13,MATCH(CONCATENATE(BD_COMERCIAL!$K301," ",BD_COMERCIAL!$L301),'Curva Forward'!$B$5:$B$13,0),MATCH(GE$4,'Curva Forward'!$C$4:$AN$4,0))),DG301)</f>
        <v>0</v>
      </c>
      <c r="GF301" s="190">
        <f>AT301*AT$2*IF($FC301="V",1,-1)*IF($Q301="Fixo",(DH301-INDEX('Curva Forward'!$C$5:$AN$13,MATCH(CONCATENATE(BD_COMERCIAL!$K301," ",BD_COMERCIAL!$L301),'Curva Forward'!$B$5:$B$13,0),MATCH(GF$4,'Curva Forward'!$C$4:$AN$4,0))),DH301)</f>
        <v>0</v>
      </c>
      <c r="GG301" s="190">
        <f>AU301*AU$2*IF($FC301="V",1,-1)*IF($Q301="Fixo",(DI301-INDEX('Curva Forward'!$C$5:$AN$13,MATCH(CONCATENATE(BD_COMERCIAL!$K301," ",BD_COMERCIAL!$L301),'Curva Forward'!$B$5:$B$13,0),MATCH(GG$4,'Curva Forward'!$C$4:$AN$4,0))),DI301)</f>
        <v>0</v>
      </c>
      <c r="GH301" s="190">
        <f>AV301*AV$2*IF($FC301="V",1,-1)*IF($Q301="Fixo",(DJ301-INDEX('Curva Forward'!$C$5:$AN$13,MATCH(CONCATENATE(BD_COMERCIAL!$K301," ",BD_COMERCIAL!$L301),'Curva Forward'!$B$5:$B$13,0),MATCH(GH$4,'Curva Forward'!$C$4:$AN$4,0))),DJ301)</f>
        <v>0</v>
      </c>
      <c r="GI301" s="190">
        <f>AW301*AW$2*IF($FC301="V",1,-1)*IF($Q301="Fixo",(DK301-INDEX('Curva Forward'!$C$5:$AN$13,MATCH(CONCATENATE(BD_COMERCIAL!$K301," ",BD_COMERCIAL!$L301),'Curva Forward'!$B$5:$B$13,0),MATCH(GI$4,'Curva Forward'!$C$4:$AN$4,0))),DK301)</f>
        <v>0</v>
      </c>
      <c r="GJ301" s="190">
        <f>AX301*AX$2*IF($FC301="V",1,-1)*IF($Q301="Fixo",(DL301-INDEX('Curva Forward'!$C$5:$AN$13,MATCH(CONCATENATE(BD_COMERCIAL!$K301," ",BD_COMERCIAL!$L301),'Curva Forward'!$B$5:$B$13,0),MATCH(GJ$4,'Curva Forward'!$C$4:$AN$4,0))),DL301)</f>
        <v>0</v>
      </c>
      <c r="GK301" s="190">
        <f>AY301*AY$2*IF($FC301="V",1,-1)*IF($Q301="Fixo",(DM301-INDEX('Curva Forward'!$C$5:$AN$13,MATCH(CONCATENATE(BD_COMERCIAL!$K301," ",BD_COMERCIAL!$L301),'Curva Forward'!$B$5:$B$13,0),MATCH(GK$4,'Curva Forward'!$C$4:$AN$4,0))),DM301)</f>
        <v>0</v>
      </c>
      <c r="GL301" s="190">
        <f>IF(EZ301="",0,CL301*CL$2*IF($FC301="V",1,-1)*IF($Q301="Fixo",(EZ301-INDEX('Curva Forward'!$C$5:$AN$13,MATCH(CONCATENATE(BD_COMERCIAL!$K301," ",BD_COMERCIAL!$L301),'Curva Forward'!$B$5:$B$13,0),MATCH(GL$4,'Curva Forward'!$C$4:$AN$4,0))),EZ301))</f>
        <v>0</v>
      </c>
      <c r="GM301" s="190">
        <f>IF(FA301="",0,CM301*CM$2*IF($FC301="V",1,-1)*IF($Q301="Fixo",(FA301-INDEX('Curva Forward'!$C$5:$AN$13,MATCH(CONCATENATE(BD_COMERCIAL!$K301," ",BD_COMERCIAL!$L301),'Curva Forward'!$B$5:$B$13,0),MATCH(GM$4,'Curva Forward'!$C$4:$AN$4,0))),FA301))</f>
        <v>0</v>
      </c>
      <c r="GN301" s="190">
        <f>IF(FB301="",0,CN301*CN$2*IF($FC301="V",1,-1)*IF($Q301="Fixo",(FB301-INDEX('Curva Forward'!$C$5:$AN$13,MATCH(CONCATENATE(BD_COMERCIAL!$K301," ",BD_COMERCIAL!$L301),'Curva Forward'!$B$5:$B$13,0),MATCH(GN$4,'Curva Forward'!$C$4:$AN$4,0))),FB301))</f>
        <v>0</v>
      </c>
      <c r="GO301" s="191">
        <f t="shared" ca="1" si="39"/>
        <v>0</v>
      </c>
      <c r="GP301" s="191">
        <f t="shared" ca="1" si="40"/>
        <v>0</v>
      </c>
      <c r="GQ301" s="115"/>
      <c r="GR301" s="115"/>
      <c r="GS301"/>
      <c r="GT301" s="65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</row>
    <row r="302" spans="1:236" s="265" customFormat="1" ht="15" customHeight="1" x14ac:dyDescent="0.35">
      <c r="A302" s="251"/>
      <c r="B302" s="275"/>
      <c r="C302" s="253"/>
      <c r="D302" s="254"/>
      <c r="E302" s="254"/>
      <c r="F302" s="255"/>
      <c r="G302" s="256"/>
      <c r="H302" s="255"/>
      <c r="I302" s="254"/>
      <c r="J302" s="257"/>
      <c r="K302" s="256"/>
      <c r="L302" s="252"/>
      <c r="M302" s="258"/>
      <c r="N302" s="259"/>
      <c r="O302" s="256"/>
      <c r="P302" s="252"/>
      <c r="Q302" s="252"/>
      <c r="R302" s="256"/>
      <c r="S302" s="260"/>
      <c r="T302" s="258"/>
      <c r="U302" s="259"/>
      <c r="V302" s="261"/>
      <c r="W302" s="252"/>
      <c r="X302" s="262"/>
      <c r="Y302" s="257"/>
      <c r="Z302" s="263"/>
      <c r="AA302" s="264"/>
      <c r="AB302" s="266"/>
      <c r="AM302" s="251"/>
      <c r="AN302" s="266"/>
      <c r="AY302" s="251"/>
      <c r="AZ302" s="266"/>
      <c r="BK302" s="251"/>
      <c r="BL302" s="266"/>
      <c r="BW302" s="251"/>
      <c r="BX302" s="266"/>
      <c r="CI302" s="251"/>
      <c r="CJ302" s="267"/>
      <c r="CK302" s="267"/>
      <c r="CL302" s="267"/>
      <c r="CM302" s="267"/>
      <c r="CN302" s="267"/>
      <c r="CO302" s="268"/>
      <c r="CP302" s="266"/>
      <c r="DA302" s="251"/>
      <c r="DB302" s="266"/>
      <c r="DM302" s="251"/>
      <c r="DN302" s="266"/>
      <c r="DY302" s="251"/>
      <c r="DZ302" s="266"/>
      <c r="EK302" s="251"/>
      <c r="EL302" s="266"/>
      <c r="EW302" s="251"/>
      <c r="EX302" s="267"/>
      <c r="EY302" s="267"/>
      <c r="EZ302" s="267"/>
      <c r="FA302" s="267"/>
      <c r="FB302" s="269"/>
      <c r="FD302" s="270"/>
      <c r="FF302" s="276"/>
      <c r="FH302" s="206">
        <f t="shared" si="34"/>
        <v>0</v>
      </c>
      <c r="FI302" s="198">
        <f t="shared" si="35"/>
        <v>0</v>
      </c>
      <c r="FJ302"/>
      <c r="FK302">
        <f t="shared" si="36"/>
        <v>0</v>
      </c>
      <c r="FL302" s="191">
        <f t="shared" ca="1" si="37"/>
        <v>0</v>
      </c>
      <c r="FM302" s="191">
        <f t="shared" ca="1" si="38"/>
        <v>0</v>
      </c>
      <c r="FN302" s="190">
        <f>AB302*AB$2*IF($FC302="V",1,-1)*IF($Q302="Fixo",(CP302-INDEX('Curva Forward'!$C$5:$AN$13,MATCH(CONCATENATE(BD_COMERCIAL!$K302," ",BD_COMERCIAL!$L302),'Curva Forward'!$B$5:$B$13,0),MATCH(FN$4,'Curva Forward'!$C$4:$AN$4,0))),CP302)</f>
        <v>0</v>
      </c>
      <c r="FO302" s="190">
        <f>AC302*AC$2*IF($FC302="V",1,-1)*IF($Q302="Fixo",(CQ302-INDEX('Curva Forward'!$C$5:$AN$13,MATCH(CONCATENATE(BD_COMERCIAL!$K302," ",BD_COMERCIAL!$L302),'Curva Forward'!$B$5:$B$13,0),MATCH(FO$4,'Curva Forward'!$C$4:$AN$4,0))),CQ302)</f>
        <v>0</v>
      </c>
      <c r="FP302" s="190">
        <f>AD302*AD$2*IF($FC302="V",1,-1)*IF($Q302="Fixo",(CR302-INDEX('Curva Forward'!$C$5:$AN$13,MATCH(CONCATENATE(BD_COMERCIAL!$K302," ",BD_COMERCIAL!$L302),'Curva Forward'!$B$5:$B$13,0),MATCH(FP$4,'Curva Forward'!$C$4:$AN$4,0))),CR302)</f>
        <v>0</v>
      </c>
      <c r="FQ302" s="190">
        <f>AE302*AE$2*IF($FC302="V",1,-1)*IF($Q302="Fixo",(CS302-INDEX('Curva Forward'!$C$5:$AN$13,MATCH(CONCATENATE(BD_COMERCIAL!$K302," ",BD_COMERCIAL!$L302),'Curva Forward'!$B$5:$B$13,0),MATCH(FQ$4,'Curva Forward'!$C$4:$AN$4,0))),CS302)</f>
        <v>0</v>
      </c>
      <c r="FR302" s="190">
        <f>AF302*AF$2*IF($FC302="V",1,-1)*IF($Q302="Fixo",(CT302-INDEX('Curva Forward'!$C$5:$AN$13,MATCH(CONCATENATE(BD_COMERCIAL!$K302," ",BD_COMERCIAL!$L302),'Curva Forward'!$B$5:$B$13,0),MATCH(FR$4,'Curva Forward'!$C$4:$AN$4,0))),CT302)</f>
        <v>0</v>
      </c>
      <c r="FS302" s="190">
        <f>AG302*AG$2*IF($FC302="V",1,-1)*IF($Q302="Fixo",(CU302-INDEX('Curva Forward'!$C$5:$AN$13,MATCH(CONCATENATE(BD_COMERCIAL!$K302," ",BD_COMERCIAL!$L302),'Curva Forward'!$B$5:$B$13,0),MATCH(FS$4,'Curva Forward'!$C$4:$AN$4,0))),CU302)</f>
        <v>0</v>
      </c>
      <c r="FT302" s="190">
        <f>AH302*AH$2*IF($FC302="V",1,-1)*IF($Q302="Fixo",(CV302-INDEX('Curva Forward'!$C$5:$AN$13,MATCH(CONCATENATE(BD_COMERCIAL!$K302," ",BD_COMERCIAL!$L302),'Curva Forward'!$B$5:$B$13,0),MATCH(FT$4,'Curva Forward'!$C$4:$AN$4,0))),CV302)</f>
        <v>0</v>
      </c>
      <c r="FU302" s="190">
        <f>AI302*AI$2*IF($FC302="V",1,-1)*IF($Q302="Fixo",(CW302-INDEX('Curva Forward'!$C$5:$AN$13,MATCH(CONCATENATE(BD_COMERCIAL!$K302," ",BD_COMERCIAL!$L302),'Curva Forward'!$B$5:$B$13,0),MATCH(FU$4,'Curva Forward'!$C$4:$AN$4,0))),CW302)</f>
        <v>0</v>
      </c>
      <c r="FV302" s="190">
        <f>AJ302*AJ$2*IF($FC302="V",1,-1)*IF($Q302="Fixo",(CX302-INDEX('Curva Forward'!$C$5:$AN$13,MATCH(CONCATENATE(BD_COMERCIAL!$K302," ",BD_COMERCIAL!$L302),'Curva Forward'!$B$5:$B$13,0),MATCH(FV$4,'Curva Forward'!$C$4:$AN$4,0))),CX302)</f>
        <v>0</v>
      </c>
      <c r="FW302" s="190">
        <f>AK302*AK$2*IF($FC302="V",1,-1)*IF($Q302="Fixo",(CY302-INDEX('Curva Forward'!$C$5:$AN$13,MATCH(CONCATENATE(BD_COMERCIAL!$K302," ",BD_COMERCIAL!$L302),'Curva Forward'!$B$5:$B$13,0),MATCH(FW$4,'Curva Forward'!$C$4:$AN$4,0))),CY302)</f>
        <v>0</v>
      </c>
      <c r="FX302" s="190">
        <f>AL302*AL$2*IF($FC302="V",1,-1)*IF($Q302="Fixo",(CZ302-INDEX('Curva Forward'!$C$5:$AN$13,MATCH(CONCATENATE(BD_COMERCIAL!$K302," ",BD_COMERCIAL!$L302),'Curva Forward'!$B$5:$B$13,0),MATCH(FX$4,'Curva Forward'!$C$4:$AN$4,0))),CZ302)</f>
        <v>0</v>
      </c>
      <c r="FY302" s="190">
        <f>AM302*AM$2*IF($FC302="V",1,-1)*IF($Q302="Fixo",(DA302-INDEX('Curva Forward'!$C$5:$AN$13,MATCH(CONCATENATE(BD_COMERCIAL!$K302," ",BD_COMERCIAL!$L302),'Curva Forward'!$B$5:$B$13,0),MATCH(FY$4,'Curva Forward'!$C$4:$AN$4,0))),DA302)</f>
        <v>0</v>
      </c>
      <c r="FZ302" s="190">
        <f>AN302*AN$2*IF($FC302="V",1,-1)*IF($Q302="Fixo",(DB302-INDEX('Curva Forward'!$C$5:$AN$13,MATCH(CONCATENATE(BD_COMERCIAL!$K302," ",BD_COMERCIAL!$L302),'Curva Forward'!$B$5:$B$13,0),MATCH(FZ$4,'Curva Forward'!$C$4:$AN$4,0))),DB302)</f>
        <v>0</v>
      </c>
      <c r="GA302" s="190">
        <f>AO302*AO$2*IF($FC302="V",1,-1)*IF($Q302="Fixo",(DC302-INDEX('Curva Forward'!$C$5:$AN$13,MATCH(CONCATENATE(BD_COMERCIAL!$K302," ",BD_COMERCIAL!$L302),'Curva Forward'!$B$5:$B$13,0),MATCH(GA$4,'Curva Forward'!$C$4:$AN$4,0))),DC302)</f>
        <v>0</v>
      </c>
      <c r="GB302" s="190">
        <f>AP302*AP$2*IF($FC302="V",1,-1)*IF($Q302="Fixo",(DD302-INDEX('Curva Forward'!$C$5:$AN$13,MATCH(CONCATENATE(BD_COMERCIAL!$K302," ",BD_COMERCIAL!$L302),'Curva Forward'!$B$5:$B$13,0),MATCH(GB$4,'Curva Forward'!$C$4:$AN$4,0))),DD302)</f>
        <v>0</v>
      </c>
      <c r="GC302" s="190">
        <f>AQ302*AQ$2*IF($FC302="V",1,-1)*IF($Q302="Fixo",(DE302-INDEX('Curva Forward'!$C$5:$AN$13,MATCH(CONCATENATE(BD_COMERCIAL!$K302," ",BD_COMERCIAL!$L302),'Curva Forward'!$B$5:$B$13,0),MATCH(GC$4,'Curva Forward'!$C$4:$AN$4,0))),DE302)</f>
        <v>0</v>
      </c>
      <c r="GD302" s="190">
        <f>AR302*AR$2*IF($FC302="V",1,-1)*IF($Q302="Fixo",(DF302-INDEX('Curva Forward'!$C$5:$AN$13,MATCH(CONCATENATE(BD_COMERCIAL!$K302," ",BD_COMERCIAL!$L302),'Curva Forward'!$B$5:$B$13,0),MATCH(GD$4,'Curva Forward'!$C$4:$AN$4,0))),DF302)</f>
        <v>0</v>
      </c>
      <c r="GE302" s="190">
        <f>AS302*AS$2*IF($FC302="V",1,-1)*IF($Q302="Fixo",(DG302-INDEX('Curva Forward'!$C$5:$AN$13,MATCH(CONCATENATE(BD_COMERCIAL!$K302," ",BD_COMERCIAL!$L302),'Curva Forward'!$B$5:$B$13,0),MATCH(GE$4,'Curva Forward'!$C$4:$AN$4,0))),DG302)</f>
        <v>0</v>
      </c>
      <c r="GF302" s="190">
        <f>AT302*AT$2*IF($FC302="V",1,-1)*IF($Q302="Fixo",(DH302-INDEX('Curva Forward'!$C$5:$AN$13,MATCH(CONCATENATE(BD_COMERCIAL!$K302," ",BD_COMERCIAL!$L302),'Curva Forward'!$B$5:$B$13,0),MATCH(GF$4,'Curva Forward'!$C$4:$AN$4,0))),DH302)</f>
        <v>0</v>
      </c>
      <c r="GG302" s="190">
        <f>AU302*AU$2*IF($FC302="V",1,-1)*IF($Q302="Fixo",(DI302-INDEX('Curva Forward'!$C$5:$AN$13,MATCH(CONCATENATE(BD_COMERCIAL!$K302," ",BD_COMERCIAL!$L302),'Curva Forward'!$B$5:$B$13,0),MATCH(GG$4,'Curva Forward'!$C$4:$AN$4,0))),DI302)</f>
        <v>0</v>
      </c>
      <c r="GH302" s="190">
        <f>AV302*AV$2*IF($FC302="V",1,-1)*IF($Q302="Fixo",(DJ302-INDEX('Curva Forward'!$C$5:$AN$13,MATCH(CONCATENATE(BD_COMERCIAL!$K302," ",BD_COMERCIAL!$L302),'Curva Forward'!$B$5:$B$13,0),MATCH(GH$4,'Curva Forward'!$C$4:$AN$4,0))),DJ302)</f>
        <v>0</v>
      </c>
      <c r="GI302" s="190">
        <f>AW302*AW$2*IF($FC302="V",1,-1)*IF($Q302="Fixo",(DK302-INDEX('Curva Forward'!$C$5:$AN$13,MATCH(CONCATENATE(BD_COMERCIAL!$K302," ",BD_COMERCIAL!$L302),'Curva Forward'!$B$5:$B$13,0),MATCH(GI$4,'Curva Forward'!$C$4:$AN$4,0))),DK302)</f>
        <v>0</v>
      </c>
      <c r="GJ302" s="190">
        <f>AX302*AX$2*IF($FC302="V",1,-1)*IF($Q302="Fixo",(DL302-INDEX('Curva Forward'!$C$5:$AN$13,MATCH(CONCATENATE(BD_COMERCIAL!$K302," ",BD_COMERCIAL!$L302),'Curva Forward'!$B$5:$B$13,0),MATCH(GJ$4,'Curva Forward'!$C$4:$AN$4,0))),DL302)</f>
        <v>0</v>
      </c>
      <c r="GK302" s="190">
        <f>AY302*AY$2*IF($FC302="V",1,-1)*IF($Q302="Fixo",(DM302-INDEX('Curva Forward'!$C$5:$AN$13,MATCH(CONCATENATE(BD_COMERCIAL!$K302," ",BD_COMERCIAL!$L302),'Curva Forward'!$B$5:$B$13,0),MATCH(GK$4,'Curva Forward'!$C$4:$AN$4,0))),DM302)</f>
        <v>0</v>
      </c>
      <c r="GL302" s="190">
        <f>IF(EZ302="",0,CL302*CL$2*IF($FC302="V",1,-1)*IF($Q302="Fixo",(EZ302-INDEX('Curva Forward'!$C$5:$AN$13,MATCH(CONCATENATE(BD_COMERCIAL!$K302," ",BD_COMERCIAL!$L302),'Curva Forward'!$B$5:$B$13,0),MATCH(GL$4,'Curva Forward'!$C$4:$AN$4,0))),EZ302))</f>
        <v>0</v>
      </c>
      <c r="GM302" s="190">
        <f>IF(FA302="",0,CM302*CM$2*IF($FC302="V",1,-1)*IF($Q302="Fixo",(FA302-INDEX('Curva Forward'!$C$5:$AN$13,MATCH(CONCATENATE(BD_COMERCIAL!$K302," ",BD_COMERCIAL!$L302),'Curva Forward'!$B$5:$B$13,0),MATCH(GM$4,'Curva Forward'!$C$4:$AN$4,0))),FA302))</f>
        <v>0</v>
      </c>
      <c r="GN302" s="190">
        <f>IF(FB302="",0,CN302*CN$2*IF($FC302="V",1,-1)*IF($Q302="Fixo",(FB302-INDEX('Curva Forward'!$C$5:$AN$13,MATCH(CONCATENATE(BD_COMERCIAL!$K302," ",BD_COMERCIAL!$L302),'Curva Forward'!$B$5:$B$13,0),MATCH(GN$4,'Curva Forward'!$C$4:$AN$4,0))),FB302))</f>
        <v>0</v>
      </c>
      <c r="GO302" s="191">
        <f t="shared" ca="1" si="39"/>
        <v>0</v>
      </c>
      <c r="GP302" s="191">
        <f t="shared" ca="1" si="40"/>
        <v>0</v>
      </c>
      <c r="GQ302" s="115"/>
      <c r="GR302" s="115"/>
      <c r="GS302"/>
      <c r="GT302" s="65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</row>
    <row r="303" spans="1:236" s="265" customFormat="1" ht="15" customHeight="1" x14ac:dyDescent="0.35">
      <c r="A303" s="251"/>
      <c r="B303" s="275"/>
      <c r="C303" s="253"/>
      <c r="D303" s="254"/>
      <c r="E303" s="254"/>
      <c r="F303" s="255"/>
      <c r="G303" s="256"/>
      <c r="H303" s="255"/>
      <c r="I303" s="254"/>
      <c r="J303" s="257"/>
      <c r="K303" s="256"/>
      <c r="L303" s="252"/>
      <c r="M303" s="258"/>
      <c r="N303" s="259"/>
      <c r="O303" s="256"/>
      <c r="P303" s="252"/>
      <c r="Q303" s="252"/>
      <c r="R303" s="256"/>
      <c r="S303" s="260"/>
      <c r="T303" s="258"/>
      <c r="U303" s="259"/>
      <c r="V303" s="261"/>
      <c r="W303" s="252"/>
      <c r="X303" s="262"/>
      <c r="Y303" s="257"/>
      <c r="Z303" s="263"/>
      <c r="AA303" s="264"/>
      <c r="AB303" s="266"/>
      <c r="AM303" s="251"/>
      <c r="AN303" s="266"/>
      <c r="AY303" s="251"/>
      <c r="AZ303" s="266"/>
      <c r="BK303" s="251"/>
      <c r="BL303" s="266"/>
      <c r="BW303" s="251"/>
      <c r="BX303" s="266"/>
      <c r="CI303" s="251"/>
      <c r="CJ303" s="267"/>
      <c r="CK303" s="267"/>
      <c r="CL303" s="267"/>
      <c r="CM303" s="267"/>
      <c r="CN303" s="267"/>
      <c r="CO303" s="268"/>
      <c r="CP303" s="266"/>
      <c r="DA303" s="251"/>
      <c r="DB303" s="266"/>
      <c r="DM303" s="251"/>
      <c r="DN303" s="266"/>
      <c r="DY303" s="251"/>
      <c r="DZ303" s="266"/>
      <c r="EK303" s="251"/>
      <c r="EL303" s="266"/>
      <c r="EW303" s="251"/>
      <c r="EX303" s="267"/>
      <c r="EY303" s="267"/>
      <c r="EZ303" s="267"/>
      <c r="FA303" s="267"/>
      <c r="FB303" s="269"/>
      <c r="FD303" s="270"/>
      <c r="FF303" s="276"/>
      <c r="FH303" s="206">
        <f t="shared" si="34"/>
        <v>0</v>
      </c>
      <c r="FI303" s="198">
        <f t="shared" si="35"/>
        <v>0</v>
      </c>
      <c r="FJ303"/>
      <c r="FK303">
        <f t="shared" si="36"/>
        <v>0</v>
      </c>
      <c r="FL303" s="191">
        <f t="shared" ca="1" si="37"/>
        <v>0</v>
      </c>
      <c r="FM303" s="191">
        <f t="shared" ca="1" si="38"/>
        <v>0</v>
      </c>
      <c r="FN303" s="190">
        <f>AB303*AB$2*IF($FC303="V",1,-1)*IF($Q303="Fixo",(CP303-INDEX('Curva Forward'!$C$5:$AN$13,MATCH(CONCATENATE(BD_COMERCIAL!$K303," ",BD_COMERCIAL!$L303),'Curva Forward'!$B$5:$B$13,0),MATCH(FN$4,'Curva Forward'!$C$4:$AN$4,0))),CP303)</f>
        <v>0</v>
      </c>
      <c r="FO303" s="190">
        <f>AC303*AC$2*IF($FC303="V",1,-1)*IF($Q303="Fixo",(CQ303-INDEX('Curva Forward'!$C$5:$AN$13,MATCH(CONCATENATE(BD_COMERCIAL!$K303," ",BD_COMERCIAL!$L303),'Curva Forward'!$B$5:$B$13,0),MATCH(FO$4,'Curva Forward'!$C$4:$AN$4,0))),CQ303)</f>
        <v>0</v>
      </c>
      <c r="FP303" s="190">
        <f>AD303*AD$2*IF($FC303="V",1,-1)*IF($Q303="Fixo",(CR303-INDEX('Curva Forward'!$C$5:$AN$13,MATCH(CONCATENATE(BD_COMERCIAL!$K303," ",BD_COMERCIAL!$L303),'Curva Forward'!$B$5:$B$13,0),MATCH(FP$4,'Curva Forward'!$C$4:$AN$4,0))),CR303)</f>
        <v>0</v>
      </c>
      <c r="FQ303" s="190">
        <f>AE303*AE$2*IF($FC303="V",1,-1)*IF($Q303="Fixo",(CS303-INDEX('Curva Forward'!$C$5:$AN$13,MATCH(CONCATENATE(BD_COMERCIAL!$K303," ",BD_COMERCIAL!$L303),'Curva Forward'!$B$5:$B$13,0),MATCH(FQ$4,'Curva Forward'!$C$4:$AN$4,0))),CS303)</f>
        <v>0</v>
      </c>
      <c r="FR303" s="190">
        <f>AF303*AF$2*IF($FC303="V",1,-1)*IF($Q303="Fixo",(CT303-INDEX('Curva Forward'!$C$5:$AN$13,MATCH(CONCATENATE(BD_COMERCIAL!$K303," ",BD_COMERCIAL!$L303),'Curva Forward'!$B$5:$B$13,0),MATCH(FR$4,'Curva Forward'!$C$4:$AN$4,0))),CT303)</f>
        <v>0</v>
      </c>
      <c r="FS303" s="190">
        <f>AG303*AG$2*IF($FC303="V",1,-1)*IF($Q303="Fixo",(CU303-INDEX('Curva Forward'!$C$5:$AN$13,MATCH(CONCATENATE(BD_COMERCIAL!$K303," ",BD_COMERCIAL!$L303),'Curva Forward'!$B$5:$B$13,0),MATCH(FS$4,'Curva Forward'!$C$4:$AN$4,0))),CU303)</f>
        <v>0</v>
      </c>
      <c r="FT303" s="190">
        <f>AH303*AH$2*IF($FC303="V",1,-1)*IF($Q303="Fixo",(CV303-INDEX('Curva Forward'!$C$5:$AN$13,MATCH(CONCATENATE(BD_COMERCIAL!$K303," ",BD_COMERCIAL!$L303),'Curva Forward'!$B$5:$B$13,0),MATCH(FT$4,'Curva Forward'!$C$4:$AN$4,0))),CV303)</f>
        <v>0</v>
      </c>
      <c r="FU303" s="190">
        <f>AI303*AI$2*IF($FC303="V",1,-1)*IF($Q303="Fixo",(CW303-INDEX('Curva Forward'!$C$5:$AN$13,MATCH(CONCATENATE(BD_COMERCIAL!$K303," ",BD_COMERCIAL!$L303),'Curva Forward'!$B$5:$B$13,0),MATCH(FU$4,'Curva Forward'!$C$4:$AN$4,0))),CW303)</f>
        <v>0</v>
      </c>
      <c r="FV303" s="190">
        <f>AJ303*AJ$2*IF($FC303="V",1,-1)*IF($Q303="Fixo",(CX303-INDEX('Curva Forward'!$C$5:$AN$13,MATCH(CONCATENATE(BD_COMERCIAL!$K303," ",BD_COMERCIAL!$L303),'Curva Forward'!$B$5:$B$13,0),MATCH(FV$4,'Curva Forward'!$C$4:$AN$4,0))),CX303)</f>
        <v>0</v>
      </c>
      <c r="FW303" s="190">
        <f>AK303*AK$2*IF($FC303="V",1,-1)*IF($Q303="Fixo",(CY303-INDEX('Curva Forward'!$C$5:$AN$13,MATCH(CONCATENATE(BD_COMERCIAL!$K303," ",BD_COMERCIAL!$L303),'Curva Forward'!$B$5:$B$13,0),MATCH(FW$4,'Curva Forward'!$C$4:$AN$4,0))),CY303)</f>
        <v>0</v>
      </c>
      <c r="FX303" s="190">
        <f>AL303*AL$2*IF($FC303="V",1,-1)*IF($Q303="Fixo",(CZ303-INDEX('Curva Forward'!$C$5:$AN$13,MATCH(CONCATENATE(BD_COMERCIAL!$K303," ",BD_COMERCIAL!$L303),'Curva Forward'!$B$5:$B$13,0),MATCH(FX$4,'Curva Forward'!$C$4:$AN$4,0))),CZ303)</f>
        <v>0</v>
      </c>
      <c r="FY303" s="190">
        <f>AM303*AM$2*IF($FC303="V",1,-1)*IF($Q303="Fixo",(DA303-INDEX('Curva Forward'!$C$5:$AN$13,MATCH(CONCATENATE(BD_COMERCIAL!$K303," ",BD_COMERCIAL!$L303),'Curva Forward'!$B$5:$B$13,0),MATCH(FY$4,'Curva Forward'!$C$4:$AN$4,0))),DA303)</f>
        <v>0</v>
      </c>
      <c r="FZ303" s="190">
        <f>AN303*AN$2*IF($FC303="V",1,-1)*IF($Q303="Fixo",(DB303-INDEX('Curva Forward'!$C$5:$AN$13,MATCH(CONCATENATE(BD_COMERCIAL!$K303," ",BD_COMERCIAL!$L303),'Curva Forward'!$B$5:$B$13,0),MATCH(FZ$4,'Curva Forward'!$C$4:$AN$4,0))),DB303)</f>
        <v>0</v>
      </c>
      <c r="GA303" s="190">
        <f>AO303*AO$2*IF($FC303="V",1,-1)*IF($Q303="Fixo",(DC303-INDEX('Curva Forward'!$C$5:$AN$13,MATCH(CONCATENATE(BD_COMERCIAL!$K303," ",BD_COMERCIAL!$L303),'Curva Forward'!$B$5:$B$13,0),MATCH(GA$4,'Curva Forward'!$C$4:$AN$4,0))),DC303)</f>
        <v>0</v>
      </c>
      <c r="GB303" s="190">
        <f>AP303*AP$2*IF($FC303="V",1,-1)*IF($Q303="Fixo",(DD303-INDEX('Curva Forward'!$C$5:$AN$13,MATCH(CONCATENATE(BD_COMERCIAL!$K303," ",BD_COMERCIAL!$L303),'Curva Forward'!$B$5:$B$13,0),MATCH(GB$4,'Curva Forward'!$C$4:$AN$4,0))),DD303)</f>
        <v>0</v>
      </c>
      <c r="GC303" s="190">
        <f>AQ303*AQ$2*IF($FC303="V",1,-1)*IF($Q303="Fixo",(DE303-INDEX('Curva Forward'!$C$5:$AN$13,MATCH(CONCATENATE(BD_COMERCIAL!$K303," ",BD_COMERCIAL!$L303),'Curva Forward'!$B$5:$B$13,0),MATCH(GC$4,'Curva Forward'!$C$4:$AN$4,0))),DE303)</f>
        <v>0</v>
      </c>
      <c r="GD303" s="190">
        <f>AR303*AR$2*IF($FC303="V",1,-1)*IF($Q303="Fixo",(DF303-INDEX('Curva Forward'!$C$5:$AN$13,MATCH(CONCATENATE(BD_COMERCIAL!$K303," ",BD_COMERCIAL!$L303),'Curva Forward'!$B$5:$B$13,0),MATCH(GD$4,'Curva Forward'!$C$4:$AN$4,0))),DF303)</f>
        <v>0</v>
      </c>
      <c r="GE303" s="190">
        <f>AS303*AS$2*IF($FC303="V",1,-1)*IF($Q303="Fixo",(DG303-INDEX('Curva Forward'!$C$5:$AN$13,MATCH(CONCATENATE(BD_COMERCIAL!$K303," ",BD_COMERCIAL!$L303),'Curva Forward'!$B$5:$B$13,0),MATCH(GE$4,'Curva Forward'!$C$4:$AN$4,0))),DG303)</f>
        <v>0</v>
      </c>
      <c r="GF303" s="190">
        <f>AT303*AT$2*IF($FC303="V",1,-1)*IF($Q303="Fixo",(DH303-INDEX('Curva Forward'!$C$5:$AN$13,MATCH(CONCATENATE(BD_COMERCIAL!$K303," ",BD_COMERCIAL!$L303),'Curva Forward'!$B$5:$B$13,0),MATCH(GF$4,'Curva Forward'!$C$4:$AN$4,0))),DH303)</f>
        <v>0</v>
      </c>
      <c r="GG303" s="190">
        <f>AU303*AU$2*IF($FC303="V",1,-1)*IF($Q303="Fixo",(DI303-INDEX('Curva Forward'!$C$5:$AN$13,MATCH(CONCATENATE(BD_COMERCIAL!$K303," ",BD_COMERCIAL!$L303),'Curva Forward'!$B$5:$B$13,0),MATCH(GG$4,'Curva Forward'!$C$4:$AN$4,0))),DI303)</f>
        <v>0</v>
      </c>
      <c r="GH303" s="190">
        <f>AV303*AV$2*IF($FC303="V",1,-1)*IF($Q303="Fixo",(DJ303-INDEX('Curva Forward'!$C$5:$AN$13,MATCH(CONCATENATE(BD_COMERCIAL!$K303," ",BD_COMERCIAL!$L303),'Curva Forward'!$B$5:$B$13,0),MATCH(GH$4,'Curva Forward'!$C$4:$AN$4,0))),DJ303)</f>
        <v>0</v>
      </c>
      <c r="GI303" s="190">
        <f>AW303*AW$2*IF($FC303="V",1,-1)*IF($Q303="Fixo",(DK303-INDEX('Curva Forward'!$C$5:$AN$13,MATCH(CONCATENATE(BD_COMERCIAL!$K303," ",BD_COMERCIAL!$L303),'Curva Forward'!$B$5:$B$13,0),MATCH(GI$4,'Curva Forward'!$C$4:$AN$4,0))),DK303)</f>
        <v>0</v>
      </c>
      <c r="GJ303" s="190">
        <f>AX303*AX$2*IF($FC303="V",1,-1)*IF($Q303="Fixo",(DL303-INDEX('Curva Forward'!$C$5:$AN$13,MATCH(CONCATENATE(BD_COMERCIAL!$K303," ",BD_COMERCIAL!$L303),'Curva Forward'!$B$5:$B$13,0),MATCH(GJ$4,'Curva Forward'!$C$4:$AN$4,0))),DL303)</f>
        <v>0</v>
      </c>
      <c r="GK303" s="190">
        <f>AY303*AY$2*IF($FC303="V",1,-1)*IF($Q303="Fixo",(DM303-INDEX('Curva Forward'!$C$5:$AN$13,MATCH(CONCATENATE(BD_COMERCIAL!$K303," ",BD_COMERCIAL!$L303),'Curva Forward'!$B$5:$B$13,0),MATCH(GK$4,'Curva Forward'!$C$4:$AN$4,0))),DM303)</f>
        <v>0</v>
      </c>
      <c r="GL303" s="190">
        <f>IF(EZ303="",0,CL303*CL$2*IF($FC303="V",1,-1)*IF($Q303="Fixo",(EZ303-INDEX('Curva Forward'!$C$5:$AN$13,MATCH(CONCATENATE(BD_COMERCIAL!$K303," ",BD_COMERCIAL!$L303),'Curva Forward'!$B$5:$B$13,0),MATCH(GL$4,'Curva Forward'!$C$4:$AN$4,0))),EZ303))</f>
        <v>0</v>
      </c>
      <c r="GM303" s="190">
        <f>IF(FA303="",0,CM303*CM$2*IF($FC303="V",1,-1)*IF($Q303="Fixo",(FA303-INDEX('Curva Forward'!$C$5:$AN$13,MATCH(CONCATENATE(BD_COMERCIAL!$K303," ",BD_COMERCIAL!$L303),'Curva Forward'!$B$5:$B$13,0),MATCH(GM$4,'Curva Forward'!$C$4:$AN$4,0))),FA303))</f>
        <v>0</v>
      </c>
      <c r="GN303" s="190">
        <f>IF(FB303="",0,CN303*CN$2*IF($FC303="V",1,-1)*IF($Q303="Fixo",(FB303-INDEX('Curva Forward'!$C$5:$AN$13,MATCH(CONCATENATE(BD_COMERCIAL!$K303," ",BD_COMERCIAL!$L303),'Curva Forward'!$B$5:$B$13,0),MATCH(GN$4,'Curva Forward'!$C$4:$AN$4,0))),FB303))</f>
        <v>0</v>
      </c>
      <c r="GO303" s="191">
        <f t="shared" ca="1" si="39"/>
        <v>0</v>
      </c>
      <c r="GP303" s="191">
        <f t="shared" ca="1" si="40"/>
        <v>0</v>
      </c>
      <c r="GQ303" s="115"/>
      <c r="GR303" s="115"/>
      <c r="GS303"/>
      <c r="GT303" s="65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</row>
    <row r="304" spans="1:236" s="265" customFormat="1" ht="15" customHeight="1" x14ac:dyDescent="0.35">
      <c r="A304" s="251"/>
      <c r="B304" s="275"/>
      <c r="C304" s="253"/>
      <c r="D304" s="254"/>
      <c r="E304" s="254"/>
      <c r="F304" s="255"/>
      <c r="G304" s="256"/>
      <c r="H304" s="255"/>
      <c r="I304" s="254"/>
      <c r="J304" s="257"/>
      <c r="K304" s="256"/>
      <c r="L304" s="252"/>
      <c r="M304" s="258"/>
      <c r="N304" s="259"/>
      <c r="O304" s="256"/>
      <c r="P304" s="252"/>
      <c r="Q304" s="252"/>
      <c r="R304" s="256"/>
      <c r="S304" s="260"/>
      <c r="T304" s="258"/>
      <c r="U304" s="259"/>
      <c r="V304" s="261"/>
      <c r="W304" s="252"/>
      <c r="X304" s="262"/>
      <c r="Y304" s="257"/>
      <c r="Z304" s="263"/>
      <c r="AA304" s="264"/>
      <c r="AB304" s="266"/>
      <c r="AM304" s="251"/>
      <c r="AN304" s="266"/>
      <c r="AY304" s="251"/>
      <c r="AZ304" s="266"/>
      <c r="BK304" s="251"/>
      <c r="BL304" s="266"/>
      <c r="BW304" s="251"/>
      <c r="BX304" s="266"/>
      <c r="CI304" s="251"/>
      <c r="CJ304" s="267"/>
      <c r="CK304" s="267"/>
      <c r="CL304" s="267"/>
      <c r="CM304" s="267"/>
      <c r="CN304" s="267"/>
      <c r="CO304" s="268"/>
      <c r="CP304" s="266"/>
      <c r="DA304" s="251"/>
      <c r="DB304" s="266"/>
      <c r="DM304" s="251"/>
      <c r="DN304" s="266"/>
      <c r="DY304" s="251"/>
      <c r="DZ304" s="266"/>
      <c r="EK304" s="251"/>
      <c r="EL304" s="266"/>
      <c r="EW304" s="251"/>
      <c r="EX304" s="267"/>
      <c r="EY304" s="267"/>
      <c r="EZ304" s="267"/>
      <c r="FA304" s="267"/>
      <c r="FB304" s="269"/>
      <c r="FD304" s="270"/>
      <c r="FF304" s="276"/>
      <c r="FH304" s="206">
        <f t="shared" si="34"/>
        <v>0</v>
      </c>
      <c r="FI304" s="198">
        <f t="shared" si="35"/>
        <v>0</v>
      </c>
      <c r="FJ304"/>
      <c r="FK304">
        <f t="shared" si="36"/>
        <v>0</v>
      </c>
      <c r="FL304" s="191">
        <f t="shared" ca="1" si="37"/>
        <v>0</v>
      </c>
      <c r="FM304" s="191">
        <f t="shared" ca="1" si="38"/>
        <v>0</v>
      </c>
      <c r="FN304" s="190">
        <f>AB304*AB$2*IF($FC304="V",1,-1)*IF($Q304="Fixo",(CP304-INDEX('Curva Forward'!$C$5:$AN$13,MATCH(CONCATENATE(BD_COMERCIAL!$K304," ",BD_COMERCIAL!$L304),'Curva Forward'!$B$5:$B$13,0),MATCH(FN$4,'Curva Forward'!$C$4:$AN$4,0))),CP304)</f>
        <v>0</v>
      </c>
      <c r="FO304" s="190">
        <f>AC304*AC$2*IF($FC304="V",1,-1)*IF($Q304="Fixo",(CQ304-INDEX('Curva Forward'!$C$5:$AN$13,MATCH(CONCATENATE(BD_COMERCIAL!$K304," ",BD_COMERCIAL!$L304),'Curva Forward'!$B$5:$B$13,0),MATCH(FO$4,'Curva Forward'!$C$4:$AN$4,0))),CQ304)</f>
        <v>0</v>
      </c>
      <c r="FP304" s="190">
        <f>AD304*AD$2*IF($FC304="V",1,-1)*IF($Q304="Fixo",(CR304-INDEX('Curva Forward'!$C$5:$AN$13,MATCH(CONCATENATE(BD_COMERCIAL!$K304," ",BD_COMERCIAL!$L304),'Curva Forward'!$B$5:$B$13,0),MATCH(FP$4,'Curva Forward'!$C$4:$AN$4,0))),CR304)</f>
        <v>0</v>
      </c>
      <c r="FQ304" s="190">
        <f>AE304*AE$2*IF($FC304="V",1,-1)*IF($Q304="Fixo",(CS304-INDEX('Curva Forward'!$C$5:$AN$13,MATCH(CONCATENATE(BD_COMERCIAL!$K304," ",BD_COMERCIAL!$L304),'Curva Forward'!$B$5:$B$13,0),MATCH(FQ$4,'Curva Forward'!$C$4:$AN$4,0))),CS304)</f>
        <v>0</v>
      </c>
      <c r="FR304" s="190">
        <f>AF304*AF$2*IF($FC304="V",1,-1)*IF($Q304="Fixo",(CT304-INDEX('Curva Forward'!$C$5:$AN$13,MATCH(CONCATENATE(BD_COMERCIAL!$K304," ",BD_COMERCIAL!$L304),'Curva Forward'!$B$5:$B$13,0),MATCH(FR$4,'Curva Forward'!$C$4:$AN$4,0))),CT304)</f>
        <v>0</v>
      </c>
      <c r="FS304" s="190">
        <f>AG304*AG$2*IF($FC304="V",1,-1)*IF($Q304="Fixo",(CU304-INDEX('Curva Forward'!$C$5:$AN$13,MATCH(CONCATENATE(BD_COMERCIAL!$K304," ",BD_COMERCIAL!$L304),'Curva Forward'!$B$5:$B$13,0),MATCH(FS$4,'Curva Forward'!$C$4:$AN$4,0))),CU304)</f>
        <v>0</v>
      </c>
      <c r="FT304" s="190">
        <f>AH304*AH$2*IF($FC304="V",1,-1)*IF($Q304="Fixo",(CV304-INDEX('Curva Forward'!$C$5:$AN$13,MATCH(CONCATENATE(BD_COMERCIAL!$K304," ",BD_COMERCIAL!$L304),'Curva Forward'!$B$5:$B$13,0),MATCH(FT$4,'Curva Forward'!$C$4:$AN$4,0))),CV304)</f>
        <v>0</v>
      </c>
      <c r="FU304" s="190">
        <f>AI304*AI$2*IF($FC304="V",1,-1)*IF($Q304="Fixo",(CW304-INDEX('Curva Forward'!$C$5:$AN$13,MATCH(CONCATENATE(BD_COMERCIAL!$K304," ",BD_COMERCIAL!$L304),'Curva Forward'!$B$5:$B$13,0),MATCH(FU$4,'Curva Forward'!$C$4:$AN$4,0))),CW304)</f>
        <v>0</v>
      </c>
      <c r="FV304" s="190">
        <f>AJ304*AJ$2*IF($FC304="V",1,-1)*IF($Q304="Fixo",(CX304-INDEX('Curva Forward'!$C$5:$AN$13,MATCH(CONCATENATE(BD_COMERCIAL!$K304," ",BD_COMERCIAL!$L304),'Curva Forward'!$B$5:$B$13,0),MATCH(FV$4,'Curva Forward'!$C$4:$AN$4,0))),CX304)</f>
        <v>0</v>
      </c>
      <c r="FW304" s="190">
        <f>AK304*AK$2*IF($FC304="V",1,-1)*IF($Q304="Fixo",(CY304-INDEX('Curva Forward'!$C$5:$AN$13,MATCH(CONCATENATE(BD_COMERCIAL!$K304," ",BD_COMERCIAL!$L304),'Curva Forward'!$B$5:$B$13,0),MATCH(FW$4,'Curva Forward'!$C$4:$AN$4,0))),CY304)</f>
        <v>0</v>
      </c>
      <c r="FX304" s="190">
        <f>AL304*AL$2*IF($FC304="V",1,-1)*IF($Q304="Fixo",(CZ304-INDEX('Curva Forward'!$C$5:$AN$13,MATCH(CONCATENATE(BD_COMERCIAL!$K304," ",BD_COMERCIAL!$L304),'Curva Forward'!$B$5:$B$13,0),MATCH(FX$4,'Curva Forward'!$C$4:$AN$4,0))),CZ304)</f>
        <v>0</v>
      </c>
      <c r="FY304" s="190">
        <f>AM304*AM$2*IF($FC304="V",1,-1)*IF($Q304="Fixo",(DA304-INDEX('Curva Forward'!$C$5:$AN$13,MATCH(CONCATENATE(BD_COMERCIAL!$K304," ",BD_COMERCIAL!$L304),'Curva Forward'!$B$5:$B$13,0),MATCH(FY$4,'Curva Forward'!$C$4:$AN$4,0))),DA304)</f>
        <v>0</v>
      </c>
      <c r="FZ304" s="190">
        <f>AN304*AN$2*IF($FC304="V",1,-1)*IF($Q304="Fixo",(DB304-INDEX('Curva Forward'!$C$5:$AN$13,MATCH(CONCATENATE(BD_COMERCIAL!$K304," ",BD_COMERCIAL!$L304),'Curva Forward'!$B$5:$B$13,0),MATCH(FZ$4,'Curva Forward'!$C$4:$AN$4,0))),DB304)</f>
        <v>0</v>
      </c>
      <c r="GA304" s="190">
        <f>AO304*AO$2*IF($FC304="V",1,-1)*IF($Q304="Fixo",(DC304-INDEX('Curva Forward'!$C$5:$AN$13,MATCH(CONCATENATE(BD_COMERCIAL!$K304," ",BD_COMERCIAL!$L304),'Curva Forward'!$B$5:$B$13,0),MATCH(GA$4,'Curva Forward'!$C$4:$AN$4,0))),DC304)</f>
        <v>0</v>
      </c>
      <c r="GB304" s="190">
        <f>AP304*AP$2*IF($FC304="V",1,-1)*IF($Q304="Fixo",(DD304-INDEX('Curva Forward'!$C$5:$AN$13,MATCH(CONCATENATE(BD_COMERCIAL!$K304," ",BD_COMERCIAL!$L304),'Curva Forward'!$B$5:$B$13,0),MATCH(GB$4,'Curva Forward'!$C$4:$AN$4,0))),DD304)</f>
        <v>0</v>
      </c>
      <c r="GC304" s="190">
        <f>AQ304*AQ$2*IF($FC304="V",1,-1)*IF($Q304="Fixo",(DE304-INDEX('Curva Forward'!$C$5:$AN$13,MATCH(CONCATENATE(BD_COMERCIAL!$K304," ",BD_COMERCIAL!$L304),'Curva Forward'!$B$5:$B$13,0),MATCH(GC$4,'Curva Forward'!$C$4:$AN$4,0))),DE304)</f>
        <v>0</v>
      </c>
      <c r="GD304" s="190">
        <f>AR304*AR$2*IF($FC304="V",1,-1)*IF($Q304="Fixo",(DF304-INDEX('Curva Forward'!$C$5:$AN$13,MATCH(CONCATENATE(BD_COMERCIAL!$K304," ",BD_COMERCIAL!$L304),'Curva Forward'!$B$5:$B$13,0),MATCH(GD$4,'Curva Forward'!$C$4:$AN$4,0))),DF304)</f>
        <v>0</v>
      </c>
      <c r="GE304" s="190">
        <f>AS304*AS$2*IF($FC304="V",1,-1)*IF($Q304="Fixo",(DG304-INDEX('Curva Forward'!$C$5:$AN$13,MATCH(CONCATENATE(BD_COMERCIAL!$K304," ",BD_COMERCIAL!$L304),'Curva Forward'!$B$5:$B$13,0),MATCH(GE$4,'Curva Forward'!$C$4:$AN$4,0))),DG304)</f>
        <v>0</v>
      </c>
      <c r="GF304" s="190">
        <f>AT304*AT$2*IF($FC304="V",1,-1)*IF($Q304="Fixo",(DH304-INDEX('Curva Forward'!$C$5:$AN$13,MATCH(CONCATENATE(BD_COMERCIAL!$K304," ",BD_COMERCIAL!$L304),'Curva Forward'!$B$5:$B$13,0),MATCH(GF$4,'Curva Forward'!$C$4:$AN$4,0))),DH304)</f>
        <v>0</v>
      </c>
      <c r="GG304" s="190">
        <f>AU304*AU$2*IF($FC304="V",1,-1)*IF($Q304="Fixo",(DI304-INDEX('Curva Forward'!$C$5:$AN$13,MATCH(CONCATENATE(BD_COMERCIAL!$K304," ",BD_COMERCIAL!$L304),'Curva Forward'!$B$5:$B$13,0),MATCH(GG$4,'Curva Forward'!$C$4:$AN$4,0))),DI304)</f>
        <v>0</v>
      </c>
      <c r="GH304" s="190">
        <f>AV304*AV$2*IF($FC304="V",1,-1)*IF($Q304="Fixo",(DJ304-INDEX('Curva Forward'!$C$5:$AN$13,MATCH(CONCATENATE(BD_COMERCIAL!$K304," ",BD_COMERCIAL!$L304),'Curva Forward'!$B$5:$B$13,0),MATCH(GH$4,'Curva Forward'!$C$4:$AN$4,0))),DJ304)</f>
        <v>0</v>
      </c>
      <c r="GI304" s="190">
        <f>AW304*AW$2*IF($FC304="V",1,-1)*IF($Q304="Fixo",(DK304-INDEX('Curva Forward'!$C$5:$AN$13,MATCH(CONCATENATE(BD_COMERCIAL!$K304," ",BD_COMERCIAL!$L304),'Curva Forward'!$B$5:$B$13,0),MATCH(GI$4,'Curva Forward'!$C$4:$AN$4,0))),DK304)</f>
        <v>0</v>
      </c>
      <c r="GJ304" s="190">
        <f>AX304*AX$2*IF($FC304="V",1,-1)*IF($Q304="Fixo",(DL304-INDEX('Curva Forward'!$C$5:$AN$13,MATCH(CONCATENATE(BD_COMERCIAL!$K304," ",BD_COMERCIAL!$L304),'Curva Forward'!$B$5:$B$13,0),MATCH(GJ$4,'Curva Forward'!$C$4:$AN$4,0))),DL304)</f>
        <v>0</v>
      </c>
      <c r="GK304" s="190">
        <f>AY304*AY$2*IF($FC304="V",1,-1)*IF($Q304="Fixo",(DM304-INDEX('Curva Forward'!$C$5:$AN$13,MATCH(CONCATENATE(BD_COMERCIAL!$K304," ",BD_COMERCIAL!$L304),'Curva Forward'!$B$5:$B$13,0),MATCH(GK$4,'Curva Forward'!$C$4:$AN$4,0))),DM304)</f>
        <v>0</v>
      </c>
      <c r="GL304" s="190">
        <f>IF(EZ304="",0,CL304*CL$2*IF($FC304="V",1,-1)*IF($Q304="Fixo",(EZ304-INDEX('Curva Forward'!$C$5:$AN$13,MATCH(CONCATENATE(BD_COMERCIAL!$K304," ",BD_COMERCIAL!$L304),'Curva Forward'!$B$5:$B$13,0),MATCH(GL$4,'Curva Forward'!$C$4:$AN$4,0))),EZ304))</f>
        <v>0</v>
      </c>
      <c r="GM304" s="190">
        <f>IF(FA304="",0,CM304*CM$2*IF($FC304="V",1,-1)*IF($Q304="Fixo",(FA304-INDEX('Curva Forward'!$C$5:$AN$13,MATCH(CONCATENATE(BD_COMERCIAL!$K304," ",BD_COMERCIAL!$L304),'Curva Forward'!$B$5:$B$13,0),MATCH(GM$4,'Curva Forward'!$C$4:$AN$4,0))),FA304))</f>
        <v>0</v>
      </c>
      <c r="GN304" s="190">
        <f>IF(FB304="",0,CN304*CN$2*IF($FC304="V",1,-1)*IF($Q304="Fixo",(FB304-INDEX('Curva Forward'!$C$5:$AN$13,MATCH(CONCATENATE(BD_COMERCIAL!$K304," ",BD_COMERCIAL!$L304),'Curva Forward'!$B$5:$B$13,0),MATCH(GN$4,'Curva Forward'!$C$4:$AN$4,0))),FB304))</f>
        <v>0</v>
      </c>
      <c r="GO304" s="191">
        <f t="shared" ca="1" si="39"/>
        <v>0</v>
      </c>
      <c r="GP304" s="191">
        <f t="shared" ca="1" si="40"/>
        <v>0</v>
      </c>
      <c r="GQ304" s="115"/>
      <c r="GR304" s="115"/>
      <c r="GS304"/>
      <c r="GT304" s="65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</row>
    <row r="305" spans="1:236" s="265" customFormat="1" ht="15" customHeight="1" x14ac:dyDescent="0.35">
      <c r="A305" s="251"/>
      <c r="B305" s="275"/>
      <c r="C305" s="253"/>
      <c r="D305" s="254"/>
      <c r="E305" s="254"/>
      <c r="F305" s="255"/>
      <c r="G305" s="256"/>
      <c r="H305" s="255"/>
      <c r="I305" s="254"/>
      <c r="J305" s="257"/>
      <c r="K305" s="256"/>
      <c r="L305" s="252"/>
      <c r="M305" s="258"/>
      <c r="N305" s="259"/>
      <c r="O305" s="256"/>
      <c r="P305" s="252"/>
      <c r="Q305" s="252"/>
      <c r="R305" s="256"/>
      <c r="S305" s="260"/>
      <c r="T305" s="258"/>
      <c r="U305" s="259"/>
      <c r="V305" s="261"/>
      <c r="W305" s="252"/>
      <c r="X305" s="262"/>
      <c r="Y305" s="257"/>
      <c r="Z305" s="263"/>
      <c r="AA305" s="264"/>
      <c r="AB305" s="266"/>
      <c r="AM305" s="251"/>
      <c r="AN305" s="266"/>
      <c r="AY305" s="251"/>
      <c r="AZ305" s="266"/>
      <c r="BK305" s="251"/>
      <c r="BL305" s="266"/>
      <c r="BW305" s="251"/>
      <c r="BX305" s="266"/>
      <c r="CI305" s="251"/>
      <c r="CJ305" s="267"/>
      <c r="CK305" s="267"/>
      <c r="CL305" s="267"/>
      <c r="CM305" s="267"/>
      <c r="CN305" s="267"/>
      <c r="CO305" s="268"/>
      <c r="CP305" s="266"/>
      <c r="DA305" s="251"/>
      <c r="DB305" s="266"/>
      <c r="DM305" s="251"/>
      <c r="DN305" s="266"/>
      <c r="DY305" s="251"/>
      <c r="DZ305" s="266"/>
      <c r="EK305" s="251"/>
      <c r="EL305" s="266"/>
      <c r="EW305" s="251"/>
      <c r="EX305" s="267"/>
      <c r="EY305" s="267"/>
      <c r="EZ305" s="267"/>
      <c r="FA305" s="267"/>
      <c r="FB305" s="269"/>
      <c r="FD305" s="270"/>
      <c r="FF305" s="276"/>
      <c r="FH305" s="206">
        <f t="shared" si="34"/>
        <v>0</v>
      </c>
      <c r="FI305" s="198">
        <f t="shared" si="35"/>
        <v>0</v>
      </c>
      <c r="FJ305"/>
      <c r="FK305">
        <f t="shared" si="36"/>
        <v>0</v>
      </c>
      <c r="FL305" s="191">
        <f t="shared" ca="1" si="37"/>
        <v>0</v>
      </c>
      <c r="FM305" s="191">
        <f t="shared" ca="1" si="38"/>
        <v>0</v>
      </c>
      <c r="FN305" s="190">
        <f>AB305*AB$2*IF($FC305="V",1,-1)*IF($Q305="Fixo",(CP305-INDEX('Curva Forward'!$C$5:$AN$13,MATCH(CONCATENATE(BD_COMERCIAL!$K305," ",BD_COMERCIAL!$L305),'Curva Forward'!$B$5:$B$13,0),MATCH(FN$4,'Curva Forward'!$C$4:$AN$4,0))),CP305)</f>
        <v>0</v>
      </c>
      <c r="FO305" s="190">
        <f>AC305*AC$2*IF($FC305="V",1,-1)*IF($Q305="Fixo",(CQ305-INDEX('Curva Forward'!$C$5:$AN$13,MATCH(CONCATENATE(BD_COMERCIAL!$K305," ",BD_COMERCIAL!$L305),'Curva Forward'!$B$5:$B$13,0),MATCH(FO$4,'Curva Forward'!$C$4:$AN$4,0))),CQ305)</f>
        <v>0</v>
      </c>
      <c r="FP305" s="190">
        <f>AD305*AD$2*IF($FC305="V",1,-1)*IF($Q305="Fixo",(CR305-INDEX('Curva Forward'!$C$5:$AN$13,MATCH(CONCATENATE(BD_COMERCIAL!$K305," ",BD_COMERCIAL!$L305),'Curva Forward'!$B$5:$B$13,0),MATCH(FP$4,'Curva Forward'!$C$4:$AN$4,0))),CR305)</f>
        <v>0</v>
      </c>
      <c r="FQ305" s="190">
        <f>AE305*AE$2*IF($FC305="V",1,-1)*IF($Q305="Fixo",(CS305-INDEX('Curva Forward'!$C$5:$AN$13,MATCH(CONCATENATE(BD_COMERCIAL!$K305," ",BD_COMERCIAL!$L305),'Curva Forward'!$B$5:$B$13,0),MATCH(FQ$4,'Curva Forward'!$C$4:$AN$4,0))),CS305)</f>
        <v>0</v>
      </c>
      <c r="FR305" s="190">
        <f>AF305*AF$2*IF($FC305="V",1,-1)*IF($Q305="Fixo",(CT305-INDEX('Curva Forward'!$C$5:$AN$13,MATCH(CONCATENATE(BD_COMERCIAL!$K305," ",BD_COMERCIAL!$L305),'Curva Forward'!$B$5:$B$13,0),MATCH(FR$4,'Curva Forward'!$C$4:$AN$4,0))),CT305)</f>
        <v>0</v>
      </c>
      <c r="FS305" s="190">
        <f>AG305*AG$2*IF($FC305="V",1,-1)*IF($Q305="Fixo",(CU305-INDEX('Curva Forward'!$C$5:$AN$13,MATCH(CONCATENATE(BD_COMERCIAL!$K305," ",BD_COMERCIAL!$L305),'Curva Forward'!$B$5:$B$13,0),MATCH(FS$4,'Curva Forward'!$C$4:$AN$4,0))),CU305)</f>
        <v>0</v>
      </c>
      <c r="FT305" s="190">
        <f>AH305*AH$2*IF($FC305="V",1,-1)*IF($Q305="Fixo",(CV305-INDEX('Curva Forward'!$C$5:$AN$13,MATCH(CONCATENATE(BD_COMERCIAL!$K305," ",BD_COMERCIAL!$L305),'Curva Forward'!$B$5:$B$13,0),MATCH(FT$4,'Curva Forward'!$C$4:$AN$4,0))),CV305)</f>
        <v>0</v>
      </c>
      <c r="FU305" s="190">
        <f>AI305*AI$2*IF($FC305="V",1,-1)*IF($Q305="Fixo",(CW305-INDEX('Curva Forward'!$C$5:$AN$13,MATCH(CONCATENATE(BD_COMERCIAL!$K305," ",BD_COMERCIAL!$L305),'Curva Forward'!$B$5:$B$13,0),MATCH(FU$4,'Curva Forward'!$C$4:$AN$4,0))),CW305)</f>
        <v>0</v>
      </c>
      <c r="FV305" s="190">
        <f>AJ305*AJ$2*IF($FC305="V",1,-1)*IF($Q305="Fixo",(CX305-INDEX('Curva Forward'!$C$5:$AN$13,MATCH(CONCATENATE(BD_COMERCIAL!$K305," ",BD_COMERCIAL!$L305),'Curva Forward'!$B$5:$B$13,0),MATCH(FV$4,'Curva Forward'!$C$4:$AN$4,0))),CX305)</f>
        <v>0</v>
      </c>
      <c r="FW305" s="190">
        <f>AK305*AK$2*IF($FC305="V",1,-1)*IF($Q305="Fixo",(CY305-INDEX('Curva Forward'!$C$5:$AN$13,MATCH(CONCATENATE(BD_COMERCIAL!$K305," ",BD_COMERCIAL!$L305),'Curva Forward'!$B$5:$B$13,0),MATCH(FW$4,'Curva Forward'!$C$4:$AN$4,0))),CY305)</f>
        <v>0</v>
      </c>
      <c r="FX305" s="190">
        <f>AL305*AL$2*IF($FC305="V",1,-1)*IF($Q305="Fixo",(CZ305-INDEX('Curva Forward'!$C$5:$AN$13,MATCH(CONCATENATE(BD_COMERCIAL!$K305," ",BD_COMERCIAL!$L305),'Curva Forward'!$B$5:$B$13,0),MATCH(FX$4,'Curva Forward'!$C$4:$AN$4,0))),CZ305)</f>
        <v>0</v>
      </c>
      <c r="FY305" s="190">
        <f>AM305*AM$2*IF($FC305="V",1,-1)*IF($Q305="Fixo",(DA305-INDEX('Curva Forward'!$C$5:$AN$13,MATCH(CONCATENATE(BD_COMERCIAL!$K305," ",BD_COMERCIAL!$L305),'Curva Forward'!$B$5:$B$13,0),MATCH(FY$4,'Curva Forward'!$C$4:$AN$4,0))),DA305)</f>
        <v>0</v>
      </c>
      <c r="FZ305" s="190">
        <f>AN305*AN$2*IF($FC305="V",1,-1)*IF($Q305="Fixo",(DB305-INDEX('Curva Forward'!$C$5:$AN$13,MATCH(CONCATENATE(BD_COMERCIAL!$K305," ",BD_COMERCIAL!$L305),'Curva Forward'!$B$5:$B$13,0),MATCH(FZ$4,'Curva Forward'!$C$4:$AN$4,0))),DB305)</f>
        <v>0</v>
      </c>
      <c r="GA305" s="190">
        <f>AO305*AO$2*IF($FC305="V",1,-1)*IF($Q305="Fixo",(DC305-INDEX('Curva Forward'!$C$5:$AN$13,MATCH(CONCATENATE(BD_COMERCIAL!$K305," ",BD_COMERCIAL!$L305),'Curva Forward'!$B$5:$B$13,0),MATCH(GA$4,'Curva Forward'!$C$4:$AN$4,0))),DC305)</f>
        <v>0</v>
      </c>
      <c r="GB305" s="190">
        <f>AP305*AP$2*IF($FC305="V",1,-1)*IF($Q305="Fixo",(DD305-INDEX('Curva Forward'!$C$5:$AN$13,MATCH(CONCATENATE(BD_COMERCIAL!$K305," ",BD_COMERCIAL!$L305),'Curva Forward'!$B$5:$B$13,0),MATCH(GB$4,'Curva Forward'!$C$4:$AN$4,0))),DD305)</f>
        <v>0</v>
      </c>
      <c r="GC305" s="190">
        <f>AQ305*AQ$2*IF($FC305="V",1,-1)*IF($Q305="Fixo",(DE305-INDEX('Curva Forward'!$C$5:$AN$13,MATCH(CONCATENATE(BD_COMERCIAL!$K305," ",BD_COMERCIAL!$L305),'Curva Forward'!$B$5:$B$13,0),MATCH(GC$4,'Curva Forward'!$C$4:$AN$4,0))),DE305)</f>
        <v>0</v>
      </c>
      <c r="GD305" s="190">
        <f>AR305*AR$2*IF($FC305="V",1,-1)*IF($Q305="Fixo",(DF305-INDEX('Curva Forward'!$C$5:$AN$13,MATCH(CONCATENATE(BD_COMERCIAL!$K305," ",BD_COMERCIAL!$L305),'Curva Forward'!$B$5:$B$13,0),MATCH(GD$4,'Curva Forward'!$C$4:$AN$4,0))),DF305)</f>
        <v>0</v>
      </c>
      <c r="GE305" s="190">
        <f>AS305*AS$2*IF($FC305="V",1,-1)*IF($Q305="Fixo",(DG305-INDEX('Curva Forward'!$C$5:$AN$13,MATCH(CONCATENATE(BD_COMERCIAL!$K305," ",BD_COMERCIAL!$L305),'Curva Forward'!$B$5:$B$13,0),MATCH(GE$4,'Curva Forward'!$C$4:$AN$4,0))),DG305)</f>
        <v>0</v>
      </c>
      <c r="GF305" s="190">
        <f>AT305*AT$2*IF($FC305="V",1,-1)*IF($Q305="Fixo",(DH305-INDEX('Curva Forward'!$C$5:$AN$13,MATCH(CONCATENATE(BD_COMERCIAL!$K305," ",BD_COMERCIAL!$L305),'Curva Forward'!$B$5:$B$13,0),MATCH(GF$4,'Curva Forward'!$C$4:$AN$4,0))),DH305)</f>
        <v>0</v>
      </c>
      <c r="GG305" s="190">
        <f>AU305*AU$2*IF($FC305="V",1,-1)*IF($Q305="Fixo",(DI305-INDEX('Curva Forward'!$C$5:$AN$13,MATCH(CONCATENATE(BD_COMERCIAL!$K305," ",BD_COMERCIAL!$L305),'Curva Forward'!$B$5:$B$13,0),MATCH(GG$4,'Curva Forward'!$C$4:$AN$4,0))),DI305)</f>
        <v>0</v>
      </c>
      <c r="GH305" s="190">
        <f>AV305*AV$2*IF($FC305="V",1,-1)*IF($Q305="Fixo",(DJ305-INDEX('Curva Forward'!$C$5:$AN$13,MATCH(CONCATENATE(BD_COMERCIAL!$K305," ",BD_COMERCIAL!$L305),'Curva Forward'!$B$5:$B$13,0),MATCH(GH$4,'Curva Forward'!$C$4:$AN$4,0))),DJ305)</f>
        <v>0</v>
      </c>
      <c r="GI305" s="190">
        <f>AW305*AW$2*IF($FC305="V",1,-1)*IF($Q305="Fixo",(DK305-INDEX('Curva Forward'!$C$5:$AN$13,MATCH(CONCATENATE(BD_COMERCIAL!$K305," ",BD_COMERCIAL!$L305),'Curva Forward'!$B$5:$B$13,0),MATCH(GI$4,'Curva Forward'!$C$4:$AN$4,0))),DK305)</f>
        <v>0</v>
      </c>
      <c r="GJ305" s="190">
        <f>AX305*AX$2*IF($FC305="V",1,-1)*IF($Q305="Fixo",(DL305-INDEX('Curva Forward'!$C$5:$AN$13,MATCH(CONCATENATE(BD_COMERCIAL!$K305," ",BD_COMERCIAL!$L305),'Curva Forward'!$B$5:$B$13,0),MATCH(GJ$4,'Curva Forward'!$C$4:$AN$4,0))),DL305)</f>
        <v>0</v>
      </c>
      <c r="GK305" s="190">
        <f>AY305*AY$2*IF($FC305="V",1,-1)*IF($Q305="Fixo",(DM305-INDEX('Curva Forward'!$C$5:$AN$13,MATCH(CONCATENATE(BD_COMERCIAL!$K305," ",BD_COMERCIAL!$L305),'Curva Forward'!$B$5:$B$13,0),MATCH(GK$4,'Curva Forward'!$C$4:$AN$4,0))),DM305)</f>
        <v>0</v>
      </c>
      <c r="GL305" s="190">
        <f>IF(EZ305="",0,CL305*CL$2*IF($FC305="V",1,-1)*IF($Q305="Fixo",(EZ305-INDEX('Curva Forward'!$C$5:$AN$13,MATCH(CONCATENATE(BD_COMERCIAL!$K305," ",BD_COMERCIAL!$L305),'Curva Forward'!$B$5:$B$13,0),MATCH(GL$4,'Curva Forward'!$C$4:$AN$4,0))),EZ305))</f>
        <v>0</v>
      </c>
      <c r="GM305" s="190">
        <f>IF(FA305="",0,CM305*CM$2*IF($FC305="V",1,-1)*IF($Q305="Fixo",(FA305-INDEX('Curva Forward'!$C$5:$AN$13,MATCH(CONCATENATE(BD_COMERCIAL!$K305," ",BD_COMERCIAL!$L305),'Curva Forward'!$B$5:$B$13,0),MATCH(GM$4,'Curva Forward'!$C$4:$AN$4,0))),FA305))</f>
        <v>0</v>
      </c>
      <c r="GN305" s="190">
        <f>IF(FB305="",0,CN305*CN$2*IF($FC305="V",1,-1)*IF($Q305="Fixo",(FB305-INDEX('Curva Forward'!$C$5:$AN$13,MATCH(CONCATENATE(BD_COMERCIAL!$K305," ",BD_COMERCIAL!$L305),'Curva Forward'!$B$5:$B$13,0),MATCH(GN$4,'Curva Forward'!$C$4:$AN$4,0))),FB305))</f>
        <v>0</v>
      </c>
      <c r="GO305" s="191">
        <f t="shared" ca="1" si="39"/>
        <v>0</v>
      </c>
      <c r="GP305" s="191">
        <f t="shared" ca="1" si="40"/>
        <v>0</v>
      </c>
      <c r="GQ305" s="115"/>
      <c r="GR305" s="115"/>
      <c r="GS305"/>
      <c r="GT305" s="6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</row>
    <row r="306" spans="1:236" s="265" customFormat="1" ht="15" customHeight="1" x14ac:dyDescent="0.35">
      <c r="A306" s="251"/>
      <c r="B306" s="275"/>
      <c r="C306" s="253"/>
      <c r="D306" s="254"/>
      <c r="E306" s="254"/>
      <c r="F306" s="255"/>
      <c r="G306" s="256"/>
      <c r="H306" s="255"/>
      <c r="I306" s="254"/>
      <c r="J306" s="257"/>
      <c r="K306" s="256"/>
      <c r="L306" s="252"/>
      <c r="M306" s="258"/>
      <c r="N306" s="259"/>
      <c r="O306" s="256"/>
      <c r="P306" s="252"/>
      <c r="Q306" s="252"/>
      <c r="R306" s="256"/>
      <c r="S306" s="260"/>
      <c r="T306" s="258"/>
      <c r="U306" s="259"/>
      <c r="V306" s="261"/>
      <c r="W306" s="252"/>
      <c r="X306" s="262"/>
      <c r="Y306" s="257"/>
      <c r="Z306" s="263"/>
      <c r="AA306" s="264"/>
      <c r="AB306" s="266"/>
      <c r="AM306" s="251"/>
      <c r="AN306" s="266"/>
      <c r="AY306" s="251"/>
      <c r="AZ306" s="266"/>
      <c r="BK306" s="251"/>
      <c r="BL306" s="266"/>
      <c r="BW306" s="251"/>
      <c r="BX306" s="266"/>
      <c r="CI306" s="251"/>
      <c r="CJ306" s="267"/>
      <c r="CK306" s="267"/>
      <c r="CL306" s="267"/>
      <c r="CM306" s="267"/>
      <c r="CN306" s="267"/>
      <c r="CO306" s="268"/>
      <c r="CP306" s="266"/>
      <c r="DA306" s="251"/>
      <c r="DB306" s="266"/>
      <c r="DM306" s="251"/>
      <c r="DN306" s="266"/>
      <c r="DY306" s="251"/>
      <c r="DZ306" s="266"/>
      <c r="EK306" s="251"/>
      <c r="EL306" s="266"/>
      <c r="EW306" s="251"/>
      <c r="EX306" s="267"/>
      <c r="EY306" s="267"/>
      <c r="EZ306" s="267"/>
      <c r="FA306" s="267"/>
      <c r="FB306" s="269"/>
      <c r="FD306" s="270"/>
      <c r="FF306" s="276"/>
      <c r="FH306" s="206">
        <f t="shared" si="34"/>
        <v>0</v>
      </c>
      <c r="FI306" s="198">
        <f t="shared" si="35"/>
        <v>0</v>
      </c>
      <c r="FJ306"/>
      <c r="FK306">
        <f t="shared" si="36"/>
        <v>0</v>
      </c>
      <c r="FL306" s="191">
        <f t="shared" ca="1" si="37"/>
        <v>0</v>
      </c>
      <c r="FM306" s="191">
        <f t="shared" ca="1" si="38"/>
        <v>0</v>
      </c>
      <c r="FN306" s="190">
        <f>AB306*AB$2*IF($FC306="V",1,-1)*IF($Q306="Fixo",(CP306-INDEX('Curva Forward'!$C$5:$AN$13,MATCH(CONCATENATE(BD_COMERCIAL!$K306," ",BD_COMERCIAL!$L306),'Curva Forward'!$B$5:$B$13,0),MATCH(FN$4,'Curva Forward'!$C$4:$AN$4,0))),CP306)</f>
        <v>0</v>
      </c>
      <c r="FO306" s="190">
        <f>AC306*AC$2*IF($FC306="V",1,-1)*IF($Q306="Fixo",(CQ306-INDEX('Curva Forward'!$C$5:$AN$13,MATCH(CONCATENATE(BD_COMERCIAL!$K306," ",BD_COMERCIAL!$L306),'Curva Forward'!$B$5:$B$13,0),MATCH(FO$4,'Curva Forward'!$C$4:$AN$4,0))),CQ306)</f>
        <v>0</v>
      </c>
      <c r="FP306" s="190">
        <f>AD306*AD$2*IF($FC306="V",1,-1)*IF($Q306="Fixo",(CR306-INDEX('Curva Forward'!$C$5:$AN$13,MATCH(CONCATENATE(BD_COMERCIAL!$K306," ",BD_COMERCIAL!$L306),'Curva Forward'!$B$5:$B$13,0),MATCH(FP$4,'Curva Forward'!$C$4:$AN$4,0))),CR306)</f>
        <v>0</v>
      </c>
      <c r="FQ306" s="190">
        <f>AE306*AE$2*IF($FC306="V",1,-1)*IF($Q306="Fixo",(CS306-INDEX('Curva Forward'!$C$5:$AN$13,MATCH(CONCATENATE(BD_COMERCIAL!$K306," ",BD_COMERCIAL!$L306),'Curva Forward'!$B$5:$B$13,0),MATCH(FQ$4,'Curva Forward'!$C$4:$AN$4,0))),CS306)</f>
        <v>0</v>
      </c>
      <c r="FR306" s="190">
        <f>AF306*AF$2*IF($FC306="V",1,-1)*IF($Q306="Fixo",(CT306-INDEX('Curva Forward'!$C$5:$AN$13,MATCH(CONCATENATE(BD_COMERCIAL!$K306," ",BD_COMERCIAL!$L306),'Curva Forward'!$B$5:$B$13,0),MATCH(FR$4,'Curva Forward'!$C$4:$AN$4,0))),CT306)</f>
        <v>0</v>
      </c>
      <c r="FS306" s="190">
        <f>AG306*AG$2*IF($FC306="V",1,-1)*IF($Q306="Fixo",(CU306-INDEX('Curva Forward'!$C$5:$AN$13,MATCH(CONCATENATE(BD_COMERCIAL!$K306," ",BD_COMERCIAL!$L306),'Curva Forward'!$B$5:$B$13,0),MATCH(FS$4,'Curva Forward'!$C$4:$AN$4,0))),CU306)</f>
        <v>0</v>
      </c>
      <c r="FT306" s="190">
        <f>AH306*AH$2*IF($FC306="V",1,-1)*IF($Q306="Fixo",(CV306-INDEX('Curva Forward'!$C$5:$AN$13,MATCH(CONCATENATE(BD_COMERCIAL!$K306," ",BD_COMERCIAL!$L306),'Curva Forward'!$B$5:$B$13,0),MATCH(FT$4,'Curva Forward'!$C$4:$AN$4,0))),CV306)</f>
        <v>0</v>
      </c>
      <c r="FU306" s="190">
        <f>AI306*AI$2*IF($FC306="V",1,-1)*IF($Q306="Fixo",(CW306-INDEX('Curva Forward'!$C$5:$AN$13,MATCH(CONCATENATE(BD_COMERCIAL!$K306," ",BD_COMERCIAL!$L306),'Curva Forward'!$B$5:$B$13,0),MATCH(FU$4,'Curva Forward'!$C$4:$AN$4,0))),CW306)</f>
        <v>0</v>
      </c>
      <c r="FV306" s="190">
        <f>AJ306*AJ$2*IF($FC306="V",1,-1)*IF($Q306="Fixo",(CX306-INDEX('Curva Forward'!$C$5:$AN$13,MATCH(CONCATENATE(BD_COMERCIAL!$K306," ",BD_COMERCIAL!$L306),'Curva Forward'!$B$5:$B$13,0),MATCH(FV$4,'Curva Forward'!$C$4:$AN$4,0))),CX306)</f>
        <v>0</v>
      </c>
      <c r="FW306" s="190">
        <f>AK306*AK$2*IF($FC306="V",1,-1)*IF($Q306="Fixo",(CY306-INDEX('Curva Forward'!$C$5:$AN$13,MATCH(CONCATENATE(BD_COMERCIAL!$K306," ",BD_COMERCIAL!$L306),'Curva Forward'!$B$5:$B$13,0),MATCH(FW$4,'Curva Forward'!$C$4:$AN$4,0))),CY306)</f>
        <v>0</v>
      </c>
      <c r="FX306" s="190">
        <f>AL306*AL$2*IF($FC306="V",1,-1)*IF($Q306="Fixo",(CZ306-INDEX('Curva Forward'!$C$5:$AN$13,MATCH(CONCATENATE(BD_COMERCIAL!$K306," ",BD_COMERCIAL!$L306),'Curva Forward'!$B$5:$B$13,0),MATCH(FX$4,'Curva Forward'!$C$4:$AN$4,0))),CZ306)</f>
        <v>0</v>
      </c>
      <c r="FY306" s="190">
        <f>AM306*AM$2*IF($FC306="V",1,-1)*IF($Q306="Fixo",(DA306-INDEX('Curva Forward'!$C$5:$AN$13,MATCH(CONCATENATE(BD_COMERCIAL!$K306," ",BD_COMERCIAL!$L306),'Curva Forward'!$B$5:$B$13,0),MATCH(FY$4,'Curva Forward'!$C$4:$AN$4,0))),DA306)</f>
        <v>0</v>
      </c>
      <c r="FZ306" s="190">
        <f>AN306*AN$2*IF($FC306="V",1,-1)*IF($Q306="Fixo",(DB306-INDEX('Curva Forward'!$C$5:$AN$13,MATCH(CONCATENATE(BD_COMERCIAL!$K306," ",BD_COMERCIAL!$L306),'Curva Forward'!$B$5:$B$13,0),MATCH(FZ$4,'Curva Forward'!$C$4:$AN$4,0))),DB306)</f>
        <v>0</v>
      </c>
      <c r="GA306" s="190">
        <f>AO306*AO$2*IF($FC306="V",1,-1)*IF($Q306="Fixo",(DC306-INDEX('Curva Forward'!$C$5:$AN$13,MATCH(CONCATENATE(BD_COMERCIAL!$K306," ",BD_COMERCIAL!$L306),'Curva Forward'!$B$5:$B$13,0),MATCH(GA$4,'Curva Forward'!$C$4:$AN$4,0))),DC306)</f>
        <v>0</v>
      </c>
      <c r="GB306" s="190">
        <f>AP306*AP$2*IF($FC306="V",1,-1)*IF($Q306="Fixo",(DD306-INDEX('Curva Forward'!$C$5:$AN$13,MATCH(CONCATENATE(BD_COMERCIAL!$K306," ",BD_COMERCIAL!$L306),'Curva Forward'!$B$5:$B$13,0),MATCH(GB$4,'Curva Forward'!$C$4:$AN$4,0))),DD306)</f>
        <v>0</v>
      </c>
      <c r="GC306" s="190">
        <f>AQ306*AQ$2*IF($FC306="V",1,-1)*IF($Q306="Fixo",(DE306-INDEX('Curva Forward'!$C$5:$AN$13,MATCH(CONCATENATE(BD_COMERCIAL!$K306," ",BD_COMERCIAL!$L306),'Curva Forward'!$B$5:$B$13,0),MATCH(GC$4,'Curva Forward'!$C$4:$AN$4,0))),DE306)</f>
        <v>0</v>
      </c>
      <c r="GD306" s="190">
        <f>AR306*AR$2*IF($FC306="V",1,-1)*IF($Q306="Fixo",(DF306-INDEX('Curva Forward'!$C$5:$AN$13,MATCH(CONCATENATE(BD_COMERCIAL!$K306," ",BD_COMERCIAL!$L306),'Curva Forward'!$B$5:$B$13,0),MATCH(GD$4,'Curva Forward'!$C$4:$AN$4,0))),DF306)</f>
        <v>0</v>
      </c>
      <c r="GE306" s="190">
        <f>AS306*AS$2*IF($FC306="V",1,-1)*IF($Q306="Fixo",(DG306-INDEX('Curva Forward'!$C$5:$AN$13,MATCH(CONCATENATE(BD_COMERCIAL!$K306," ",BD_COMERCIAL!$L306),'Curva Forward'!$B$5:$B$13,0),MATCH(GE$4,'Curva Forward'!$C$4:$AN$4,0))),DG306)</f>
        <v>0</v>
      </c>
      <c r="GF306" s="190">
        <f>AT306*AT$2*IF($FC306="V",1,-1)*IF($Q306="Fixo",(DH306-INDEX('Curva Forward'!$C$5:$AN$13,MATCH(CONCATENATE(BD_COMERCIAL!$K306," ",BD_COMERCIAL!$L306),'Curva Forward'!$B$5:$B$13,0),MATCH(GF$4,'Curva Forward'!$C$4:$AN$4,0))),DH306)</f>
        <v>0</v>
      </c>
      <c r="GG306" s="190">
        <f>AU306*AU$2*IF($FC306="V",1,-1)*IF($Q306="Fixo",(DI306-INDEX('Curva Forward'!$C$5:$AN$13,MATCH(CONCATENATE(BD_COMERCIAL!$K306," ",BD_COMERCIAL!$L306),'Curva Forward'!$B$5:$B$13,0),MATCH(GG$4,'Curva Forward'!$C$4:$AN$4,0))),DI306)</f>
        <v>0</v>
      </c>
      <c r="GH306" s="190">
        <f>AV306*AV$2*IF($FC306="V",1,-1)*IF($Q306="Fixo",(DJ306-INDEX('Curva Forward'!$C$5:$AN$13,MATCH(CONCATENATE(BD_COMERCIAL!$K306," ",BD_COMERCIAL!$L306),'Curva Forward'!$B$5:$B$13,0),MATCH(GH$4,'Curva Forward'!$C$4:$AN$4,0))),DJ306)</f>
        <v>0</v>
      </c>
      <c r="GI306" s="190">
        <f>AW306*AW$2*IF($FC306="V",1,-1)*IF($Q306="Fixo",(DK306-INDEX('Curva Forward'!$C$5:$AN$13,MATCH(CONCATENATE(BD_COMERCIAL!$K306," ",BD_COMERCIAL!$L306),'Curva Forward'!$B$5:$B$13,0),MATCH(GI$4,'Curva Forward'!$C$4:$AN$4,0))),DK306)</f>
        <v>0</v>
      </c>
      <c r="GJ306" s="190">
        <f>AX306*AX$2*IF($FC306="V",1,-1)*IF($Q306="Fixo",(DL306-INDEX('Curva Forward'!$C$5:$AN$13,MATCH(CONCATENATE(BD_COMERCIAL!$K306," ",BD_COMERCIAL!$L306),'Curva Forward'!$B$5:$B$13,0),MATCH(GJ$4,'Curva Forward'!$C$4:$AN$4,0))),DL306)</f>
        <v>0</v>
      </c>
      <c r="GK306" s="190">
        <f>AY306*AY$2*IF($FC306="V",1,-1)*IF($Q306="Fixo",(DM306-INDEX('Curva Forward'!$C$5:$AN$13,MATCH(CONCATENATE(BD_COMERCIAL!$K306," ",BD_COMERCIAL!$L306),'Curva Forward'!$B$5:$B$13,0),MATCH(GK$4,'Curva Forward'!$C$4:$AN$4,0))),DM306)</f>
        <v>0</v>
      </c>
      <c r="GL306" s="190">
        <f>IF(EZ306="",0,CL306*CL$2*IF($FC306="V",1,-1)*IF($Q306="Fixo",(EZ306-INDEX('Curva Forward'!$C$5:$AN$13,MATCH(CONCATENATE(BD_COMERCIAL!$K306," ",BD_COMERCIAL!$L306),'Curva Forward'!$B$5:$B$13,0),MATCH(GL$4,'Curva Forward'!$C$4:$AN$4,0))),EZ306))</f>
        <v>0</v>
      </c>
      <c r="GM306" s="190">
        <f>IF(FA306="",0,CM306*CM$2*IF($FC306="V",1,-1)*IF($Q306="Fixo",(FA306-INDEX('Curva Forward'!$C$5:$AN$13,MATCH(CONCATENATE(BD_COMERCIAL!$K306," ",BD_COMERCIAL!$L306),'Curva Forward'!$B$5:$B$13,0),MATCH(GM$4,'Curva Forward'!$C$4:$AN$4,0))),FA306))</f>
        <v>0</v>
      </c>
      <c r="GN306" s="190">
        <f>IF(FB306="",0,CN306*CN$2*IF($FC306="V",1,-1)*IF($Q306="Fixo",(FB306-INDEX('Curva Forward'!$C$5:$AN$13,MATCH(CONCATENATE(BD_COMERCIAL!$K306," ",BD_COMERCIAL!$L306),'Curva Forward'!$B$5:$B$13,0),MATCH(GN$4,'Curva Forward'!$C$4:$AN$4,0))),FB306))</f>
        <v>0</v>
      </c>
      <c r="GO306" s="191">
        <f t="shared" ca="1" si="39"/>
        <v>0</v>
      </c>
      <c r="GP306" s="191">
        <f t="shared" ca="1" si="40"/>
        <v>0</v>
      </c>
      <c r="GQ306" s="115"/>
      <c r="GR306" s="115"/>
      <c r="GS306"/>
      <c r="GT306" s="65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</row>
    <row r="307" spans="1:236" s="265" customFormat="1" ht="15" customHeight="1" x14ac:dyDescent="0.35">
      <c r="A307" s="251"/>
      <c r="B307" s="275"/>
      <c r="C307" s="253"/>
      <c r="D307" s="254"/>
      <c r="E307" s="254"/>
      <c r="F307" s="255"/>
      <c r="G307" s="256"/>
      <c r="H307" s="255"/>
      <c r="I307" s="254"/>
      <c r="J307" s="257"/>
      <c r="K307" s="256"/>
      <c r="L307" s="252"/>
      <c r="M307" s="258"/>
      <c r="N307" s="259"/>
      <c r="O307" s="256"/>
      <c r="P307" s="252"/>
      <c r="Q307" s="252"/>
      <c r="R307" s="256"/>
      <c r="S307" s="260"/>
      <c r="T307" s="258"/>
      <c r="U307" s="259"/>
      <c r="V307" s="261"/>
      <c r="W307" s="252"/>
      <c r="X307" s="262"/>
      <c r="Y307" s="257"/>
      <c r="Z307" s="263"/>
      <c r="AA307" s="264"/>
      <c r="AB307" s="266"/>
      <c r="AM307" s="251"/>
      <c r="AN307" s="266"/>
      <c r="AY307" s="251"/>
      <c r="AZ307" s="266"/>
      <c r="BK307" s="251"/>
      <c r="BL307" s="266"/>
      <c r="BW307" s="251"/>
      <c r="BX307" s="266"/>
      <c r="CI307" s="251"/>
      <c r="CJ307" s="267"/>
      <c r="CK307" s="267"/>
      <c r="CL307" s="267"/>
      <c r="CM307" s="267"/>
      <c r="CN307" s="267"/>
      <c r="CO307" s="268"/>
      <c r="CP307" s="266"/>
      <c r="DA307" s="251"/>
      <c r="DB307" s="266"/>
      <c r="DM307" s="251"/>
      <c r="DN307" s="266"/>
      <c r="DY307" s="251"/>
      <c r="DZ307" s="266"/>
      <c r="EK307" s="251"/>
      <c r="EL307" s="266"/>
      <c r="EW307" s="251"/>
      <c r="EX307" s="267"/>
      <c r="EY307" s="267"/>
      <c r="EZ307" s="267"/>
      <c r="FA307" s="267"/>
      <c r="FB307" s="269"/>
      <c r="FD307" s="270"/>
      <c r="FF307" s="276"/>
      <c r="FH307" s="206">
        <f t="shared" si="34"/>
        <v>0</v>
      </c>
      <c r="FI307" s="198">
        <f t="shared" si="35"/>
        <v>0</v>
      </c>
      <c r="FJ307"/>
      <c r="FK307">
        <f t="shared" si="36"/>
        <v>0</v>
      </c>
      <c r="FL307" s="191">
        <f t="shared" ca="1" si="37"/>
        <v>0</v>
      </c>
      <c r="FM307" s="191">
        <f t="shared" ca="1" si="38"/>
        <v>0</v>
      </c>
      <c r="FN307" s="190">
        <f>AB307*AB$2*IF($FC307="V",1,-1)*IF($Q307="Fixo",(CP307-INDEX('Curva Forward'!$C$5:$AN$13,MATCH(CONCATENATE(BD_COMERCIAL!$K307," ",BD_COMERCIAL!$L307),'Curva Forward'!$B$5:$B$13,0),MATCH(FN$4,'Curva Forward'!$C$4:$AN$4,0))),CP307)</f>
        <v>0</v>
      </c>
      <c r="FO307" s="190">
        <f>AC307*AC$2*IF($FC307="V",1,-1)*IF($Q307="Fixo",(CQ307-INDEX('Curva Forward'!$C$5:$AN$13,MATCH(CONCATENATE(BD_COMERCIAL!$K307," ",BD_COMERCIAL!$L307),'Curva Forward'!$B$5:$B$13,0),MATCH(FO$4,'Curva Forward'!$C$4:$AN$4,0))),CQ307)</f>
        <v>0</v>
      </c>
      <c r="FP307" s="190">
        <f>AD307*AD$2*IF($FC307="V",1,-1)*IF($Q307="Fixo",(CR307-INDEX('Curva Forward'!$C$5:$AN$13,MATCH(CONCATENATE(BD_COMERCIAL!$K307," ",BD_COMERCIAL!$L307),'Curva Forward'!$B$5:$B$13,0),MATCH(FP$4,'Curva Forward'!$C$4:$AN$4,0))),CR307)</f>
        <v>0</v>
      </c>
      <c r="FQ307" s="190">
        <f>AE307*AE$2*IF($FC307="V",1,-1)*IF($Q307="Fixo",(CS307-INDEX('Curva Forward'!$C$5:$AN$13,MATCH(CONCATENATE(BD_COMERCIAL!$K307," ",BD_COMERCIAL!$L307),'Curva Forward'!$B$5:$B$13,0),MATCH(FQ$4,'Curva Forward'!$C$4:$AN$4,0))),CS307)</f>
        <v>0</v>
      </c>
      <c r="FR307" s="190">
        <f>AF307*AF$2*IF($FC307="V",1,-1)*IF($Q307="Fixo",(CT307-INDEX('Curva Forward'!$C$5:$AN$13,MATCH(CONCATENATE(BD_COMERCIAL!$K307," ",BD_COMERCIAL!$L307),'Curva Forward'!$B$5:$B$13,0),MATCH(FR$4,'Curva Forward'!$C$4:$AN$4,0))),CT307)</f>
        <v>0</v>
      </c>
      <c r="FS307" s="190">
        <f>AG307*AG$2*IF($FC307="V",1,-1)*IF($Q307="Fixo",(CU307-INDEX('Curva Forward'!$C$5:$AN$13,MATCH(CONCATENATE(BD_COMERCIAL!$K307," ",BD_COMERCIAL!$L307),'Curva Forward'!$B$5:$B$13,0),MATCH(FS$4,'Curva Forward'!$C$4:$AN$4,0))),CU307)</f>
        <v>0</v>
      </c>
      <c r="FT307" s="190">
        <f>AH307*AH$2*IF($FC307="V",1,-1)*IF($Q307="Fixo",(CV307-INDEX('Curva Forward'!$C$5:$AN$13,MATCH(CONCATENATE(BD_COMERCIAL!$K307," ",BD_COMERCIAL!$L307),'Curva Forward'!$B$5:$B$13,0),MATCH(FT$4,'Curva Forward'!$C$4:$AN$4,0))),CV307)</f>
        <v>0</v>
      </c>
      <c r="FU307" s="190">
        <f>AI307*AI$2*IF($FC307="V",1,-1)*IF($Q307="Fixo",(CW307-INDEX('Curva Forward'!$C$5:$AN$13,MATCH(CONCATENATE(BD_COMERCIAL!$K307," ",BD_COMERCIAL!$L307),'Curva Forward'!$B$5:$B$13,0),MATCH(FU$4,'Curva Forward'!$C$4:$AN$4,0))),CW307)</f>
        <v>0</v>
      </c>
      <c r="FV307" s="190">
        <f>AJ307*AJ$2*IF($FC307="V",1,-1)*IF($Q307="Fixo",(CX307-INDEX('Curva Forward'!$C$5:$AN$13,MATCH(CONCATENATE(BD_COMERCIAL!$K307," ",BD_COMERCIAL!$L307),'Curva Forward'!$B$5:$B$13,0),MATCH(FV$4,'Curva Forward'!$C$4:$AN$4,0))),CX307)</f>
        <v>0</v>
      </c>
      <c r="FW307" s="190">
        <f>AK307*AK$2*IF($FC307="V",1,-1)*IF($Q307="Fixo",(CY307-INDEX('Curva Forward'!$C$5:$AN$13,MATCH(CONCATENATE(BD_COMERCIAL!$K307," ",BD_COMERCIAL!$L307),'Curva Forward'!$B$5:$B$13,0),MATCH(FW$4,'Curva Forward'!$C$4:$AN$4,0))),CY307)</f>
        <v>0</v>
      </c>
      <c r="FX307" s="190">
        <f>AL307*AL$2*IF($FC307="V",1,-1)*IF($Q307="Fixo",(CZ307-INDEX('Curva Forward'!$C$5:$AN$13,MATCH(CONCATENATE(BD_COMERCIAL!$K307," ",BD_COMERCIAL!$L307),'Curva Forward'!$B$5:$B$13,0),MATCH(FX$4,'Curva Forward'!$C$4:$AN$4,0))),CZ307)</f>
        <v>0</v>
      </c>
      <c r="FY307" s="190">
        <f>AM307*AM$2*IF($FC307="V",1,-1)*IF($Q307="Fixo",(DA307-INDEX('Curva Forward'!$C$5:$AN$13,MATCH(CONCATENATE(BD_COMERCIAL!$K307," ",BD_COMERCIAL!$L307),'Curva Forward'!$B$5:$B$13,0),MATCH(FY$4,'Curva Forward'!$C$4:$AN$4,0))),DA307)</f>
        <v>0</v>
      </c>
      <c r="FZ307" s="190">
        <f>AN307*AN$2*IF($FC307="V",1,-1)*IF($Q307="Fixo",(DB307-INDEX('Curva Forward'!$C$5:$AN$13,MATCH(CONCATENATE(BD_COMERCIAL!$K307," ",BD_COMERCIAL!$L307),'Curva Forward'!$B$5:$B$13,0),MATCH(FZ$4,'Curva Forward'!$C$4:$AN$4,0))),DB307)</f>
        <v>0</v>
      </c>
      <c r="GA307" s="190">
        <f>AO307*AO$2*IF($FC307="V",1,-1)*IF($Q307="Fixo",(DC307-INDEX('Curva Forward'!$C$5:$AN$13,MATCH(CONCATENATE(BD_COMERCIAL!$K307," ",BD_COMERCIAL!$L307),'Curva Forward'!$B$5:$B$13,0),MATCH(GA$4,'Curva Forward'!$C$4:$AN$4,0))),DC307)</f>
        <v>0</v>
      </c>
      <c r="GB307" s="190">
        <f>AP307*AP$2*IF($FC307="V",1,-1)*IF($Q307="Fixo",(DD307-INDEX('Curva Forward'!$C$5:$AN$13,MATCH(CONCATENATE(BD_COMERCIAL!$K307," ",BD_COMERCIAL!$L307),'Curva Forward'!$B$5:$B$13,0),MATCH(GB$4,'Curva Forward'!$C$4:$AN$4,0))),DD307)</f>
        <v>0</v>
      </c>
      <c r="GC307" s="190">
        <f>AQ307*AQ$2*IF($FC307="V",1,-1)*IF($Q307="Fixo",(DE307-INDEX('Curva Forward'!$C$5:$AN$13,MATCH(CONCATENATE(BD_COMERCIAL!$K307," ",BD_COMERCIAL!$L307),'Curva Forward'!$B$5:$B$13,0),MATCH(GC$4,'Curva Forward'!$C$4:$AN$4,0))),DE307)</f>
        <v>0</v>
      </c>
      <c r="GD307" s="190">
        <f>AR307*AR$2*IF($FC307="V",1,-1)*IF($Q307="Fixo",(DF307-INDEX('Curva Forward'!$C$5:$AN$13,MATCH(CONCATENATE(BD_COMERCIAL!$K307," ",BD_COMERCIAL!$L307),'Curva Forward'!$B$5:$B$13,0),MATCH(GD$4,'Curva Forward'!$C$4:$AN$4,0))),DF307)</f>
        <v>0</v>
      </c>
      <c r="GE307" s="190">
        <f>AS307*AS$2*IF($FC307="V",1,-1)*IF($Q307="Fixo",(DG307-INDEX('Curva Forward'!$C$5:$AN$13,MATCH(CONCATENATE(BD_COMERCIAL!$K307," ",BD_COMERCIAL!$L307),'Curva Forward'!$B$5:$B$13,0),MATCH(GE$4,'Curva Forward'!$C$4:$AN$4,0))),DG307)</f>
        <v>0</v>
      </c>
      <c r="GF307" s="190">
        <f>AT307*AT$2*IF($FC307="V",1,-1)*IF($Q307="Fixo",(DH307-INDEX('Curva Forward'!$C$5:$AN$13,MATCH(CONCATENATE(BD_COMERCIAL!$K307," ",BD_COMERCIAL!$L307),'Curva Forward'!$B$5:$B$13,0),MATCH(GF$4,'Curva Forward'!$C$4:$AN$4,0))),DH307)</f>
        <v>0</v>
      </c>
      <c r="GG307" s="190">
        <f>AU307*AU$2*IF($FC307="V",1,-1)*IF($Q307="Fixo",(DI307-INDEX('Curva Forward'!$C$5:$AN$13,MATCH(CONCATENATE(BD_COMERCIAL!$K307," ",BD_COMERCIAL!$L307),'Curva Forward'!$B$5:$B$13,0),MATCH(GG$4,'Curva Forward'!$C$4:$AN$4,0))),DI307)</f>
        <v>0</v>
      </c>
      <c r="GH307" s="190">
        <f>AV307*AV$2*IF($FC307="V",1,-1)*IF($Q307="Fixo",(DJ307-INDEX('Curva Forward'!$C$5:$AN$13,MATCH(CONCATENATE(BD_COMERCIAL!$K307," ",BD_COMERCIAL!$L307),'Curva Forward'!$B$5:$B$13,0),MATCH(GH$4,'Curva Forward'!$C$4:$AN$4,0))),DJ307)</f>
        <v>0</v>
      </c>
      <c r="GI307" s="190">
        <f>AW307*AW$2*IF($FC307="V",1,-1)*IF($Q307="Fixo",(DK307-INDEX('Curva Forward'!$C$5:$AN$13,MATCH(CONCATENATE(BD_COMERCIAL!$K307," ",BD_COMERCIAL!$L307),'Curva Forward'!$B$5:$B$13,0),MATCH(GI$4,'Curva Forward'!$C$4:$AN$4,0))),DK307)</f>
        <v>0</v>
      </c>
      <c r="GJ307" s="190">
        <f>AX307*AX$2*IF($FC307="V",1,-1)*IF($Q307="Fixo",(DL307-INDEX('Curva Forward'!$C$5:$AN$13,MATCH(CONCATENATE(BD_COMERCIAL!$K307," ",BD_COMERCIAL!$L307),'Curva Forward'!$B$5:$B$13,0),MATCH(GJ$4,'Curva Forward'!$C$4:$AN$4,0))),DL307)</f>
        <v>0</v>
      </c>
      <c r="GK307" s="190">
        <f>AY307*AY$2*IF($FC307="V",1,-1)*IF($Q307="Fixo",(DM307-INDEX('Curva Forward'!$C$5:$AN$13,MATCH(CONCATENATE(BD_COMERCIAL!$K307," ",BD_COMERCIAL!$L307),'Curva Forward'!$B$5:$B$13,0),MATCH(GK$4,'Curva Forward'!$C$4:$AN$4,0))),DM307)</f>
        <v>0</v>
      </c>
      <c r="GL307" s="190">
        <f>IF(EZ307="",0,CL307*CL$2*IF($FC307="V",1,-1)*IF($Q307="Fixo",(EZ307-INDEX('Curva Forward'!$C$5:$AN$13,MATCH(CONCATENATE(BD_COMERCIAL!$K307," ",BD_COMERCIAL!$L307),'Curva Forward'!$B$5:$B$13,0),MATCH(GL$4,'Curva Forward'!$C$4:$AN$4,0))),EZ307))</f>
        <v>0</v>
      </c>
      <c r="GM307" s="190">
        <f>IF(FA307="",0,CM307*CM$2*IF($FC307="V",1,-1)*IF($Q307="Fixo",(FA307-INDEX('Curva Forward'!$C$5:$AN$13,MATCH(CONCATENATE(BD_COMERCIAL!$K307," ",BD_COMERCIAL!$L307),'Curva Forward'!$B$5:$B$13,0),MATCH(GM$4,'Curva Forward'!$C$4:$AN$4,0))),FA307))</f>
        <v>0</v>
      </c>
      <c r="GN307" s="190">
        <f>IF(FB307="",0,CN307*CN$2*IF($FC307="V",1,-1)*IF($Q307="Fixo",(FB307-INDEX('Curva Forward'!$C$5:$AN$13,MATCH(CONCATENATE(BD_COMERCIAL!$K307," ",BD_COMERCIAL!$L307),'Curva Forward'!$B$5:$B$13,0),MATCH(GN$4,'Curva Forward'!$C$4:$AN$4,0))),FB307))</f>
        <v>0</v>
      </c>
      <c r="GO307" s="191">
        <f t="shared" ca="1" si="39"/>
        <v>0</v>
      </c>
      <c r="GP307" s="191">
        <f t="shared" ca="1" si="40"/>
        <v>0</v>
      </c>
      <c r="GQ307" s="115"/>
      <c r="GR307" s="115"/>
      <c r="GS307"/>
      <c r="GT307" s="65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</row>
    <row r="308" spans="1:236" s="265" customFormat="1" ht="15" customHeight="1" x14ac:dyDescent="0.35">
      <c r="A308" s="251"/>
      <c r="B308" s="275"/>
      <c r="C308" s="253"/>
      <c r="D308" s="254"/>
      <c r="E308" s="254"/>
      <c r="F308" s="255"/>
      <c r="G308" s="256"/>
      <c r="H308" s="255"/>
      <c r="I308" s="254"/>
      <c r="J308" s="257"/>
      <c r="K308" s="256"/>
      <c r="L308" s="252"/>
      <c r="M308" s="258"/>
      <c r="N308" s="259"/>
      <c r="O308" s="256"/>
      <c r="P308" s="252"/>
      <c r="Q308" s="252"/>
      <c r="R308" s="256"/>
      <c r="S308" s="260"/>
      <c r="T308" s="258"/>
      <c r="U308" s="259"/>
      <c r="V308" s="261"/>
      <c r="W308" s="252"/>
      <c r="X308" s="262"/>
      <c r="Y308" s="257"/>
      <c r="Z308" s="263"/>
      <c r="AA308" s="264"/>
      <c r="AB308" s="266"/>
      <c r="AM308" s="251"/>
      <c r="AN308" s="266"/>
      <c r="AY308" s="251"/>
      <c r="AZ308" s="266"/>
      <c r="BK308" s="251"/>
      <c r="BL308" s="266"/>
      <c r="BW308" s="251"/>
      <c r="BX308" s="266"/>
      <c r="CI308" s="251"/>
      <c r="CJ308" s="267"/>
      <c r="CK308" s="267"/>
      <c r="CL308" s="267"/>
      <c r="CM308" s="267"/>
      <c r="CN308" s="267"/>
      <c r="CO308" s="268"/>
      <c r="CP308" s="266"/>
      <c r="DA308" s="251"/>
      <c r="DB308" s="266"/>
      <c r="DM308" s="251"/>
      <c r="DN308" s="266"/>
      <c r="DY308" s="251"/>
      <c r="DZ308" s="266"/>
      <c r="EK308" s="251"/>
      <c r="EL308" s="266"/>
      <c r="EW308" s="251"/>
      <c r="EX308" s="267"/>
      <c r="EY308" s="267"/>
      <c r="EZ308" s="267"/>
      <c r="FA308" s="267"/>
      <c r="FB308" s="269"/>
      <c r="FD308" s="270"/>
      <c r="FF308" s="276"/>
      <c r="FH308" s="206">
        <f t="shared" si="34"/>
        <v>0</v>
      </c>
      <c r="FI308" s="198">
        <f t="shared" si="35"/>
        <v>0</v>
      </c>
      <c r="FJ308"/>
      <c r="FK308">
        <f t="shared" si="36"/>
        <v>0</v>
      </c>
      <c r="FL308" s="191">
        <f t="shared" ca="1" si="37"/>
        <v>0</v>
      </c>
      <c r="FM308" s="191">
        <f t="shared" ca="1" si="38"/>
        <v>0</v>
      </c>
      <c r="FN308" s="190">
        <f>AB308*AB$2*IF($FC308="V",1,-1)*IF($Q308="Fixo",(CP308-INDEX('Curva Forward'!$C$5:$AN$13,MATCH(CONCATENATE(BD_COMERCIAL!$K308," ",BD_COMERCIAL!$L308),'Curva Forward'!$B$5:$B$13,0),MATCH(FN$4,'Curva Forward'!$C$4:$AN$4,0))),CP308)</f>
        <v>0</v>
      </c>
      <c r="FO308" s="190">
        <f>AC308*AC$2*IF($FC308="V",1,-1)*IF($Q308="Fixo",(CQ308-INDEX('Curva Forward'!$C$5:$AN$13,MATCH(CONCATENATE(BD_COMERCIAL!$K308," ",BD_COMERCIAL!$L308),'Curva Forward'!$B$5:$B$13,0),MATCH(FO$4,'Curva Forward'!$C$4:$AN$4,0))),CQ308)</f>
        <v>0</v>
      </c>
      <c r="FP308" s="190">
        <f>AD308*AD$2*IF($FC308="V",1,-1)*IF($Q308="Fixo",(CR308-INDEX('Curva Forward'!$C$5:$AN$13,MATCH(CONCATENATE(BD_COMERCIAL!$K308," ",BD_COMERCIAL!$L308),'Curva Forward'!$B$5:$B$13,0),MATCH(FP$4,'Curva Forward'!$C$4:$AN$4,0))),CR308)</f>
        <v>0</v>
      </c>
      <c r="FQ308" s="190">
        <f>AE308*AE$2*IF($FC308="V",1,-1)*IF($Q308="Fixo",(CS308-INDEX('Curva Forward'!$C$5:$AN$13,MATCH(CONCATENATE(BD_COMERCIAL!$K308," ",BD_COMERCIAL!$L308),'Curva Forward'!$B$5:$B$13,0),MATCH(FQ$4,'Curva Forward'!$C$4:$AN$4,0))),CS308)</f>
        <v>0</v>
      </c>
      <c r="FR308" s="190">
        <f>AF308*AF$2*IF($FC308="V",1,-1)*IF($Q308="Fixo",(CT308-INDEX('Curva Forward'!$C$5:$AN$13,MATCH(CONCATENATE(BD_COMERCIAL!$K308," ",BD_COMERCIAL!$L308),'Curva Forward'!$B$5:$B$13,0),MATCH(FR$4,'Curva Forward'!$C$4:$AN$4,0))),CT308)</f>
        <v>0</v>
      </c>
      <c r="FS308" s="190">
        <f>AG308*AG$2*IF($FC308="V",1,-1)*IF($Q308="Fixo",(CU308-INDEX('Curva Forward'!$C$5:$AN$13,MATCH(CONCATENATE(BD_COMERCIAL!$K308," ",BD_COMERCIAL!$L308),'Curva Forward'!$B$5:$B$13,0),MATCH(FS$4,'Curva Forward'!$C$4:$AN$4,0))),CU308)</f>
        <v>0</v>
      </c>
      <c r="FT308" s="190">
        <f>AH308*AH$2*IF($FC308="V",1,-1)*IF($Q308="Fixo",(CV308-INDEX('Curva Forward'!$C$5:$AN$13,MATCH(CONCATENATE(BD_COMERCIAL!$K308," ",BD_COMERCIAL!$L308),'Curva Forward'!$B$5:$B$13,0),MATCH(FT$4,'Curva Forward'!$C$4:$AN$4,0))),CV308)</f>
        <v>0</v>
      </c>
      <c r="FU308" s="190">
        <f>AI308*AI$2*IF($FC308="V",1,-1)*IF($Q308="Fixo",(CW308-INDEX('Curva Forward'!$C$5:$AN$13,MATCH(CONCATENATE(BD_COMERCIAL!$K308," ",BD_COMERCIAL!$L308),'Curva Forward'!$B$5:$B$13,0),MATCH(FU$4,'Curva Forward'!$C$4:$AN$4,0))),CW308)</f>
        <v>0</v>
      </c>
      <c r="FV308" s="190">
        <f>AJ308*AJ$2*IF($FC308="V",1,-1)*IF($Q308="Fixo",(CX308-INDEX('Curva Forward'!$C$5:$AN$13,MATCH(CONCATENATE(BD_COMERCIAL!$K308," ",BD_COMERCIAL!$L308),'Curva Forward'!$B$5:$B$13,0),MATCH(FV$4,'Curva Forward'!$C$4:$AN$4,0))),CX308)</f>
        <v>0</v>
      </c>
      <c r="FW308" s="190">
        <f>AK308*AK$2*IF($FC308="V",1,-1)*IF($Q308="Fixo",(CY308-INDEX('Curva Forward'!$C$5:$AN$13,MATCH(CONCATENATE(BD_COMERCIAL!$K308," ",BD_COMERCIAL!$L308),'Curva Forward'!$B$5:$B$13,0),MATCH(FW$4,'Curva Forward'!$C$4:$AN$4,0))),CY308)</f>
        <v>0</v>
      </c>
      <c r="FX308" s="190">
        <f>AL308*AL$2*IF($FC308="V",1,-1)*IF($Q308="Fixo",(CZ308-INDEX('Curva Forward'!$C$5:$AN$13,MATCH(CONCATENATE(BD_COMERCIAL!$K308," ",BD_COMERCIAL!$L308),'Curva Forward'!$B$5:$B$13,0),MATCH(FX$4,'Curva Forward'!$C$4:$AN$4,0))),CZ308)</f>
        <v>0</v>
      </c>
      <c r="FY308" s="190">
        <f>AM308*AM$2*IF($FC308="V",1,-1)*IF($Q308="Fixo",(DA308-INDEX('Curva Forward'!$C$5:$AN$13,MATCH(CONCATENATE(BD_COMERCIAL!$K308," ",BD_COMERCIAL!$L308),'Curva Forward'!$B$5:$B$13,0),MATCH(FY$4,'Curva Forward'!$C$4:$AN$4,0))),DA308)</f>
        <v>0</v>
      </c>
      <c r="FZ308" s="190">
        <f>AN308*AN$2*IF($FC308="V",1,-1)*IF($Q308="Fixo",(DB308-INDEX('Curva Forward'!$C$5:$AN$13,MATCH(CONCATENATE(BD_COMERCIAL!$K308," ",BD_COMERCIAL!$L308),'Curva Forward'!$B$5:$B$13,0),MATCH(FZ$4,'Curva Forward'!$C$4:$AN$4,0))),DB308)</f>
        <v>0</v>
      </c>
      <c r="GA308" s="190">
        <f>AO308*AO$2*IF($FC308="V",1,-1)*IF($Q308="Fixo",(DC308-INDEX('Curva Forward'!$C$5:$AN$13,MATCH(CONCATENATE(BD_COMERCIAL!$K308," ",BD_COMERCIAL!$L308),'Curva Forward'!$B$5:$B$13,0),MATCH(GA$4,'Curva Forward'!$C$4:$AN$4,0))),DC308)</f>
        <v>0</v>
      </c>
      <c r="GB308" s="190">
        <f>AP308*AP$2*IF($FC308="V",1,-1)*IF($Q308="Fixo",(DD308-INDEX('Curva Forward'!$C$5:$AN$13,MATCH(CONCATENATE(BD_COMERCIAL!$K308," ",BD_COMERCIAL!$L308),'Curva Forward'!$B$5:$B$13,0),MATCH(GB$4,'Curva Forward'!$C$4:$AN$4,0))),DD308)</f>
        <v>0</v>
      </c>
      <c r="GC308" s="190">
        <f>AQ308*AQ$2*IF($FC308="V",1,-1)*IF($Q308="Fixo",(DE308-INDEX('Curva Forward'!$C$5:$AN$13,MATCH(CONCATENATE(BD_COMERCIAL!$K308," ",BD_COMERCIAL!$L308),'Curva Forward'!$B$5:$B$13,0),MATCH(GC$4,'Curva Forward'!$C$4:$AN$4,0))),DE308)</f>
        <v>0</v>
      </c>
      <c r="GD308" s="190">
        <f>AR308*AR$2*IF($FC308="V",1,-1)*IF($Q308="Fixo",(DF308-INDEX('Curva Forward'!$C$5:$AN$13,MATCH(CONCATENATE(BD_COMERCIAL!$K308," ",BD_COMERCIAL!$L308),'Curva Forward'!$B$5:$B$13,0),MATCH(GD$4,'Curva Forward'!$C$4:$AN$4,0))),DF308)</f>
        <v>0</v>
      </c>
      <c r="GE308" s="190">
        <f>AS308*AS$2*IF($FC308="V",1,-1)*IF($Q308="Fixo",(DG308-INDEX('Curva Forward'!$C$5:$AN$13,MATCH(CONCATENATE(BD_COMERCIAL!$K308," ",BD_COMERCIAL!$L308),'Curva Forward'!$B$5:$B$13,0),MATCH(GE$4,'Curva Forward'!$C$4:$AN$4,0))),DG308)</f>
        <v>0</v>
      </c>
      <c r="GF308" s="190">
        <f>AT308*AT$2*IF($FC308="V",1,-1)*IF($Q308="Fixo",(DH308-INDEX('Curva Forward'!$C$5:$AN$13,MATCH(CONCATENATE(BD_COMERCIAL!$K308," ",BD_COMERCIAL!$L308),'Curva Forward'!$B$5:$B$13,0),MATCH(GF$4,'Curva Forward'!$C$4:$AN$4,0))),DH308)</f>
        <v>0</v>
      </c>
      <c r="GG308" s="190">
        <f>AU308*AU$2*IF($FC308="V",1,-1)*IF($Q308="Fixo",(DI308-INDEX('Curva Forward'!$C$5:$AN$13,MATCH(CONCATENATE(BD_COMERCIAL!$K308," ",BD_COMERCIAL!$L308),'Curva Forward'!$B$5:$B$13,0),MATCH(GG$4,'Curva Forward'!$C$4:$AN$4,0))),DI308)</f>
        <v>0</v>
      </c>
      <c r="GH308" s="190">
        <f>AV308*AV$2*IF($FC308="V",1,-1)*IF($Q308="Fixo",(DJ308-INDEX('Curva Forward'!$C$5:$AN$13,MATCH(CONCATENATE(BD_COMERCIAL!$K308," ",BD_COMERCIAL!$L308),'Curva Forward'!$B$5:$B$13,0),MATCH(GH$4,'Curva Forward'!$C$4:$AN$4,0))),DJ308)</f>
        <v>0</v>
      </c>
      <c r="GI308" s="190">
        <f>AW308*AW$2*IF($FC308="V",1,-1)*IF($Q308="Fixo",(DK308-INDEX('Curva Forward'!$C$5:$AN$13,MATCH(CONCATENATE(BD_COMERCIAL!$K308," ",BD_COMERCIAL!$L308),'Curva Forward'!$B$5:$B$13,0),MATCH(GI$4,'Curva Forward'!$C$4:$AN$4,0))),DK308)</f>
        <v>0</v>
      </c>
      <c r="GJ308" s="190">
        <f>AX308*AX$2*IF($FC308="V",1,-1)*IF($Q308="Fixo",(DL308-INDEX('Curva Forward'!$C$5:$AN$13,MATCH(CONCATENATE(BD_COMERCIAL!$K308," ",BD_COMERCIAL!$L308),'Curva Forward'!$B$5:$B$13,0),MATCH(GJ$4,'Curva Forward'!$C$4:$AN$4,0))),DL308)</f>
        <v>0</v>
      </c>
      <c r="GK308" s="190">
        <f>AY308*AY$2*IF($FC308="V",1,-1)*IF($Q308="Fixo",(DM308-INDEX('Curva Forward'!$C$5:$AN$13,MATCH(CONCATENATE(BD_COMERCIAL!$K308," ",BD_COMERCIAL!$L308),'Curva Forward'!$B$5:$B$13,0),MATCH(GK$4,'Curva Forward'!$C$4:$AN$4,0))),DM308)</f>
        <v>0</v>
      </c>
      <c r="GL308" s="190">
        <f>IF(EZ308="",0,CL308*CL$2*IF($FC308="V",1,-1)*IF($Q308="Fixo",(EZ308-INDEX('Curva Forward'!$C$5:$AN$13,MATCH(CONCATENATE(BD_COMERCIAL!$K308," ",BD_COMERCIAL!$L308),'Curva Forward'!$B$5:$B$13,0),MATCH(GL$4,'Curva Forward'!$C$4:$AN$4,0))),EZ308))</f>
        <v>0</v>
      </c>
      <c r="GM308" s="190">
        <f>IF(FA308="",0,CM308*CM$2*IF($FC308="V",1,-1)*IF($Q308="Fixo",(FA308-INDEX('Curva Forward'!$C$5:$AN$13,MATCH(CONCATENATE(BD_COMERCIAL!$K308," ",BD_COMERCIAL!$L308),'Curva Forward'!$B$5:$B$13,0),MATCH(GM$4,'Curva Forward'!$C$4:$AN$4,0))),FA308))</f>
        <v>0</v>
      </c>
      <c r="GN308" s="190">
        <f>IF(FB308="",0,CN308*CN$2*IF($FC308="V",1,-1)*IF($Q308="Fixo",(FB308-INDEX('Curva Forward'!$C$5:$AN$13,MATCH(CONCATENATE(BD_COMERCIAL!$K308," ",BD_COMERCIAL!$L308),'Curva Forward'!$B$5:$B$13,0),MATCH(GN$4,'Curva Forward'!$C$4:$AN$4,0))),FB308))</f>
        <v>0</v>
      </c>
      <c r="GO308" s="191">
        <f t="shared" ca="1" si="39"/>
        <v>0</v>
      </c>
      <c r="GP308" s="191">
        <f t="shared" ca="1" si="40"/>
        <v>0</v>
      </c>
      <c r="GQ308" s="115"/>
      <c r="GR308" s="115"/>
      <c r="GS308"/>
      <c r="GT308" s="65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</row>
    <row r="309" spans="1:236" s="265" customFormat="1" ht="15" customHeight="1" x14ac:dyDescent="0.35">
      <c r="A309" s="251"/>
      <c r="B309" s="275"/>
      <c r="C309" s="253"/>
      <c r="D309" s="254"/>
      <c r="E309" s="254"/>
      <c r="F309" s="255"/>
      <c r="G309" s="256"/>
      <c r="H309" s="255"/>
      <c r="I309" s="254"/>
      <c r="J309" s="257"/>
      <c r="K309" s="256"/>
      <c r="L309" s="252"/>
      <c r="M309" s="258"/>
      <c r="N309" s="259"/>
      <c r="O309" s="256"/>
      <c r="P309" s="252"/>
      <c r="Q309" s="252"/>
      <c r="R309" s="256"/>
      <c r="S309" s="260"/>
      <c r="T309" s="258"/>
      <c r="U309" s="259"/>
      <c r="V309" s="261"/>
      <c r="W309" s="252"/>
      <c r="X309" s="262"/>
      <c r="Y309" s="257"/>
      <c r="Z309" s="263"/>
      <c r="AA309" s="264"/>
      <c r="AB309" s="266"/>
      <c r="AM309" s="251"/>
      <c r="AN309" s="266"/>
      <c r="AY309" s="251"/>
      <c r="AZ309" s="266"/>
      <c r="BK309" s="251"/>
      <c r="BL309" s="266"/>
      <c r="BW309" s="251"/>
      <c r="BX309" s="266"/>
      <c r="CI309" s="251"/>
      <c r="CJ309" s="267"/>
      <c r="CK309" s="267"/>
      <c r="CL309" s="267"/>
      <c r="CM309" s="267"/>
      <c r="CN309" s="267"/>
      <c r="CO309" s="268"/>
      <c r="CP309" s="266"/>
      <c r="DA309" s="251"/>
      <c r="DB309" s="266"/>
      <c r="DM309" s="251"/>
      <c r="DN309" s="266"/>
      <c r="DY309" s="251"/>
      <c r="DZ309" s="266"/>
      <c r="EK309" s="251"/>
      <c r="EL309" s="266"/>
      <c r="EW309" s="251"/>
      <c r="EX309" s="267"/>
      <c r="EY309" s="267"/>
      <c r="EZ309" s="267"/>
      <c r="FA309" s="267"/>
      <c r="FB309" s="269"/>
      <c r="FD309" s="270"/>
      <c r="FF309" s="276"/>
      <c r="FH309" s="206">
        <f t="shared" si="34"/>
        <v>0</v>
      </c>
      <c r="FI309" s="198">
        <f t="shared" si="35"/>
        <v>0</v>
      </c>
      <c r="FJ309"/>
      <c r="FK309">
        <f t="shared" si="36"/>
        <v>0</v>
      </c>
      <c r="FL309" s="191">
        <f t="shared" ca="1" si="37"/>
        <v>0</v>
      </c>
      <c r="FM309" s="191">
        <f t="shared" ca="1" si="38"/>
        <v>0</v>
      </c>
      <c r="FN309" s="190">
        <f>AB309*AB$2*IF($FC309="V",1,-1)*IF($Q309="Fixo",(CP309-INDEX('Curva Forward'!$C$5:$AN$13,MATCH(CONCATENATE(BD_COMERCIAL!$K309," ",BD_COMERCIAL!$L309),'Curva Forward'!$B$5:$B$13,0),MATCH(FN$4,'Curva Forward'!$C$4:$AN$4,0))),CP309)</f>
        <v>0</v>
      </c>
      <c r="FO309" s="190">
        <f>AC309*AC$2*IF($FC309="V",1,-1)*IF($Q309="Fixo",(CQ309-INDEX('Curva Forward'!$C$5:$AN$13,MATCH(CONCATENATE(BD_COMERCIAL!$K309," ",BD_COMERCIAL!$L309),'Curva Forward'!$B$5:$B$13,0),MATCH(FO$4,'Curva Forward'!$C$4:$AN$4,0))),CQ309)</f>
        <v>0</v>
      </c>
      <c r="FP309" s="190">
        <f>AD309*AD$2*IF($FC309="V",1,-1)*IF($Q309="Fixo",(CR309-INDEX('Curva Forward'!$C$5:$AN$13,MATCH(CONCATENATE(BD_COMERCIAL!$K309," ",BD_COMERCIAL!$L309),'Curva Forward'!$B$5:$B$13,0),MATCH(FP$4,'Curva Forward'!$C$4:$AN$4,0))),CR309)</f>
        <v>0</v>
      </c>
      <c r="FQ309" s="190">
        <f>AE309*AE$2*IF($FC309="V",1,-1)*IF($Q309="Fixo",(CS309-INDEX('Curva Forward'!$C$5:$AN$13,MATCH(CONCATENATE(BD_COMERCIAL!$K309," ",BD_COMERCIAL!$L309),'Curva Forward'!$B$5:$B$13,0),MATCH(FQ$4,'Curva Forward'!$C$4:$AN$4,0))),CS309)</f>
        <v>0</v>
      </c>
      <c r="FR309" s="190">
        <f>AF309*AF$2*IF($FC309="V",1,-1)*IF($Q309="Fixo",(CT309-INDEX('Curva Forward'!$C$5:$AN$13,MATCH(CONCATENATE(BD_COMERCIAL!$K309," ",BD_COMERCIAL!$L309),'Curva Forward'!$B$5:$B$13,0),MATCH(FR$4,'Curva Forward'!$C$4:$AN$4,0))),CT309)</f>
        <v>0</v>
      </c>
      <c r="FS309" s="190">
        <f>AG309*AG$2*IF($FC309="V",1,-1)*IF($Q309="Fixo",(CU309-INDEX('Curva Forward'!$C$5:$AN$13,MATCH(CONCATENATE(BD_COMERCIAL!$K309," ",BD_COMERCIAL!$L309),'Curva Forward'!$B$5:$B$13,0),MATCH(FS$4,'Curva Forward'!$C$4:$AN$4,0))),CU309)</f>
        <v>0</v>
      </c>
      <c r="FT309" s="190">
        <f>AH309*AH$2*IF($FC309="V",1,-1)*IF($Q309="Fixo",(CV309-INDEX('Curva Forward'!$C$5:$AN$13,MATCH(CONCATENATE(BD_COMERCIAL!$K309," ",BD_COMERCIAL!$L309),'Curva Forward'!$B$5:$B$13,0),MATCH(FT$4,'Curva Forward'!$C$4:$AN$4,0))),CV309)</f>
        <v>0</v>
      </c>
      <c r="FU309" s="190">
        <f>AI309*AI$2*IF($FC309="V",1,-1)*IF($Q309="Fixo",(CW309-INDEX('Curva Forward'!$C$5:$AN$13,MATCH(CONCATENATE(BD_COMERCIAL!$K309," ",BD_COMERCIAL!$L309),'Curva Forward'!$B$5:$B$13,0),MATCH(FU$4,'Curva Forward'!$C$4:$AN$4,0))),CW309)</f>
        <v>0</v>
      </c>
      <c r="FV309" s="190">
        <f>AJ309*AJ$2*IF($FC309="V",1,-1)*IF($Q309="Fixo",(CX309-INDEX('Curva Forward'!$C$5:$AN$13,MATCH(CONCATENATE(BD_COMERCIAL!$K309," ",BD_COMERCIAL!$L309),'Curva Forward'!$B$5:$B$13,0),MATCH(FV$4,'Curva Forward'!$C$4:$AN$4,0))),CX309)</f>
        <v>0</v>
      </c>
      <c r="FW309" s="190">
        <f>AK309*AK$2*IF($FC309="V",1,-1)*IF($Q309="Fixo",(CY309-INDEX('Curva Forward'!$C$5:$AN$13,MATCH(CONCATENATE(BD_COMERCIAL!$K309," ",BD_COMERCIAL!$L309),'Curva Forward'!$B$5:$B$13,0),MATCH(FW$4,'Curva Forward'!$C$4:$AN$4,0))),CY309)</f>
        <v>0</v>
      </c>
      <c r="FX309" s="190">
        <f>AL309*AL$2*IF($FC309="V",1,-1)*IF($Q309="Fixo",(CZ309-INDEX('Curva Forward'!$C$5:$AN$13,MATCH(CONCATENATE(BD_COMERCIAL!$K309," ",BD_COMERCIAL!$L309),'Curva Forward'!$B$5:$B$13,0),MATCH(FX$4,'Curva Forward'!$C$4:$AN$4,0))),CZ309)</f>
        <v>0</v>
      </c>
      <c r="FY309" s="190">
        <f>AM309*AM$2*IF($FC309="V",1,-1)*IF($Q309="Fixo",(DA309-INDEX('Curva Forward'!$C$5:$AN$13,MATCH(CONCATENATE(BD_COMERCIAL!$K309," ",BD_COMERCIAL!$L309),'Curva Forward'!$B$5:$B$13,0),MATCH(FY$4,'Curva Forward'!$C$4:$AN$4,0))),DA309)</f>
        <v>0</v>
      </c>
      <c r="FZ309" s="190">
        <f>AN309*AN$2*IF($FC309="V",1,-1)*IF($Q309="Fixo",(DB309-INDEX('Curva Forward'!$C$5:$AN$13,MATCH(CONCATENATE(BD_COMERCIAL!$K309," ",BD_COMERCIAL!$L309),'Curva Forward'!$B$5:$B$13,0),MATCH(FZ$4,'Curva Forward'!$C$4:$AN$4,0))),DB309)</f>
        <v>0</v>
      </c>
      <c r="GA309" s="190">
        <f>AO309*AO$2*IF($FC309="V",1,-1)*IF($Q309="Fixo",(DC309-INDEX('Curva Forward'!$C$5:$AN$13,MATCH(CONCATENATE(BD_COMERCIAL!$K309," ",BD_COMERCIAL!$L309),'Curva Forward'!$B$5:$B$13,0),MATCH(GA$4,'Curva Forward'!$C$4:$AN$4,0))),DC309)</f>
        <v>0</v>
      </c>
      <c r="GB309" s="190">
        <f>AP309*AP$2*IF($FC309="V",1,-1)*IF($Q309="Fixo",(DD309-INDEX('Curva Forward'!$C$5:$AN$13,MATCH(CONCATENATE(BD_COMERCIAL!$K309," ",BD_COMERCIAL!$L309),'Curva Forward'!$B$5:$B$13,0),MATCH(GB$4,'Curva Forward'!$C$4:$AN$4,0))),DD309)</f>
        <v>0</v>
      </c>
      <c r="GC309" s="190">
        <f>AQ309*AQ$2*IF($FC309="V",1,-1)*IF($Q309="Fixo",(DE309-INDEX('Curva Forward'!$C$5:$AN$13,MATCH(CONCATENATE(BD_COMERCIAL!$K309," ",BD_COMERCIAL!$L309),'Curva Forward'!$B$5:$B$13,0),MATCH(GC$4,'Curva Forward'!$C$4:$AN$4,0))),DE309)</f>
        <v>0</v>
      </c>
      <c r="GD309" s="190">
        <f>AR309*AR$2*IF($FC309="V",1,-1)*IF($Q309="Fixo",(DF309-INDEX('Curva Forward'!$C$5:$AN$13,MATCH(CONCATENATE(BD_COMERCIAL!$K309," ",BD_COMERCIAL!$L309),'Curva Forward'!$B$5:$B$13,0),MATCH(GD$4,'Curva Forward'!$C$4:$AN$4,0))),DF309)</f>
        <v>0</v>
      </c>
      <c r="GE309" s="190">
        <f>AS309*AS$2*IF($FC309="V",1,-1)*IF($Q309="Fixo",(DG309-INDEX('Curva Forward'!$C$5:$AN$13,MATCH(CONCATENATE(BD_COMERCIAL!$K309," ",BD_COMERCIAL!$L309),'Curva Forward'!$B$5:$B$13,0),MATCH(GE$4,'Curva Forward'!$C$4:$AN$4,0))),DG309)</f>
        <v>0</v>
      </c>
      <c r="GF309" s="190">
        <f>AT309*AT$2*IF($FC309="V",1,-1)*IF($Q309="Fixo",(DH309-INDEX('Curva Forward'!$C$5:$AN$13,MATCH(CONCATENATE(BD_COMERCIAL!$K309," ",BD_COMERCIAL!$L309),'Curva Forward'!$B$5:$B$13,0),MATCH(GF$4,'Curva Forward'!$C$4:$AN$4,0))),DH309)</f>
        <v>0</v>
      </c>
      <c r="GG309" s="190">
        <f>AU309*AU$2*IF($FC309="V",1,-1)*IF($Q309="Fixo",(DI309-INDEX('Curva Forward'!$C$5:$AN$13,MATCH(CONCATENATE(BD_COMERCIAL!$K309," ",BD_COMERCIAL!$L309),'Curva Forward'!$B$5:$B$13,0),MATCH(GG$4,'Curva Forward'!$C$4:$AN$4,0))),DI309)</f>
        <v>0</v>
      </c>
      <c r="GH309" s="190">
        <f>AV309*AV$2*IF($FC309="V",1,-1)*IF($Q309="Fixo",(DJ309-INDEX('Curva Forward'!$C$5:$AN$13,MATCH(CONCATENATE(BD_COMERCIAL!$K309," ",BD_COMERCIAL!$L309),'Curva Forward'!$B$5:$B$13,0),MATCH(GH$4,'Curva Forward'!$C$4:$AN$4,0))),DJ309)</f>
        <v>0</v>
      </c>
      <c r="GI309" s="190">
        <f>AW309*AW$2*IF($FC309="V",1,-1)*IF($Q309="Fixo",(DK309-INDEX('Curva Forward'!$C$5:$AN$13,MATCH(CONCATENATE(BD_COMERCIAL!$K309," ",BD_COMERCIAL!$L309),'Curva Forward'!$B$5:$B$13,0),MATCH(GI$4,'Curva Forward'!$C$4:$AN$4,0))),DK309)</f>
        <v>0</v>
      </c>
      <c r="GJ309" s="190">
        <f>AX309*AX$2*IF($FC309="V",1,-1)*IF($Q309="Fixo",(DL309-INDEX('Curva Forward'!$C$5:$AN$13,MATCH(CONCATENATE(BD_COMERCIAL!$K309," ",BD_COMERCIAL!$L309),'Curva Forward'!$B$5:$B$13,0),MATCH(GJ$4,'Curva Forward'!$C$4:$AN$4,0))),DL309)</f>
        <v>0</v>
      </c>
      <c r="GK309" s="190">
        <f>AY309*AY$2*IF($FC309="V",1,-1)*IF($Q309="Fixo",(DM309-INDEX('Curva Forward'!$C$5:$AN$13,MATCH(CONCATENATE(BD_COMERCIAL!$K309," ",BD_COMERCIAL!$L309),'Curva Forward'!$B$5:$B$13,0),MATCH(GK$4,'Curva Forward'!$C$4:$AN$4,0))),DM309)</f>
        <v>0</v>
      </c>
      <c r="GL309" s="190">
        <f>IF(EZ309="",0,CL309*CL$2*IF($FC309="V",1,-1)*IF($Q309="Fixo",(EZ309-INDEX('Curva Forward'!$C$5:$AN$13,MATCH(CONCATENATE(BD_COMERCIAL!$K309," ",BD_COMERCIAL!$L309),'Curva Forward'!$B$5:$B$13,0),MATCH(GL$4,'Curva Forward'!$C$4:$AN$4,0))),EZ309))</f>
        <v>0</v>
      </c>
      <c r="GM309" s="190">
        <f>IF(FA309="",0,CM309*CM$2*IF($FC309="V",1,-1)*IF($Q309="Fixo",(FA309-INDEX('Curva Forward'!$C$5:$AN$13,MATCH(CONCATENATE(BD_COMERCIAL!$K309," ",BD_COMERCIAL!$L309),'Curva Forward'!$B$5:$B$13,0),MATCH(GM$4,'Curva Forward'!$C$4:$AN$4,0))),FA309))</f>
        <v>0</v>
      </c>
      <c r="GN309" s="190">
        <f>IF(FB309="",0,CN309*CN$2*IF($FC309="V",1,-1)*IF($Q309="Fixo",(FB309-INDEX('Curva Forward'!$C$5:$AN$13,MATCH(CONCATENATE(BD_COMERCIAL!$K309," ",BD_COMERCIAL!$L309),'Curva Forward'!$B$5:$B$13,0),MATCH(GN$4,'Curva Forward'!$C$4:$AN$4,0))),FB309))</f>
        <v>0</v>
      </c>
      <c r="GO309" s="191">
        <f t="shared" ca="1" si="39"/>
        <v>0</v>
      </c>
      <c r="GP309" s="191">
        <f t="shared" ca="1" si="40"/>
        <v>0</v>
      </c>
      <c r="GQ309" s="115"/>
      <c r="GR309" s="115"/>
      <c r="GS309"/>
      <c r="GT309" s="65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</row>
    <row r="310" spans="1:236" s="265" customFormat="1" ht="15" customHeight="1" x14ac:dyDescent="0.35">
      <c r="A310" s="251"/>
      <c r="B310" s="275"/>
      <c r="C310" s="253"/>
      <c r="D310" s="254"/>
      <c r="E310" s="254"/>
      <c r="F310" s="255"/>
      <c r="G310" s="256"/>
      <c r="H310" s="255"/>
      <c r="I310" s="254"/>
      <c r="J310" s="257"/>
      <c r="K310" s="256"/>
      <c r="L310" s="252"/>
      <c r="M310" s="258"/>
      <c r="N310" s="259"/>
      <c r="O310" s="256"/>
      <c r="P310" s="252"/>
      <c r="Q310" s="252"/>
      <c r="R310" s="256"/>
      <c r="S310" s="260"/>
      <c r="T310" s="258"/>
      <c r="U310" s="259"/>
      <c r="V310" s="261"/>
      <c r="W310" s="252"/>
      <c r="X310" s="262"/>
      <c r="Y310" s="257"/>
      <c r="Z310" s="263"/>
      <c r="AA310" s="264"/>
      <c r="AB310" s="266"/>
      <c r="AM310" s="251"/>
      <c r="AN310" s="266"/>
      <c r="AY310" s="251"/>
      <c r="AZ310" s="266"/>
      <c r="BK310" s="251"/>
      <c r="BL310" s="266"/>
      <c r="BW310" s="251"/>
      <c r="BX310" s="266"/>
      <c r="CI310" s="251"/>
      <c r="CJ310" s="267"/>
      <c r="CK310" s="267"/>
      <c r="CL310" s="267"/>
      <c r="CM310" s="267"/>
      <c r="CN310" s="267"/>
      <c r="CO310" s="268"/>
      <c r="CP310" s="266"/>
      <c r="DA310" s="251"/>
      <c r="DB310" s="266"/>
      <c r="DM310" s="251"/>
      <c r="DN310" s="266"/>
      <c r="DY310" s="251"/>
      <c r="DZ310" s="266"/>
      <c r="EK310" s="251"/>
      <c r="EL310" s="266"/>
      <c r="EW310" s="251"/>
      <c r="EX310" s="267"/>
      <c r="EY310" s="267"/>
      <c r="EZ310" s="267"/>
      <c r="FA310" s="267"/>
      <c r="FB310" s="269"/>
      <c r="FD310" s="270"/>
      <c r="FF310" s="276"/>
      <c r="FH310" s="206">
        <f t="shared" si="34"/>
        <v>0</v>
      </c>
      <c r="FI310" s="198">
        <f t="shared" si="35"/>
        <v>0</v>
      </c>
      <c r="FJ310"/>
      <c r="FK310">
        <f t="shared" si="36"/>
        <v>0</v>
      </c>
      <c r="FL310" s="191">
        <f t="shared" ca="1" si="37"/>
        <v>0</v>
      </c>
      <c r="FM310" s="191">
        <f t="shared" ca="1" si="38"/>
        <v>0</v>
      </c>
      <c r="FN310" s="190">
        <f>AB310*AB$2*IF($FC310="V",1,-1)*IF($Q310="Fixo",(CP310-INDEX('Curva Forward'!$C$5:$AN$13,MATCH(CONCATENATE(BD_COMERCIAL!$K310," ",BD_COMERCIAL!$L310),'Curva Forward'!$B$5:$B$13,0),MATCH(FN$4,'Curva Forward'!$C$4:$AN$4,0))),CP310)</f>
        <v>0</v>
      </c>
      <c r="FO310" s="190">
        <f>AC310*AC$2*IF($FC310="V",1,-1)*IF($Q310="Fixo",(CQ310-INDEX('Curva Forward'!$C$5:$AN$13,MATCH(CONCATENATE(BD_COMERCIAL!$K310," ",BD_COMERCIAL!$L310),'Curva Forward'!$B$5:$B$13,0),MATCH(FO$4,'Curva Forward'!$C$4:$AN$4,0))),CQ310)</f>
        <v>0</v>
      </c>
      <c r="FP310" s="190">
        <f>AD310*AD$2*IF($FC310="V",1,-1)*IF($Q310="Fixo",(CR310-INDEX('Curva Forward'!$C$5:$AN$13,MATCH(CONCATENATE(BD_COMERCIAL!$K310," ",BD_COMERCIAL!$L310),'Curva Forward'!$B$5:$B$13,0),MATCH(FP$4,'Curva Forward'!$C$4:$AN$4,0))),CR310)</f>
        <v>0</v>
      </c>
      <c r="FQ310" s="190">
        <f>AE310*AE$2*IF($FC310="V",1,-1)*IF($Q310="Fixo",(CS310-INDEX('Curva Forward'!$C$5:$AN$13,MATCH(CONCATENATE(BD_COMERCIAL!$K310," ",BD_COMERCIAL!$L310),'Curva Forward'!$B$5:$B$13,0),MATCH(FQ$4,'Curva Forward'!$C$4:$AN$4,0))),CS310)</f>
        <v>0</v>
      </c>
      <c r="FR310" s="190">
        <f>AF310*AF$2*IF($FC310="V",1,-1)*IF($Q310="Fixo",(CT310-INDEX('Curva Forward'!$C$5:$AN$13,MATCH(CONCATENATE(BD_COMERCIAL!$K310," ",BD_COMERCIAL!$L310),'Curva Forward'!$B$5:$B$13,0),MATCH(FR$4,'Curva Forward'!$C$4:$AN$4,0))),CT310)</f>
        <v>0</v>
      </c>
      <c r="FS310" s="190">
        <f>AG310*AG$2*IF($FC310="V",1,-1)*IF($Q310="Fixo",(CU310-INDEX('Curva Forward'!$C$5:$AN$13,MATCH(CONCATENATE(BD_COMERCIAL!$K310," ",BD_COMERCIAL!$L310),'Curva Forward'!$B$5:$B$13,0),MATCH(FS$4,'Curva Forward'!$C$4:$AN$4,0))),CU310)</f>
        <v>0</v>
      </c>
      <c r="FT310" s="190">
        <f>AH310*AH$2*IF($FC310="V",1,-1)*IF($Q310="Fixo",(CV310-INDEX('Curva Forward'!$C$5:$AN$13,MATCH(CONCATENATE(BD_COMERCIAL!$K310," ",BD_COMERCIAL!$L310),'Curva Forward'!$B$5:$B$13,0),MATCH(FT$4,'Curva Forward'!$C$4:$AN$4,0))),CV310)</f>
        <v>0</v>
      </c>
      <c r="FU310" s="190">
        <f>AI310*AI$2*IF($FC310="V",1,-1)*IF($Q310="Fixo",(CW310-INDEX('Curva Forward'!$C$5:$AN$13,MATCH(CONCATENATE(BD_COMERCIAL!$K310," ",BD_COMERCIAL!$L310),'Curva Forward'!$B$5:$B$13,0),MATCH(FU$4,'Curva Forward'!$C$4:$AN$4,0))),CW310)</f>
        <v>0</v>
      </c>
      <c r="FV310" s="190">
        <f>AJ310*AJ$2*IF($FC310="V",1,-1)*IF($Q310="Fixo",(CX310-INDEX('Curva Forward'!$C$5:$AN$13,MATCH(CONCATENATE(BD_COMERCIAL!$K310," ",BD_COMERCIAL!$L310),'Curva Forward'!$B$5:$B$13,0),MATCH(FV$4,'Curva Forward'!$C$4:$AN$4,0))),CX310)</f>
        <v>0</v>
      </c>
      <c r="FW310" s="190">
        <f>AK310*AK$2*IF($FC310="V",1,-1)*IF($Q310="Fixo",(CY310-INDEX('Curva Forward'!$C$5:$AN$13,MATCH(CONCATENATE(BD_COMERCIAL!$K310," ",BD_COMERCIAL!$L310),'Curva Forward'!$B$5:$B$13,0),MATCH(FW$4,'Curva Forward'!$C$4:$AN$4,0))),CY310)</f>
        <v>0</v>
      </c>
      <c r="FX310" s="190">
        <f>AL310*AL$2*IF($FC310="V",1,-1)*IF($Q310="Fixo",(CZ310-INDEX('Curva Forward'!$C$5:$AN$13,MATCH(CONCATENATE(BD_COMERCIAL!$K310," ",BD_COMERCIAL!$L310),'Curva Forward'!$B$5:$B$13,0),MATCH(FX$4,'Curva Forward'!$C$4:$AN$4,0))),CZ310)</f>
        <v>0</v>
      </c>
      <c r="FY310" s="190">
        <f>AM310*AM$2*IF($FC310="V",1,-1)*IF($Q310="Fixo",(DA310-INDEX('Curva Forward'!$C$5:$AN$13,MATCH(CONCATENATE(BD_COMERCIAL!$K310," ",BD_COMERCIAL!$L310),'Curva Forward'!$B$5:$B$13,0),MATCH(FY$4,'Curva Forward'!$C$4:$AN$4,0))),DA310)</f>
        <v>0</v>
      </c>
      <c r="FZ310" s="190">
        <f>AN310*AN$2*IF($FC310="V",1,-1)*IF($Q310="Fixo",(DB310-INDEX('Curva Forward'!$C$5:$AN$13,MATCH(CONCATENATE(BD_COMERCIAL!$K310," ",BD_COMERCIAL!$L310),'Curva Forward'!$B$5:$B$13,0),MATCH(FZ$4,'Curva Forward'!$C$4:$AN$4,0))),DB310)</f>
        <v>0</v>
      </c>
      <c r="GA310" s="190">
        <f>AO310*AO$2*IF($FC310="V",1,-1)*IF($Q310="Fixo",(DC310-INDEX('Curva Forward'!$C$5:$AN$13,MATCH(CONCATENATE(BD_COMERCIAL!$K310," ",BD_COMERCIAL!$L310),'Curva Forward'!$B$5:$B$13,0),MATCH(GA$4,'Curva Forward'!$C$4:$AN$4,0))),DC310)</f>
        <v>0</v>
      </c>
      <c r="GB310" s="190">
        <f>AP310*AP$2*IF($FC310="V",1,-1)*IF($Q310="Fixo",(DD310-INDEX('Curva Forward'!$C$5:$AN$13,MATCH(CONCATENATE(BD_COMERCIAL!$K310," ",BD_COMERCIAL!$L310),'Curva Forward'!$B$5:$B$13,0),MATCH(GB$4,'Curva Forward'!$C$4:$AN$4,0))),DD310)</f>
        <v>0</v>
      </c>
      <c r="GC310" s="190">
        <f>AQ310*AQ$2*IF($FC310="V",1,-1)*IF($Q310="Fixo",(DE310-INDEX('Curva Forward'!$C$5:$AN$13,MATCH(CONCATENATE(BD_COMERCIAL!$K310," ",BD_COMERCIAL!$L310),'Curva Forward'!$B$5:$B$13,0),MATCH(GC$4,'Curva Forward'!$C$4:$AN$4,0))),DE310)</f>
        <v>0</v>
      </c>
      <c r="GD310" s="190">
        <f>AR310*AR$2*IF($FC310="V",1,-1)*IF($Q310="Fixo",(DF310-INDEX('Curva Forward'!$C$5:$AN$13,MATCH(CONCATENATE(BD_COMERCIAL!$K310," ",BD_COMERCIAL!$L310),'Curva Forward'!$B$5:$B$13,0),MATCH(GD$4,'Curva Forward'!$C$4:$AN$4,0))),DF310)</f>
        <v>0</v>
      </c>
      <c r="GE310" s="190">
        <f>AS310*AS$2*IF($FC310="V",1,-1)*IF($Q310="Fixo",(DG310-INDEX('Curva Forward'!$C$5:$AN$13,MATCH(CONCATENATE(BD_COMERCIAL!$K310," ",BD_COMERCIAL!$L310),'Curva Forward'!$B$5:$B$13,0),MATCH(GE$4,'Curva Forward'!$C$4:$AN$4,0))),DG310)</f>
        <v>0</v>
      </c>
      <c r="GF310" s="190">
        <f>AT310*AT$2*IF($FC310="V",1,-1)*IF($Q310="Fixo",(DH310-INDEX('Curva Forward'!$C$5:$AN$13,MATCH(CONCATENATE(BD_COMERCIAL!$K310," ",BD_COMERCIAL!$L310),'Curva Forward'!$B$5:$B$13,0),MATCH(GF$4,'Curva Forward'!$C$4:$AN$4,0))),DH310)</f>
        <v>0</v>
      </c>
      <c r="GG310" s="190">
        <f>AU310*AU$2*IF($FC310="V",1,-1)*IF($Q310="Fixo",(DI310-INDEX('Curva Forward'!$C$5:$AN$13,MATCH(CONCATENATE(BD_COMERCIAL!$K310," ",BD_COMERCIAL!$L310),'Curva Forward'!$B$5:$B$13,0),MATCH(GG$4,'Curva Forward'!$C$4:$AN$4,0))),DI310)</f>
        <v>0</v>
      </c>
      <c r="GH310" s="190">
        <f>AV310*AV$2*IF($FC310="V",1,-1)*IF($Q310="Fixo",(DJ310-INDEX('Curva Forward'!$C$5:$AN$13,MATCH(CONCATENATE(BD_COMERCIAL!$K310," ",BD_COMERCIAL!$L310),'Curva Forward'!$B$5:$B$13,0),MATCH(GH$4,'Curva Forward'!$C$4:$AN$4,0))),DJ310)</f>
        <v>0</v>
      </c>
      <c r="GI310" s="190">
        <f>AW310*AW$2*IF($FC310="V",1,-1)*IF($Q310="Fixo",(DK310-INDEX('Curva Forward'!$C$5:$AN$13,MATCH(CONCATENATE(BD_COMERCIAL!$K310," ",BD_COMERCIAL!$L310),'Curva Forward'!$B$5:$B$13,0),MATCH(GI$4,'Curva Forward'!$C$4:$AN$4,0))),DK310)</f>
        <v>0</v>
      </c>
      <c r="GJ310" s="190">
        <f>AX310*AX$2*IF($FC310="V",1,-1)*IF($Q310="Fixo",(DL310-INDEX('Curva Forward'!$C$5:$AN$13,MATCH(CONCATENATE(BD_COMERCIAL!$K310," ",BD_COMERCIAL!$L310),'Curva Forward'!$B$5:$B$13,0),MATCH(GJ$4,'Curva Forward'!$C$4:$AN$4,0))),DL310)</f>
        <v>0</v>
      </c>
      <c r="GK310" s="190">
        <f>AY310*AY$2*IF($FC310="V",1,-1)*IF($Q310="Fixo",(DM310-INDEX('Curva Forward'!$C$5:$AN$13,MATCH(CONCATENATE(BD_COMERCIAL!$K310," ",BD_COMERCIAL!$L310),'Curva Forward'!$B$5:$B$13,0),MATCH(GK$4,'Curva Forward'!$C$4:$AN$4,0))),DM310)</f>
        <v>0</v>
      </c>
      <c r="GL310" s="190">
        <f>IF(EZ310="",0,CL310*CL$2*IF($FC310="V",1,-1)*IF($Q310="Fixo",(EZ310-INDEX('Curva Forward'!$C$5:$AN$13,MATCH(CONCATENATE(BD_COMERCIAL!$K310," ",BD_COMERCIAL!$L310),'Curva Forward'!$B$5:$B$13,0),MATCH(GL$4,'Curva Forward'!$C$4:$AN$4,0))),EZ310))</f>
        <v>0</v>
      </c>
      <c r="GM310" s="190">
        <f>IF(FA310="",0,CM310*CM$2*IF($FC310="V",1,-1)*IF($Q310="Fixo",(FA310-INDEX('Curva Forward'!$C$5:$AN$13,MATCH(CONCATENATE(BD_COMERCIAL!$K310," ",BD_COMERCIAL!$L310),'Curva Forward'!$B$5:$B$13,0),MATCH(GM$4,'Curva Forward'!$C$4:$AN$4,0))),FA310))</f>
        <v>0</v>
      </c>
      <c r="GN310" s="190">
        <f>IF(FB310="",0,CN310*CN$2*IF($FC310="V",1,-1)*IF($Q310="Fixo",(FB310-INDEX('Curva Forward'!$C$5:$AN$13,MATCH(CONCATENATE(BD_COMERCIAL!$K310," ",BD_COMERCIAL!$L310),'Curva Forward'!$B$5:$B$13,0),MATCH(GN$4,'Curva Forward'!$C$4:$AN$4,0))),FB310))</f>
        <v>0</v>
      </c>
      <c r="GO310" s="191">
        <f t="shared" ca="1" si="39"/>
        <v>0</v>
      </c>
      <c r="GP310" s="191">
        <f t="shared" ca="1" si="40"/>
        <v>0</v>
      </c>
      <c r="GQ310" s="115"/>
      <c r="GR310" s="115"/>
      <c r="GS310"/>
      <c r="GT310" s="65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</row>
    <row r="311" spans="1:236" s="265" customFormat="1" ht="15" customHeight="1" x14ac:dyDescent="0.35">
      <c r="A311" s="251"/>
      <c r="B311" s="275"/>
      <c r="C311" s="253"/>
      <c r="D311" s="254"/>
      <c r="E311" s="254"/>
      <c r="F311" s="255"/>
      <c r="G311" s="256"/>
      <c r="H311" s="255"/>
      <c r="I311" s="254"/>
      <c r="J311" s="257"/>
      <c r="K311" s="256"/>
      <c r="L311" s="252"/>
      <c r="M311" s="258"/>
      <c r="N311" s="259"/>
      <c r="O311" s="256"/>
      <c r="P311" s="252"/>
      <c r="Q311" s="252"/>
      <c r="R311" s="256"/>
      <c r="S311" s="260"/>
      <c r="T311" s="258"/>
      <c r="U311" s="259"/>
      <c r="V311" s="261"/>
      <c r="W311" s="252"/>
      <c r="X311" s="262"/>
      <c r="Y311" s="257"/>
      <c r="Z311" s="263"/>
      <c r="AA311" s="264"/>
      <c r="AB311" s="266"/>
      <c r="AM311" s="251"/>
      <c r="AN311" s="266"/>
      <c r="AY311" s="251"/>
      <c r="AZ311" s="266"/>
      <c r="BK311" s="251"/>
      <c r="BL311" s="266"/>
      <c r="BW311" s="251"/>
      <c r="BX311" s="266"/>
      <c r="CI311" s="251"/>
      <c r="CJ311" s="267"/>
      <c r="CK311" s="267"/>
      <c r="CL311" s="267"/>
      <c r="CM311" s="267"/>
      <c r="CN311" s="267"/>
      <c r="CO311" s="268"/>
      <c r="CP311" s="266"/>
      <c r="DA311" s="251"/>
      <c r="DB311" s="266"/>
      <c r="DM311" s="251"/>
      <c r="DN311" s="266"/>
      <c r="DY311" s="251"/>
      <c r="DZ311" s="266"/>
      <c r="EK311" s="251"/>
      <c r="EL311" s="266"/>
      <c r="EW311" s="251"/>
      <c r="EX311" s="267"/>
      <c r="EY311" s="267"/>
      <c r="EZ311" s="267"/>
      <c r="FA311" s="267"/>
      <c r="FB311" s="269"/>
      <c r="FD311" s="270"/>
      <c r="FF311" s="276"/>
      <c r="FH311" s="206">
        <f t="shared" si="34"/>
        <v>0</v>
      </c>
      <c r="FI311" s="198">
        <f t="shared" si="35"/>
        <v>0</v>
      </c>
      <c r="FJ311"/>
      <c r="FK311">
        <f t="shared" si="36"/>
        <v>0</v>
      </c>
      <c r="FL311" s="191">
        <f t="shared" ca="1" si="37"/>
        <v>0</v>
      </c>
      <c r="FM311" s="191">
        <f t="shared" ca="1" si="38"/>
        <v>0</v>
      </c>
      <c r="FN311" s="190">
        <f>AB311*AB$2*IF($FC311="V",1,-1)*IF($Q311="Fixo",(CP311-INDEX('Curva Forward'!$C$5:$AN$13,MATCH(CONCATENATE(BD_COMERCIAL!$K311," ",BD_COMERCIAL!$L311),'Curva Forward'!$B$5:$B$13,0),MATCH(FN$4,'Curva Forward'!$C$4:$AN$4,0))),CP311)</f>
        <v>0</v>
      </c>
      <c r="FO311" s="190">
        <f>AC311*AC$2*IF($FC311="V",1,-1)*IF($Q311="Fixo",(CQ311-INDEX('Curva Forward'!$C$5:$AN$13,MATCH(CONCATENATE(BD_COMERCIAL!$K311," ",BD_COMERCIAL!$L311),'Curva Forward'!$B$5:$B$13,0),MATCH(FO$4,'Curva Forward'!$C$4:$AN$4,0))),CQ311)</f>
        <v>0</v>
      </c>
      <c r="FP311" s="190">
        <f>AD311*AD$2*IF($FC311="V",1,-1)*IF($Q311="Fixo",(CR311-INDEX('Curva Forward'!$C$5:$AN$13,MATCH(CONCATENATE(BD_COMERCIAL!$K311," ",BD_COMERCIAL!$L311),'Curva Forward'!$B$5:$B$13,0),MATCH(FP$4,'Curva Forward'!$C$4:$AN$4,0))),CR311)</f>
        <v>0</v>
      </c>
      <c r="FQ311" s="190">
        <f>AE311*AE$2*IF($FC311="V",1,-1)*IF($Q311="Fixo",(CS311-INDEX('Curva Forward'!$C$5:$AN$13,MATCH(CONCATENATE(BD_COMERCIAL!$K311," ",BD_COMERCIAL!$L311),'Curva Forward'!$B$5:$B$13,0),MATCH(FQ$4,'Curva Forward'!$C$4:$AN$4,0))),CS311)</f>
        <v>0</v>
      </c>
      <c r="FR311" s="190">
        <f>AF311*AF$2*IF($FC311="V",1,-1)*IF($Q311="Fixo",(CT311-INDEX('Curva Forward'!$C$5:$AN$13,MATCH(CONCATENATE(BD_COMERCIAL!$K311," ",BD_COMERCIAL!$L311),'Curva Forward'!$B$5:$B$13,0),MATCH(FR$4,'Curva Forward'!$C$4:$AN$4,0))),CT311)</f>
        <v>0</v>
      </c>
      <c r="FS311" s="190">
        <f>AG311*AG$2*IF($FC311="V",1,-1)*IF($Q311="Fixo",(CU311-INDEX('Curva Forward'!$C$5:$AN$13,MATCH(CONCATENATE(BD_COMERCIAL!$K311," ",BD_COMERCIAL!$L311),'Curva Forward'!$B$5:$B$13,0),MATCH(FS$4,'Curva Forward'!$C$4:$AN$4,0))),CU311)</f>
        <v>0</v>
      </c>
      <c r="FT311" s="190">
        <f>AH311*AH$2*IF($FC311="V",1,-1)*IF($Q311="Fixo",(CV311-INDEX('Curva Forward'!$C$5:$AN$13,MATCH(CONCATENATE(BD_COMERCIAL!$K311," ",BD_COMERCIAL!$L311),'Curva Forward'!$B$5:$B$13,0),MATCH(FT$4,'Curva Forward'!$C$4:$AN$4,0))),CV311)</f>
        <v>0</v>
      </c>
      <c r="FU311" s="190">
        <f>AI311*AI$2*IF($FC311="V",1,-1)*IF($Q311="Fixo",(CW311-INDEX('Curva Forward'!$C$5:$AN$13,MATCH(CONCATENATE(BD_COMERCIAL!$K311," ",BD_COMERCIAL!$L311),'Curva Forward'!$B$5:$B$13,0),MATCH(FU$4,'Curva Forward'!$C$4:$AN$4,0))),CW311)</f>
        <v>0</v>
      </c>
      <c r="FV311" s="190">
        <f>AJ311*AJ$2*IF($FC311="V",1,-1)*IF($Q311="Fixo",(CX311-INDEX('Curva Forward'!$C$5:$AN$13,MATCH(CONCATENATE(BD_COMERCIAL!$K311," ",BD_COMERCIAL!$L311),'Curva Forward'!$B$5:$B$13,0),MATCH(FV$4,'Curva Forward'!$C$4:$AN$4,0))),CX311)</f>
        <v>0</v>
      </c>
      <c r="FW311" s="190">
        <f>AK311*AK$2*IF($FC311="V",1,-1)*IF($Q311="Fixo",(CY311-INDEX('Curva Forward'!$C$5:$AN$13,MATCH(CONCATENATE(BD_COMERCIAL!$K311," ",BD_COMERCIAL!$L311),'Curva Forward'!$B$5:$B$13,0),MATCH(FW$4,'Curva Forward'!$C$4:$AN$4,0))),CY311)</f>
        <v>0</v>
      </c>
      <c r="FX311" s="190">
        <f>AL311*AL$2*IF($FC311="V",1,-1)*IF($Q311="Fixo",(CZ311-INDEX('Curva Forward'!$C$5:$AN$13,MATCH(CONCATENATE(BD_COMERCIAL!$K311," ",BD_COMERCIAL!$L311),'Curva Forward'!$B$5:$B$13,0),MATCH(FX$4,'Curva Forward'!$C$4:$AN$4,0))),CZ311)</f>
        <v>0</v>
      </c>
      <c r="FY311" s="190">
        <f>AM311*AM$2*IF($FC311="V",1,-1)*IF($Q311="Fixo",(DA311-INDEX('Curva Forward'!$C$5:$AN$13,MATCH(CONCATENATE(BD_COMERCIAL!$K311," ",BD_COMERCIAL!$L311),'Curva Forward'!$B$5:$B$13,0),MATCH(FY$4,'Curva Forward'!$C$4:$AN$4,0))),DA311)</f>
        <v>0</v>
      </c>
      <c r="FZ311" s="190">
        <f>AN311*AN$2*IF($FC311="V",1,-1)*IF($Q311="Fixo",(DB311-INDEX('Curva Forward'!$C$5:$AN$13,MATCH(CONCATENATE(BD_COMERCIAL!$K311," ",BD_COMERCIAL!$L311),'Curva Forward'!$B$5:$B$13,0),MATCH(FZ$4,'Curva Forward'!$C$4:$AN$4,0))),DB311)</f>
        <v>0</v>
      </c>
      <c r="GA311" s="190">
        <f>AO311*AO$2*IF($FC311="V",1,-1)*IF($Q311="Fixo",(DC311-INDEX('Curva Forward'!$C$5:$AN$13,MATCH(CONCATENATE(BD_COMERCIAL!$K311," ",BD_COMERCIAL!$L311),'Curva Forward'!$B$5:$B$13,0),MATCH(GA$4,'Curva Forward'!$C$4:$AN$4,0))),DC311)</f>
        <v>0</v>
      </c>
      <c r="GB311" s="190">
        <f>AP311*AP$2*IF($FC311="V",1,-1)*IF($Q311="Fixo",(DD311-INDEX('Curva Forward'!$C$5:$AN$13,MATCH(CONCATENATE(BD_COMERCIAL!$K311," ",BD_COMERCIAL!$L311),'Curva Forward'!$B$5:$B$13,0),MATCH(GB$4,'Curva Forward'!$C$4:$AN$4,0))),DD311)</f>
        <v>0</v>
      </c>
      <c r="GC311" s="190">
        <f>AQ311*AQ$2*IF($FC311="V",1,-1)*IF($Q311="Fixo",(DE311-INDEX('Curva Forward'!$C$5:$AN$13,MATCH(CONCATENATE(BD_COMERCIAL!$K311," ",BD_COMERCIAL!$L311),'Curva Forward'!$B$5:$B$13,0),MATCH(GC$4,'Curva Forward'!$C$4:$AN$4,0))),DE311)</f>
        <v>0</v>
      </c>
      <c r="GD311" s="190">
        <f>AR311*AR$2*IF($FC311="V",1,-1)*IF($Q311="Fixo",(DF311-INDEX('Curva Forward'!$C$5:$AN$13,MATCH(CONCATENATE(BD_COMERCIAL!$K311," ",BD_COMERCIAL!$L311),'Curva Forward'!$B$5:$B$13,0),MATCH(GD$4,'Curva Forward'!$C$4:$AN$4,0))),DF311)</f>
        <v>0</v>
      </c>
      <c r="GE311" s="190">
        <f>AS311*AS$2*IF($FC311="V",1,-1)*IF($Q311="Fixo",(DG311-INDEX('Curva Forward'!$C$5:$AN$13,MATCH(CONCATENATE(BD_COMERCIAL!$K311," ",BD_COMERCIAL!$L311),'Curva Forward'!$B$5:$B$13,0),MATCH(GE$4,'Curva Forward'!$C$4:$AN$4,0))),DG311)</f>
        <v>0</v>
      </c>
      <c r="GF311" s="190">
        <f>AT311*AT$2*IF($FC311="V",1,-1)*IF($Q311="Fixo",(DH311-INDEX('Curva Forward'!$C$5:$AN$13,MATCH(CONCATENATE(BD_COMERCIAL!$K311," ",BD_COMERCIAL!$L311),'Curva Forward'!$B$5:$B$13,0),MATCH(GF$4,'Curva Forward'!$C$4:$AN$4,0))),DH311)</f>
        <v>0</v>
      </c>
      <c r="GG311" s="190">
        <f>AU311*AU$2*IF($FC311="V",1,-1)*IF($Q311="Fixo",(DI311-INDEX('Curva Forward'!$C$5:$AN$13,MATCH(CONCATENATE(BD_COMERCIAL!$K311," ",BD_COMERCIAL!$L311),'Curva Forward'!$B$5:$B$13,0),MATCH(GG$4,'Curva Forward'!$C$4:$AN$4,0))),DI311)</f>
        <v>0</v>
      </c>
      <c r="GH311" s="190">
        <f>AV311*AV$2*IF($FC311="V",1,-1)*IF($Q311="Fixo",(DJ311-INDEX('Curva Forward'!$C$5:$AN$13,MATCH(CONCATENATE(BD_COMERCIAL!$K311," ",BD_COMERCIAL!$L311),'Curva Forward'!$B$5:$B$13,0),MATCH(GH$4,'Curva Forward'!$C$4:$AN$4,0))),DJ311)</f>
        <v>0</v>
      </c>
      <c r="GI311" s="190">
        <f>AW311*AW$2*IF($FC311="V",1,-1)*IF($Q311="Fixo",(DK311-INDEX('Curva Forward'!$C$5:$AN$13,MATCH(CONCATENATE(BD_COMERCIAL!$K311," ",BD_COMERCIAL!$L311),'Curva Forward'!$B$5:$B$13,0),MATCH(GI$4,'Curva Forward'!$C$4:$AN$4,0))),DK311)</f>
        <v>0</v>
      </c>
      <c r="GJ311" s="190">
        <f>AX311*AX$2*IF($FC311="V",1,-1)*IF($Q311="Fixo",(DL311-INDEX('Curva Forward'!$C$5:$AN$13,MATCH(CONCATENATE(BD_COMERCIAL!$K311," ",BD_COMERCIAL!$L311),'Curva Forward'!$B$5:$B$13,0),MATCH(GJ$4,'Curva Forward'!$C$4:$AN$4,0))),DL311)</f>
        <v>0</v>
      </c>
      <c r="GK311" s="190">
        <f>AY311*AY$2*IF($FC311="V",1,-1)*IF($Q311="Fixo",(DM311-INDEX('Curva Forward'!$C$5:$AN$13,MATCH(CONCATENATE(BD_COMERCIAL!$K311," ",BD_COMERCIAL!$L311),'Curva Forward'!$B$5:$B$13,0),MATCH(GK$4,'Curva Forward'!$C$4:$AN$4,0))),DM311)</f>
        <v>0</v>
      </c>
      <c r="GL311" s="190">
        <f>IF(EZ311="",0,CL311*CL$2*IF($FC311="V",1,-1)*IF($Q311="Fixo",(EZ311-INDEX('Curva Forward'!$C$5:$AN$13,MATCH(CONCATENATE(BD_COMERCIAL!$K311," ",BD_COMERCIAL!$L311),'Curva Forward'!$B$5:$B$13,0),MATCH(GL$4,'Curva Forward'!$C$4:$AN$4,0))),EZ311))</f>
        <v>0</v>
      </c>
      <c r="GM311" s="190">
        <f>IF(FA311="",0,CM311*CM$2*IF($FC311="V",1,-1)*IF($Q311="Fixo",(FA311-INDEX('Curva Forward'!$C$5:$AN$13,MATCH(CONCATENATE(BD_COMERCIAL!$K311," ",BD_COMERCIAL!$L311),'Curva Forward'!$B$5:$B$13,0),MATCH(GM$4,'Curva Forward'!$C$4:$AN$4,0))),FA311))</f>
        <v>0</v>
      </c>
      <c r="GN311" s="190">
        <f>IF(FB311="",0,CN311*CN$2*IF($FC311="V",1,-1)*IF($Q311="Fixo",(FB311-INDEX('Curva Forward'!$C$5:$AN$13,MATCH(CONCATENATE(BD_COMERCIAL!$K311," ",BD_COMERCIAL!$L311),'Curva Forward'!$B$5:$B$13,0),MATCH(GN$4,'Curva Forward'!$C$4:$AN$4,0))),FB311))</f>
        <v>0</v>
      </c>
      <c r="GO311" s="191">
        <f t="shared" ca="1" si="39"/>
        <v>0</v>
      </c>
      <c r="GP311" s="191">
        <f t="shared" ca="1" si="40"/>
        <v>0</v>
      </c>
      <c r="GQ311" s="115"/>
      <c r="GR311" s="115"/>
      <c r="GS311"/>
      <c r="GT311" s="65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</row>
    <row r="312" spans="1:236" s="265" customFormat="1" ht="15" customHeight="1" x14ac:dyDescent="0.35">
      <c r="A312" s="251"/>
      <c r="B312" s="275"/>
      <c r="C312" s="253"/>
      <c r="D312" s="254"/>
      <c r="E312" s="254"/>
      <c r="F312" s="255"/>
      <c r="G312" s="256"/>
      <c r="H312" s="255"/>
      <c r="I312" s="254"/>
      <c r="J312" s="257"/>
      <c r="K312" s="256"/>
      <c r="L312" s="252"/>
      <c r="M312" s="258"/>
      <c r="N312" s="259"/>
      <c r="O312" s="256"/>
      <c r="P312" s="252"/>
      <c r="Q312" s="252"/>
      <c r="R312" s="256"/>
      <c r="S312" s="260"/>
      <c r="T312" s="258"/>
      <c r="U312" s="259"/>
      <c r="V312" s="261"/>
      <c r="W312" s="252"/>
      <c r="X312" s="262"/>
      <c r="Y312" s="257"/>
      <c r="Z312" s="263"/>
      <c r="AA312" s="264"/>
      <c r="AB312" s="266"/>
      <c r="AM312" s="251"/>
      <c r="AN312" s="266"/>
      <c r="AY312" s="251"/>
      <c r="AZ312" s="266"/>
      <c r="BK312" s="251"/>
      <c r="BL312" s="266"/>
      <c r="BW312" s="251"/>
      <c r="BX312" s="266"/>
      <c r="CI312" s="251"/>
      <c r="CJ312" s="267"/>
      <c r="CK312" s="267"/>
      <c r="CL312" s="267"/>
      <c r="CM312" s="267"/>
      <c r="CN312" s="267"/>
      <c r="CO312" s="268"/>
      <c r="CP312" s="266"/>
      <c r="DA312" s="251"/>
      <c r="DB312" s="266"/>
      <c r="DM312" s="251"/>
      <c r="DN312" s="266"/>
      <c r="DY312" s="251"/>
      <c r="DZ312" s="266"/>
      <c r="EK312" s="251"/>
      <c r="EL312" s="266"/>
      <c r="EW312" s="251"/>
      <c r="EX312" s="267"/>
      <c r="EY312" s="267"/>
      <c r="EZ312" s="267"/>
      <c r="FA312" s="267"/>
      <c r="FB312" s="269"/>
      <c r="FD312" s="270"/>
      <c r="FF312" s="276"/>
      <c r="FH312" s="206">
        <f t="shared" si="34"/>
        <v>0</v>
      </c>
      <c r="FI312" s="198">
        <f t="shared" si="35"/>
        <v>0</v>
      </c>
      <c r="FJ312"/>
      <c r="FK312">
        <f t="shared" si="36"/>
        <v>0</v>
      </c>
      <c r="FL312" s="191">
        <f t="shared" ca="1" si="37"/>
        <v>0</v>
      </c>
      <c r="FM312" s="191">
        <f t="shared" ca="1" si="38"/>
        <v>0</v>
      </c>
      <c r="FN312" s="190">
        <f>AB312*AB$2*IF($FC312="V",1,-1)*IF($Q312="Fixo",(CP312-INDEX('Curva Forward'!$C$5:$AN$13,MATCH(CONCATENATE(BD_COMERCIAL!$K312," ",BD_COMERCIAL!$L312),'Curva Forward'!$B$5:$B$13,0),MATCH(FN$4,'Curva Forward'!$C$4:$AN$4,0))),CP312)</f>
        <v>0</v>
      </c>
      <c r="FO312" s="190">
        <f>AC312*AC$2*IF($FC312="V",1,-1)*IF($Q312="Fixo",(CQ312-INDEX('Curva Forward'!$C$5:$AN$13,MATCH(CONCATENATE(BD_COMERCIAL!$K312," ",BD_COMERCIAL!$L312),'Curva Forward'!$B$5:$B$13,0),MATCH(FO$4,'Curva Forward'!$C$4:$AN$4,0))),CQ312)</f>
        <v>0</v>
      </c>
      <c r="FP312" s="190">
        <f>AD312*AD$2*IF($FC312="V",1,-1)*IF($Q312="Fixo",(CR312-INDEX('Curva Forward'!$C$5:$AN$13,MATCH(CONCATENATE(BD_COMERCIAL!$K312," ",BD_COMERCIAL!$L312),'Curva Forward'!$B$5:$B$13,0),MATCH(FP$4,'Curva Forward'!$C$4:$AN$4,0))),CR312)</f>
        <v>0</v>
      </c>
      <c r="FQ312" s="190">
        <f>AE312*AE$2*IF($FC312="V",1,-1)*IF($Q312="Fixo",(CS312-INDEX('Curva Forward'!$C$5:$AN$13,MATCH(CONCATENATE(BD_COMERCIAL!$K312," ",BD_COMERCIAL!$L312),'Curva Forward'!$B$5:$B$13,0),MATCH(FQ$4,'Curva Forward'!$C$4:$AN$4,0))),CS312)</f>
        <v>0</v>
      </c>
      <c r="FR312" s="190">
        <f>AF312*AF$2*IF($FC312="V",1,-1)*IF($Q312="Fixo",(CT312-INDEX('Curva Forward'!$C$5:$AN$13,MATCH(CONCATENATE(BD_COMERCIAL!$K312," ",BD_COMERCIAL!$L312),'Curva Forward'!$B$5:$B$13,0),MATCH(FR$4,'Curva Forward'!$C$4:$AN$4,0))),CT312)</f>
        <v>0</v>
      </c>
      <c r="FS312" s="190">
        <f>AG312*AG$2*IF($FC312="V",1,-1)*IF($Q312="Fixo",(CU312-INDEX('Curva Forward'!$C$5:$AN$13,MATCH(CONCATENATE(BD_COMERCIAL!$K312," ",BD_COMERCIAL!$L312),'Curva Forward'!$B$5:$B$13,0),MATCH(FS$4,'Curva Forward'!$C$4:$AN$4,0))),CU312)</f>
        <v>0</v>
      </c>
      <c r="FT312" s="190">
        <f>AH312*AH$2*IF($FC312="V",1,-1)*IF($Q312="Fixo",(CV312-INDEX('Curva Forward'!$C$5:$AN$13,MATCH(CONCATENATE(BD_COMERCIAL!$K312," ",BD_COMERCIAL!$L312),'Curva Forward'!$B$5:$B$13,0),MATCH(FT$4,'Curva Forward'!$C$4:$AN$4,0))),CV312)</f>
        <v>0</v>
      </c>
      <c r="FU312" s="190">
        <f>AI312*AI$2*IF($FC312="V",1,-1)*IF($Q312="Fixo",(CW312-INDEX('Curva Forward'!$C$5:$AN$13,MATCH(CONCATENATE(BD_COMERCIAL!$K312," ",BD_COMERCIAL!$L312),'Curva Forward'!$B$5:$B$13,0),MATCH(FU$4,'Curva Forward'!$C$4:$AN$4,0))),CW312)</f>
        <v>0</v>
      </c>
      <c r="FV312" s="190">
        <f>AJ312*AJ$2*IF($FC312="V",1,-1)*IF($Q312="Fixo",(CX312-INDEX('Curva Forward'!$C$5:$AN$13,MATCH(CONCATENATE(BD_COMERCIAL!$K312," ",BD_COMERCIAL!$L312),'Curva Forward'!$B$5:$B$13,0),MATCH(FV$4,'Curva Forward'!$C$4:$AN$4,0))),CX312)</f>
        <v>0</v>
      </c>
      <c r="FW312" s="190">
        <f>AK312*AK$2*IF($FC312="V",1,-1)*IF($Q312="Fixo",(CY312-INDEX('Curva Forward'!$C$5:$AN$13,MATCH(CONCATENATE(BD_COMERCIAL!$K312," ",BD_COMERCIAL!$L312),'Curva Forward'!$B$5:$B$13,0),MATCH(FW$4,'Curva Forward'!$C$4:$AN$4,0))),CY312)</f>
        <v>0</v>
      </c>
      <c r="FX312" s="190">
        <f>AL312*AL$2*IF($FC312="V",1,-1)*IF($Q312="Fixo",(CZ312-INDEX('Curva Forward'!$C$5:$AN$13,MATCH(CONCATENATE(BD_COMERCIAL!$K312," ",BD_COMERCIAL!$L312),'Curva Forward'!$B$5:$B$13,0),MATCH(FX$4,'Curva Forward'!$C$4:$AN$4,0))),CZ312)</f>
        <v>0</v>
      </c>
      <c r="FY312" s="190">
        <f>AM312*AM$2*IF($FC312="V",1,-1)*IF($Q312="Fixo",(DA312-INDEX('Curva Forward'!$C$5:$AN$13,MATCH(CONCATENATE(BD_COMERCIAL!$K312," ",BD_COMERCIAL!$L312),'Curva Forward'!$B$5:$B$13,0),MATCH(FY$4,'Curva Forward'!$C$4:$AN$4,0))),DA312)</f>
        <v>0</v>
      </c>
      <c r="FZ312" s="190">
        <f>AN312*AN$2*IF($FC312="V",1,-1)*IF($Q312="Fixo",(DB312-INDEX('Curva Forward'!$C$5:$AN$13,MATCH(CONCATENATE(BD_COMERCIAL!$K312," ",BD_COMERCIAL!$L312),'Curva Forward'!$B$5:$B$13,0),MATCH(FZ$4,'Curva Forward'!$C$4:$AN$4,0))),DB312)</f>
        <v>0</v>
      </c>
      <c r="GA312" s="190">
        <f>AO312*AO$2*IF($FC312="V",1,-1)*IF($Q312="Fixo",(DC312-INDEX('Curva Forward'!$C$5:$AN$13,MATCH(CONCATENATE(BD_COMERCIAL!$K312," ",BD_COMERCIAL!$L312),'Curva Forward'!$B$5:$B$13,0),MATCH(GA$4,'Curva Forward'!$C$4:$AN$4,0))),DC312)</f>
        <v>0</v>
      </c>
      <c r="GB312" s="190">
        <f>AP312*AP$2*IF($FC312="V",1,-1)*IF($Q312="Fixo",(DD312-INDEX('Curva Forward'!$C$5:$AN$13,MATCH(CONCATENATE(BD_COMERCIAL!$K312," ",BD_COMERCIAL!$L312),'Curva Forward'!$B$5:$B$13,0),MATCH(GB$4,'Curva Forward'!$C$4:$AN$4,0))),DD312)</f>
        <v>0</v>
      </c>
      <c r="GC312" s="190">
        <f>AQ312*AQ$2*IF($FC312="V",1,-1)*IF($Q312="Fixo",(DE312-INDEX('Curva Forward'!$C$5:$AN$13,MATCH(CONCATENATE(BD_COMERCIAL!$K312," ",BD_COMERCIAL!$L312),'Curva Forward'!$B$5:$B$13,0),MATCH(GC$4,'Curva Forward'!$C$4:$AN$4,0))),DE312)</f>
        <v>0</v>
      </c>
      <c r="GD312" s="190">
        <f>AR312*AR$2*IF($FC312="V",1,-1)*IF($Q312="Fixo",(DF312-INDEX('Curva Forward'!$C$5:$AN$13,MATCH(CONCATENATE(BD_COMERCIAL!$K312," ",BD_COMERCIAL!$L312),'Curva Forward'!$B$5:$B$13,0),MATCH(GD$4,'Curva Forward'!$C$4:$AN$4,0))),DF312)</f>
        <v>0</v>
      </c>
      <c r="GE312" s="190">
        <f>AS312*AS$2*IF($FC312="V",1,-1)*IF($Q312="Fixo",(DG312-INDEX('Curva Forward'!$C$5:$AN$13,MATCH(CONCATENATE(BD_COMERCIAL!$K312," ",BD_COMERCIAL!$L312),'Curva Forward'!$B$5:$B$13,0),MATCH(GE$4,'Curva Forward'!$C$4:$AN$4,0))),DG312)</f>
        <v>0</v>
      </c>
      <c r="GF312" s="190">
        <f>AT312*AT$2*IF($FC312="V",1,-1)*IF($Q312="Fixo",(DH312-INDEX('Curva Forward'!$C$5:$AN$13,MATCH(CONCATENATE(BD_COMERCIAL!$K312," ",BD_COMERCIAL!$L312),'Curva Forward'!$B$5:$B$13,0),MATCH(GF$4,'Curva Forward'!$C$4:$AN$4,0))),DH312)</f>
        <v>0</v>
      </c>
      <c r="GG312" s="190">
        <f>AU312*AU$2*IF($FC312="V",1,-1)*IF($Q312="Fixo",(DI312-INDEX('Curva Forward'!$C$5:$AN$13,MATCH(CONCATENATE(BD_COMERCIAL!$K312," ",BD_COMERCIAL!$L312),'Curva Forward'!$B$5:$B$13,0),MATCH(GG$4,'Curva Forward'!$C$4:$AN$4,0))),DI312)</f>
        <v>0</v>
      </c>
      <c r="GH312" s="190">
        <f>AV312*AV$2*IF($FC312="V",1,-1)*IF($Q312="Fixo",(DJ312-INDEX('Curva Forward'!$C$5:$AN$13,MATCH(CONCATENATE(BD_COMERCIAL!$K312," ",BD_COMERCIAL!$L312),'Curva Forward'!$B$5:$B$13,0),MATCH(GH$4,'Curva Forward'!$C$4:$AN$4,0))),DJ312)</f>
        <v>0</v>
      </c>
      <c r="GI312" s="190">
        <f>AW312*AW$2*IF($FC312="V",1,-1)*IF($Q312="Fixo",(DK312-INDEX('Curva Forward'!$C$5:$AN$13,MATCH(CONCATENATE(BD_COMERCIAL!$K312," ",BD_COMERCIAL!$L312),'Curva Forward'!$B$5:$B$13,0),MATCH(GI$4,'Curva Forward'!$C$4:$AN$4,0))),DK312)</f>
        <v>0</v>
      </c>
      <c r="GJ312" s="190">
        <f>AX312*AX$2*IF($FC312="V",1,-1)*IF($Q312="Fixo",(DL312-INDEX('Curva Forward'!$C$5:$AN$13,MATCH(CONCATENATE(BD_COMERCIAL!$K312," ",BD_COMERCIAL!$L312),'Curva Forward'!$B$5:$B$13,0),MATCH(GJ$4,'Curva Forward'!$C$4:$AN$4,0))),DL312)</f>
        <v>0</v>
      </c>
      <c r="GK312" s="190">
        <f>AY312*AY$2*IF($FC312="V",1,-1)*IF($Q312="Fixo",(DM312-INDEX('Curva Forward'!$C$5:$AN$13,MATCH(CONCATENATE(BD_COMERCIAL!$K312," ",BD_COMERCIAL!$L312),'Curva Forward'!$B$5:$B$13,0),MATCH(GK$4,'Curva Forward'!$C$4:$AN$4,0))),DM312)</f>
        <v>0</v>
      </c>
      <c r="GL312" s="190">
        <f>IF(EZ312="",0,CL312*CL$2*IF($FC312="V",1,-1)*IF($Q312="Fixo",(EZ312-INDEX('Curva Forward'!$C$5:$AN$13,MATCH(CONCATENATE(BD_COMERCIAL!$K312," ",BD_COMERCIAL!$L312),'Curva Forward'!$B$5:$B$13,0),MATCH(GL$4,'Curva Forward'!$C$4:$AN$4,0))),EZ312))</f>
        <v>0</v>
      </c>
      <c r="GM312" s="190">
        <f>IF(FA312="",0,CM312*CM$2*IF($FC312="V",1,-1)*IF($Q312="Fixo",(FA312-INDEX('Curva Forward'!$C$5:$AN$13,MATCH(CONCATENATE(BD_COMERCIAL!$K312," ",BD_COMERCIAL!$L312),'Curva Forward'!$B$5:$B$13,0),MATCH(GM$4,'Curva Forward'!$C$4:$AN$4,0))),FA312))</f>
        <v>0</v>
      </c>
      <c r="GN312" s="190">
        <f>IF(FB312="",0,CN312*CN$2*IF($FC312="V",1,-1)*IF($Q312="Fixo",(FB312-INDEX('Curva Forward'!$C$5:$AN$13,MATCH(CONCATENATE(BD_COMERCIAL!$K312," ",BD_COMERCIAL!$L312),'Curva Forward'!$B$5:$B$13,0),MATCH(GN$4,'Curva Forward'!$C$4:$AN$4,0))),FB312))</f>
        <v>0</v>
      </c>
      <c r="GO312" s="191">
        <f t="shared" ca="1" si="39"/>
        <v>0</v>
      </c>
      <c r="GP312" s="191">
        <f t="shared" ca="1" si="40"/>
        <v>0</v>
      </c>
      <c r="GQ312" s="115"/>
      <c r="GR312" s="115"/>
      <c r="GS312"/>
      <c r="GT312" s="65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</row>
    <row r="313" spans="1:236" s="265" customFormat="1" ht="15" customHeight="1" x14ac:dyDescent="0.35">
      <c r="A313" s="251"/>
      <c r="B313" s="275"/>
      <c r="C313" s="253"/>
      <c r="D313" s="254"/>
      <c r="E313" s="254"/>
      <c r="F313" s="255"/>
      <c r="G313" s="256"/>
      <c r="H313" s="255"/>
      <c r="I313" s="254"/>
      <c r="J313" s="257"/>
      <c r="K313" s="256"/>
      <c r="L313" s="252"/>
      <c r="M313" s="258"/>
      <c r="N313" s="259"/>
      <c r="O313" s="256"/>
      <c r="P313" s="252"/>
      <c r="Q313" s="252"/>
      <c r="R313" s="256"/>
      <c r="S313" s="260"/>
      <c r="T313" s="258"/>
      <c r="U313" s="259"/>
      <c r="V313" s="261"/>
      <c r="W313" s="252"/>
      <c r="X313" s="262"/>
      <c r="Y313" s="257"/>
      <c r="Z313" s="263"/>
      <c r="AA313" s="264"/>
      <c r="AB313" s="266"/>
      <c r="AM313" s="251"/>
      <c r="AN313" s="266"/>
      <c r="AY313" s="251"/>
      <c r="AZ313" s="266"/>
      <c r="BK313" s="251"/>
      <c r="BL313" s="266"/>
      <c r="BW313" s="251"/>
      <c r="BX313" s="266"/>
      <c r="CI313" s="251"/>
      <c r="CJ313" s="267"/>
      <c r="CK313" s="267"/>
      <c r="CL313" s="267"/>
      <c r="CM313" s="267"/>
      <c r="CN313" s="267"/>
      <c r="CO313" s="268"/>
      <c r="CP313" s="266"/>
      <c r="DA313" s="251"/>
      <c r="DB313" s="266"/>
      <c r="DM313" s="251"/>
      <c r="DN313" s="266"/>
      <c r="DY313" s="251"/>
      <c r="DZ313" s="266"/>
      <c r="EK313" s="251"/>
      <c r="EL313" s="266"/>
      <c r="EW313" s="251"/>
      <c r="EX313" s="267"/>
      <c r="EY313" s="267"/>
      <c r="EZ313" s="267"/>
      <c r="FA313" s="267"/>
      <c r="FB313" s="269"/>
      <c r="FD313" s="270"/>
      <c r="FF313" s="276"/>
      <c r="FH313" s="206">
        <f t="shared" si="34"/>
        <v>0</v>
      </c>
      <c r="FI313" s="198">
        <f t="shared" si="35"/>
        <v>0</v>
      </c>
      <c r="FJ313"/>
      <c r="FK313">
        <f t="shared" si="36"/>
        <v>0</v>
      </c>
      <c r="FL313" s="191">
        <f t="shared" ca="1" si="37"/>
        <v>0</v>
      </c>
      <c r="FM313" s="191">
        <f t="shared" ca="1" si="38"/>
        <v>0</v>
      </c>
      <c r="FN313" s="190">
        <f>AB313*AB$2*IF($FC313="V",1,-1)*IF($Q313="Fixo",(CP313-INDEX('Curva Forward'!$C$5:$AN$13,MATCH(CONCATENATE(BD_COMERCIAL!$K313," ",BD_COMERCIAL!$L313),'Curva Forward'!$B$5:$B$13,0),MATCH(FN$4,'Curva Forward'!$C$4:$AN$4,0))),CP313)</f>
        <v>0</v>
      </c>
      <c r="FO313" s="190">
        <f>AC313*AC$2*IF($FC313="V",1,-1)*IF($Q313="Fixo",(CQ313-INDEX('Curva Forward'!$C$5:$AN$13,MATCH(CONCATENATE(BD_COMERCIAL!$K313," ",BD_COMERCIAL!$L313),'Curva Forward'!$B$5:$B$13,0),MATCH(FO$4,'Curva Forward'!$C$4:$AN$4,0))),CQ313)</f>
        <v>0</v>
      </c>
      <c r="FP313" s="190">
        <f>AD313*AD$2*IF($FC313="V",1,-1)*IF($Q313="Fixo",(CR313-INDEX('Curva Forward'!$C$5:$AN$13,MATCH(CONCATENATE(BD_COMERCIAL!$K313," ",BD_COMERCIAL!$L313),'Curva Forward'!$B$5:$B$13,0),MATCH(FP$4,'Curva Forward'!$C$4:$AN$4,0))),CR313)</f>
        <v>0</v>
      </c>
      <c r="FQ313" s="190">
        <f>AE313*AE$2*IF($FC313="V",1,-1)*IF($Q313="Fixo",(CS313-INDEX('Curva Forward'!$C$5:$AN$13,MATCH(CONCATENATE(BD_COMERCIAL!$K313," ",BD_COMERCIAL!$L313),'Curva Forward'!$B$5:$B$13,0),MATCH(FQ$4,'Curva Forward'!$C$4:$AN$4,0))),CS313)</f>
        <v>0</v>
      </c>
      <c r="FR313" s="190">
        <f>AF313*AF$2*IF($FC313="V",1,-1)*IF($Q313="Fixo",(CT313-INDEX('Curva Forward'!$C$5:$AN$13,MATCH(CONCATENATE(BD_COMERCIAL!$K313," ",BD_COMERCIAL!$L313),'Curva Forward'!$B$5:$B$13,0),MATCH(FR$4,'Curva Forward'!$C$4:$AN$4,0))),CT313)</f>
        <v>0</v>
      </c>
      <c r="FS313" s="190">
        <f>AG313*AG$2*IF($FC313="V",1,-1)*IF($Q313="Fixo",(CU313-INDEX('Curva Forward'!$C$5:$AN$13,MATCH(CONCATENATE(BD_COMERCIAL!$K313," ",BD_COMERCIAL!$L313),'Curva Forward'!$B$5:$B$13,0),MATCH(FS$4,'Curva Forward'!$C$4:$AN$4,0))),CU313)</f>
        <v>0</v>
      </c>
      <c r="FT313" s="190">
        <f>AH313*AH$2*IF($FC313="V",1,-1)*IF($Q313="Fixo",(CV313-INDEX('Curva Forward'!$C$5:$AN$13,MATCH(CONCATENATE(BD_COMERCIAL!$K313," ",BD_COMERCIAL!$L313),'Curva Forward'!$B$5:$B$13,0),MATCH(FT$4,'Curva Forward'!$C$4:$AN$4,0))),CV313)</f>
        <v>0</v>
      </c>
      <c r="FU313" s="190">
        <f>AI313*AI$2*IF($FC313="V",1,-1)*IF($Q313="Fixo",(CW313-INDEX('Curva Forward'!$C$5:$AN$13,MATCH(CONCATENATE(BD_COMERCIAL!$K313," ",BD_COMERCIAL!$L313),'Curva Forward'!$B$5:$B$13,0),MATCH(FU$4,'Curva Forward'!$C$4:$AN$4,0))),CW313)</f>
        <v>0</v>
      </c>
      <c r="FV313" s="190">
        <f>AJ313*AJ$2*IF($FC313="V",1,-1)*IF($Q313="Fixo",(CX313-INDEX('Curva Forward'!$C$5:$AN$13,MATCH(CONCATENATE(BD_COMERCIAL!$K313," ",BD_COMERCIAL!$L313),'Curva Forward'!$B$5:$B$13,0),MATCH(FV$4,'Curva Forward'!$C$4:$AN$4,0))),CX313)</f>
        <v>0</v>
      </c>
      <c r="FW313" s="190">
        <f>AK313*AK$2*IF($FC313="V",1,-1)*IF($Q313="Fixo",(CY313-INDEX('Curva Forward'!$C$5:$AN$13,MATCH(CONCATENATE(BD_COMERCIAL!$K313," ",BD_COMERCIAL!$L313),'Curva Forward'!$B$5:$B$13,0),MATCH(FW$4,'Curva Forward'!$C$4:$AN$4,0))),CY313)</f>
        <v>0</v>
      </c>
      <c r="FX313" s="190">
        <f>AL313*AL$2*IF($FC313="V",1,-1)*IF($Q313="Fixo",(CZ313-INDEX('Curva Forward'!$C$5:$AN$13,MATCH(CONCATENATE(BD_COMERCIAL!$K313," ",BD_COMERCIAL!$L313),'Curva Forward'!$B$5:$B$13,0),MATCH(FX$4,'Curva Forward'!$C$4:$AN$4,0))),CZ313)</f>
        <v>0</v>
      </c>
      <c r="FY313" s="190">
        <f>AM313*AM$2*IF($FC313="V",1,-1)*IF($Q313="Fixo",(DA313-INDEX('Curva Forward'!$C$5:$AN$13,MATCH(CONCATENATE(BD_COMERCIAL!$K313," ",BD_COMERCIAL!$L313),'Curva Forward'!$B$5:$B$13,0),MATCH(FY$4,'Curva Forward'!$C$4:$AN$4,0))),DA313)</f>
        <v>0</v>
      </c>
      <c r="FZ313" s="190">
        <f>AN313*AN$2*IF($FC313="V",1,-1)*IF($Q313="Fixo",(DB313-INDEX('Curva Forward'!$C$5:$AN$13,MATCH(CONCATENATE(BD_COMERCIAL!$K313," ",BD_COMERCIAL!$L313),'Curva Forward'!$B$5:$B$13,0),MATCH(FZ$4,'Curva Forward'!$C$4:$AN$4,0))),DB313)</f>
        <v>0</v>
      </c>
      <c r="GA313" s="190">
        <f>AO313*AO$2*IF($FC313="V",1,-1)*IF($Q313="Fixo",(DC313-INDEX('Curva Forward'!$C$5:$AN$13,MATCH(CONCATENATE(BD_COMERCIAL!$K313," ",BD_COMERCIAL!$L313),'Curva Forward'!$B$5:$B$13,0),MATCH(GA$4,'Curva Forward'!$C$4:$AN$4,0))),DC313)</f>
        <v>0</v>
      </c>
      <c r="GB313" s="190">
        <f>AP313*AP$2*IF($FC313="V",1,-1)*IF($Q313="Fixo",(DD313-INDEX('Curva Forward'!$C$5:$AN$13,MATCH(CONCATENATE(BD_COMERCIAL!$K313," ",BD_COMERCIAL!$L313),'Curva Forward'!$B$5:$B$13,0),MATCH(GB$4,'Curva Forward'!$C$4:$AN$4,0))),DD313)</f>
        <v>0</v>
      </c>
      <c r="GC313" s="190">
        <f>AQ313*AQ$2*IF($FC313="V",1,-1)*IF($Q313="Fixo",(DE313-INDEX('Curva Forward'!$C$5:$AN$13,MATCH(CONCATENATE(BD_COMERCIAL!$K313," ",BD_COMERCIAL!$L313),'Curva Forward'!$B$5:$B$13,0),MATCH(GC$4,'Curva Forward'!$C$4:$AN$4,0))),DE313)</f>
        <v>0</v>
      </c>
      <c r="GD313" s="190">
        <f>AR313*AR$2*IF($FC313="V",1,-1)*IF($Q313="Fixo",(DF313-INDEX('Curva Forward'!$C$5:$AN$13,MATCH(CONCATENATE(BD_COMERCIAL!$K313," ",BD_COMERCIAL!$L313),'Curva Forward'!$B$5:$B$13,0),MATCH(GD$4,'Curva Forward'!$C$4:$AN$4,0))),DF313)</f>
        <v>0</v>
      </c>
      <c r="GE313" s="190">
        <f>AS313*AS$2*IF($FC313="V",1,-1)*IF($Q313="Fixo",(DG313-INDEX('Curva Forward'!$C$5:$AN$13,MATCH(CONCATENATE(BD_COMERCIAL!$K313," ",BD_COMERCIAL!$L313),'Curva Forward'!$B$5:$B$13,0),MATCH(GE$4,'Curva Forward'!$C$4:$AN$4,0))),DG313)</f>
        <v>0</v>
      </c>
      <c r="GF313" s="190">
        <f>AT313*AT$2*IF($FC313="V",1,-1)*IF($Q313="Fixo",(DH313-INDEX('Curva Forward'!$C$5:$AN$13,MATCH(CONCATENATE(BD_COMERCIAL!$K313," ",BD_COMERCIAL!$L313),'Curva Forward'!$B$5:$B$13,0),MATCH(GF$4,'Curva Forward'!$C$4:$AN$4,0))),DH313)</f>
        <v>0</v>
      </c>
      <c r="GG313" s="190">
        <f>AU313*AU$2*IF($FC313="V",1,-1)*IF($Q313="Fixo",(DI313-INDEX('Curva Forward'!$C$5:$AN$13,MATCH(CONCATENATE(BD_COMERCIAL!$K313," ",BD_COMERCIAL!$L313),'Curva Forward'!$B$5:$B$13,0),MATCH(GG$4,'Curva Forward'!$C$4:$AN$4,0))),DI313)</f>
        <v>0</v>
      </c>
      <c r="GH313" s="190">
        <f>AV313*AV$2*IF($FC313="V",1,-1)*IF($Q313="Fixo",(DJ313-INDEX('Curva Forward'!$C$5:$AN$13,MATCH(CONCATENATE(BD_COMERCIAL!$K313," ",BD_COMERCIAL!$L313),'Curva Forward'!$B$5:$B$13,0),MATCH(GH$4,'Curva Forward'!$C$4:$AN$4,0))),DJ313)</f>
        <v>0</v>
      </c>
      <c r="GI313" s="190">
        <f>AW313*AW$2*IF($FC313="V",1,-1)*IF($Q313="Fixo",(DK313-INDEX('Curva Forward'!$C$5:$AN$13,MATCH(CONCATENATE(BD_COMERCIAL!$K313," ",BD_COMERCIAL!$L313),'Curva Forward'!$B$5:$B$13,0),MATCH(GI$4,'Curva Forward'!$C$4:$AN$4,0))),DK313)</f>
        <v>0</v>
      </c>
      <c r="GJ313" s="190">
        <f>AX313*AX$2*IF($FC313="V",1,-1)*IF($Q313="Fixo",(DL313-INDEX('Curva Forward'!$C$5:$AN$13,MATCH(CONCATENATE(BD_COMERCIAL!$K313," ",BD_COMERCIAL!$L313),'Curva Forward'!$B$5:$B$13,0),MATCH(GJ$4,'Curva Forward'!$C$4:$AN$4,0))),DL313)</f>
        <v>0</v>
      </c>
      <c r="GK313" s="190">
        <f>AY313*AY$2*IF($FC313="V",1,-1)*IF($Q313="Fixo",(DM313-INDEX('Curva Forward'!$C$5:$AN$13,MATCH(CONCATENATE(BD_COMERCIAL!$K313," ",BD_COMERCIAL!$L313),'Curva Forward'!$B$5:$B$13,0),MATCH(GK$4,'Curva Forward'!$C$4:$AN$4,0))),DM313)</f>
        <v>0</v>
      </c>
      <c r="GL313" s="190">
        <f>IF(EZ313="",0,CL313*CL$2*IF($FC313="V",1,-1)*IF($Q313="Fixo",(EZ313-INDEX('Curva Forward'!$C$5:$AN$13,MATCH(CONCATENATE(BD_COMERCIAL!$K313," ",BD_COMERCIAL!$L313),'Curva Forward'!$B$5:$B$13,0),MATCH(GL$4,'Curva Forward'!$C$4:$AN$4,0))),EZ313))</f>
        <v>0</v>
      </c>
      <c r="GM313" s="190">
        <f>IF(FA313="",0,CM313*CM$2*IF($FC313="V",1,-1)*IF($Q313="Fixo",(FA313-INDEX('Curva Forward'!$C$5:$AN$13,MATCH(CONCATENATE(BD_COMERCIAL!$K313," ",BD_COMERCIAL!$L313),'Curva Forward'!$B$5:$B$13,0),MATCH(GM$4,'Curva Forward'!$C$4:$AN$4,0))),FA313))</f>
        <v>0</v>
      </c>
      <c r="GN313" s="190">
        <f>IF(FB313="",0,CN313*CN$2*IF($FC313="V",1,-1)*IF($Q313="Fixo",(FB313-INDEX('Curva Forward'!$C$5:$AN$13,MATCH(CONCATENATE(BD_COMERCIAL!$K313," ",BD_COMERCIAL!$L313),'Curva Forward'!$B$5:$B$13,0),MATCH(GN$4,'Curva Forward'!$C$4:$AN$4,0))),FB313))</f>
        <v>0</v>
      </c>
      <c r="GO313" s="191">
        <f t="shared" ca="1" si="39"/>
        <v>0</v>
      </c>
      <c r="GP313" s="191">
        <f t="shared" ca="1" si="40"/>
        <v>0</v>
      </c>
      <c r="GQ313" s="115"/>
      <c r="GR313" s="115"/>
      <c r="GS313"/>
      <c r="GT313" s="65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</row>
    <row r="314" spans="1:236" s="265" customFormat="1" ht="15" customHeight="1" x14ac:dyDescent="0.35">
      <c r="A314" s="251"/>
      <c r="B314" s="275"/>
      <c r="C314" s="253"/>
      <c r="D314" s="254"/>
      <c r="E314" s="254"/>
      <c r="F314" s="255"/>
      <c r="G314" s="256"/>
      <c r="H314" s="255"/>
      <c r="I314" s="254"/>
      <c r="J314" s="257"/>
      <c r="K314" s="256"/>
      <c r="L314" s="252"/>
      <c r="M314" s="258"/>
      <c r="N314" s="259"/>
      <c r="O314" s="256"/>
      <c r="P314" s="252"/>
      <c r="Q314" s="252"/>
      <c r="R314" s="256"/>
      <c r="S314" s="260"/>
      <c r="T314" s="258"/>
      <c r="U314" s="259"/>
      <c r="V314" s="261"/>
      <c r="W314" s="252"/>
      <c r="X314" s="262"/>
      <c r="Y314" s="257"/>
      <c r="Z314" s="263"/>
      <c r="AA314" s="264"/>
      <c r="AB314" s="266"/>
      <c r="AM314" s="251"/>
      <c r="AN314" s="266"/>
      <c r="AY314" s="251"/>
      <c r="AZ314" s="266"/>
      <c r="BK314" s="251"/>
      <c r="BL314" s="266"/>
      <c r="BW314" s="251"/>
      <c r="BX314" s="266"/>
      <c r="CI314" s="251"/>
      <c r="CJ314" s="267"/>
      <c r="CK314" s="267"/>
      <c r="CL314" s="267"/>
      <c r="CM314" s="267"/>
      <c r="CN314" s="267"/>
      <c r="CO314" s="268"/>
      <c r="CP314" s="266"/>
      <c r="DA314" s="251"/>
      <c r="DB314" s="266"/>
      <c r="DM314" s="251"/>
      <c r="DN314" s="266"/>
      <c r="DY314" s="251"/>
      <c r="DZ314" s="266"/>
      <c r="EK314" s="251"/>
      <c r="EL314" s="266"/>
      <c r="EW314" s="251"/>
      <c r="EX314" s="267"/>
      <c r="EY314" s="267"/>
      <c r="EZ314" s="267"/>
      <c r="FA314" s="267"/>
      <c r="FB314" s="269"/>
      <c r="FD314" s="270"/>
      <c r="FF314" s="276"/>
      <c r="FH314" s="206">
        <f t="shared" si="34"/>
        <v>0</v>
      </c>
      <c r="FI314" s="198">
        <f t="shared" si="35"/>
        <v>0</v>
      </c>
      <c r="FJ314"/>
      <c r="FK314">
        <f t="shared" si="36"/>
        <v>0</v>
      </c>
      <c r="FL314" s="191">
        <f t="shared" ca="1" si="37"/>
        <v>0</v>
      </c>
      <c r="FM314" s="191">
        <f t="shared" ca="1" si="38"/>
        <v>0</v>
      </c>
      <c r="FN314" s="190">
        <f>AB314*AB$2*IF($FC314="V",1,-1)*IF($Q314="Fixo",(CP314-INDEX('Curva Forward'!$C$5:$AN$13,MATCH(CONCATENATE(BD_COMERCIAL!$K314," ",BD_COMERCIAL!$L314),'Curva Forward'!$B$5:$B$13,0),MATCH(FN$4,'Curva Forward'!$C$4:$AN$4,0))),CP314)</f>
        <v>0</v>
      </c>
      <c r="FO314" s="190">
        <f>AC314*AC$2*IF($FC314="V",1,-1)*IF($Q314="Fixo",(CQ314-INDEX('Curva Forward'!$C$5:$AN$13,MATCH(CONCATENATE(BD_COMERCIAL!$K314," ",BD_COMERCIAL!$L314),'Curva Forward'!$B$5:$B$13,0),MATCH(FO$4,'Curva Forward'!$C$4:$AN$4,0))),CQ314)</f>
        <v>0</v>
      </c>
      <c r="FP314" s="190">
        <f>AD314*AD$2*IF($FC314="V",1,-1)*IF($Q314="Fixo",(CR314-INDEX('Curva Forward'!$C$5:$AN$13,MATCH(CONCATENATE(BD_COMERCIAL!$K314," ",BD_COMERCIAL!$L314),'Curva Forward'!$B$5:$B$13,0),MATCH(FP$4,'Curva Forward'!$C$4:$AN$4,0))),CR314)</f>
        <v>0</v>
      </c>
      <c r="FQ314" s="190">
        <f>AE314*AE$2*IF($FC314="V",1,-1)*IF($Q314="Fixo",(CS314-INDEX('Curva Forward'!$C$5:$AN$13,MATCH(CONCATENATE(BD_COMERCIAL!$K314," ",BD_COMERCIAL!$L314),'Curva Forward'!$B$5:$B$13,0),MATCH(FQ$4,'Curva Forward'!$C$4:$AN$4,0))),CS314)</f>
        <v>0</v>
      </c>
      <c r="FR314" s="190">
        <f>AF314*AF$2*IF($FC314="V",1,-1)*IF($Q314="Fixo",(CT314-INDEX('Curva Forward'!$C$5:$AN$13,MATCH(CONCATENATE(BD_COMERCIAL!$K314," ",BD_COMERCIAL!$L314),'Curva Forward'!$B$5:$B$13,0),MATCH(FR$4,'Curva Forward'!$C$4:$AN$4,0))),CT314)</f>
        <v>0</v>
      </c>
      <c r="FS314" s="190">
        <f>AG314*AG$2*IF($FC314="V",1,-1)*IF($Q314="Fixo",(CU314-INDEX('Curva Forward'!$C$5:$AN$13,MATCH(CONCATENATE(BD_COMERCIAL!$K314," ",BD_COMERCIAL!$L314),'Curva Forward'!$B$5:$B$13,0),MATCH(FS$4,'Curva Forward'!$C$4:$AN$4,0))),CU314)</f>
        <v>0</v>
      </c>
      <c r="FT314" s="190">
        <f>AH314*AH$2*IF($FC314="V",1,-1)*IF($Q314="Fixo",(CV314-INDEX('Curva Forward'!$C$5:$AN$13,MATCH(CONCATENATE(BD_COMERCIAL!$K314," ",BD_COMERCIAL!$L314),'Curva Forward'!$B$5:$B$13,0),MATCH(FT$4,'Curva Forward'!$C$4:$AN$4,0))),CV314)</f>
        <v>0</v>
      </c>
      <c r="FU314" s="190">
        <f>AI314*AI$2*IF($FC314="V",1,-1)*IF($Q314="Fixo",(CW314-INDEX('Curva Forward'!$C$5:$AN$13,MATCH(CONCATENATE(BD_COMERCIAL!$K314," ",BD_COMERCIAL!$L314),'Curva Forward'!$B$5:$B$13,0),MATCH(FU$4,'Curva Forward'!$C$4:$AN$4,0))),CW314)</f>
        <v>0</v>
      </c>
      <c r="FV314" s="190">
        <f>AJ314*AJ$2*IF($FC314="V",1,-1)*IF($Q314="Fixo",(CX314-INDEX('Curva Forward'!$C$5:$AN$13,MATCH(CONCATENATE(BD_COMERCIAL!$K314," ",BD_COMERCIAL!$L314),'Curva Forward'!$B$5:$B$13,0),MATCH(FV$4,'Curva Forward'!$C$4:$AN$4,0))),CX314)</f>
        <v>0</v>
      </c>
      <c r="FW314" s="190">
        <f>AK314*AK$2*IF($FC314="V",1,-1)*IF($Q314="Fixo",(CY314-INDEX('Curva Forward'!$C$5:$AN$13,MATCH(CONCATENATE(BD_COMERCIAL!$K314," ",BD_COMERCIAL!$L314),'Curva Forward'!$B$5:$B$13,0),MATCH(FW$4,'Curva Forward'!$C$4:$AN$4,0))),CY314)</f>
        <v>0</v>
      </c>
      <c r="FX314" s="190">
        <f>AL314*AL$2*IF($FC314="V",1,-1)*IF($Q314="Fixo",(CZ314-INDEX('Curva Forward'!$C$5:$AN$13,MATCH(CONCATENATE(BD_COMERCIAL!$K314," ",BD_COMERCIAL!$L314),'Curva Forward'!$B$5:$B$13,0),MATCH(FX$4,'Curva Forward'!$C$4:$AN$4,0))),CZ314)</f>
        <v>0</v>
      </c>
      <c r="FY314" s="190">
        <f>AM314*AM$2*IF($FC314="V",1,-1)*IF($Q314="Fixo",(DA314-INDEX('Curva Forward'!$C$5:$AN$13,MATCH(CONCATENATE(BD_COMERCIAL!$K314," ",BD_COMERCIAL!$L314),'Curva Forward'!$B$5:$B$13,0),MATCH(FY$4,'Curva Forward'!$C$4:$AN$4,0))),DA314)</f>
        <v>0</v>
      </c>
      <c r="FZ314" s="190">
        <f>AN314*AN$2*IF($FC314="V",1,-1)*IF($Q314="Fixo",(DB314-INDEX('Curva Forward'!$C$5:$AN$13,MATCH(CONCATENATE(BD_COMERCIAL!$K314," ",BD_COMERCIAL!$L314),'Curva Forward'!$B$5:$B$13,0),MATCH(FZ$4,'Curva Forward'!$C$4:$AN$4,0))),DB314)</f>
        <v>0</v>
      </c>
      <c r="GA314" s="190">
        <f>AO314*AO$2*IF($FC314="V",1,-1)*IF($Q314="Fixo",(DC314-INDEX('Curva Forward'!$C$5:$AN$13,MATCH(CONCATENATE(BD_COMERCIAL!$K314," ",BD_COMERCIAL!$L314),'Curva Forward'!$B$5:$B$13,0),MATCH(GA$4,'Curva Forward'!$C$4:$AN$4,0))),DC314)</f>
        <v>0</v>
      </c>
      <c r="GB314" s="190">
        <f>AP314*AP$2*IF($FC314="V",1,-1)*IF($Q314="Fixo",(DD314-INDEX('Curva Forward'!$C$5:$AN$13,MATCH(CONCATENATE(BD_COMERCIAL!$K314," ",BD_COMERCIAL!$L314),'Curva Forward'!$B$5:$B$13,0),MATCH(GB$4,'Curva Forward'!$C$4:$AN$4,0))),DD314)</f>
        <v>0</v>
      </c>
      <c r="GC314" s="190">
        <f>AQ314*AQ$2*IF($FC314="V",1,-1)*IF($Q314="Fixo",(DE314-INDEX('Curva Forward'!$C$5:$AN$13,MATCH(CONCATENATE(BD_COMERCIAL!$K314," ",BD_COMERCIAL!$L314),'Curva Forward'!$B$5:$B$13,0),MATCH(GC$4,'Curva Forward'!$C$4:$AN$4,0))),DE314)</f>
        <v>0</v>
      </c>
      <c r="GD314" s="190">
        <f>AR314*AR$2*IF($FC314="V",1,-1)*IF($Q314="Fixo",(DF314-INDEX('Curva Forward'!$C$5:$AN$13,MATCH(CONCATENATE(BD_COMERCIAL!$K314," ",BD_COMERCIAL!$L314),'Curva Forward'!$B$5:$B$13,0),MATCH(GD$4,'Curva Forward'!$C$4:$AN$4,0))),DF314)</f>
        <v>0</v>
      </c>
      <c r="GE314" s="190">
        <f>AS314*AS$2*IF($FC314="V",1,-1)*IF($Q314="Fixo",(DG314-INDEX('Curva Forward'!$C$5:$AN$13,MATCH(CONCATENATE(BD_COMERCIAL!$K314," ",BD_COMERCIAL!$L314),'Curva Forward'!$B$5:$B$13,0),MATCH(GE$4,'Curva Forward'!$C$4:$AN$4,0))),DG314)</f>
        <v>0</v>
      </c>
      <c r="GF314" s="190">
        <f>AT314*AT$2*IF($FC314="V",1,-1)*IF($Q314="Fixo",(DH314-INDEX('Curva Forward'!$C$5:$AN$13,MATCH(CONCATENATE(BD_COMERCIAL!$K314," ",BD_COMERCIAL!$L314),'Curva Forward'!$B$5:$B$13,0),MATCH(GF$4,'Curva Forward'!$C$4:$AN$4,0))),DH314)</f>
        <v>0</v>
      </c>
      <c r="GG314" s="190">
        <f>AU314*AU$2*IF($FC314="V",1,-1)*IF($Q314="Fixo",(DI314-INDEX('Curva Forward'!$C$5:$AN$13,MATCH(CONCATENATE(BD_COMERCIAL!$K314," ",BD_COMERCIAL!$L314),'Curva Forward'!$B$5:$B$13,0),MATCH(GG$4,'Curva Forward'!$C$4:$AN$4,0))),DI314)</f>
        <v>0</v>
      </c>
      <c r="GH314" s="190">
        <f>AV314*AV$2*IF($FC314="V",1,-1)*IF($Q314="Fixo",(DJ314-INDEX('Curva Forward'!$C$5:$AN$13,MATCH(CONCATENATE(BD_COMERCIAL!$K314," ",BD_COMERCIAL!$L314),'Curva Forward'!$B$5:$B$13,0),MATCH(GH$4,'Curva Forward'!$C$4:$AN$4,0))),DJ314)</f>
        <v>0</v>
      </c>
      <c r="GI314" s="190">
        <f>AW314*AW$2*IF($FC314="V",1,-1)*IF($Q314="Fixo",(DK314-INDEX('Curva Forward'!$C$5:$AN$13,MATCH(CONCATENATE(BD_COMERCIAL!$K314," ",BD_COMERCIAL!$L314),'Curva Forward'!$B$5:$B$13,0),MATCH(GI$4,'Curva Forward'!$C$4:$AN$4,0))),DK314)</f>
        <v>0</v>
      </c>
      <c r="GJ314" s="190">
        <f>AX314*AX$2*IF($FC314="V",1,-1)*IF($Q314="Fixo",(DL314-INDEX('Curva Forward'!$C$5:$AN$13,MATCH(CONCATENATE(BD_COMERCIAL!$K314," ",BD_COMERCIAL!$L314),'Curva Forward'!$B$5:$B$13,0),MATCH(GJ$4,'Curva Forward'!$C$4:$AN$4,0))),DL314)</f>
        <v>0</v>
      </c>
      <c r="GK314" s="190">
        <f>AY314*AY$2*IF($FC314="V",1,-1)*IF($Q314="Fixo",(DM314-INDEX('Curva Forward'!$C$5:$AN$13,MATCH(CONCATENATE(BD_COMERCIAL!$K314," ",BD_COMERCIAL!$L314),'Curva Forward'!$B$5:$B$13,0),MATCH(GK$4,'Curva Forward'!$C$4:$AN$4,0))),DM314)</f>
        <v>0</v>
      </c>
      <c r="GL314" s="190">
        <f>IF(EZ314="",0,CL314*CL$2*IF($FC314="V",1,-1)*IF($Q314="Fixo",(EZ314-INDEX('Curva Forward'!$C$5:$AN$13,MATCH(CONCATENATE(BD_COMERCIAL!$K314," ",BD_COMERCIAL!$L314),'Curva Forward'!$B$5:$B$13,0),MATCH(GL$4,'Curva Forward'!$C$4:$AN$4,0))),EZ314))</f>
        <v>0</v>
      </c>
      <c r="GM314" s="190">
        <f>IF(FA314="",0,CM314*CM$2*IF($FC314="V",1,-1)*IF($Q314="Fixo",(FA314-INDEX('Curva Forward'!$C$5:$AN$13,MATCH(CONCATENATE(BD_COMERCIAL!$K314," ",BD_COMERCIAL!$L314),'Curva Forward'!$B$5:$B$13,0),MATCH(GM$4,'Curva Forward'!$C$4:$AN$4,0))),FA314))</f>
        <v>0</v>
      </c>
      <c r="GN314" s="190">
        <f>IF(FB314="",0,CN314*CN$2*IF($FC314="V",1,-1)*IF($Q314="Fixo",(FB314-INDEX('Curva Forward'!$C$5:$AN$13,MATCH(CONCATENATE(BD_COMERCIAL!$K314," ",BD_COMERCIAL!$L314),'Curva Forward'!$B$5:$B$13,0),MATCH(GN$4,'Curva Forward'!$C$4:$AN$4,0))),FB314))</f>
        <v>0</v>
      </c>
      <c r="GO314" s="191">
        <f t="shared" ca="1" si="39"/>
        <v>0</v>
      </c>
      <c r="GP314" s="191">
        <f t="shared" ca="1" si="40"/>
        <v>0</v>
      </c>
      <c r="GQ314" s="115"/>
      <c r="GR314" s="115"/>
      <c r="GS314"/>
      <c r="GT314" s="65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</row>
    <row r="315" spans="1:236" s="265" customFormat="1" ht="15" customHeight="1" x14ac:dyDescent="0.35">
      <c r="A315" s="251"/>
      <c r="B315" s="275"/>
      <c r="C315" s="253"/>
      <c r="D315" s="254"/>
      <c r="E315" s="254"/>
      <c r="F315" s="255"/>
      <c r="G315" s="256"/>
      <c r="H315" s="255"/>
      <c r="I315" s="254"/>
      <c r="J315" s="257"/>
      <c r="K315" s="256"/>
      <c r="L315" s="252"/>
      <c r="M315" s="258"/>
      <c r="N315" s="259"/>
      <c r="O315" s="256"/>
      <c r="P315" s="252"/>
      <c r="Q315" s="252"/>
      <c r="R315" s="256"/>
      <c r="S315" s="260"/>
      <c r="T315" s="258"/>
      <c r="U315" s="259"/>
      <c r="V315" s="261"/>
      <c r="W315" s="252"/>
      <c r="X315" s="262"/>
      <c r="Y315" s="257"/>
      <c r="Z315" s="263"/>
      <c r="AA315" s="264"/>
      <c r="AB315" s="266"/>
      <c r="AM315" s="251"/>
      <c r="AN315" s="266"/>
      <c r="AY315" s="251"/>
      <c r="AZ315" s="266"/>
      <c r="BK315" s="251"/>
      <c r="BL315" s="266"/>
      <c r="BW315" s="251"/>
      <c r="BX315" s="266"/>
      <c r="CI315" s="251"/>
      <c r="CJ315" s="267"/>
      <c r="CK315" s="267"/>
      <c r="CL315" s="267"/>
      <c r="CM315" s="267"/>
      <c r="CN315" s="267"/>
      <c r="CO315" s="268"/>
      <c r="CP315" s="266"/>
      <c r="DA315" s="251"/>
      <c r="DB315" s="266"/>
      <c r="DM315" s="251"/>
      <c r="DN315" s="266"/>
      <c r="DY315" s="251"/>
      <c r="DZ315" s="266"/>
      <c r="EK315" s="251"/>
      <c r="EL315" s="266"/>
      <c r="EW315" s="251"/>
      <c r="EX315" s="267"/>
      <c r="EY315" s="267"/>
      <c r="EZ315" s="267"/>
      <c r="FA315" s="267"/>
      <c r="FB315" s="269"/>
      <c r="FD315" s="270"/>
      <c r="FF315" s="276"/>
      <c r="FH315" s="206">
        <f t="shared" si="34"/>
        <v>0</v>
      </c>
      <c r="FI315" s="198">
        <f t="shared" si="35"/>
        <v>0</v>
      </c>
      <c r="FJ315"/>
      <c r="FK315">
        <f t="shared" si="36"/>
        <v>0</v>
      </c>
      <c r="FL315" s="191">
        <f t="shared" ca="1" si="37"/>
        <v>0</v>
      </c>
      <c r="FM315" s="191">
        <f t="shared" ca="1" si="38"/>
        <v>0</v>
      </c>
      <c r="FN315" s="190">
        <f>AB315*AB$2*IF($FC315="V",1,-1)*IF($Q315="Fixo",(CP315-INDEX('Curva Forward'!$C$5:$AN$13,MATCH(CONCATENATE(BD_COMERCIAL!$K315," ",BD_COMERCIAL!$L315),'Curva Forward'!$B$5:$B$13,0),MATCH(FN$4,'Curva Forward'!$C$4:$AN$4,0))),CP315)</f>
        <v>0</v>
      </c>
      <c r="FO315" s="190">
        <f>AC315*AC$2*IF($FC315="V",1,-1)*IF($Q315="Fixo",(CQ315-INDEX('Curva Forward'!$C$5:$AN$13,MATCH(CONCATENATE(BD_COMERCIAL!$K315," ",BD_COMERCIAL!$L315),'Curva Forward'!$B$5:$B$13,0),MATCH(FO$4,'Curva Forward'!$C$4:$AN$4,0))),CQ315)</f>
        <v>0</v>
      </c>
      <c r="FP315" s="190">
        <f>AD315*AD$2*IF($FC315="V",1,-1)*IF($Q315="Fixo",(CR315-INDEX('Curva Forward'!$C$5:$AN$13,MATCH(CONCATENATE(BD_COMERCIAL!$K315," ",BD_COMERCIAL!$L315),'Curva Forward'!$B$5:$B$13,0),MATCH(FP$4,'Curva Forward'!$C$4:$AN$4,0))),CR315)</f>
        <v>0</v>
      </c>
      <c r="FQ315" s="190">
        <f>AE315*AE$2*IF($FC315="V",1,-1)*IF($Q315="Fixo",(CS315-INDEX('Curva Forward'!$C$5:$AN$13,MATCH(CONCATENATE(BD_COMERCIAL!$K315," ",BD_COMERCIAL!$L315),'Curva Forward'!$B$5:$B$13,0),MATCH(FQ$4,'Curva Forward'!$C$4:$AN$4,0))),CS315)</f>
        <v>0</v>
      </c>
      <c r="FR315" s="190">
        <f>AF315*AF$2*IF($FC315="V",1,-1)*IF($Q315="Fixo",(CT315-INDEX('Curva Forward'!$C$5:$AN$13,MATCH(CONCATENATE(BD_COMERCIAL!$K315," ",BD_COMERCIAL!$L315),'Curva Forward'!$B$5:$B$13,0),MATCH(FR$4,'Curva Forward'!$C$4:$AN$4,0))),CT315)</f>
        <v>0</v>
      </c>
      <c r="FS315" s="190">
        <f>AG315*AG$2*IF($FC315="V",1,-1)*IF($Q315="Fixo",(CU315-INDEX('Curva Forward'!$C$5:$AN$13,MATCH(CONCATENATE(BD_COMERCIAL!$K315," ",BD_COMERCIAL!$L315),'Curva Forward'!$B$5:$B$13,0),MATCH(FS$4,'Curva Forward'!$C$4:$AN$4,0))),CU315)</f>
        <v>0</v>
      </c>
      <c r="FT315" s="190">
        <f>AH315*AH$2*IF($FC315="V",1,-1)*IF($Q315="Fixo",(CV315-INDEX('Curva Forward'!$C$5:$AN$13,MATCH(CONCATENATE(BD_COMERCIAL!$K315," ",BD_COMERCIAL!$L315),'Curva Forward'!$B$5:$B$13,0),MATCH(FT$4,'Curva Forward'!$C$4:$AN$4,0))),CV315)</f>
        <v>0</v>
      </c>
      <c r="FU315" s="190">
        <f>AI315*AI$2*IF($FC315="V",1,-1)*IF($Q315="Fixo",(CW315-INDEX('Curva Forward'!$C$5:$AN$13,MATCH(CONCATENATE(BD_COMERCIAL!$K315," ",BD_COMERCIAL!$L315),'Curva Forward'!$B$5:$B$13,0),MATCH(FU$4,'Curva Forward'!$C$4:$AN$4,0))),CW315)</f>
        <v>0</v>
      </c>
      <c r="FV315" s="190">
        <f>AJ315*AJ$2*IF($FC315="V",1,-1)*IF($Q315="Fixo",(CX315-INDEX('Curva Forward'!$C$5:$AN$13,MATCH(CONCATENATE(BD_COMERCIAL!$K315," ",BD_COMERCIAL!$L315),'Curva Forward'!$B$5:$B$13,0),MATCH(FV$4,'Curva Forward'!$C$4:$AN$4,0))),CX315)</f>
        <v>0</v>
      </c>
      <c r="FW315" s="190">
        <f>AK315*AK$2*IF($FC315="V",1,-1)*IF($Q315="Fixo",(CY315-INDEX('Curva Forward'!$C$5:$AN$13,MATCH(CONCATENATE(BD_COMERCIAL!$K315," ",BD_COMERCIAL!$L315),'Curva Forward'!$B$5:$B$13,0),MATCH(FW$4,'Curva Forward'!$C$4:$AN$4,0))),CY315)</f>
        <v>0</v>
      </c>
      <c r="FX315" s="190">
        <f>AL315*AL$2*IF($FC315="V",1,-1)*IF($Q315="Fixo",(CZ315-INDEX('Curva Forward'!$C$5:$AN$13,MATCH(CONCATENATE(BD_COMERCIAL!$K315," ",BD_COMERCIAL!$L315),'Curva Forward'!$B$5:$B$13,0),MATCH(FX$4,'Curva Forward'!$C$4:$AN$4,0))),CZ315)</f>
        <v>0</v>
      </c>
      <c r="FY315" s="190">
        <f>AM315*AM$2*IF($FC315="V",1,-1)*IF($Q315="Fixo",(DA315-INDEX('Curva Forward'!$C$5:$AN$13,MATCH(CONCATENATE(BD_COMERCIAL!$K315," ",BD_COMERCIAL!$L315),'Curva Forward'!$B$5:$B$13,0),MATCH(FY$4,'Curva Forward'!$C$4:$AN$4,0))),DA315)</f>
        <v>0</v>
      </c>
      <c r="FZ315" s="190">
        <f>AN315*AN$2*IF($FC315="V",1,-1)*IF($Q315="Fixo",(DB315-INDEX('Curva Forward'!$C$5:$AN$13,MATCH(CONCATENATE(BD_COMERCIAL!$K315," ",BD_COMERCIAL!$L315),'Curva Forward'!$B$5:$B$13,0),MATCH(FZ$4,'Curva Forward'!$C$4:$AN$4,0))),DB315)</f>
        <v>0</v>
      </c>
      <c r="GA315" s="190">
        <f>AO315*AO$2*IF($FC315="V",1,-1)*IF($Q315="Fixo",(DC315-INDEX('Curva Forward'!$C$5:$AN$13,MATCH(CONCATENATE(BD_COMERCIAL!$K315," ",BD_COMERCIAL!$L315),'Curva Forward'!$B$5:$B$13,0),MATCH(GA$4,'Curva Forward'!$C$4:$AN$4,0))),DC315)</f>
        <v>0</v>
      </c>
      <c r="GB315" s="190">
        <f>AP315*AP$2*IF($FC315="V",1,-1)*IF($Q315="Fixo",(DD315-INDEX('Curva Forward'!$C$5:$AN$13,MATCH(CONCATENATE(BD_COMERCIAL!$K315," ",BD_COMERCIAL!$L315),'Curva Forward'!$B$5:$B$13,0),MATCH(GB$4,'Curva Forward'!$C$4:$AN$4,0))),DD315)</f>
        <v>0</v>
      </c>
      <c r="GC315" s="190">
        <f>AQ315*AQ$2*IF($FC315="V",1,-1)*IF($Q315="Fixo",(DE315-INDEX('Curva Forward'!$C$5:$AN$13,MATCH(CONCATENATE(BD_COMERCIAL!$K315," ",BD_COMERCIAL!$L315),'Curva Forward'!$B$5:$B$13,0),MATCH(GC$4,'Curva Forward'!$C$4:$AN$4,0))),DE315)</f>
        <v>0</v>
      </c>
      <c r="GD315" s="190">
        <f>AR315*AR$2*IF($FC315="V",1,-1)*IF($Q315="Fixo",(DF315-INDEX('Curva Forward'!$C$5:$AN$13,MATCH(CONCATENATE(BD_COMERCIAL!$K315," ",BD_COMERCIAL!$L315),'Curva Forward'!$B$5:$B$13,0),MATCH(GD$4,'Curva Forward'!$C$4:$AN$4,0))),DF315)</f>
        <v>0</v>
      </c>
      <c r="GE315" s="190">
        <f>AS315*AS$2*IF($FC315="V",1,-1)*IF($Q315="Fixo",(DG315-INDEX('Curva Forward'!$C$5:$AN$13,MATCH(CONCATENATE(BD_COMERCIAL!$K315," ",BD_COMERCIAL!$L315),'Curva Forward'!$B$5:$B$13,0),MATCH(GE$4,'Curva Forward'!$C$4:$AN$4,0))),DG315)</f>
        <v>0</v>
      </c>
      <c r="GF315" s="190">
        <f>AT315*AT$2*IF($FC315="V",1,-1)*IF($Q315="Fixo",(DH315-INDEX('Curva Forward'!$C$5:$AN$13,MATCH(CONCATENATE(BD_COMERCIAL!$K315," ",BD_COMERCIAL!$L315),'Curva Forward'!$B$5:$B$13,0),MATCH(GF$4,'Curva Forward'!$C$4:$AN$4,0))),DH315)</f>
        <v>0</v>
      </c>
      <c r="GG315" s="190">
        <f>AU315*AU$2*IF($FC315="V",1,-1)*IF($Q315="Fixo",(DI315-INDEX('Curva Forward'!$C$5:$AN$13,MATCH(CONCATENATE(BD_COMERCIAL!$K315," ",BD_COMERCIAL!$L315),'Curva Forward'!$B$5:$B$13,0),MATCH(GG$4,'Curva Forward'!$C$4:$AN$4,0))),DI315)</f>
        <v>0</v>
      </c>
      <c r="GH315" s="190">
        <f>AV315*AV$2*IF($FC315="V",1,-1)*IF($Q315="Fixo",(DJ315-INDEX('Curva Forward'!$C$5:$AN$13,MATCH(CONCATENATE(BD_COMERCIAL!$K315," ",BD_COMERCIAL!$L315),'Curva Forward'!$B$5:$B$13,0),MATCH(GH$4,'Curva Forward'!$C$4:$AN$4,0))),DJ315)</f>
        <v>0</v>
      </c>
      <c r="GI315" s="190">
        <f>AW315*AW$2*IF($FC315="V",1,-1)*IF($Q315="Fixo",(DK315-INDEX('Curva Forward'!$C$5:$AN$13,MATCH(CONCATENATE(BD_COMERCIAL!$K315," ",BD_COMERCIAL!$L315),'Curva Forward'!$B$5:$B$13,0),MATCH(GI$4,'Curva Forward'!$C$4:$AN$4,0))),DK315)</f>
        <v>0</v>
      </c>
      <c r="GJ315" s="190">
        <f>AX315*AX$2*IF($FC315="V",1,-1)*IF($Q315="Fixo",(DL315-INDEX('Curva Forward'!$C$5:$AN$13,MATCH(CONCATENATE(BD_COMERCIAL!$K315," ",BD_COMERCIAL!$L315),'Curva Forward'!$B$5:$B$13,0),MATCH(GJ$4,'Curva Forward'!$C$4:$AN$4,0))),DL315)</f>
        <v>0</v>
      </c>
      <c r="GK315" s="190">
        <f>AY315*AY$2*IF($FC315="V",1,-1)*IF($Q315="Fixo",(DM315-INDEX('Curva Forward'!$C$5:$AN$13,MATCH(CONCATENATE(BD_COMERCIAL!$K315," ",BD_COMERCIAL!$L315),'Curva Forward'!$B$5:$B$13,0),MATCH(GK$4,'Curva Forward'!$C$4:$AN$4,0))),DM315)</f>
        <v>0</v>
      </c>
      <c r="GL315" s="190">
        <f>IF(EZ315="",0,CL315*CL$2*IF($FC315="V",1,-1)*IF($Q315="Fixo",(EZ315-INDEX('Curva Forward'!$C$5:$AN$13,MATCH(CONCATENATE(BD_COMERCIAL!$K315," ",BD_COMERCIAL!$L315),'Curva Forward'!$B$5:$B$13,0),MATCH(GL$4,'Curva Forward'!$C$4:$AN$4,0))),EZ315))</f>
        <v>0</v>
      </c>
      <c r="GM315" s="190">
        <f>IF(FA315="",0,CM315*CM$2*IF($FC315="V",1,-1)*IF($Q315="Fixo",(FA315-INDEX('Curva Forward'!$C$5:$AN$13,MATCH(CONCATENATE(BD_COMERCIAL!$K315," ",BD_COMERCIAL!$L315),'Curva Forward'!$B$5:$B$13,0),MATCH(GM$4,'Curva Forward'!$C$4:$AN$4,0))),FA315))</f>
        <v>0</v>
      </c>
      <c r="GN315" s="190">
        <f>IF(FB315="",0,CN315*CN$2*IF($FC315="V",1,-1)*IF($Q315="Fixo",(FB315-INDEX('Curva Forward'!$C$5:$AN$13,MATCH(CONCATENATE(BD_COMERCIAL!$K315," ",BD_COMERCIAL!$L315),'Curva Forward'!$B$5:$B$13,0),MATCH(GN$4,'Curva Forward'!$C$4:$AN$4,0))),FB315))</f>
        <v>0</v>
      </c>
      <c r="GO315" s="191">
        <f t="shared" ca="1" si="39"/>
        <v>0</v>
      </c>
      <c r="GP315" s="191">
        <f t="shared" ca="1" si="40"/>
        <v>0</v>
      </c>
      <c r="GQ315" s="115"/>
      <c r="GR315" s="115"/>
      <c r="GS315"/>
      <c r="GT315" s="6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</row>
    <row r="316" spans="1:236" s="265" customFormat="1" ht="15" customHeight="1" x14ac:dyDescent="0.35">
      <c r="A316" s="251"/>
      <c r="B316" s="275"/>
      <c r="C316" s="253"/>
      <c r="D316" s="254"/>
      <c r="E316" s="254"/>
      <c r="F316" s="255"/>
      <c r="G316" s="256"/>
      <c r="H316" s="255"/>
      <c r="I316" s="254"/>
      <c r="J316" s="257"/>
      <c r="K316" s="256"/>
      <c r="L316" s="252"/>
      <c r="M316" s="258"/>
      <c r="N316" s="259"/>
      <c r="O316" s="256"/>
      <c r="P316" s="252"/>
      <c r="Q316" s="252"/>
      <c r="R316" s="256"/>
      <c r="S316" s="260"/>
      <c r="T316" s="258"/>
      <c r="U316" s="259"/>
      <c r="V316" s="261"/>
      <c r="W316" s="252"/>
      <c r="X316" s="262"/>
      <c r="Y316" s="257"/>
      <c r="Z316" s="263"/>
      <c r="AA316" s="264"/>
      <c r="AB316" s="266"/>
      <c r="AM316" s="251"/>
      <c r="AN316" s="266"/>
      <c r="AY316" s="251"/>
      <c r="AZ316" s="266"/>
      <c r="BK316" s="251"/>
      <c r="BL316" s="266"/>
      <c r="BW316" s="251"/>
      <c r="BX316" s="266"/>
      <c r="CI316" s="251"/>
      <c r="CJ316" s="267"/>
      <c r="CK316" s="267"/>
      <c r="CL316" s="267"/>
      <c r="CM316" s="267"/>
      <c r="CN316" s="267"/>
      <c r="CO316" s="268"/>
      <c r="CP316" s="266"/>
      <c r="DA316" s="251"/>
      <c r="DB316" s="266"/>
      <c r="DM316" s="251"/>
      <c r="DN316" s="266"/>
      <c r="DY316" s="251"/>
      <c r="DZ316" s="266"/>
      <c r="EK316" s="251"/>
      <c r="EL316" s="266"/>
      <c r="EW316" s="251"/>
      <c r="EX316" s="267"/>
      <c r="EY316" s="267"/>
      <c r="EZ316" s="267"/>
      <c r="FA316" s="267"/>
      <c r="FB316" s="269"/>
      <c r="FD316" s="270"/>
      <c r="FF316" s="276"/>
      <c r="FH316" s="206">
        <f t="shared" si="34"/>
        <v>0</v>
      </c>
      <c r="FI316" s="198">
        <f t="shared" si="35"/>
        <v>0</v>
      </c>
      <c r="FJ316"/>
      <c r="FK316">
        <f t="shared" si="36"/>
        <v>0</v>
      </c>
      <c r="FL316" s="191">
        <f t="shared" ca="1" si="37"/>
        <v>0</v>
      </c>
      <c r="FM316" s="191">
        <f t="shared" ca="1" si="38"/>
        <v>0</v>
      </c>
      <c r="FN316" s="190">
        <f>AB316*AB$2*IF($FC316="V",1,-1)*IF($Q316="Fixo",(CP316-INDEX('Curva Forward'!$C$5:$AN$13,MATCH(CONCATENATE(BD_COMERCIAL!$K316," ",BD_COMERCIAL!$L316),'Curva Forward'!$B$5:$B$13,0),MATCH(FN$4,'Curva Forward'!$C$4:$AN$4,0))),CP316)</f>
        <v>0</v>
      </c>
      <c r="FO316" s="190">
        <f>AC316*AC$2*IF($FC316="V",1,-1)*IF($Q316="Fixo",(CQ316-INDEX('Curva Forward'!$C$5:$AN$13,MATCH(CONCATENATE(BD_COMERCIAL!$K316," ",BD_COMERCIAL!$L316),'Curva Forward'!$B$5:$B$13,0),MATCH(FO$4,'Curva Forward'!$C$4:$AN$4,0))),CQ316)</f>
        <v>0</v>
      </c>
      <c r="FP316" s="190">
        <f>AD316*AD$2*IF($FC316="V",1,-1)*IF($Q316="Fixo",(CR316-INDEX('Curva Forward'!$C$5:$AN$13,MATCH(CONCATENATE(BD_COMERCIAL!$K316," ",BD_COMERCIAL!$L316),'Curva Forward'!$B$5:$B$13,0),MATCH(FP$4,'Curva Forward'!$C$4:$AN$4,0))),CR316)</f>
        <v>0</v>
      </c>
      <c r="FQ316" s="190">
        <f>AE316*AE$2*IF($FC316="V",1,-1)*IF($Q316="Fixo",(CS316-INDEX('Curva Forward'!$C$5:$AN$13,MATCH(CONCATENATE(BD_COMERCIAL!$K316," ",BD_COMERCIAL!$L316),'Curva Forward'!$B$5:$B$13,0),MATCH(FQ$4,'Curva Forward'!$C$4:$AN$4,0))),CS316)</f>
        <v>0</v>
      </c>
      <c r="FR316" s="190">
        <f>AF316*AF$2*IF($FC316="V",1,-1)*IF($Q316="Fixo",(CT316-INDEX('Curva Forward'!$C$5:$AN$13,MATCH(CONCATENATE(BD_COMERCIAL!$K316," ",BD_COMERCIAL!$L316),'Curva Forward'!$B$5:$B$13,0),MATCH(FR$4,'Curva Forward'!$C$4:$AN$4,0))),CT316)</f>
        <v>0</v>
      </c>
      <c r="FS316" s="190">
        <f>AG316*AG$2*IF($FC316="V",1,-1)*IF($Q316="Fixo",(CU316-INDEX('Curva Forward'!$C$5:$AN$13,MATCH(CONCATENATE(BD_COMERCIAL!$K316," ",BD_COMERCIAL!$L316),'Curva Forward'!$B$5:$B$13,0),MATCH(FS$4,'Curva Forward'!$C$4:$AN$4,0))),CU316)</f>
        <v>0</v>
      </c>
      <c r="FT316" s="190">
        <f>AH316*AH$2*IF($FC316="V",1,-1)*IF($Q316="Fixo",(CV316-INDEX('Curva Forward'!$C$5:$AN$13,MATCH(CONCATENATE(BD_COMERCIAL!$K316," ",BD_COMERCIAL!$L316),'Curva Forward'!$B$5:$B$13,0),MATCH(FT$4,'Curva Forward'!$C$4:$AN$4,0))),CV316)</f>
        <v>0</v>
      </c>
      <c r="FU316" s="190">
        <f>AI316*AI$2*IF($FC316="V",1,-1)*IF($Q316="Fixo",(CW316-INDEX('Curva Forward'!$C$5:$AN$13,MATCH(CONCATENATE(BD_COMERCIAL!$K316," ",BD_COMERCIAL!$L316),'Curva Forward'!$B$5:$B$13,0),MATCH(FU$4,'Curva Forward'!$C$4:$AN$4,0))),CW316)</f>
        <v>0</v>
      </c>
      <c r="FV316" s="190">
        <f>AJ316*AJ$2*IF($FC316="V",1,-1)*IF($Q316="Fixo",(CX316-INDEX('Curva Forward'!$C$5:$AN$13,MATCH(CONCATENATE(BD_COMERCIAL!$K316," ",BD_COMERCIAL!$L316),'Curva Forward'!$B$5:$B$13,0),MATCH(FV$4,'Curva Forward'!$C$4:$AN$4,0))),CX316)</f>
        <v>0</v>
      </c>
      <c r="FW316" s="190">
        <f>AK316*AK$2*IF($FC316="V",1,-1)*IF($Q316="Fixo",(CY316-INDEX('Curva Forward'!$C$5:$AN$13,MATCH(CONCATENATE(BD_COMERCIAL!$K316," ",BD_COMERCIAL!$L316),'Curva Forward'!$B$5:$B$13,0),MATCH(FW$4,'Curva Forward'!$C$4:$AN$4,0))),CY316)</f>
        <v>0</v>
      </c>
      <c r="FX316" s="190">
        <f>AL316*AL$2*IF($FC316="V",1,-1)*IF($Q316="Fixo",(CZ316-INDEX('Curva Forward'!$C$5:$AN$13,MATCH(CONCATENATE(BD_COMERCIAL!$K316," ",BD_COMERCIAL!$L316),'Curva Forward'!$B$5:$B$13,0),MATCH(FX$4,'Curva Forward'!$C$4:$AN$4,0))),CZ316)</f>
        <v>0</v>
      </c>
      <c r="FY316" s="190">
        <f>AM316*AM$2*IF($FC316="V",1,-1)*IF($Q316="Fixo",(DA316-INDEX('Curva Forward'!$C$5:$AN$13,MATCH(CONCATENATE(BD_COMERCIAL!$K316," ",BD_COMERCIAL!$L316),'Curva Forward'!$B$5:$B$13,0),MATCH(FY$4,'Curva Forward'!$C$4:$AN$4,0))),DA316)</f>
        <v>0</v>
      </c>
      <c r="FZ316" s="190">
        <f>AN316*AN$2*IF($FC316="V",1,-1)*IF($Q316="Fixo",(DB316-INDEX('Curva Forward'!$C$5:$AN$13,MATCH(CONCATENATE(BD_COMERCIAL!$K316," ",BD_COMERCIAL!$L316),'Curva Forward'!$B$5:$B$13,0),MATCH(FZ$4,'Curva Forward'!$C$4:$AN$4,0))),DB316)</f>
        <v>0</v>
      </c>
      <c r="GA316" s="190">
        <f>AO316*AO$2*IF($FC316="V",1,-1)*IF($Q316="Fixo",(DC316-INDEX('Curva Forward'!$C$5:$AN$13,MATCH(CONCATENATE(BD_COMERCIAL!$K316," ",BD_COMERCIAL!$L316),'Curva Forward'!$B$5:$B$13,0),MATCH(GA$4,'Curva Forward'!$C$4:$AN$4,0))),DC316)</f>
        <v>0</v>
      </c>
      <c r="GB316" s="190">
        <f>AP316*AP$2*IF($FC316="V",1,-1)*IF($Q316="Fixo",(DD316-INDEX('Curva Forward'!$C$5:$AN$13,MATCH(CONCATENATE(BD_COMERCIAL!$K316," ",BD_COMERCIAL!$L316),'Curva Forward'!$B$5:$B$13,0),MATCH(GB$4,'Curva Forward'!$C$4:$AN$4,0))),DD316)</f>
        <v>0</v>
      </c>
      <c r="GC316" s="190">
        <f>AQ316*AQ$2*IF($FC316="V",1,-1)*IF($Q316="Fixo",(DE316-INDEX('Curva Forward'!$C$5:$AN$13,MATCH(CONCATENATE(BD_COMERCIAL!$K316," ",BD_COMERCIAL!$L316),'Curva Forward'!$B$5:$B$13,0),MATCH(GC$4,'Curva Forward'!$C$4:$AN$4,0))),DE316)</f>
        <v>0</v>
      </c>
      <c r="GD316" s="190">
        <f>AR316*AR$2*IF($FC316="V",1,-1)*IF($Q316="Fixo",(DF316-INDEX('Curva Forward'!$C$5:$AN$13,MATCH(CONCATENATE(BD_COMERCIAL!$K316," ",BD_COMERCIAL!$L316),'Curva Forward'!$B$5:$B$13,0),MATCH(GD$4,'Curva Forward'!$C$4:$AN$4,0))),DF316)</f>
        <v>0</v>
      </c>
      <c r="GE316" s="190">
        <f>AS316*AS$2*IF($FC316="V",1,-1)*IF($Q316="Fixo",(DG316-INDEX('Curva Forward'!$C$5:$AN$13,MATCH(CONCATENATE(BD_COMERCIAL!$K316," ",BD_COMERCIAL!$L316),'Curva Forward'!$B$5:$B$13,0),MATCH(GE$4,'Curva Forward'!$C$4:$AN$4,0))),DG316)</f>
        <v>0</v>
      </c>
      <c r="GF316" s="190">
        <f>AT316*AT$2*IF($FC316="V",1,-1)*IF($Q316="Fixo",(DH316-INDEX('Curva Forward'!$C$5:$AN$13,MATCH(CONCATENATE(BD_COMERCIAL!$K316," ",BD_COMERCIAL!$L316),'Curva Forward'!$B$5:$B$13,0),MATCH(GF$4,'Curva Forward'!$C$4:$AN$4,0))),DH316)</f>
        <v>0</v>
      </c>
      <c r="GG316" s="190">
        <f>AU316*AU$2*IF($FC316="V",1,-1)*IF($Q316="Fixo",(DI316-INDEX('Curva Forward'!$C$5:$AN$13,MATCH(CONCATENATE(BD_COMERCIAL!$K316," ",BD_COMERCIAL!$L316),'Curva Forward'!$B$5:$B$13,0),MATCH(GG$4,'Curva Forward'!$C$4:$AN$4,0))),DI316)</f>
        <v>0</v>
      </c>
      <c r="GH316" s="190">
        <f>AV316*AV$2*IF($FC316="V",1,-1)*IF($Q316="Fixo",(DJ316-INDEX('Curva Forward'!$C$5:$AN$13,MATCH(CONCATENATE(BD_COMERCIAL!$K316," ",BD_COMERCIAL!$L316),'Curva Forward'!$B$5:$B$13,0),MATCH(GH$4,'Curva Forward'!$C$4:$AN$4,0))),DJ316)</f>
        <v>0</v>
      </c>
      <c r="GI316" s="190">
        <f>AW316*AW$2*IF($FC316="V",1,-1)*IF($Q316="Fixo",(DK316-INDEX('Curva Forward'!$C$5:$AN$13,MATCH(CONCATENATE(BD_COMERCIAL!$K316," ",BD_COMERCIAL!$L316),'Curva Forward'!$B$5:$B$13,0),MATCH(GI$4,'Curva Forward'!$C$4:$AN$4,0))),DK316)</f>
        <v>0</v>
      </c>
      <c r="GJ316" s="190">
        <f>AX316*AX$2*IF($FC316="V",1,-1)*IF($Q316="Fixo",(DL316-INDEX('Curva Forward'!$C$5:$AN$13,MATCH(CONCATENATE(BD_COMERCIAL!$K316," ",BD_COMERCIAL!$L316),'Curva Forward'!$B$5:$B$13,0),MATCH(GJ$4,'Curva Forward'!$C$4:$AN$4,0))),DL316)</f>
        <v>0</v>
      </c>
      <c r="GK316" s="190">
        <f>AY316*AY$2*IF($FC316="V",1,-1)*IF($Q316="Fixo",(DM316-INDEX('Curva Forward'!$C$5:$AN$13,MATCH(CONCATENATE(BD_COMERCIAL!$K316," ",BD_COMERCIAL!$L316),'Curva Forward'!$B$5:$B$13,0),MATCH(GK$4,'Curva Forward'!$C$4:$AN$4,0))),DM316)</f>
        <v>0</v>
      </c>
      <c r="GL316" s="190">
        <f>IF(EZ316="",0,CL316*CL$2*IF($FC316="V",1,-1)*IF($Q316="Fixo",(EZ316-INDEX('Curva Forward'!$C$5:$AN$13,MATCH(CONCATENATE(BD_COMERCIAL!$K316," ",BD_COMERCIAL!$L316),'Curva Forward'!$B$5:$B$13,0),MATCH(GL$4,'Curva Forward'!$C$4:$AN$4,0))),EZ316))</f>
        <v>0</v>
      </c>
      <c r="GM316" s="190">
        <f>IF(FA316="",0,CM316*CM$2*IF($FC316="V",1,-1)*IF($Q316="Fixo",(FA316-INDEX('Curva Forward'!$C$5:$AN$13,MATCH(CONCATENATE(BD_COMERCIAL!$K316," ",BD_COMERCIAL!$L316),'Curva Forward'!$B$5:$B$13,0),MATCH(GM$4,'Curva Forward'!$C$4:$AN$4,0))),FA316))</f>
        <v>0</v>
      </c>
      <c r="GN316" s="190">
        <f>IF(FB316="",0,CN316*CN$2*IF($FC316="V",1,-1)*IF($Q316="Fixo",(FB316-INDEX('Curva Forward'!$C$5:$AN$13,MATCH(CONCATENATE(BD_COMERCIAL!$K316," ",BD_COMERCIAL!$L316),'Curva Forward'!$B$5:$B$13,0),MATCH(GN$4,'Curva Forward'!$C$4:$AN$4,0))),FB316))</f>
        <v>0</v>
      </c>
      <c r="GO316" s="191">
        <f t="shared" ca="1" si="39"/>
        <v>0</v>
      </c>
      <c r="GP316" s="191">
        <f t="shared" ca="1" si="40"/>
        <v>0</v>
      </c>
      <c r="GQ316" s="115"/>
      <c r="GR316" s="115"/>
      <c r="GS316"/>
      <c r="GT316" s="65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</row>
    <row r="317" spans="1:236" s="265" customFormat="1" ht="15" customHeight="1" x14ac:dyDescent="0.35">
      <c r="A317" s="251"/>
      <c r="B317" s="275"/>
      <c r="C317" s="253"/>
      <c r="D317" s="254"/>
      <c r="E317" s="254"/>
      <c r="F317" s="255"/>
      <c r="G317" s="256"/>
      <c r="H317" s="255"/>
      <c r="I317" s="254"/>
      <c r="J317" s="257"/>
      <c r="K317" s="256"/>
      <c r="L317" s="252"/>
      <c r="M317" s="258"/>
      <c r="N317" s="259"/>
      <c r="O317" s="256"/>
      <c r="P317" s="252"/>
      <c r="Q317" s="252"/>
      <c r="R317" s="256"/>
      <c r="S317" s="260"/>
      <c r="T317" s="258"/>
      <c r="U317" s="259"/>
      <c r="V317" s="261"/>
      <c r="W317" s="252"/>
      <c r="X317" s="262"/>
      <c r="Y317" s="257"/>
      <c r="Z317" s="263"/>
      <c r="AA317" s="264"/>
      <c r="AB317" s="266"/>
      <c r="AM317" s="251"/>
      <c r="AN317" s="266"/>
      <c r="AY317" s="251"/>
      <c r="AZ317" s="266"/>
      <c r="BK317" s="251"/>
      <c r="BL317" s="266"/>
      <c r="BW317" s="251"/>
      <c r="BX317" s="266"/>
      <c r="CI317" s="251"/>
      <c r="CJ317" s="267"/>
      <c r="CK317" s="267"/>
      <c r="CL317" s="267"/>
      <c r="CM317" s="267"/>
      <c r="CN317" s="267"/>
      <c r="CO317" s="268"/>
      <c r="CP317" s="266"/>
      <c r="DA317" s="251"/>
      <c r="DB317" s="266"/>
      <c r="DM317" s="251"/>
      <c r="DN317" s="266"/>
      <c r="DY317" s="251"/>
      <c r="DZ317" s="266"/>
      <c r="EK317" s="251"/>
      <c r="EL317" s="266"/>
      <c r="EW317" s="251"/>
      <c r="EX317" s="267"/>
      <c r="EY317" s="267"/>
      <c r="EZ317" s="267"/>
      <c r="FA317" s="267"/>
      <c r="FB317" s="269"/>
      <c r="FD317" s="270"/>
      <c r="FF317" s="276"/>
      <c r="FH317" s="206">
        <f t="shared" si="34"/>
        <v>0</v>
      </c>
      <c r="FI317" s="198">
        <f t="shared" si="35"/>
        <v>0</v>
      </c>
      <c r="FJ317"/>
      <c r="FK317">
        <f t="shared" si="36"/>
        <v>0</v>
      </c>
      <c r="FL317" s="191">
        <f t="shared" ca="1" si="37"/>
        <v>0</v>
      </c>
      <c r="FM317" s="191">
        <f t="shared" ca="1" si="38"/>
        <v>0</v>
      </c>
      <c r="FN317" s="190">
        <f>AB317*AB$2*IF($FC317="V",1,-1)*IF($Q317="Fixo",(CP317-INDEX('Curva Forward'!$C$5:$AN$13,MATCH(CONCATENATE(BD_COMERCIAL!$K317," ",BD_COMERCIAL!$L317),'Curva Forward'!$B$5:$B$13,0),MATCH(FN$4,'Curva Forward'!$C$4:$AN$4,0))),CP317)</f>
        <v>0</v>
      </c>
      <c r="FO317" s="190">
        <f>AC317*AC$2*IF($FC317="V",1,-1)*IF($Q317="Fixo",(CQ317-INDEX('Curva Forward'!$C$5:$AN$13,MATCH(CONCATENATE(BD_COMERCIAL!$K317," ",BD_COMERCIAL!$L317),'Curva Forward'!$B$5:$B$13,0),MATCH(FO$4,'Curva Forward'!$C$4:$AN$4,0))),CQ317)</f>
        <v>0</v>
      </c>
      <c r="FP317" s="190">
        <f>AD317*AD$2*IF($FC317="V",1,-1)*IF($Q317="Fixo",(CR317-INDEX('Curva Forward'!$C$5:$AN$13,MATCH(CONCATENATE(BD_COMERCIAL!$K317," ",BD_COMERCIAL!$L317),'Curva Forward'!$B$5:$B$13,0),MATCH(FP$4,'Curva Forward'!$C$4:$AN$4,0))),CR317)</f>
        <v>0</v>
      </c>
      <c r="FQ317" s="190">
        <f>AE317*AE$2*IF($FC317="V",1,-1)*IF($Q317="Fixo",(CS317-INDEX('Curva Forward'!$C$5:$AN$13,MATCH(CONCATENATE(BD_COMERCIAL!$K317," ",BD_COMERCIAL!$L317),'Curva Forward'!$B$5:$B$13,0),MATCH(FQ$4,'Curva Forward'!$C$4:$AN$4,0))),CS317)</f>
        <v>0</v>
      </c>
      <c r="FR317" s="190">
        <f>AF317*AF$2*IF($FC317="V",1,-1)*IF($Q317="Fixo",(CT317-INDEX('Curva Forward'!$C$5:$AN$13,MATCH(CONCATENATE(BD_COMERCIAL!$K317," ",BD_COMERCIAL!$L317),'Curva Forward'!$B$5:$B$13,0),MATCH(FR$4,'Curva Forward'!$C$4:$AN$4,0))),CT317)</f>
        <v>0</v>
      </c>
      <c r="FS317" s="190">
        <f>AG317*AG$2*IF($FC317="V",1,-1)*IF($Q317="Fixo",(CU317-INDEX('Curva Forward'!$C$5:$AN$13,MATCH(CONCATENATE(BD_COMERCIAL!$K317," ",BD_COMERCIAL!$L317),'Curva Forward'!$B$5:$B$13,0),MATCH(FS$4,'Curva Forward'!$C$4:$AN$4,0))),CU317)</f>
        <v>0</v>
      </c>
      <c r="FT317" s="190">
        <f>AH317*AH$2*IF($FC317="V",1,-1)*IF($Q317="Fixo",(CV317-INDEX('Curva Forward'!$C$5:$AN$13,MATCH(CONCATENATE(BD_COMERCIAL!$K317," ",BD_COMERCIAL!$L317),'Curva Forward'!$B$5:$B$13,0),MATCH(FT$4,'Curva Forward'!$C$4:$AN$4,0))),CV317)</f>
        <v>0</v>
      </c>
      <c r="FU317" s="190">
        <f>AI317*AI$2*IF($FC317="V",1,-1)*IF($Q317="Fixo",(CW317-INDEX('Curva Forward'!$C$5:$AN$13,MATCH(CONCATENATE(BD_COMERCIAL!$K317," ",BD_COMERCIAL!$L317),'Curva Forward'!$B$5:$B$13,0),MATCH(FU$4,'Curva Forward'!$C$4:$AN$4,0))),CW317)</f>
        <v>0</v>
      </c>
      <c r="FV317" s="190">
        <f>AJ317*AJ$2*IF($FC317="V",1,-1)*IF($Q317="Fixo",(CX317-INDEX('Curva Forward'!$C$5:$AN$13,MATCH(CONCATENATE(BD_COMERCIAL!$K317," ",BD_COMERCIAL!$L317),'Curva Forward'!$B$5:$B$13,0),MATCH(FV$4,'Curva Forward'!$C$4:$AN$4,0))),CX317)</f>
        <v>0</v>
      </c>
      <c r="FW317" s="190">
        <f>AK317*AK$2*IF($FC317="V",1,-1)*IF($Q317="Fixo",(CY317-INDEX('Curva Forward'!$C$5:$AN$13,MATCH(CONCATENATE(BD_COMERCIAL!$K317," ",BD_COMERCIAL!$L317),'Curva Forward'!$B$5:$B$13,0),MATCH(FW$4,'Curva Forward'!$C$4:$AN$4,0))),CY317)</f>
        <v>0</v>
      </c>
      <c r="FX317" s="190">
        <f>AL317*AL$2*IF($FC317="V",1,-1)*IF($Q317="Fixo",(CZ317-INDEX('Curva Forward'!$C$5:$AN$13,MATCH(CONCATENATE(BD_COMERCIAL!$K317," ",BD_COMERCIAL!$L317),'Curva Forward'!$B$5:$B$13,0),MATCH(FX$4,'Curva Forward'!$C$4:$AN$4,0))),CZ317)</f>
        <v>0</v>
      </c>
      <c r="FY317" s="190">
        <f>AM317*AM$2*IF($FC317="V",1,-1)*IF($Q317="Fixo",(DA317-INDEX('Curva Forward'!$C$5:$AN$13,MATCH(CONCATENATE(BD_COMERCIAL!$K317," ",BD_COMERCIAL!$L317),'Curva Forward'!$B$5:$B$13,0),MATCH(FY$4,'Curva Forward'!$C$4:$AN$4,0))),DA317)</f>
        <v>0</v>
      </c>
      <c r="FZ317" s="190">
        <f>AN317*AN$2*IF($FC317="V",1,-1)*IF($Q317="Fixo",(DB317-INDEX('Curva Forward'!$C$5:$AN$13,MATCH(CONCATENATE(BD_COMERCIAL!$K317," ",BD_COMERCIAL!$L317),'Curva Forward'!$B$5:$B$13,0),MATCH(FZ$4,'Curva Forward'!$C$4:$AN$4,0))),DB317)</f>
        <v>0</v>
      </c>
      <c r="GA317" s="190">
        <f>AO317*AO$2*IF($FC317="V",1,-1)*IF($Q317="Fixo",(DC317-INDEX('Curva Forward'!$C$5:$AN$13,MATCH(CONCATENATE(BD_COMERCIAL!$K317," ",BD_COMERCIAL!$L317),'Curva Forward'!$B$5:$B$13,0),MATCH(GA$4,'Curva Forward'!$C$4:$AN$4,0))),DC317)</f>
        <v>0</v>
      </c>
      <c r="GB317" s="190">
        <f>AP317*AP$2*IF($FC317="V",1,-1)*IF($Q317="Fixo",(DD317-INDEX('Curva Forward'!$C$5:$AN$13,MATCH(CONCATENATE(BD_COMERCIAL!$K317," ",BD_COMERCIAL!$L317),'Curva Forward'!$B$5:$B$13,0),MATCH(GB$4,'Curva Forward'!$C$4:$AN$4,0))),DD317)</f>
        <v>0</v>
      </c>
      <c r="GC317" s="190">
        <f>AQ317*AQ$2*IF($FC317="V",1,-1)*IF($Q317="Fixo",(DE317-INDEX('Curva Forward'!$C$5:$AN$13,MATCH(CONCATENATE(BD_COMERCIAL!$K317," ",BD_COMERCIAL!$L317),'Curva Forward'!$B$5:$B$13,0),MATCH(GC$4,'Curva Forward'!$C$4:$AN$4,0))),DE317)</f>
        <v>0</v>
      </c>
      <c r="GD317" s="190">
        <f>AR317*AR$2*IF($FC317="V",1,-1)*IF($Q317="Fixo",(DF317-INDEX('Curva Forward'!$C$5:$AN$13,MATCH(CONCATENATE(BD_COMERCIAL!$K317," ",BD_COMERCIAL!$L317),'Curva Forward'!$B$5:$B$13,0),MATCH(GD$4,'Curva Forward'!$C$4:$AN$4,0))),DF317)</f>
        <v>0</v>
      </c>
      <c r="GE317" s="190">
        <f>AS317*AS$2*IF($FC317="V",1,-1)*IF($Q317="Fixo",(DG317-INDEX('Curva Forward'!$C$5:$AN$13,MATCH(CONCATENATE(BD_COMERCIAL!$K317," ",BD_COMERCIAL!$L317),'Curva Forward'!$B$5:$B$13,0),MATCH(GE$4,'Curva Forward'!$C$4:$AN$4,0))),DG317)</f>
        <v>0</v>
      </c>
      <c r="GF317" s="190">
        <f>AT317*AT$2*IF($FC317="V",1,-1)*IF($Q317="Fixo",(DH317-INDEX('Curva Forward'!$C$5:$AN$13,MATCH(CONCATENATE(BD_COMERCIAL!$K317," ",BD_COMERCIAL!$L317),'Curva Forward'!$B$5:$B$13,0),MATCH(GF$4,'Curva Forward'!$C$4:$AN$4,0))),DH317)</f>
        <v>0</v>
      </c>
      <c r="GG317" s="190">
        <f>AU317*AU$2*IF($FC317="V",1,-1)*IF($Q317="Fixo",(DI317-INDEX('Curva Forward'!$C$5:$AN$13,MATCH(CONCATENATE(BD_COMERCIAL!$K317," ",BD_COMERCIAL!$L317),'Curva Forward'!$B$5:$B$13,0),MATCH(GG$4,'Curva Forward'!$C$4:$AN$4,0))),DI317)</f>
        <v>0</v>
      </c>
      <c r="GH317" s="190">
        <f>AV317*AV$2*IF($FC317="V",1,-1)*IF($Q317="Fixo",(DJ317-INDEX('Curva Forward'!$C$5:$AN$13,MATCH(CONCATENATE(BD_COMERCIAL!$K317," ",BD_COMERCIAL!$L317),'Curva Forward'!$B$5:$B$13,0),MATCH(GH$4,'Curva Forward'!$C$4:$AN$4,0))),DJ317)</f>
        <v>0</v>
      </c>
      <c r="GI317" s="190">
        <f>AW317*AW$2*IF($FC317="V",1,-1)*IF($Q317="Fixo",(DK317-INDEX('Curva Forward'!$C$5:$AN$13,MATCH(CONCATENATE(BD_COMERCIAL!$K317," ",BD_COMERCIAL!$L317),'Curva Forward'!$B$5:$B$13,0),MATCH(GI$4,'Curva Forward'!$C$4:$AN$4,0))),DK317)</f>
        <v>0</v>
      </c>
      <c r="GJ317" s="190">
        <f>AX317*AX$2*IF($FC317="V",1,-1)*IF($Q317="Fixo",(DL317-INDEX('Curva Forward'!$C$5:$AN$13,MATCH(CONCATENATE(BD_COMERCIAL!$K317," ",BD_COMERCIAL!$L317),'Curva Forward'!$B$5:$B$13,0),MATCH(GJ$4,'Curva Forward'!$C$4:$AN$4,0))),DL317)</f>
        <v>0</v>
      </c>
      <c r="GK317" s="190">
        <f>AY317*AY$2*IF($FC317="V",1,-1)*IF($Q317="Fixo",(DM317-INDEX('Curva Forward'!$C$5:$AN$13,MATCH(CONCATENATE(BD_COMERCIAL!$K317," ",BD_COMERCIAL!$L317),'Curva Forward'!$B$5:$B$13,0),MATCH(GK$4,'Curva Forward'!$C$4:$AN$4,0))),DM317)</f>
        <v>0</v>
      </c>
      <c r="GL317" s="190">
        <f>IF(EZ317="",0,CL317*CL$2*IF($FC317="V",1,-1)*IF($Q317="Fixo",(EZ317-INDEX('Curva Forward'!$C$5:$AN$13,MATCH(CONCATENATE(BD_COMERCIAL!$K317," ",BD_COMERCIAL!$L317),'Curva Forward'!$B$5:$B$13,0),MATCH(GL$4,'Curva Forward'!$C$4:$AN$4,0))),EZ317))</f>
        <v>0</v>
      </c>
      <c r="GM317" s="190">
        <f>IF(FA317="",0,CM317*CM$2*IF($FC317="V",1,-1)*IF($Q317="Fixo",(FA317-INDEX('Curva Forward'!$C$5:$AN$13,MATCH(CONCATENATE(BD_COMERCIAL!$K317," ",BD_COMERCIAL!$L317),'Curva Forward'!$B$5:$B$13,0),MATCH(GM$4,'Curva Forward'!$C$4:$AN$4,0))),FA317))</f>
        <v>0</v>
      </c>
      <c r="GN317" s="190">
        <f>IF(FB317="",0,CN317*CN$2*IF($FC317="V",1,-1)*IF($Q317="Fixo",(FB317-INDEX('Curva Forward'!$C$5:$AN$13,MATCH(CONCATENATE(BD_COMERCIAL!$K317," ",BD_COMERCIAL!$L317),'Curva Forward'!$B$5:$B$13,0),MATCH(GN$4,'Curva Forward'!$C$4:$AN$4,0))),FB317))</f>
        <v>0</v>
      </c>
      <c r="GO317" s="191">
        <f t="shared" ca="1" si="39"/>
        <v>0</v>
      </c>
      <c r="GP317" s="191">
        <f t="shared" ca="1" si="40"/>
        <v>0</v>
      </c>
      <c r="GQ317" s="115"/>
      <c r="GR317" s="115"/>
      <c r="GS317"/>
      <c r="GT317" s="65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</row>
    <row r="318" spans="1:236" s="265" customFormat="1" ht="15" customHeight="1" x14ac:dyDescent="0.35">
      <c r="A318" s="251"/>
      <c r="B318" s="275"/>
      <c r="C318" s="253"/>
      <c r="D318" s="254"/>
      <c r="E318" s="254"/>
      <c r="F318" s="255"/>
      <c r="G318" s="256"/>
      <c r="H318" s="255"/>
      <c r="I318" s="254"/>
      <c r="J318" s="257"/>
      <c r="K318" s="256"/>
      <c r="L318" s="252"/>
      <c r="M318" s="258"/>
      <c r="N318" s="259"/>
      <c r="O318" s="256"/>
      <c r="P318" s="252"/>
      <c r="Q318" s="252"/>
      <c r="R318" s="256"/>
      <c r="S318" s="260"/>
      <c r="T318" s="258"/>
      <c r="U318" s="259"/>
      <c r="V318" s="261"/>
      <c r="W318" s="252"/>
      <c r="X318" s="262"/>
      <c r="Y318" s="257"/>
      <c r="Z318" s="263"/>
      <c r="AA318" s="264"/>
      <c r="AB318" s="266"/>
      <c r="AM318" s="251"/>
      <c r="AN318" s="266"/>
      <c r="AY318" s="251"/>
      <c r="AZ318" s="266"/>
      <c r="BK318" s="251"/>
      <c r="BL318" s="266"/>
      <c r="BW318" s="251"/>
      <c r="BX318" s="266"/>
      <c r="CI318" s="251"/>
      <c r="CJ318" s="267"/>
      <c r="CK318" s="267"/>
      <c r="CL318" s="267"/>
      <c r="CM318" s="267"/>
      <c r="CN318" s="267"/>
      <c r="CO318" s="268"/>
      <c r="CP318" s="266"/>
      <c r="DA318" s="251"/>
      <c r="DB318" s="266"/>
      <c r="DM318" s="251"/>
      <c r="DN318" s="266"/>
      <c r="DY318" s="251"/>
      <c r="DZ318" s="266"/>
      <c r="EK318" s="251"/>
      <c r="EL318" s="266"/>
      <c r="EW318" s="251"/>
      <c r="EX318" s="267"/>
      <c r="EY318" s="267"/>
      <c r="EZ318" s="267"/>
      <c r="FA318" s="267"/>
      <c r="FB318" s="269"/>
      <c r="FD318" s="270"/>
      <c r="FF318" s="276"/>
      <c r="FH318" s="206">
        <f t="shared" si="34"/>
        <v>0</v>
      </c>
      <c r="FI318" s="198">
        <f t="shared" si="35"/>
        <v>0</v>
      </c>
      <c r="FJ318"/>
      <c r="FK318">
        <f t="shared" si="36"/>
        <v>0</v>
      </c>
      <c r="FL318" s="191">
        <f t="shared" ca="1" si="37"/>
        <v>0</v>
      </c>
      <c r="FM318" s="191">
        <f t="shared" ca="1" si="38"/>
        <v>0</v>
      </c>
      <c r="FN318" s="190">
        <f>AB318*AB$2*IF($FC318="V",1,-1)*IF($Q318="Fixo",(CP318-INDEX('Curva Forward'!$C$5:$AN$13,MATCH(CONCATENATE(BD_COMERCIAL!$K318," ",BD_COMERCIAL!$L318),'Curva Forward'!$B$5:$B$13,0),MATCH(FN$4,'Curva Forward'!$C$4:$AN$4,0))),CP318)</f>
        <v>0</v>
      </c>
      <c r="FO318" s="190">
        <f>AC318*AC$2*IF($FC318="V",1,-1)*IF($Q318="Fixo",(CQ318-INDEX('Curva Forward'!$C$5:$AN$13,MATCH(CONCATENATE(BD_COMERCIAL!$K318," ",BD_COMERCIAL!$L318),'Curva Forward'!$B$5:$B$13,0),MATCH(FO$4,'Curva Forward'!$C$4:$AN$4,0))),CQ318)</f>
        <v>0</v>
      </c>
      <c r="FP318" s="190">
        <f>AD318*AD$2*IF($FC318="V",1,-1)*IF($Q318="Fixo",(CR318-INDEX('Curva Forward'!$C$5:$AN$13,MATCH(CONCATENATE(BD_COMERCIAL!$K318," ",BD_COMERCIAL!$L318),'Curva Forward'!$B$5:$B$13,0),MATCH(FP$4,'Curva Forward'!$C$4:$AN$4,0))),CR318)</f>
        <v>0</v>
      </c>
      <c r="FQ318" s="190">
        <f>AE318*AE$2*IF($FC318="V",1,-1)*IF($Q318="Fixo",(CS318-INDEX('Curva Forward'!$C$5:$AN$13,MATCH(CONCATENATE(BD_COMERCIAL!$K318," ",BD_COMERCIAL!$L318),'Curva Forward'!$B$5:$B$13,0),MATCH(FQ$4,'Curva Forward'!$C$4:$AN$4,0))),CS318)</f>
        <v>0</v>
      </c>
      <c r="FR318" s="190">
        <f>AF318*AF$2*IF($FC318="V",1,-1)*IF($Q318="Fixo",(CT318-INDEX('Curva Forward'!$C$5:$AN$13,MATCH(CONCATENATE(BD_COMERCIAL!$K318," ",BD_COMERCIAL!$L318),'Curva Forward'!$B$5:$B$13,0),MATCH(FR$4,'Curva Forward'!$C$4:$AN$4,0))),CT318)</f>
        <v>0</v>
      </c>
      <c r="FS318" s="190">
        <f>AG318*AG$2*IF($FC318="V",1,-1)*IF($Q318="Fixo",(CU318-INDEX('Curva Forward'!$C$5:$AN$13,MATCH(CONCATENATE(BD_COMERCIAL!$K318," ",BD_COMERCIAL!$L318),'Curva Forward'!$B$5:$B$13,0),MATCH(FS$4,'Curva Forward'!$C$4:$AN$4,0))),CU318)</f>
        <v>0</v>
      </c>
      <c r="FT318" s="190">
        <f>AH318*AH$2*IF($FC318="V",1,-1)*IF($Q318="Fixo",(CV318-INDEX('Curva Forward'!$C$5:$AN$13,MATCH(CONCATENATE(BD_COMERCIAL!$K318," ",BD_COMERCIAL!$L318),'Curva Forward'!$B$5:$B$13,0),MATCH(FT$4,'Curva Forward'!$C$4:$AN$4,0))),CV318)</f>
        <v>0</v>
      </c>
      <c r="FU318" s="190">
        <f>AI318*AI$2*IF($FC318="V",1,-1)*IF($Q318="Fixo",(CW318-INDEX('Curva Forward'!$C$5:$AN$13,MATCH(CONCATENATE(BD_COMERCIAL!$K318," ",BD_COMERCIAL!$L318),'Curva Forward'!$B$5:$B$13,0),MATCH(FU$4,'Curva Forward'!$C$4:$AN$4,0))),CW318)</f>
        <v>0</v>
      </c>
      <c r="FV318" s="190">
        <f>AJ318*AJ$2*IF($FC318="V",1,-1)*IF($Q318="Fixo",(CX318-INDEX('Curva Forward'!$C$5:$AN$13,MATCH(CONCATENATE(BD_COMERCIAL!$K318," ",BD_COMERCIAL!$L318),'Curva Forward'!$B$5:$B$13,0),MATCH(FV$4,'Curva Forward'!$C$4:$AN$4,0))),CX318)</f>
        <v>0</v>
      </c>
      <c r="FW318" s="190">
        <f>AK318*AK$2*IF($FC318="V",1,-1)*IF($Q318="Fixo",(CY318-INDEX('Curva Forward'!$C$5:$AN$13,MATCH(CONCATENATE(BD_COMERCIAL!$K318," ",BD_COMERCIAL!$L318),'Curva Forward'!$B$5:$B$13,0),MATCH(FW$4,'Curva Forward'!$C$4:$AN$4,0))),CY318)</f>
        <v>0</v>
      </c>
      <c r="FX318" s="190">
        <f>AL318*AL$2*IF($FC318="V",1,-1)*IF($Q318="Fixo",(CZ318-INDEX('Curva Forward'!$C$5:$AN$13,MATCH(CONCATENATE(BD_COMERCIAL!$K318," ",BD_COMERCIAL!$L318),'Curva Forward'!$B$5:$B$13,0),MATCH(FX$4,'Curva Forward'!$C$4:$AN$4,0))),CZ318)</f>
        <v>0</v>
      </c>
      <c r="FY318" s="190">
        <f>AM318*AM$2*IF($FC318="V",1,-1)*IF($Q318="Fixo",(DA318-INDEX('Curva Forward'!$C$5:$AN$13,MATCH(CONCATENATE(BD_COMERCIAL!$K318," ",BD_COMERCIAL!$L318),'Curva Forward'!$B$5:$B$13,0),MATCH(FY$4,'Curva Forward'!$C$4:$AN$4,0))),DA318)</f>
        <v>0</v>
      </c>
      <c r="FZ318" s="190">
        <f>AN318*AN$2*IF($FC318="V",1,-1)*IF($Q318="Fixo",(DB318-INDEX('Curva Forward'!$C$5:$AN$13,MATCH(CONCATENATE(BD_COMERCIAL!$K318," ",BD_COMERCIAL!$L318),'Curva Forward'!$B$5:$B$13,0),MATCH(FZ$4,'Curva Forward'!$C$4:$AN$4,0))),DB318)</f>
        <v>0</v>
      </c>
      <c r="GA318" s="190">
        <f>AO318*AO$2*IF($FC318="V",1,-1)*IF($Q318="Fixo",(DC318-INDEX('Curva Forward'!$C$5:$AN$13,MATCH(CONCATENATE(BD_COMERCIAL!$K318," ",BD_COMERCIAL!$L318),'Curva Forward'!$B$5:$B$13,0),MATCH(GA$4,'Curva Forward'!$C$4:$AN$4,0))),DC318)</f>
        <v>0</v>
      </c>
      <c r="GB318" s="190">
        <f>AP318*AP$2*IF($FC318="V",1,-1)*IF($Q318="Fixo",(DD318-INDEX('Curva Forward'!$C$5:$AN$13,MATCH(CONCATENATE(BD_COMERCIAL!$K318," ",BD_COMERCIAL!$L318),'Curva Forward'!$B$5:$B$13,0),MATCH(GB$4,'Curva Forward'!$C$4:$AN$4,0))),DD318)</f>
        <v>0</v>
      </c>
      <c r="GC318" s="190">
        <f>AQ318*AQ$2*IF($FC318="V",1,-1)*IF($Q318="Fixo",(DE318-INDEX('Curva Forward'!$C$5:$AN$13,MATCH(CONCATENATE(BD_COMERCIAL!$K318," ",BD_COMERCIAL!$L318),'Curva Forward'!$B$5:$B$13,0),MATCH(GC$4,'Curva Forward'!$C$4:$AN$4,0))),DE318)</f>
        <v>0</v>
      </c>
      <c r="GD318" s="190">
        <f>AR318*AR$2*IF($FC318="V",1,-1)*IF($Q318="Fixo",(DF318-INDEX('Curva Forward'!$C$5:$AN$13,MATCH(CONCATENATE(BD_COMERCIAL!$K318," ",BD_COMERCIAL!$L318),'Curva Forward'!$B$5:$B$13,0),MATCH(GD$4,'Curva Forward'!$C$4:$AN$4,0))),DF318)</f>
        <v>0</v>
      </c>
      <c r="GE318" s="190">
        <f>AS318*AS$2*IF($FC318="V",1,-1)*IF($Q318="Fixo",(DG318-INDEX('Curva Forward'!$C$5:$AN$13,MATCH(CONCATENATE(BD_COMERCIAL!$K318," ",BD_COMERCIAL!$L318),'Curva Forward'!$B$5:$B$13,0),MATCH(GE$4,'Curva Forward'!$C$4:$AN$4,0))),DG318)</f>
        <v>0</v>
      </c>
      <c r="GF318" s="190">
        <f>AT318*AT$2*IF($FC318="V",1,-1)*IF($Q318="Fixo",(DH318-INDEX('Curva Forward'!$C$5:$AN$13,MATCH(CONCATENATE(BD_COMERCIAL!$K318," ",BD_COMERCIAL!$L318),'Curva Forward'!$B$5:$B$13,0),MATCH(GF$4,'Curva Forward'!$C$4:$AN$4,0))),DH318)</f>
        <v>0</v>
      </c>
      <c r="GG318" s="190">
        <f>AU318*AU$2*IF($FC318="V",1,-1)*IF($Q318="Fixo",(DI318-INDEX('Curva Forward'!$C$5:$AN$13,MATCH(CONCATENATE(BD_COMERCIAL!$K318," ",BD_COMERCIAL!$L318),'Curva Forward'!$B$5:$B$13,0),MATCH(GG$4,'Curva Forward'!$C$4:$AN$4,0))),DI318)</f>
        <v>0</v>
      </c>
      <c r="GH318" s="190">
        <f>AV318*AV$2*IF($FC318="V",1,-1)*IF($Q318="Fixo",(DJ318-INDEX('Curva Forward'!$C$5:$AN$13,MATCH(CONCATENATE(BD_COMERCIAL!$K318," ",BD_COMERCIAL!$L318),'Curva Forward'!$B$5:$B$13,0),MATCH(GH$4,'Curva Forward'!$C$4:$AN$4,0))),DJ318)</f>
        <v>0</v>
      </c>
      <c r="GI318" s="190">
        <f>AW318*AW$2*IF($FC318="V",1,-1)*IF($Q318="Fixo",(DK318-INDEX('Curva Forward'!$C$5:$AN$13,MATCH(CONCATENATE(BD_COMERCIAL!$K318," ",BD_COMERCIAL!$L318),'Curva Forward'!$B$5:$B$13,0),MATCH(GI$4,'Curva Forward'!$C$4:$AN$4,0))),DK318)</f>
        <v>0</v>
      </c>
      <c r="GJ318" s="190">
        <f>AX318*AX$2*IF($FC318="V",1,-1)*IF($Q318="Fixo",(DL318-INDEX('Curva Forward'!$C$5:$AN$13,MATCH(CONCATENATE(BD_COMERCIAL!$K318," ",BD_COMERCIAL!$L318),'Curva Forward'!$B$5:$B$13,0),MATCH(GJ$4,'Curva Forward'!$C$4:$AN$4,0))),DL318)</f>
        <v>0</v>
      </c>
      <c r="GK318" s="190">
        <f>AY318*AY$2*IF($FC318="V",1,-1)*IF($Q318="Fixo",(DM318-INDEX('Curva Forward'!$C$5:$AN$13,MATCH(CONCATENATE(BD_COMERCIAL!$K318," ",BD_COMERCIAL!$L318),'Curva Forward'!$B$5:$B$13,0),MATCH(GK$4,'Curva Forward'!$C$4:$AN$4,0))),DM318)</f>
        <v>0</v>
      </c>
      <c r="GL318" s="190">
        <f>IF(EZ318="",0,CL318*CL$2*IF($FC318="V",1,-1)*IF($Q318="Fixo",(EZ318-INDEX('Curva Forward'!$C$5:$AN$13,MATCH(CONCATENATE(BD_COMERCIAL!$K318," ",BD_COMERCIAL!$L318),'Curva Forward'!$B$5:$B$13,0),MATCH(GL$4,'Curva Forward'!$C$4:$AN$4,0))),EZ318))</f>
        <v>0</v>
      </c>
      <c r="GM318" s="190">
        <f>IF(FA318="",0,CM318*CM$2*IF($FC318="V",1,-1)*IF($Q318="Fixo",(FA318-INDEX('Curva Forward'!$C$5:$AN$13,MATCH(CONCATENATE(BD_COMERCIAL!$K318," ",BD_COMERCIAL!$L318),'Curva Forward'!$B$5:$B$13,0),MATCH(GM$4,'Curva Forward'!$C$4:$AN$4,0))),FA318))</f>
        <v>0</v>
      </c>
      <c r="GN318" s="190">
        <f>IF(FB318="",0,CN318*CN$2*IF($FC318="V",1,-1)*IF($Q318="Fixo",(FB318-INDEX('Curva Forward'!$C$5:$AN$13,MATCH(CONCATENATE(BD_COMERCIAL!$K318," ",BD_COMERCIAL!$L318),'Curva Forward'!$B$5:$B$13,0),MATCH(GN$4,'Curva Forward'!$C$4:$AN$4,0))),FB318))</f>
        <v>0</v>
      </c>
      <c r="GO318" s="191">
        <f t="shared" ca="1" si="39"/>
        <v>0</v>
      </c>
      <c r="GP318" s="191">
        <f t="shared" ca="1" si="40"/>
        <v>0</v>
      </c>
      <c r="GQ318" s="115"/>
      <c r="GR318" s="115"/>
      <c r="GS318"/>
      <c r="GT318" s="65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</row>
    <row r="319" spans="1:236" s="265" customFormat="1" ht="15" customHeight="1" x14ac:dyDescent="0.35">
      <c r="A319" s="251"/>
      <c r="B319" s="275"/>
      <c r="C319" s="253"/>
      <c r="D319" s="254"/>
      <c r="E319" s="254"/>
      <c r="F319" s="255"/>
      <c r="G319" s="256"/>
      <c r="H319" s="255"/>
      <c r="I319" s="254"/>
      <c r="J319" s="257"/>
      <c r="K319" s="256"/>
      <c r="L319" s="252"/>
      <c r="M319" s="258"/>
      <c r="N319" s="259"/>
      <c r="O319" s="256"/>
      <c r="P319" s="252"/>
      <c r="Q319" s="252"/>
      <c r="R319" s="256"/>
      <c r="S319" s="260"/>
      <c r="T319" s="258"/>
      <c r="U319" s="259"/>
      <c r="V319" s="261"/>
      <c r="W319" s="252"/>
      <c r="X319" s="262"/>
      <c r="Y319" s="257"/>
      <c r="Z319" s="263"/>
      <c r="AA319" s="264"/>
      <c r="AB319" s="266"/>
      <c r="AM319" s="251"/>
      <c r="AN319" s="266"/>
      <c r="AY319" s="251"/>
      <c r="AZ319" s="266"/>
      <c r="BK319" s="251"/>
      <c r="BL319" s="266"/>
      <c r="BW319" s="251"/>
      <c r="BX319" s="266"/>
      <c r="CI319" s="251"/>
      <c r="CJ319" s="267"/>
      <c r="CK319" s="267"/>
      <c r="CL319" s="267"/>
      <c r="CM319" s="267"/>
      <c r="CN319" s="267"/>
      <c r="CO319" s="268"/>
      <c r="CP319" s="266"/>
      <c r="DA319" s="251"/>
      <c r="DB319" s="266"/>
      <c r="DM319" s="251"/>
      <c r="DN319" s="266"/>
      <c r="DY319" s="251"/>
      <c r="DZ319" s="266"/>
      <c r="EK319" s="251"/>
      <c r="EL319" s="266"/>
      <c r="EW319" s="251"/>
      <c r="EX319" s="267"/>
      <c r="EY319" s="267"/>
      <c r="EZ319" s="267"/>
      <c r="FA319" s="267"/>
      <c r="FB319" s="269"/>
      <c r="FD319" s="270"/>
      <c r="FF319" s="276"/>
      <c r="FH319" s="206">
        <f t="shared" si="34"/>
        <v>0</v>
      </c>
      <c r="FI319" s="198">
        <f t="shared" si="35"/>
        <v>0</v>
      </c>
      <c r="FJ319"/>
      <c r="FK319">
        <f t="shared" si="36"/>
        <v>0</v>
      </c>
      <c r="FL319" s="191">
        <f t="shared" ca="1" si="37"/>
        <v>0</v>
      </c>
      <c r="FM319" s="191">
        <f t="shared" ca="1" si="38"/>
        <v>0</v>
      </c>
      <c r="FN319" s="190">
        <f>AB319*AB$2*IF($FC319="V",1,-1)*IF($Q319="Fixo",(CP319-INDEX('Curva Forward'!$C$5:$AN$13,MATCH(CONCATENATE(BD_COMERCIAL!$K319," ",BD_COMERCIAL!$L319),'Curva Forward'!$B$5:$B$13,0),MATCH(FN$4,'Curva Forward'!$C$4:$AN$4,0))),CP319)</f>
        <v>0</v>
      </c>
      <c r="FO319" s="190">
        <f>AC319*AC$2*IF($FC319="V",1,-1)*IF($Q319="Fixo",(CQ319-INDEX('Curva Forward'!$C$5:$AN$13,MATCH(CONCATENATE(BD_COMERCIAL!$K319," ",BD_COMERCIAL!$L319),'Curva Forward'!$B$5:$B$13,0),MATCH(FO$4,'Curva Forward'!$C$4:$AN$4,0))),CQ319)</f>
        <v>0</v>
      </c>
      <c r="FP319" s="190">
        <f>AD319*AD$2*IF($FC319="V",1,-1)*IF($Q319="Fixo",(CR319-INDEX('Curva Forward'!$C$5:$AN$13,MATCH(CONCATENATE(BD_COMERCIAL!$K319," ",BD_COMERCIAL!$L319),'Curva Forward'!$B$5:$B$13,0),MATCH(FP$4,'Curva Forward'!$C$4:$AN$4,0))),CR319)</f>
        <v>0</v>
      </c>
      <c r="FQ319" s="190">
        <f>AE319*AE$2*IF($FC319="V",1,-1)*IF($Q319="Fixo",(CS319-INDEX('Curva Forward'!$C$5:$AN$13,MATCH(CONCATENATE(BD_COMERCIAL!$K319," ",BD_COMERCIAL!$L319),'Curva Forward'!$B$5:$B$13,0),MATCH(FQ$4,'Curva Forward'!$C$4:$AN$4,0))),CS319)</f>
        <v>0</v>
      </c>
      <c r="FR319" s="190">
        <f>AF319*AF$2*IF($FC319="V",1,-1)*IF($Q319="Fixo",(CT319-INDEX('Curva Forward'!$C$5:$AN$13,MATCH(CONCATENATE(BD_COMERCIAL!$K319," ",BD_COMERCIAL!$L319),'Curva Forward'!$B$5:$B$13,0),MATCH(FR$4,'Curva Forward'!$C$4:$AN$4,0))),CT319)</f>
        <v>0</v>
      </c>
      <c r="FS319" s="190">
        <f>AG319*AG$2*IF($FC319="V",1,-1)*IF($Q319="Fixo",(CU319-INDEX('Curva Forward'!$C$5:$AN$13,MATCH(CONCATENATE(BD_COMERCIAL!$K319," ",BD_COMERCIAL!$L319),'Curva Forward'!$B$5:$B$13,0),MATCH(FS$4,'Curva Forward'!$C$4:$AN$4,0))),CU319)</f>
        <v>0</v>
      </c>
      <c r="FT319" s="190">
        <f>AH319*AH$2*IF($FC319="V",1,-1)*IF($Q319="Fixo",(CV319-INDEX('Curva Forward'!$C$5:$AN$13,MATCH(CONCATENATE(BD_COMERCIAL!$K319," ",BD_COMERCIAL!$L319),'Curva Forward'!$B$5:$B$13,0),MATCH(FT$4,'Curva Forward'!$C$4:$AN$4,0))),CV319)</f>
        <v>0</v>
      </c>
      <c r="FU319" s="190">
        <f>AI319*AI$2*IF($FC319="V",1,-1)*IF($Q319="Fixo",(CW319-INDEX('Curva Forward'!$C$5:$AN$13,MATCH(CONCATENATE(BD_COMERCIAL!$K319," ",BD_COMERCIAL!$L319),'Curva Forward'!$B$5:$B$13,0),MATCH(FU$4,'Curva Forward'!$C$4:$AN$4,0))),CW319)</f>
        <v>0</v>
      </c>
      <c r="FV319" s="190">
        <f>AJ319*AJ$2*IF($FC319="V",1,-1)*IF($Q319="Fixo",(CX319-INDEX('Curva Forward'!$C$5:$AN$13,MATCH(CONCATENATE(BD_COMERCIAL!$K319," ",BD_COMERCIAL!$L319),'Curva Forward'!$B$5:$B$13,0),MATCH(FV$4,'Curva Forward'!$C$4:$AN$4,0))),CX319)</f>
        <v>0</v>
      </c>
      <c r="FW319" s="190">
        <f>AK319*AK$2*IF($FC319="V",1,-1)*IF($Q319="Fixo",(CY319-INDEX('Curva Forward'!$C$5:$AN$13,MATCH(CONCATENATE(BD_COMERCIAL!$K319," ",BD_COMERCIAL!$L319),'Curva Forward'!$B$5:$B$13,0),MATCH(FW$4,'Curva Forward'!$C$4:$AN$4,0))),CY319)</f>
        <v>0</v>
      </c>
      <c r="FX319" s="190">
        <f>AL319*AL$2*IF($FC319="V",1,-1)*IF($Q319="Fixo",(CZ319-INDEX('Curva Forward'!$C$5:$AN$13,MATCH(CONCATENATE(BD_COMERCIAL!$K319," ",BD_COMERCIAL!$L319),'Curva Forward'!$B$5:$B$13,0),MATCH(FX$4,'Curva Forward'!$C$4:$AN$4,0))),CZ319)</f>
        <v>0</v>
      </c>
      <c r="FY319" s="190">
        <f>AM319*AM$2*IF($FC319="V",1,-1)*IF($Q319="Fixo",(DA319-INDEX('Curva Forward'!$C$5:$AN$13,MATCH(CONCATENATE(BD_COMERCIAL!$K319," ",BD_COMERCIAL!$L319),'Curva Forward'!$B$5:$B$13,0),MATCH(FY$4,'Curva Forward'!$C$4:$AN$4,0))),DA319)</f>
        <v>0</v>
      </c>
      <c r="FZ319" s="190">
        <f>AN319*AN$2*IF($FC319="V",1,-1)*IF($Q319="Fixo",(DB319-INDEX('Curva Forward'!$C$5:$AN$13,MATCH(CONCATENATE(BD_COMERCIAL!$K319," ",BD_COMERCIAL!$L319),'Curva Forward'!$B$5:$B$13,0),MATCH(FZ$4,'Curva Forward'!$C$4:$AN$4,0))),DB319)</f>
        <v>0</v>
      </c>
      <c r="GA319" s="190">
        <f>AO319*AO$2*IF($FC319="V",1,-1)*IF($Q319="Fixo",(DC319-INDEX('Curva Forward'!$C$5:$AN$13,MATCH(CONCATENATE(BD_COMERCIAL!$K319," ",BD_COMERCIAL!$L319),'Curva Forward'!$B$5:$B$13,0),MATCH(GA$4,'Curva Forward'!$C$4:$AN$4,0))),DC319)</f>
        <v>0</v>
      </c>
      <c r="GB319" s="190">
        <f>AP319*AP$2*IF($FC319="V",1,-1)*IF($Q319="Fixo",(DD319-INDEX('Curva Forward'!$C$5:$AN$13,MATCH(CONCATENATE(BD_COMERCIAL!$K319," ",BD_COMERCIAL!$L319),'Curva Forward'!$B$5:$B$13,0),MATCH(GB$4,'Curva Forward'!$C$4:$AN$4,0))),DD319)</f>
        <v>0</v>
      </c>
      <c r="GC319" s="190">
        <f>AQ319*AQ$2*IF($FC319="V",1,-1)*IF($Q319="Fixo",(DE319-INDEX('Curva Forward'!$C$5:$AN$13,MATCH(CONCATENATE(BD_COMERCIAL!$K319," ",BD_COMERCIAL!$L319),'Curva Forward'!$B$5:$B$13,0),MATCH(GC$4,'Curva Forward'!$C$4:$AN$4,0))),DE319)</f>
        <v>0</v>
      </c>
      <c r="GD319" s="190">
        <f>AR319*AR$2*IF($FC319="V",1,-1)*IF($Q319="Fixo",(DF319-INDEX('Curva Forward'!$C$5:$AN$13,MATCH(CONCATENATE(BD_COMERCIAL!$K319," ",BD_COMERCIAL!$L319),'Curva Forward'!$B$5:$B$13,0),MATCH(GD$4,'Curva Forward'!$C$4:$AN$4,0))),DF319)</f>
        <v>0</v>
      </c>
      <c r="GE319" s="190">
        <f>AS319*AS$2*IF($FC319="V",1,-1)*IF($Q319="Fixo",(DG319-INDEX('Curva Forward'!$C$5:$AN$13,MATCH(CONCATENATE(BD_COMERCIAL!$K319," ",BD_COMERCIAL!$L319),'Curva Forward'!$B$5:$B$13,0),MATCH(GE$4,'Curva Forward'!$C$4:$AN$4,0))),DG319)</f>
        <v>0</v>
      </c>
      <c r="GF319" s="190">
        <f>AT319*AT$2*IF($FC319="V",1,-1)*IF($Q319="Fixo",(DH319-INDEX('Curva Forward'!$C$5:$AN$13,MATCH(CONCATENATE(BD_COMERCIAL!$K319," ",BD_COMERCIAL!$L319),'Curva Forward'!$B$5:$B$13,0),MATCH(GF$4,'Curva Forward'!$C$4:$AN$4,0))),DH319)</f>
        <v>0</v>
      </c>
      <c r="GG319" s="190">
        <f>AU319*AU$2*IF($FC319="V",1,-1)*IF($Q319="Fixo",(DI319-INDEX('Curva Forward'!$C$5:$AN$13,MATCH(CONCATENATE(BD_COMERCIAL!$K319," ",BD_COMERCIAL!$L319),'Curva Forward'!$B$5:$B$13,0),MATCH(GG$4,'Curva Forward'!$C$4:$AN$4,0))),DI319)</f>
        <v>0</v>
      </c>
      <c r="GH319" s="190">
        <f>AV319*AV$2*IF($FC319="V",1,-1)*IF($Q319="Fixo",(DJ319-INDEX('Curva Forward'!$C$5:$AN$13,MATCH(CONCATENATE(BD_COMERCIAL!$K319," ",BD_COMERCIAL!$L319),'Curva Forward'!$B$5:$B$13,0),MATCH(GH$4,'Curva Forward'!$C$4:$AN$4,0))),DJ319)</f>
        <v>0</v>
      </c>
      <c r="GI319" s="190">
        <f>AW319*AW$2*IF($FC319="V",1,-1)*IF($Q319="Fixo",(DK319-INDEX('Curva Forward'!$C$5:$AN$13,MATCH(CONCATENATE(BD_COMERCIAL!$K319," ",BD_COMERCIAL!$L319),'Curva Forward'!$B$5:$B$13,0),MATCH(GI$4,'Curva Forward'!$C$4:$AN$4,0))),DK319)</f>
        <v>0</v>
      </c>
      <c r="GJ319" s="190">
        <f>AX319*AX$2*IF($FC319="V",1,-1)*IF($Q319="Fixo",(DL319-INDEX('Curva Forward'!$C$5:$AN$13,MATCH(CONCATENATE(BD_COMERCIAL!$K319," ",BD_COMERCIAL!$L319),'Curva Forward'!$B$5:$B$13,0),MATCH(GJ$4,'Curva Forward'!$C$4:$AN$4,0))),DL319)</f>
        <v>0</v>
      </c>
      <c r="GK319" s="190">
        <f>AY319*AY$2*IF($FC319="V",1,-1)*IF($Q319="Fixo",(DM319-INDEX('Curva Forward'!$C$5:$AN$13,MATCH(CONCATENATE(BD_COMERCIAL!$K319," ",BD_COMERCIAL!$L319),'Curva Forward'!$B$5:$B$13,0),MATCH(GK$4,'Curva Forward'!$C$4:$AN$4,0))),DM319)</f>
        <v>0</v>
      </c>
      <c r="GL319" s="190">
        <f>IF(EZ319="",0,CL319*CL$2*IF($FC319="V",1,-1)*IF($Q319="Fixo",(EZ319-INDEX('Curva Forward'!$C$5:$AN$13,MATCH(CONCATENATE(BD_COMERCIAL!$K319," ",BD_COMERCIAL!$L319),'Curva Forward'!$B$5:$B$13,0),MATCH(GL$4,'Curva Forward'!$C$4:$AN$4,0))),EZ319))</f>
        <v>0</v>
      </c>
      <c r="GM319" s="190">
        <f>IF(FA319="",0,CM319*CM$2*IF($FC319="V",1,-1)*IF($Q319="Fixo",(FA319-INDEX('Curva Forward'!$C$5:$AN$13,MATCH(CONCATENATE(BD_COMERCIAL!$K319," ",BD_COMERCIAL!$L319),'Curva Forward'!$B$5:$B$13,0),MATCH(GM$4,'Curva Forward'!$C$4:$AN$4,0))),FA319))</f>
        <v>0</v>
      </c>
      <c r="GN319" s="190">
        <f>IF(FB319="",0,CN319*CN$2*IF($FC319="V",1,-1)*IF($Q319="Fixo",(FB319-INDEX('Curva Forward'!$C$5:$AN$13,MATCH(CONCATENATE(BD_COMERCIAL!$K319," ",BD_COMERCIAL!$L319),'Curva Forward'!$B$5:$B$13,0),MATCH(GN$4,'Curva Forward'!$C$4:$AN$4,0))),FB319))</f>
        <v>0</v>
      </c>
      <c r="GO319" s="191">
        <f t="shared" ca="1" si="39"/>
        <v>0</v>
      </c>
      <c r="GP319" s="191">
        <f t="shared" ca="1" si="40"/>
        <v>0</v>
      </c>
      <c r="GQ319" s="115"/>
      <c r="GR319" s="115"/>
      <c r="GS319"/>
      <c r="GT319" s="65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</row>
    <row r="320" spans="1:236" s="265" customFormat="1" ht="15" customHeight="1" x14ac:dyDescent="0.35">
      <c r="A320" s="251"/>
      <c r="B320" s="275"/>
      <c r="C320" s="253"/>
      <c r="D320" s="254"/>
      <c r="E320" s="254"/>
      <c r="F320" s="255"/>
      <c r="G320" s="256"/>
      <c r="H320" s="255"/>
      <c r="I320" s="254"/>
      <c r="J320" s="257"/>
      <c r="K320" s="256"/>
      <c r="L320" s="252"/>
      <c r="M320" s="258"/>
      <c r="N320" s="259"/>
      <c r="O320" s="256"/>
      <c r="P320" s="252"/>
      <c r="Q320" s="252"/>
      <c r="R320" s="256"/>
      <c r="S320" s="260"/>
      <c r="T320" s="258"/>
      <c r="U320" s="259"/>
      <c r="V320" s="261"/>
      <c r="W320" s="252"/>
      <c r="X320" s="262"/>
      <c r="Y320" s="257"/>
      <c r="Z320" s="263"/>
      <c r="AA320" s="264"/>
      <c r="AB320" s="266"/>
      <c r="AM320" s="251"/>
      <c r="AN320" s="266"/>
      <c r="AY320" s="251"/>
      <c r="AZ320" s="266"/>
      <c r="BK320" s="251"/>
      <c r="BL320" s="266"/>
      <c r="BW320" s="251"/>
      <c r="BX320" s="266"/>
      <c r="CI320" s="251"/>
      <c r="CJ320" s="267"/>
      <c r="CK320" s="267"/>
      <c r="CL320" s="267"/>
      <c r="CM320" s="267"/>
      <c r="CN320" s="267"/>
      <c r="CO320" s="268"/>
      <c r="CP320" s="266"/>
      <c r="DA320" s="251"/>
      <c r="DB320" s="266"/>
      <c r="DM320" s="251"/>
      <c r="DN320" s="266"/>
      <c r="DY320" s="251"/>
      <c r="DZ320" s="266"/>
      <c r="EK320" s="251"/>
      <c r="EL320" s="266"/>
      <c r="EW320" s="251"/>
      <c r="EX320" s="267"/>
      <c r="EY320" s="267"/>
      <c r="EZ320" s="267"/>
      <c r="FA320" s="267"/>
      <c r="FB320" s="269"/>
      <c r="FD320" s="270"/>
      <c r="FF320" s="276"/>
      <c r="FH320" s="271"/>
      <c r="FI320" s="272"/>
      <c r="FL320" s="273"/>
      <c r="FM320" s="273"/>
      <c r="FN320" s="274"/>
      <c r="FO320" s="274"/>
      <c r="FP320" s="274"/>
      <c r="FQ320" s="274"/>
      <c r="FR320" s="274"/>
      <c r="FS320" s="274"/>
      <c r="FT320" s="274"/>
      <c r="FU320" s="274"/>
      <c r="FV320" s="274"/>
      <c r="FW320" s="274"/>
      <c r="FX320" s="274"/>
      <c r="FY320" s="274"/>
      <c r="FZ320" s="274"/>
      <c r="GA320" s="274"/>
      <c r="GB320" s="274"/>
      <c r="GC320" s="274"/>
      <c r="GD320" s="274"/>
      <c r="GE320" s="274"/>
      <c r="GF320" s="274"/>
      <c r="GG320" s="274"/>
      <c r="GH320" s="274"/>
      <c r="GI320" s="274"/>
      <c r="GJ320" s="274"/>
      <c r="GK320" s="274"/>
      <c r="GL320" s="274"/>
      <c r="GM320" s="274"/>
      <c r="GN320" s="274"/>
      <c r="GO320" s="273"/>
      <c r="GP320" s="273"/>
      <c r="GQ320" s="115"/>
      <c r="GR320" s="115"/>
      <c r="GS320"/>
      <c r="GT320" s="65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</row>
    <row r="321" spans="1:236" s="265" customFormat="1" ht="15" customHeight="1" x14ac:dyDescent="0.35">
      <c r="A321" s="251"/>
      <c r="B321" s="275"/>
      <c r="C321" s="253"/>
      <c r="D321" s="254"/>
      <c r="E321" s="254"/>
      <c r="F321" s="255"/>
      <c r="G321" s="256"/>
      <c r="H321" s="255"/>
      <c r="I321" s="254"/>
      <c r="J321" s="257"/>
      <c r="K321" s="256"/>
      <c r="L321" s="252"/>
      <c r="M321" s="258"/>
      <c r="N321" s="259"/>
      <c r="O321" s="256"/>
      <c r="P321" s="252"/>
      <c r="Q321" s="252"/>
      <c r="R321" s="256"/>
      <c r="S321" s="260"/>
      <c r="T321" s="258"/>
      <c r="U321" s="259"/>
      <c r="V321" s="261"/>
      <c r="W321" s="252"/>
      <c r="X321" s="262"/>
      <c r="Y321" s="257"/>
      <c r="Z321" s="263"/>
      <c r="AA321" s="264"/>
      <c r="AB321" s="266"/>
      <c r="AM321" s="251"/>
      <c r="AN321" s="266"/>
      <c r="AY321" s="251"/>
      <c r="AZ321" s="266"/>
      <c r="BK321" s="251"/>
      <c r="BL321" s="266"/>
      <c r="BW321" s="251"/>
      <c r="BX321" s="266"/>
      <c r="CI321" s="251"/>
      <c r="CJ321" s="267"/>
      <c r="CK321" s="267"/>
      <c r="CL321" s="267"/>
      <c r="CM321" s="267"/>
      <c r="CN321" s="267"/>
      <c r="CO321" s="268"/>
      <c r="CP321" s="266"/>
      <c r="DA321" s="251"/>
      <c r="DB321" s="266"/>
      <c r="DM321" s="251"/>
      <c r="DN321" s="266"/>
      <c r="DY321" s="251"/>
      <c r="DZ321" s="266"/>
      <c r="EK321" s="251"/>
      <c r="EL321" s="266"/>
      <c r="EW321" s="251"/>
      <c r="EX321" s="267"/>
      <c r="EY321" s="267"/>
      <c r="EZ321" s="267"/>
      <c r="FA321" s="267"/>
      <c r="FB321" s="269"/>
      <c r="FD321" s="270"/>
      <c r="FF321" s="276"/>
      <c r="FH321" s="271"/>
      <c r="FI321" s="272"/>
      <c r="FL321" s="273"/>
      <c r="FM321" s="273"/>
      <c r="FN321" s="274"/>
      <c r="FO321" s="274"/>
      <c r="FP321" s="274"/>
      <c r="FQ321" s="274"/>
      <c r="FR321" s="274"/>
      <c r="FS321" s="274"/>
      <c r="FT321" s="274"/>
      <c r="FU321" s="274"/>
      <c r="FV321" s="274"/>
      <c r="FW321" s="274"/>
      <c r="FX321" s="274"/>
      <c r="FY321" s="274"/>
      <c r="FZ321" s="274"/>
      <c r="GA321" s="274"/>
      <c r="GB321" s="274"/>
      <c r="GC321" s="274"/>
      <c r="GD321" s="274"/>
      <c r="GE321" s="274"/>
      <c r="GF321" s="274"/>
      <c r="GG321" s="274"/>
      <c r="GH321" s="274"/>
      <c r="GI321" s="274"/>
      <c r="GJ321" s="274"/>
      <c r="GK321" s="274"/>
      <c r="GL321" s="274"/>
      <c r="GM321" s="274"/>
      <c r="GN321" s="274"/>
      <c r="GO321" s="273"/>
      <c r="GP321" s="273"/>
      <c r="GQ321" s="115"/>
      <c r="GR321" s="115"/>
      <c r="GS321"/>
      <c r="GT321" s="65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</row>
    <row r="322" spans="1:236" s="265" customFormat="1" ht="15" customHeight="1" x14ac:dyDescent="0.35">
      <c r="A322" s="251"/>
      <c r="B322" s="275"/>
      <c r="C322" s="253"/>
      <c r="D322" s="254"/>
      <c r="E322" s="254"/>
      <c r="F322" s="255"/>
      <c r="G322" s="256"/>
      <c r="H322" s="255"/>
      <c r="I322" s="254"/>
      <c r="J322" s="257"/>
      <c r="K322" s="256"/>
      <c r="L322" s="252"/>
      <c r="M322" s="258"/>
      <c r="N322" s="259"/>
      <c r="O322" s="256"/>
      <c r="P322" s="252"/>
      <c r="Q322" s="252"/>
      <c r="R322" s="256"/>
      <c r="S322" s="260"/>
      <c r="T322" s="258"/>
      <c r="U322" s="259"/>
      <c r="V322" s="261"/>
      <c r="W322" s="252"/>
      <c r="X322" s="262"/>
      <c r="Y322" s="257"/>
      <c r="Z322" s="263"/>
      <c r="AA322" s="264"/>
      <c r="AB322" s="266"/>
      <c r="AM322" s="251"/>
      <c r="AN322" s="266"/>
      <c r="AY322" s="251"/>
      <c r="AZ322" s="266"/>
      <c r="BK322" s="251"/>
      <c r="BL322" s="266"/>
      <c r="BW322" s="251"/>
      <c r="BX322" s="266"/>
      <c r="CI322" s="251"/>
      <c r="CJ322" s="267"/>
      <c r="CK322" s="267"/>
      <c r="CL322" s="267"/>
      <c r="CM322" s="267"/>
      <c r="CN322" s="267"/>
      <c r="CO322" s="268"/>
      <c r="CP322" s="266"/>
      <c r="DA322" s="251"/>
      <c r="DB322" s="266"/>
      <c r="DM322" s="251"/>
      <c r="DN322" s="266"/>
      <c r="DY322" s="251"/>
      <c r="DZ322" s="266"/>
      <c r="EK322" s="251"/>
      <c r="EL322" s="266"/>
      <c r="EW322" s="251"/>
      <c r="EX322" s="267"/>
      <c r="EY322" s="267"/>
      <c r="EZ322" s="267"/>
      <c r="FA322" s="267"/>
      <c r="FB322" s="269"/>
      <c r="FD322" s="270"/>
      <c r="FF322" s="276"/>
      <c r="FH322" s="271"/>
      <c r="FI322" s="272"/>
      <c r="FL322" s="273"/>
      <c r="FM322" s="273"/>
      <c r="FN322" s="274"/>
      <c r="FO322" s="274"/>
      <c r="FP322" s="274"/>
      <c r="FQ322" s="274"/>
      <c r="FR322" s="274"/>
      <c r="FS322" s="274"/>
      <c r="FT322" s="274"/>
      <c r="FU322" s="274"/>
      <c r="FV322" s="274"/>
      <c r="FW322" s="274"/>
      <c r="FX322" s="274"/>
      <c r="FY322" s="274"/>
      <c r="FZ322" s="274"/>
      <c r="GA322" s="274"/>
      <c r="GB322" s="274"/>
      <c r="GC322" s="274"/>
      <c r="GD322" s="274"/>
      <c r="GE322" s="274"/>
      <c r="GF322" s="274"/>
      <c r="GG322" s="274"/>
      <c r="GH322" s="274"/>
      <c r="GI322" s="274"/>
      <c r="GJ322" s="274"/>
      <c r="GK322" s="274"/>
      <c r="GL322" s="274"/>
      <c r="GM322" s="274"/>
      <c r="GN322" s="274"/>
      <c r="GO322" s="273"/>
      <c r="GP322" s="273"/>
      <c r="GQ322" s="115"/>
      <c r="GR322" s="115"/>
      <c r="GS322"/>
      <c r="GT322" s="65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</row>
    <row r="323" spans="1:236" s="265" customFormat="1" ht="15" customHeight="1" x14ac:dyDescent="0.35">
      <c r="A323" s="251"/>
      <c r="B323" s="275"/>
      <c r="C323" s="253"/>
      <c r="D323" s="254"/>
      <c r="E323" s="254"/>
      <c r="F323" s="255"/>
      <c r="G323" s="256"/>
      <c r="H323" s="255"/>
      <c r="I323" s="254"/>
      <c r="J323" s="257"/>
      <c r="K323" s="256"/>
      <c r="L323" s="252"/>
      <c r="M323" s="258"/>
      <c r="N323" s="259"/>
      <c r="O323" s="256"/>
      <c r="P323" s="252"/>
      <c r="Q323" s="252"/>
      <c r="R323" s="256"/>
      <c r="S323" s="260"/>
      <c r="T323" s="258"/>
      <c r="U323" s="259"/>
      <c r="V323" s="261"/>
      <c r="W323" s="252"/>
      <c r="X323" s="262"/>
      <c r="Y323" s="257"/>
      <c r="Z323" s="263"/>
      <c r="AA323" s="264"/>
      <c r="AB323" s="266"/>
      <c r="AM323" s="251"/>
      <c r="AN323" s="266"/>
      <c r="AY323" s="251"/>
      <c r="AZ323" s="266"/>
      <c r="BK323" s="251"/>
      <c r="BL323" s="266"/>
      <c r="BW323" s="251"/>
      <c r="BX323" s="266"/>
      <c r="CI323" s="251"/>
      <c r="CJ323" s="267"/>
      <c r="CK323" s="267"/>
      <c r="CL323" s="267"/>
      <c r="CM323" s="267"/>
      <c r="CN323" s="267"/>
      <c r="CO323" s="268"/>
      <c r="CP323" s="266"/>
      <c r="DA323" s="251"/>
      <c r="DB323" s="266"/>
      <c r="DM323" s="251"/>
      <c r="DN323" s="266"/>
      <c r="DY323" s="251"/>
      <c r="DZ323" s="266"/>
      <c r="EK323" s="251"/>
      <c r="EL323" s="266"/>
      <c r="EW323" s="251"/>
      <c r="EX323" s="267"/>
      <c r="EY323" s="267"/>
      <c r="EZ323" s="267"/>
      <c r="FA323" s="267"/>
      <c r="FB323" s="269"/>
      <c r="FD323" s="270"/>
      <c r="FF323" s="276"/>
      <c r="FH323" s="271"/>
      <c r="FI323" s="272"/>
      <c r="FL323" s="273"/>
      <c r="FM323" s="273"/>
      <c r="FN323" s="274"/>
      <c r="FO323" s="274"/>
      <c r="FP323" s="274"/>
      <c r="FQ323" s="274"/>
      <c r="FR323" s="274"/>
      <c r="FS323" s="274"/>
      <c r="FT323" s="274"/>
      <c r="FU323" s="274"/>
      <c r="FV323" s="274"/>
      <c r="FW323" s="274"/>
      <c r="FX323" s="274"/>
      <c r="FY323" s="274"/>
      <c r="FZ323" s="274"/>
      <c r="GA323" s="274"/>
      <c r="GB323" s="274"/>
      <c r="GC323" s="274"/>
      <c r="GD323" s="274"/>
      <c r="GE323" s="274"/>
      <c r="GF323" s="274"/>
      <c r="GG323" s="274"/>
      <c r="GH323" s="274"/>
      <c r="GI323" s="274"/>
      <c r="GJ323" s="274"/>
      <c r="GK323" s="274"/>
      <c r="GL323" s="274"/>
      <c r="GM323" s="274"/>
      <c r="GN323" s="274"/>
      <c r="GO323" s="273"/>
      <c r="GP323" s="273"/>
      <c r="GQ323" s="115"/>
      <c r="GR323" s="115"/>
      <c r="GS323"/>
      <c r="GT323" s="65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</row>
    <row r="324" spans="1:236" s="265" customFormat="1" ht="15" customHeight="1" x14ac:dyDescent="0.35">
      <c r="A324" s="251"/>
      <c r="B324" s="275"/>
      <c r="C324" s="253"/>
      <c r="D324" s="254"/>
      <c r="E324" s="254"/>
      <c r="F324" s="255"/>
      <c r="G324" s="256"/>
      <c r="H324" s="255"/>
      <c r="I324" s="254"/>
      <c r="J324" s="257"/>
      <c r="K324" s="256"/>
      <c r="L324" s="252"/>
      <c r="M324" s="258"/>
      <c r="N324" s="259"/>
      <c r="O324" s="256"/>
      <c r="P324" s="252"/>
      <c r="Q324" s="252"/>
      <c r="R324" s="256"/>
      <c r="S324" s="260"/>
      <c r="T324" s="258"/>
      <c r="U324" s="259"/>
      <c r="V324" s="261"/>
      <c r="W324" s="252"/>
      <c r="X324" s="262"/>
      <c r="Y324" s="257"/>
      <c r="Z324" s="263"/>
      <c r="AA324" s="264"/>
      <c r="AB324" s="266"/>
      <c r="AM324" s="251"/>
      <c r="AN324" s="266"/>
      <c r="AY324" s="251"/>
      <c r="AZ324" s="266"/>
      <c r="BK324" s="251"/>
      <c r="BL324" s="266"/>
      <c r="BW324" s="251"/>
      <c r="BX324" s="266"/>
      <c r="CI324" s="251"/>
      <c r="CJ324" s="267"/>
      <c r="CK324" s="267"/>
      <c r="CL324" s="267"/>
      <c r="CM324" s="267"/>
      <c r="CN324" s="267"/>
      <c r="CO324" s="268"/>
      <c r="CP324" s="266"/>
      <c r="DA324" s="251"/>
      <c r="DB324" s="266"/>
      <c r="DM324" s="251"/>
      <c r="DN324" s="266"/>
      <c r="DY324" s="251"/>
      <c r="DZ324" s="266"/>
      <c r="EK324" s="251"/>
      <c r="EL324" s="266"/>
      <c r="EW324" s="251"/>
      <c r="EX324" s="267"/>
      <c r="EY324" s="267"/>
      <c r="EZ324" s="267"/>
      <c r="FA324" s="267"/>
      <c r="FB324" s="269"/>
      <c r="FD324" s="270"/>
      <c r="FF324" s="276"/>
      <c r="FH324" s="271"/>
      <c r="FI324" s="272"/>
      <c r="FL324" s="273"/>
      <c r="FM324" s="273"/>
      <c r="FN324" s="274"/>
      <c r="FO324" s="274"/>
      <c r="FP324" s="274"/>
      <c r="FQ324" s="274"/>
      <c r="FR324" s="274"/>
      <c r="FS324" s="274"/>
      <c r="FT324" s="274"/>
      <c r="FU324" s="274"/>
      <c r="FV324" s="274"/>
      <c r="FW324" s="274"/>
      <c r="FX324" s="274"/>
      <c r="FY324" s="274"/>
      <c r="FZ324" s="274"/>
      <c r="GA324" s="274"/>
      <c r="GB324" s="274"/>
      <c r="GC324" s="274"/>
      <c r="GD324" s="274"/>
      <c r="GE324" s="274"/>
      <c r="GF324" s="274"/>
      <c r="GG324" s="274"/>
      <c r="GH324" s="274"/>
      <c r="GI324" s="274"/>
      <c r="GJ324" s="274"/>
      <c r="GK324" s="274"/>
      <c r="GL324" s="274"/>
      <c r="GM324" s="274"/>
      <c r="GN324" s="274"/>
      <c r="GO324" s="273"/>
      <c r="GP324" s="273"/>
      <c r="GQ324" s="115"/>
      <c r="GR324" s="115"/>
      <c r="GS324"/>
      <c r="GT324" s="65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</row>
    <row r="325" spans="1:236" s="265" customFormat="1" ht="15" customHeight="1" x14ac:dyDescent="0.35">
      <c r="A325" s="251"/>
      <c r="B325" s="275"/>
      <c r="C325" s="253"/>
      <c r="D325" s="254"/>
      <c r="E325" s="254"/>
      <c r="F325" s="255"/>
      <c r="G325" s="256"/>
      <c r="H325" s="255"/>
      <c r="I325" s="254"/>
      <c r="J325" s="257"/>
      <c r="K325" s="256"/>
      <c r="L325" s="252"/>
      <c r="M325" s="258"/>
      <c r="N325" s="259"/>
      <c r="O325" s="256"/>
      <c r="P325" s="252"/>
      <c r="Q325" s="252"/>
      <c r="R325" s="256"/>
      <c r="S325" s="260"/>
      <c r="T325" s="258"/>
      <c r="U325" s="259"/>
      <c r="V325" s="261"/>
      <c r="W325" s="252"/>
      <c r="X325" s="262"/>
      <c r="Y325" s="257"/>
      <c r="Z325" s="263"/>
      <c r="AA325" s="264"/>
      <c r="AB325" s="266"/>
      <c r="AM325" s="251"/>
      <c r="AN325" s="266"/>
      <c r="AY325" s="251"/>
      <c r="AZ325" s="266"/>
      <c r="BK325" s="251"/>
      <c r="BL325" s="266"/>
      <c r="BW325" s="251"/>
      <c r="BX325" s="266"/>
      <c r="CI325" s="251"/>
      <c r="CJ325" s="267"/>
      <c r="CK325" s="267"/>
      <c r="CL325" s="267"/>
      <c r="CM325" s="267"/>
      <c r="CN325" s="267"/>
      <c r="CO325" s="268"/>
      <c r="CP325" s="266"/>
      <c r="DA325" s="251"/>
      <c r="DB325" s="266"/>
      <c r="DM325" s="251"/>
      <c r="DN325" s="266"/>
      <c r="DY325" s="251"/>
      <c r="DZ325" s="266"/>
      <c r="EK325" s="251"/>
      <c r="EL325" s="266"/>
      <c r="EW325" s="251"/>
      <c r="EX325" s="267"/>
      <c r="EY325" s="267"/>
      <c r="EZ325" s="267"/>
      <c r="FA325" s="267"/>
      <c r="FB325" s="269"/>
      <c r="FD325" s="270"/>
      <c r="FF325" s="276"/>
      <c r="FH325" s="271"/>
      <c r="FI325" s="272"/>
      <c r="FL325" s="273"/>
      <c r="FM325" s="273"/>
      <c r="FN325" s="274"/>
      <c r="FO325" s="274"/>
      <c r="FP325" s="274"/>
      <c r="FQ325" s="274"/>
      <c r="FR325" s="274"/>
      <c r="FS325" s="274"/>
      <c r="FT325" s="274"/>
      <c r="FU325" s="274"/>
      <c r="FV325" s="274"/>
      <c r="FW325" s="274"/>
      <c r="FX325" s="274"/>
      <c r="FY325" s="274"/>
      <c r="FZ325" s="274"/>
      <c r="GA325" s="274"/>
      <c r="GB325" s="274"/>
      <c r="GC325" s="274"/>
      <c r="GD325" s="274"/>
      <c r="GE325" s="274"/>
      <c r="GF325" s="274"/>
      <c r="GG325" s="274"/>
      <c r="GH325" s="274"/>
      <c r="GI325" s="274"/>
      <c r="GJ325" s="274"/>
      <c r="GK325" s="274"/>
      <c r="GL325" s="274"/>
      <c r="GM325" s="274"/>
      <c r="GN325" s="274"/>
      <c r="GO325" s="273"/>
      <c r="GP325" s="273"/>
      <c r="GQ325" s="115"/>
      <c r="GR325" s="115"/>
      <c r="GS325"/>
      <c r="GT325" s="6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</row>
    <row r="326" spans="1:236" s="265" customFormat="1" ht="15" customHeight="1" x14ac:dyDescent="0.35">
      <c r="A326" s="251"/>
      <c r="B326" s="275"/>
      <c r="C326" s="253"/>
      <c r="D326" s="254"/>
      <c r="E326" s="254"/>
      <c r="F326" s="255"/>
      <c r="G326" s="256"/>
      <c r="H326" s="255"/>
      <c r="I326" s="254"/>
      <c r="J326" s="257"/>
      <c r="K326" s="256"/>
      <c r="L326" s="252"/>
      <c r="M326" s="258"/>
      <c r="N326" s="259"/>
      <c r="O326" s="256"/>
      <c r="P326" s="252"/>
      <c r="Q326" s="252"/>
      <c r="R326" s="256"/>
      <c r="S326" s="260"/>
      <c r="T326" s="258"/>
      <c r="U326" s="259"/>
      <c r="V326" s="261"/>
      <c r="W326" s="252"/>
      <c r="X326" s="262"/>
      <c r="Y326" s="257"/>
      <c r="Z326" s="263"/>
      <c r="AA326" s="264"/>
      <c r="AB326" s="266"/>
      <c r="AM326" s="251"/>
      <c r="AN326" s="266"/>
      <c r="AY326" s="251"/>
      <c r="AZ326" s="266"/>
      <c r="BK326" s="251"/>
      <c r="BL326" s="266"/>
      <c r="BW326" s="251"/>
      <c r="BX326" s="266"/>
      <c r="CI326" s="251"/>
      <c r="CJ326" s="267"/>
      <c r="CK326" s="267"/>
      <c r="CL326" s="267"/>
      <c r="CM326" s="267"/>
      <c r="CN326" s="267"/>
      <c r="CO326" s="268"/>
      <c r="CP326" s="266"/>
      <c r="DA326" s="251"/>
      <c r="DB326" s="266"/>
      <c r="DM326" s="251"/>
      <c r="DN326" s="266"/>
      <c r="DY326" s="251"/>
      <c r="DZ326" s="266"/>
      <c r="EK326" s="251"/>
      <c r="EL326" s="266"/>
      <c r="EW326" s="251"/>
      <c r="EX326" s="267"/>
      <c r="EY326" s="267"/>
      <c r="EZ326" s="267"/>
      <c r="FA326" s="267"/>
      <c r="FB326" s="269"/>
      <c r="FD326" s="270"/>
      <c r="FF326" s="276"/>
      <c r="FH326" s="271"/>
      <c r="FI326" s="272"/>
      <c r="FL326" s="273"/>
      <c r="FM326" s="273"/>
      <c r="FN326" s="274"/>
      <c r="FO326" s="274"/>
      <c r="FP326" s="274"/>
      <c r="FQ326" s="274"/>
      <c r="FR326" s="274"/>
      <c r="FS326" s="274"/>
      <c r="FT326" s="274"/>
      <c r="FU326" s="274"/>
      <c r="FV326" s="274"/>
      <c r="FW326" s="274"/>
      <c r="FX326" s="274"/>
      <c r="FY326" s="274"/>
      <c r="FZ326" s="274"/>
      <c r="GA326" s="274"/>
      <c r="GB326" s="274"/>
      <c r="GC326" s="274"/>
      <c r="GD326" s="274"/>
      <c r="GE326" s="274"/>
      <c r="GF326" s="274"/>
      <c r="GG326" s="274"/>
      <c r="GH326" s="274"/>
      <c r="GI326" s="274"/>
      <c r="GJ326" s="274"/>
      <c r="GK326" s="274"/>
      <c r="GL326" s="274"/>
      <c r="GM326" s="274"/>
      <c r="GN326" s="274"/>
      <c r="GO326" s="273"/>
      <c r="GP326" s="273"/>
      <c r="GQ326" s="115"/>
      <c r="GR326" s="115"/>
      <c r="GS326"/>
      <c r="GT326" s="65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</row>
    <row r="327" spans="1:236" s="265" customFormat="1" ht="15" customHeight="1" x14ac:dyDescent="0.35">
      <c r="A327" s="251"/>
      <c r="B327" s="275"/>
      <c r="C327" s="253"/>
      <c r="D327" s="254"/>
      <c r="E327" s="254"/>
      <c r="F327" s="255"/>
      <c r="G327" s="256"/>
      <c r="H327" s="255"/>
      <c r="I327" s="254"/>
      <c r="J327" s="257"/>
      <c r="K327" s="256"/>
      <c r="L327" s="252"/>
      <c r="M327" s="258"/>
      <c r="N327" s="259"/>
      <c r="O327" s="256"/>
      <c r="P327" s="252"/>
      <c r="Q327" s="252"/>
      <c r="R327" s="256"/>
      <c r="S327" s="260"/>
      <c r="T327" s="258"/>
      <c r="U327" s="259"/>
      <c r="V327" s="261"/>
      <c r="W327" s="252"/>
      <c r="X327" s="262"/>
      <c r="Y327" s="257"/>
      <c r="Z327" s="263"/>
      <c r="AA327" s="264"/>
      <c r="AB327" s="266"/>
      <c r="AM327" s="251"/>
      <c r="AN327" s="266"/>
      <c r="AY327" s="251"/>
      <c r="AZ327" s="266"/>
      <c r="BK327" s="251"/>
      <c r="BL327" s="266"/>
      <c r="BW327" s="251"/>
      <c r="BX327" s="266"/>
      <c r="CI327" s="251"/>
      <c r="CJ327" s="267"/>
      <c r="CK327" s="267"/>
      <c r="CL327" s="267"/>
      <c r="CM327" s="267"/>
      <c r="CN327" s="267"/>
      <c r="CO327" s="268"/>
      <c r="CP327" s="266"/>
      <c r="DA327" s="251"/>
      <c r="DB327" s="266"/>
      <c r="DM327" s="251"/>
      <c r="DN327" s="266"/>
      <c r="DY327" s="251"/>
      <c r="DZ327" s="266"/>
      <c r="EK327" s="251"/>
      <c r="EL327" s="266"/>
      <c r="EW327" s="251"/>
      <c r="EX327" s="267"/>
      <c r="EY327" s="267"/>
      <c r="EZ327" s="267"/>
      <c r="FA327" s="267"/>
      <c r="FB327" s="269"/>
      <c r="FD327" s="270"/>
      <c r="FF327" s="276"/>
      <c r="FH327" s="271"/>
      <c r="FI327" s="272"/>
      <c r="FL327" s="273"/>
      <c r="FM327" s="273"/>
      <c r="FN327" s="274"/>
      <c r="FO327" s="274"/>
      <c r="FP327" s="274"/>
      <c r="FQ327" s="274"/>
      <c r="FR327" s="274"/>
      <c r="FS327" s="274"/>
      <c r="FT327" s="274"/>
      <c r="FU327" s="274"/>
      <c r="FV327" s="274"/>
      <c r="FW327" s="274"/>
      <c r="FX327" s="274"/>
      <c r="FY327" s="274"/>
      <c r="FZ327" s="274"/>
      <c r="GA327" s="274"/>
      <c r="GB327" s="274"/>
      <c r="GC327" s="274"/>
      <c r="GD327" s="274"/>
      <c r="GE327" s="274"/>
      <c r="GF327" s="274"/>
      <c r="GG327" s="274"/>
      <c r="GH327" s="274"/>
      <c r="GI327" s="274"/>
      <c r="GJ327" s="274"/>
      <c r="GK327" s="274"/>
      <c r="GL327" s="274"/>
      <c r="GM327" s="274"/>
      <c r="GN327" s="274"/>
      <c r="GO327" s="273"/>
      <c r="GP327" s="273"/>
      <c r="GQ327" s="115"/>
      <c r="GR327" s="115"/>
      <c r="GS327"/>
      <c r="GT327" s="65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</row>
    <row r="328" spans="1:236" s="265" customFormat="1" ht="15" customHeight="1" x14ac:dyDescent="0.35">
      <c r="A328" s="251"/>
      <c r="B328" s="275"/>
      <c r="C328" s="253"/>
      <c r="D328" s="254"/>
      <c r="E328" s="254"/>
      <c r="F328" s="255"/>
      <c r="G328" s="256"/>
      <c r="H328" s="255"/>
      <c r="I328" s="254"/>
      <c r="J328" s="257"/>
      <c r="K328" s="256"/>
      <c r="L328" s="252"/>
      <c r="M328" s="258"/>
      <c r="N328" s="259"/>
      <c r="O328" s="256"/>
      <c r="P328" s="252"/>
      <c r="Q328" s="252"/>
      <c r="R328" s="256"/>
      <c r="S328" s="260"/>
      <c r="T328" s="258"/>
      <c r="U328" s="259"/>
      <c r="V328" s="261"/>
      <c r="W328" s="252"/>
      <c r="X328" s="262"/>
      <c r="Y328" s="257"/>
      <c r="Z328" s="263"/>
      <c r="AA328" s="264"/>
      <c r="AB328" s="266"/>
      <c r="AM328" s="251"/>
      <c r="AN328" s="266"/>
      <c r="AY328" s="251"/>
      <c r="AZ328" s="266"/>
      <c r="BK328" s="251"/>
      <c r="BL328" s="266"/>
      <c r="BW328" s="251"/>
      <c r="BX328" s="266"/>
      <c r="CI328" s="251"/>
      <c r="CJ328" s="267"/>
      <c r="CK328" s="267"/>
      <c r="CL328" s="267"/>
      <c r="CM328" s="267"/>
      <c r="CN328" s="267"/>
      <c r="CO328" s="268"/>
      <c r="CP328" s="266"/>
      <c r="DA328" s="251"/>
      <c r="DB328" s="266"/>
      <c r="DM328" s="251"/>
      <c r="DN328" s="266"/>
      <c r="DY328" s="251"/>
      <c r="DZ328" s="266"/>
      <c r="EK328" s="251"/>
      <c r="EL328" s="266"/>
      <c r="EW328" s="251"/>
      <c r="EX328" s="267"/>
      <c r="EY328" s="267"/>
      <c r="EZ328" s="267"/>
      <c r="FA328" s="267"/>
      <c r="FB328" s="269"/>
      <c r="FD328" s="270"/>
      <c r="FF328" s="276"/>
      <c r="FH328" s="271"/>
      <c r="FI328" s="272"/>
      <c r="FL328" s="273"/>
      <c r="FM328" s="273"/>
      <c r="FN328" s="274"/>
      <c r="FO328" s="274"/>
      <c r="FP328" s="274"/>
      <c r="FQ328" s="274"/>
      <c r="FR328" s="274"/>
      <c r="FS328" s="274"/>
      <c r="FT328" s="274"/>
      <c r="FU328" s="274"/>
      <c r="FV328" s="274"/>
      <c r="FW328" s="274"/>
      <c r="FX328" s="274"/>
      <c r="FY328" s="274"/>
      <c r="FZ328" s="274"/>
      <c r="GA328" s="274"/>
      <c r="GB328" s="274"/>
      <c r="GC328" s="274"/>
      <c r="GD328" s="274"/>
      <c r="GE328" s="274"/>
      <c r="GF328" s="274"/>
      <c r="GG328" s="274"/>
      <c r="GH328" s="274"/>
      <c r="GI328" s="274"/>
      <c r="GJ328" s="274"/>
      <c r="GK328" s="274"/>
      <c r="GL328" s="274"/>
      <c r="GM328" s="274"/>
      <c r="GN328" s="274"/>
      <c r="GO328" s="273"/>
      <c r="GP328" s="273"/>
      <c r="GQ328" s="115"/>
      <c r="GR328" s="115"/>
      <c r="GS328"/>
      <c r="GT328" s="65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</row>
  </sheetData>
  <mergeCells count="28">
    <mergeCell ref="DZ3:EK3"/>
    <mergeCell ref="EL3:EW3"/>
    <mergeCell ref="DB1:DM1"/>
    <mergeCell ref="FN3:FY3"/>
    <mergeCell ref="FZ3:GK3"/>
    <mergeCell ref="FN1:FY1"/>
    <mergeCell ref="FZ1:GK1"/>
    <mergeCell ref="DN1:DY1"/>
    <mergeCell ref="DZ1:EK1"/>
    <mergeCell ref="EL1:EW1"/>
    <mergeCell ref="DB3:DM3"/>
    <mergeCell ref="T3:U3"/>
    <mergeCell ref="V3:W3"/>
    <mergeCell ref="P3:Q3"/>
    <mergeCell ref="M3:N3"/>
    <mergeCell ref="AB1:AM1"/>
    <mergeCell ref="Z3:AA3"/>
    <mergeCell ref="AB3:AM3"/>
    <mergeCell ref="AN3:AY3"/>
    <mergeCell ref="AN1:AY1"/>
    <mergeCell ref="CP1:DA1"/>
    <mergeCell ref="AZ1:BK1"/>
    <mergeCell ref="AZ3:BK3"/>
    <mergeCell ref="BL1:BW1"/>
    <mergeCell ref="BL3:BW3"/>
    <mergeCell ref="BX1:CI1"/>
    <mergeCell ref="BX3:CI3"/>
    <mergeCell ref="CP3:DA3"/>
  </mergeCells>
  <phoneticPr fontId="49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1" tint="0.499984740745262"/>
  </sheetPr>
  <dimension ref="A1:AS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2" sqref="T2"/>
    </sheetView>
  </sheetViews>
  <sheetFormatPr defaultRowHeight="14.5" x14ac:dyDescent="0.35"/>
  <cols>
    <col min="1" max="1" width="7" customWidth="1"/>
    <col min="2" max="2" width="39.1796875" bestFit="1" customWidth="1"/>
    <col min="3" max="14" width="15" bestFit="1" customWidth="1"/>
    <col min="15" max="15" width="5.81640625" style="21" customWidth="1"/>
    <col min="16" max="16" width="16" style="21" bestFit="1" customWidth="1"/>
    <col min="17" max="17" width="5.81640625" style="21" customWidth="1"/>
    <col min="18" max="18" width="16" bestFit="1" customWidth="1"/>
    <col min="19" max="19" width="5.81640625" style="21" customWidth="1"/>
    <col min="20" max="31" width="15" customWidth="1"/>
    <col min="32" max="32" width="16" bestFit="1" customWidth="1"/>
  </cols>
  <sheetData>
    <row r="1" spans="1:45" ht="15" thickBot="1" x14ac:dyDescent="0.4">
      <c r="A1" s="21"/>
      <c r="C1" s="127">
        <v>43831</v>
      </c>
      <c r="D1" s="127">
        <v>43862</v>
      </c>
      <c r="E1" s="127">
        <v>43891</v>
      </c>
      <c r="F1" s="127">
        <v>43922</v>
      </c>
      <c r="G1" s="127">
        <v>43952</v>
      </c>
      <c r="H1" s="127">
        <v>43983</v>
      </c>
      <c r="I1" s="127">
        <v>44013</v>
      </c>
      <c r="J1" s="127">
        <v>44044</v>
      </c>
      <c r="K1" s="127">
        <v>44075</v>
      </c>
      <c r="L1" s="127">
        <v>44105</v>
      </c>
      <c r="M1" s="127">
        <v>44136</v>
      </c>
      <c r="N1" s="127">
        <v>44166</v>
      </c>
      <c r="P1" s="138" t="str">
        <f ca="1">"jan-"&amp;TEXT(DATE(2021,MONTH(TODAY())-1,1),"mmm")&amp;"/23"</f>
        <v>jan-jan/23</v>
      </c>
      <c r="R1" s="138" t="s">
        <v>599</v>
      </c>
      <c r="T1" s="138" t="s">
        <v>45</v>
      </c>
      <c r="U1" s="138" t="s">
        <v>44</v>
      </c>
      <c r="V1" s="138" t="s">
        <v>43</v>
      </c>
      <c r="W1" s="138" t="s">
        <v>42</v>
      </c>
      <c r="X1" s="138" t="s">
        <v>41</v>
      </c>
      <c r="Y1" s="138" t="s">
        <v>40</v>
      </c>
      <c r="Z1" s="138" t="s">
        <v>39</v>
      </c>
      <c r="AA1" s="138" t="s">
        <v>38</v>
      </c>
      <c r="AB1" s="138" t="s">
        <v>37</v>
      </c>
      <c r="AC1" s="138" t="s">
        <v>36</v>
      </c>
      <c r="AD1" s="138" t="s">
        <v>35</v>
      </c>
      <c r="AE1" s="138" t="s">
        <v>34</v>
      </c>
      <c r="AF1" s="138" t="s">
        <v>600</v>
      </c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</row>
    <row r="2" spans="1:45" ht="15" thickTop="1" x14ac:dyDescent="0.35">
      <c r="A2" s="21"/>
      <c r="B2" s="125" t="s">
        <v>95</v>
      </c>
      <c r="C2" s="129" t="e" cm="1">
        <f t="array" aca="1" ref="C2" ca="1">SUMPRODUCT(OFFSET(BD_COMERCIAL!AB$5,0,0,'POSIÇÕES (2023)'!$S$26,1),OFFSET(BD_COMERCIAL!CP$5,0,0,'POSIÇÕES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(2023)'!$S$26,1)="Fixo"))*BD_COMERCIAL!AB$2
+
SUMPRODUCT(OFFSET(BD_COMERCIAL!AB$5,0,0,'POSIÇÕES (2023)'!$S$26,1),OFFSET(BD_COMERCIAL!CP$5,0,0,'POSIÇÕES (2023)'!$S$26,1)+'POSIÇÕES (2023)'!Z$25,--(OFFSET(BD_COMERCIAL!$I$5,0,0,'POSIÇÕES (2023)'!$S$26,1)="Trading"),--(OFFSET(BD_COMERCIAL!$FC$5,0,0,'POSIÇÕES (2023)'!$S$26,1)="V"),--(OFFSET(BD_COMERCIAL!$Q$5,0,0,'POSIÇÕES (2023)'!$S$26,1)="PLD + Spread"))*BD_COMERCIAL!AB$2
+
IF('POSIÇÕES (2023)'!Z28&gt;0,'POSIÇÕES (2023)'!Z28*BD_COMERCIAL!AB2*'POSIÇÕES (2023)'!Z25,0)</f>
        <v>#N/A</v>
      </c>
      <c r="D2" s="129" t="e" cm="1">
        <f t="array" aca="1" ref="D2" ca="1">SUMPRODUCT(OFFSET(BD_COMERCIAL!AC$5,0,0,'POSIÇÕES (2023)'!$S$26,1),OFFSET(BD_COMERCIAL!CQ$5,0,0,'POSIÇÕES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(2023)'!$S$26,1)="Fixo"))*BD_COMERCIAL!AC$2
+
SUMPRODUCT(OFFSET(BD_COMERCIAL!AC$5,0,0,'POSIÇÕES (2023)'!$S$26,1),OFFSET(BD_COMERCIAL!CQ$5,0,0,'POSIÇÕES (2023)'!$S$26,1)+'POSIÇÕES (2023)'!AA$25,--(OFFSET(BD_COMERCIAL!$I$5,0,0,'POSIÇÕES (2023)'!$S$26,1)="Trading"),--(OFFSET(BD_COMERCIAL!$FC$5,0,0,'POSIÇÕES (2023)'!$S$26,1)="V"),--(OFFSET(BD_COMERCIAL!$Q$5,0,0,'POSIÇÕES (2023)'!$S$26,1)="PLD + Spread"))*BD_COMERCIAL!AC$2
+
IF('POSIÇÕES (2023)'!AA28&gt;0,'POSIÇÕES (2023)'!AA28*BD_COMERCIAL!AC2*'POSIÇÕES (2023)'!AA25,0)</f>
        <v>#N/A</v>
      </c>
      <c r="E2" s="129" t="e" cm="1">
        <f t="array" aca="1" ref="E2" ca="1">SUMPRODUCT(OFFSET(BD_COMERCIAL!AD$5,0,0,'POSIÇÕES (2023)'!$S$26,1),OFFSET(BD_COMERCIAL!CR$5,0,0,'POSIÇÕES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(2023)'!$S$26,1)="Fixo"))*BD_COMERCIAL!AD$2
+
SUMPRODUCT(OFFSET(BD_COMERCIAL!AD$5,0,0,'POSIÇÕES (2023)'!$S$26,1),OFFSET(BD_COMERCIAL!CR$5,0,0,'POSIÇÕES (2023)'!$S$26,1)+'POSIÇÕES (2023)'!AB$25,--(OFFSET(BD_COMERCIAL!$I$5,0,0,'POSIÇÕES (2023)'!$S$26,1)="Trading"),--(OFFSET(BD_COMERCIAL!$FC$5,0,0,'POSIÇÕES (2023)'!$S$26,1)="V"),--(OFFSET(BD_COMERCIAL!$Q$5,0,0,'POSIÇÕES (2023)'!$S$26,1)="PLD + Spread"))*BD_COMERCIAL!AD$2
+
IF('POSIÇÕES (2023)'!AB28&gt;0,'POSIÇÕES (2023)'!AB28*BD_COMERCIAL!AD2*'POSIÇÕES (2023)'!AB25,0)</f>
        <v>#N/A</v>
      </c>
      <c r="F2" s="129" t="e" cm="1">
        <f t="array" aca="1" ref="F2" ca="1">SUMPRODUCT(OFFSET(BD_COMERCIAL!AE$5,0,0,'POSIÇÕES (2023)'!$S$26,1),OFFSET(BD_COMERCIAL!CS$5,0,0,'POSIÇÕES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(2023)'!$S$26,1)="Fixo"))*BD_COMERCIAL!AE$2
+
SUMPRODUCT(OFFSET(BD_COMERCIAL!AE$5,0,0,'POSIÇÕES (2023)'!$S$26,1),OFFSET(BD_COMERCIAL!CS$5,0,0,'POSIÇÕES (2023)'!$S$26,1)+'POSIÇÕES (2023)'!AC$25,--(OFFSET(BD_COMERCIAL!$I$5,0,0,'POSIÇÕES (2023)'!$S$26,1)="Trading"),--(OFFSET(BD_COMERCIAL!$FC$5,0,0,'POSIÇÕES (2023)'!$S$26,1)="V"),--(OFFSET(BD_COMERCIAL!$Q$5,0,0,'POSIÇÕES (2023)'!$S$26,1)="PLD + Spread"))*BD_COMERCIAL!AE$2
+
IF('POSIÇÕES (2023)'!AC28&gt;0,'POSIÇÕES (2023)'!AC28*BD_COMERCIAL!AE2*'POSIÇÕES (2023)'!AC25,0)</f>
        <v>#N/A</v>
      </c>
      <c r="G2" s="129" t="e" cm="1">
        <f t="array" aca="1" ref="G2" ca="1">SUMPRODUCT(OFFSET(BD_COMERCIAL!AF$5,0,0,'POSIÇÕES (2023)'!$S$26,1),OFFSET(BD_COMERCIAL!CT$5,0,0,'POSIÇÕES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(2023)'!$S$26,1)="Fixo"))*BD_COMERCIAL!AF$2
+
SUMPRODUCT(OFFSET(BD_COMERCIAL!AF$5,0,0,'POSIÇÕES (2023)'!$S$26,1),OFFSET(BD_COMERCIAL!CT$5,0,0,'POSIÇÕES (2023)'!$S$26,1)+'POSIÇÕES (2023)'!AD$25,--(OFFSET(BD_COMERCIAL!$I$5,0,0,'POSIÇÕES (2023)'!$S$26,1)="Trading"),--(OFFSET(BD_COMERCIAL!$FC$5,0,0,'POSIÇÕES (2023)'!$S$26,1)="V"),--(OFFSET(BD_COMERCIAL!$Q$5,0,0,'POSIÇÕES (2023)'!$S$26,1)="PLD + Spread"))*BD_COMERCIAL!AF$2
+
IF('POSIÇÕES (2023)'!AD28&gt;0,'POSIÇÕES (2023)'!AD28*BD_COMERCIAL!AF2*'POSIÇÕES (2023)'!AD25,0)</f>
        <v>#N/A</v>
      </c>
      <c r="H2" s="129" t="e" cm="1">
        <f t="array" aca="1" ref="H2" ca="1">SUMPRODUCT(OFFSET(BD_COMERCIAL!AG$5,0,0,'POSIÇÕES (2023)'!$S$26,1),OFFSET(BD_COMERCIAL!CU$5,0,0,'POSIÇÕES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(2023)'!$S$26,1)="Fixo"))*BD_COMERCIAL!AG$2
+
SUMPRODUCT(OFFSET(BD_COMERCIAL!AG$5,0,0,'POSIÇÕES (2023)'!$S$26,1),OFFSET(BD_COMERCIAL!CU$5,0,0,'POSIÇÕES (2023)'!$S$26,1)+'POSIÇÕES (2023)'!AE$25,--(OFFSET(BD_COMERCIAL!$I$5,0,0,'POSIÇÕES (2023)'!$S$26,1)="Trading"),--(OFFSET(BD_COMERCIAL!$FC$5,0,0,'POSIÇÕES (2023)'!$S$26,1)="V"),--(OFFSET(BD_COMERCIAL!$Q$5,0,0,'POSIÇÕES (2023)'!$S$26,1)="PLD + Spread"))*BD_COMERCIAL!AG$2
+
IF('POSIÇÕES (2023)'!AE28&gt;0,'POSIÇÕES (2023)'!AE28*BD_COMERCIAL!AG2*'POSIÇÕES (2023)'!AE25,0)</f>
        <v>#N/A</v>
      </c>
      <c r="I2" s="129" t="e" cm="1">
        <f t="array" aca="1" ref="I2" ca="1">SUMPRODUCT(OFFSET(BD_COMERCIAL!AH$5,0,0,'POSIÇÕES (2023)'!$S$26,1),OFFSET(BD_COMERCIAL!CV$5,0,0,'POSIÇÕES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(2023)'!$S$26,1)="Fixo"))*BD_COMERCIAL!AH$2
+
SUMPRODUCT(OFFSET(BD_COMERCIAL!AH$5,0,0,'POSIÇÕES (2023)'!$S$26,1),OFFSET(BD_COMERCIAL!CV$5,0,0,'POSIÇÕES (2023)'!$S$26,1)+'POSIÇÕES (2023)'!AF$25,--(OFFSET(BD_COMERCIAL!$I$5,0,0,'POSIÇÕES (2023)'!$S$26,1)="Trading"),--(OFFSET(BD_COMERCIAL!$FC$5,0,0,'POSIÇÕES (2023)'!$S$26,1)="V"),--(OFFSET(BD_COMERCIAL!$Q$5,0,0,'POSIÇÕES (2023)'!$S$26,1)="PLD + Spread"))*BD_COMERCIAL!AH$2
+
IF('POSIÇÕES (2023)'!AF28&gt;0,'POSIÇÕES (2023)'!AF28*BD_COMERCIAL!AH2*'POSIÇÕES (2023)'!AF25,0)</f>
        <v>#N/A</v>
      </c>
      <c r="J2" s="129" t="e" cm="1">
        <f t="array" aca="1" ref="J2" ca="1">SUMPRODUCT(OFFSET(BD_COMERCIAL!AI$5,0,0,'POSIÇÕES (2023)'!$S$26,1),OFFSET(BD_COMERCIAL!CW$5,0,0,'POSIÇÕES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(2023)'!$S$26,1)="Fixo"))*BD_COMERCIAL!AI$2
+
SUMPRODUCT(OFFSET(BD_COMERCIAL!AI$5,0,0,'POSIÇÕES (2023)'!$S$26,1),OFFSET(BD_COMERCIAL!CW$5,0,0,'POSIÇÕES (2023)'!$S$26,1)+'POSIÇÕES (2023)'!AG$25,--(OFFSET(BD_COMERCIAL!$I$5,0,0,'POSIÇÕES (2023)'!$S$26,1)="Trading"),--(OFFSET(BD_COMERCIAL!$FC$5,0,0,'POSIÇÕES (2023)'!$S$26,1)="V"),--(OFFSET(BD_COMERCIAL!$Q$5,0,0,'POSIÇÕES (2023)'!$S$26,1)="PLD + Spread"))*BD_COMERCIAL!AI$2
+
IF('POSIÇÕES (2023)'!AG28&gt;0,'POSIÇÕES (2023)'!AG28*BD_COMERCIAL!AI2*'POSIÇÕES (2023)'!AG25,0)</f>
        <v>#N/A</v>
      </c>
      <c r="K2" s="129" t="e" cm="1">
        <f t="array" aca="1" ref="K2" ca="1">SUMPRODUCT(OFFSET(BD_COMERCIAL!AJ$5,0,0,'POSIÇÕES (2023)'!$S$26,1),OFFSET(BD_COMERCIAL!CX$5,0,0,'POSIÇÕES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(2023)'!$S$26,1)="Fixo"))*BD_COMERCIAL!AJ$2
+
SUMPRODUCT(OFFSET(BD_COMERCIAL!AJ$5,0,0,'POSIÇÕES (2023)'!$S$26,1),OFFSET(BD_COMERCIAL!CX$5,0,0,'POSIÇÕES (2023)'!$S$26,1)+'POSIÇÕES (2023)'!AH$25,--(OFFSET(BD_COMERCIAL!$I$5,0,0,'POSIÇÕES (2023)'!$S$26,1)="Trading"),--(OFFSET(BD_COMERCIAL!$FC$5,0,0,'POSIÇÕES (2023)'!$S$26,1)="V"),--(OFFSET(BD_COMERCIAL!$Q$5,0,0,'POSIÇÕES (2023)'!$S$26,1)="PLD + Spread"))*BD_COMERCIAL!AJ$2
+
IF('POSIÇÕES (2023)'!AH28&gt;0,'POSIÇÕES (2023)'!AH28*BD_COMERCIAL!AJ2*'POSIÇÕES (2023)'!AH25,0)</f>
        <v>#N/A</v>
      </c>
      <c r="L2" s="129" t="e" cm="1">
        <f t="array" aca="1" ref="L2" ca="1">SUMPRODUCT(OFFSET(BD_COMERCIAL!AK$5,0,0,'POSIÇÕES (2023)'!$S$26,1),OFFSET(BD_COMERCIAL!CY$5,0,0,'POSIÇÕES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(2023)'!$S$26,1)="Fixo"))*BD_COMERCIAL!AK$2
+
SUMPRODUCT(OFFSET(BD_COMERCIAL!AK$5,0,0,'POSIÇÕES (2023)'!$S$26,1),OFFSET(BD_COMERCIAL!CY$5,0,0,'POSIÇÕES (2023)'!$S$26,1)+'POSIÇÕES (2023)'!AI$25,--(OFFSET(BD_COMERCIAL!$I$5,0,0,'POSIÇÕES (2023)'!$S$26,1)="Trading"),--(OFFSET(BD_COMERCIAL!$FC$5,0,0,'POSIÇÕES (2023)'!$S$26,1)="V"),--(OFFSET(BD_COMERCIAL!$Q$5,0,0,'POSIÇÕES (2023)'!$S$26,1)="PLD + Spread"))*BD_COMERCIAL!AK$2
+
IF('POSIÇÕES (2023)'!AI28&gt;0,'POSIÇÕES (2023)'!AI28*BD_COMERCIAL!AK2*'POSIÇÕES (2023)'!AI25,0)</f>
        <v>#N/A</v>
      </c>
      <c r="M2" s="129" t="e" cm="1">
        <f t="array" aca="1" ref="M2" ca="1">SUMPRODUCT(OFFSET(BD_COMERCIAL!AL$5,0,0,'POSIÇÕES (2023)'!$S$26,1),OFFSET(BD_COMERCIAL!CZ$5,0,0,'POSIÇÕES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(2023)'!$S$26,1)="Fixo"))*BD_COMERCIAL!AL$2
+
SUMPRODUCT(OFFSET(BD_COMERCIAL!AL$5,0,0,'POSIÇÕES (2023)'!$S$26,1),OFFSET(BD_COMERCIAL!CZ$5,0,0,'POSIÇÕES (2023)'!$S$26,1)+'POSIÇÕES (2023)'!AJ$25,--(OFFSET(BD_COMERCIAL!$I$5,0,0,'POSIÇÕES (2023)'!$S$26,1)="Trading"),--(OFFSET(BD_COMERCIAL!$FC$5,0,0,'POSIÇÕES (2023)'!$S$26,1)="V"),--(OFFSET(BD_COMERCIAL!$Q$5,0,0,'POSIÇÕES (2023)'!$S$26,1)="PLD + Spread"))*BD_COMERCIAL!AL$2
+
IF('POSIÇÕES (2023)'!AJ28&gt;0,'POSIÇÕES (2023)'!AJ28*BD_COMERCIAL!AL2*'POSIÇÕES (2023)'!AJ25,0)</f>
        <v>#N/A</v>
      </c>
      <c r="N2" s="129" t="e" cm="1">
        <f t="array" aca="1" ref="N2" ca="1">SUMPRODUCT(OFFSET(BD_COMERCIAL!AM$5,0,0,'POSIÇÕES (2023)'!$S$26,1),OFFSET(BD_COMERCIAL!DA$5,0,0,'POSIÇÕES (2023)'!$S$26,1)+OFFSET(BD_COMERCIAL!$FH$5,0,0,'POSIÇÕES (2023)'!$S$26,1),--(OFFSET(BD_COMERCIAL!$I$5,0,0,'POSIÇÕES (2023)'!$S$26,1)="Trading"),--(OFFSET(BD_COMERCIAL!$FC$5,0,0,'POSIÇÕES (2023)'!$S$26,1)="V"),--(OFFSET(BD_COMERCIAL!$Q$5,0,0,'POSIÇÕES (2023)'!$S$26,1)="Fixo"))*BD_COMERCIAL!AM$2
+
SUMPRODUCT(OFFSET(BD_COMERCIAL!AM$5,0,0,'POSIÇÕES (2023)'!$S$26,1),OFFSET(BD_COMERCIAL!DA$5,0,0,'POSIÇÕES (2023)'!$S$26,1)+'POSIÇÕES (2023)'!AK$25,--(OFFSET(BD_COMERCIAL!$I$5,0,0,'POSIÇÕES (2023)'!$S$26,1)="Trading"),--(OFFSET(BD_COMERCIAL!$FC$5,0,0,'POSIÇÕES (2023)'!$S$26,1)="V"),--(OFFSET(BD_COMERCIAL!$Q$5,0,0,'POSIÇÕES (2023)'!$S$26,1)="PLD + Spread"))*BD_COMERCIAL!AM$2
+
IF('POSIÇÕES (2023)'!AK28&gt;0,'POSIÇÕES (2023)'!AK28*BD_COMERCIAL!AM2*'POSIÇÕES (2023)'!AK25,0)</f>
        <v>#N/A</v>
      </c>
      <c r="O2" s="130"/>
      <c r="P2" s="129" t="e">
        <f ca="1">SUMIF($C$1:$N$1,"&lt;"&amp;DATE(2021,MONTH(TODAY()),1),C2:N2)</f>
        <v>#N/A</v>
      </c>
      <c r="Q2" s="130"/>
      <c r="R2" s="129" t="e">
        <f ca="1">SUM(C2:N2)</f>
        <v>#N/A</v>
      </c>
      <c r="S2" s="130"/>
      <c r="T2" s="129" cm="1">
        <f t="array" aca="1" ref="T2" ca="1">SUMPRODUCT(OFFSET(BD_COMERCIAL!AN$5,0,0,'POSIÇÕES (2023)'!$S$26,1),OFFSET(BD_COMERCIAL!DB$5,0,0,'POSIÇÕES (2023)'!$S$26,1),--(OFFSET(BD_COMERCIAL!$I$5,0,0,'POSIÇÕES (2023)'!$S$26,1)="Trading"),--(OFFSET(BD_COMERCIAL!$FC$5,0,0,'POSIÇÕES (2023)'!$S$26,1)="V"),--(OFFSET(BD_COMERCIAL!$Q$5,0,0,'POSIÇÕES (2023)'!$S$26,1)="Fixo"))*BD_COMERCIAL!AN$2
+
SUMPRODUCT(OFFSET(BD_COMERCIAL!AN$5,0,0,'POSIÇÕES (2023)'!$S$26,1),OFFSET(BD_COMERCIAL!DB$5,0,0,'POSIÇÕES (2023)'!$S$26,1)+'POSIÇÕES (2024)'!Z$25,--(OFFSET(BD_COMERCIAL!$I$5,0,0,'POSIÇÕES (2023)'!$S$26,1)="Trading"),--(OFFSET(BD_COMERCIAL!$FC$5,0,0,'POSIÇÕES (2023)'!$S$26,1)="V"),--(OFFSET(BD_COMERCIAL!$Q$5,0,0,'POSIÇÕES (2023)'!$S$26,1)="PLD + Spread"))*BD_COMERCIAL!AN$2
+
IF('POSIÇÕES (2024)'!Z28&gt;0,'POSIÇÕES (2024)'!Z28*BD_COMERCIAL!AN2*'POSIÇÕES (2024)'!Z25,0)</f>
        <v>3173904</v>
      </c>
      <c r="U2" s="129" cm="1">
        <f t="array" aca="1" ref="U2" ca="1">SUMPRODUCT(OFFSET(BD_COMERCIAL!AO$5,0,0,'POSIÇÕES (2023)'!$S$26,1),OFFSET(BD_COMERCIAL!DC$5,0,0,'POSIÇÕES (2023)'!$S$26,1),--(OFFSET(BD_COMERCIAL!$I$5,0,0,'POSIÇÕES (2023)'!$S$26,1)="Trading"),--(OFFSET(BD_COMERCIAL!$FC$5,0,0,'POSIÇÕES (2023)'!$S$26,1)="V"),--(OFFSET(BD_COMERCIAL!$Q$5,0,0,'POSIÇÕES (2023)'!$S$26,1)="Fixo"))*BD_COMERCIAL!AO$2
+
SUMPRODUCT(OFFSET(BD_COMERCIAL!AO$5,0,0,'POSIÇÕES (2023)'!$S$26,1),OFFSET(BD_COMERCIAL!DC$5,0,0,'POSIÇÕES (2023)'!$S$26,1)+'POSIÇÕES (2024)'!AA$25,--(OFFSET(BD_COMERCIAL!$I$5,0,0,'POSIÇÕES (2023)'!$S$26,1)="Trading"),--(OFFSET(BD_COMERCIAL!$FC$5,0,0,'POSIÇÕES (2023)'!$S$26,1)="V"),--(OFFSET(BD_COMERCIAL!$Q$5,0,0,'POSIÇÕES (2023)'!$S$26,1)="PLD + Spread"))*BD_COMERCIAL!AO$2
+
IF('POSIÇÕES (2024)'!AA28&gt;0,'POSIÇÕES (2024)'!AA28*BD_COMERCIAL!AO2*'POSIÇÕES (2024)'!AA25,0)</f>
        <v>2969136</v>
      </c>
      <c r="V2" s="129" cm="1">
        <f t="array" aca="1" ref="V2" ca="1">SUMPRODUCT(OFFSET(BD_COMERCIAL!AP$5,0,0,'POSIÇÕES (2023)'!$S$26,1),OFFSET(BD_COMERCIAL!DD$5,0,0,'POSIÇÕES (2023)'!$S$26,1),--(OFFSET(BD_COMERCIAL!$I$5,0,0,'POSIÇÕES (2023)'!$S$26,1)="Trading"),--(OFFSET(BD_COMERCIAL!$FC$5,0,0,'POSIÇÕES (2023)'!$S$26,1)="V"),--(OFFSET(BD_COMERCIAL!$Q$5,0,0,'POSIÇÕES (2023)'!$S$26,1)="Fixo"))*BD_COMERCIAL!AP$2
+
SUMPRODUCT(OFFSET(BD_COMERCIAL!AP$5,0,0,'POSIÇÕES (2023)'!$S$26,1),OFFSET(BD_COMERCIAL!DD$5,0,0,'POSIÇÕES (2023)'!$S$26,1)+'POSIÇÕES (2024)'!AB$25,--(OFFSET(BD_COMERCIAL!$I$5,0,0,'POSIÇÕES (2023)'!$S$26,1)="Trading"),--(OFFSET(BD_COMERCIAL!$FC$5,0,0,'POSIÇÕES (2023)'!$S$26,1)="V"),--(OFFSET(BD_COMERCIAL!$Q$5,0,0,'POSIÇÕES (2023)'!$S$26,1)="PLD + Spread"))*BD_COMERCIAL!AP$2
+
IF('POSIÇÕES (2024)'!AB28&gt;0,'POSIÇÕES (2024)'!AB28*BD_COMERCIAL!AP2*'POSIÇÕES (2024)'!AB25,0)</f>
        <v>3173904</v>
      </c>
      <c r="W2" s="129" cm="1">
        <f t="array" aca="1" ref="W2" ca="1">SUMPRODUCT(OFFSET(BD_COMERCIAL!AQ$5,0,0,'POSIÇÕES (2023)'!$S$26,1),OFFSET(BD_COMERCIAL!DE$5,0,0,'POSIÇÕES (2023)'!$S$26,1),--(OFFSET(BD_COMERCIAL!$I$5,0,0,'POSIÇÕES (2023)'!$S$26,1)="Trading"),--(OFFSET(BD_COMERCIAL!$FC$5,0,0,'POSIÇÕES (2023)'!$S$26,1)="V"),--(OFFSET(BD_COMERCIAL!$Q$5,0,0,'POSIÇÕES (2023)'!$S$26,1)="Fixo"))*BD_COMERCIAL!AQ$2
+
SUMPRODUCT(OFFSET(BD_COMERCIAL!AQ$5,0,0,'POSIÇÕES (2023)'!$S$26,1),OFFSET(BD_COMERCIAL!DE$5,0,0,'POSIÇÕES (2023)'!$S$26,1)+'POSIÇÕES (2024)'!AC$25,--(OFFSET(BD_COMERCIAL!$I$5,0,0,'POSIÇÕES (2023)'!$S$26,1)="Trading"),--(OFFSET(BD_COMERCIAL!$FC$5,0,0,'POSIÇÕES (2023)'!$S$26,1)="V"),--(OFFSET(BD_COMERCIAL!$Q$5,0,0,'POSIÇÕES (2023)'!$S$26,1)="PLD + Spread"))*BD_COMERCIAL!AQ$2
+
IF('POSIÇÕES (2024)'!AC28&gt;0,'POSIÇÕES (2024)'!AC28*BD_COMERCIAL!AQ2*'POSIÇÕES (2024)'!AC25,0)</f>
        <v>3071520</v>
      </c>
      <c r="X2" s="129" cm="1">
        <f t="array" aca="1" ref="X2" ca="1">SUMPRODUCT(OFFSET(BD_COMERCIAL!AR$5,0,0,'POSIÇÕES (2023)'!$S$26,1),OFFSET(BD_COMERCIAL!DF$5,0,0,'POSIÇÕES (2023)'!$S$26,1),--(OFFSET(BD_COMERCIAL!$I$5,0,0,'POSIÇÕES (2023)'!$S$26,1)="Trading"),--(OFFSET(BD_COMERCIAL!$FC$5,0,0,'POSIÇÕES (2023)'!$S$26,1)="V"),--(OFFSET(BD_COMERCIAL!$Q$5,0,0,'POSIÇÕES (2023)'!$S$26,1)="Fixo"))*BD_COMERCIAL!AR$2
+
SUMPRODUCT(OFFSET(BD_COMERCIAL!AR$5,0,0,'POSIÇÕES (2023)'!$S$26,1),OFFSET(BD_COMERCIAL!DF$5,0,0,'POSIÇÕES (2023)'!$S$26,1)+'POSIÇÕES (2024)'!AD$25,--(OFFSET(BD_COMERCIAL!$I$5,0,0,'POSIÇÕES (2023)'!$S$26,1)="Trading"),--(OFFSET(BD_COMERCIAL!$FC$5,0,0,'POSIÇÕES (2023)'!$S$26,1)="V"),--(OFFSET(BD_COMERCIAL!$Q$5,0,0,'POSIÇÕES (2023)'!$S$26,1)="PLD + Spread"))*BD_COMERCIAL!AR$2
+
IF('POSIÇÕES (2024)'!AD28&gt;0,'POSIÇÕES (2024)'!AD28*BD_COMERCIAL!AR2*'POSIÇÕES (2024)'!AD25,0)</f>
        <v>3173904</v>
      </c>
      <c r="Y2" s="129" cm="1">
        <f t="array" aca="1" ref="Y2" ca="1">SUMPRODUCT(OFFSET(BD_COMERCIAL!AS$5,0,0,'POSIÇÕES (2023)'!$S$26,1),OFFSET(BD_COMERCIAL!DG$5,0,0,'POSIÇÕES (2023)'!$S$26,1),--(OFFSET(BD_COMERCIAL!$I$5,0,0,'POSIÇÕES (2023)'!$S$26,1)="Trading"),--(OFFSET(BD_COMERCIAL!$FC$5,0,0,'POSIÇÕES (2023)'!$S$26,1)="V"),--(OFFSET(BD_COMERCIAL!$Q$5,0,0,'POSIÇÕES (2023)'!$S$26,1)="Fixo"))*BD_COMERCIAL!AS$2
+
SUMPRODUCT(OFFSET(BD_COMERCIAL!AS$5,0,0,'POSIÇÕES (2023)'!$S$26,1),OFFSET(BD_COMERCIAL!DG$5,0,0,'POSIÇÕES (2023)'!$S$26,1)+'POSIÇÕES (2024)'!AE$25,--(OFFSET(BD_COMERCIAL!$I$5,0,0,'POSIÇÕES (2023)'!$S$26,1)="Trading"),--(OFFSET(BD_COMERCIAL!$FC$5,0,0,'POSIÇÕES (2023)'!$S$26,1)="V"),--(OFFSET(BD_COMERCIAL!$Q$5,0,0,'POSIÇÕES (2023)'!$S$26,1)="PLD + Spread"))*BD_COMERCIAL!AS$2
+
IF('POSIÇÕES (2024)'!AE28&gt;0,'POSIÇÕES (2024)'!AE28*BD_COMERCIAL!AS2*'POSIÇÕES (2024)'!AE25,0)</f>
        <v>3071520</v>
      </c>
      <c r="Z2" s="129" cm="1">
        <f t="array" aca="1" ref="Z2" ca="1">SUMPRODUCT(OFFSET(BD_COMERCIAL!AT$5,0,0,'POSIÇÕES (2023)'!$S$26,1),OFFSET(BD_COMERCIAL!DH$5,0,0,'POSIÇÕES (2023)'!$S$26,1),--(OFFSET(BD_COMERCIAL!$I$5,0,0,'POSIÇÕES (2023)'!$S$26,1)="Trading"),--(OFFSET(BD_COMERCIAL!$FC$5,0,0,'POSIÇÕES (2023)'!$S$26,1)="V"),--(OFFSET(BD_COMERCIAL!$Q$5,0,0,'POSIÇÕES (2023)'!$S$26,1)="Fixo"))*BD_COMERCIAL!AT$2
+
SUMPRODUCT(OFFSET(BD_COMERCIAL!AT$5,0,0,'POSIÇÕES (2023)'!$S$26,1),OFFSET(BD_COMERCIAL!DH$5,0,0,'POSIÇÕES (2023)'!$S$26,1)+'POSIÇÕES (2024)'!AF$25,--(OFFSET(BD_COMERCIAL!$I$5,0,0,'POSIÇÕES (2023)'!$S$26,1)="Trading"),--(OFFSET(BD_COMERCIAL!$FC$5,0,0,'POSIÇÕES (2023)'!$S$26,1)="V"),--(OFFSET(BD_COMERCIAL!$Q$5,0,0,'POSIÇÕES (2023)'!$S$26,1)="PLD + Spread"))*BD_COMERCIAL!AT$2
+
IF('POSIÇÕES (2024)'!AF28&gt;0,'POSIÇÕES (2024)'!AF28*BD_COMERCIAL!AT2*'POSIÇÕES (2024)'!AF25,0)</f>
        <v>3173904</v>
      </c>
      <c r="AA2" s="129" cm="1">
        <f t="array" aca="1" ref="AA2" ca="1">SUMPRODUCT(OFFSET(BD_COMERCIAL!AU$5,0,0,'POSIÇÕES (2023)'!$S$26,1),OFFSET(BD_COMERCIAL!DI$5,0,0,'POSIÇÕES (2023)'!$S$26,1),--(OFFSET(BD_COMERCIAL!$I$5,0,0,'POSIÇÕES (2023)'!$S$26,1)="Trading"),--(OFFSET(BD_COMERCIAL!$FC$5,0,0,'POSIÇÕES (2023)'!$S$26,1)="V"),--(OFFSET(BD_COMERCIAL!$Q$5,0,0,'POSIÇÕES (2023)'!$S$26,1)="Fixo"))*BD_COMERCIAL!AU$2
+
SUMPRODUCT(OFFSET(BD_COMERCIAL!AU$5,0,0,'POSIÇÕES (2023)'!$S$26,1),OFFSET(BD_COMERCIAL!DI$5,0,0,'POSIÇÕES (2023)'!$S$26,1)+'POSIÇÕES (2024)'!AG$25,--(OFFSET(BD_COMERCIAL!$I$5,0,0,'POSIÇÕES (2023)'!$S$26,1)="Trading"),--(OFFSET(BD_COMERCIAL!$FC$5,0,0,'POSIÇÕES (2023)'!$S$26,1)="V"),--(OFFSET(BD_COMERCIAL!$Q$5,0,0,'POSIÇÕES (2023)'!$S$26,1)="PLD + Spread"))*BD_COMERCIAL!AU$2
+
IF('POSIÇÕES (2024)'!AG28&gt;0,'POSIÇÕES (2024)'!AG28*BD_COMERCIAL!AU2*'POSIÇÕES (2024)'!AG25,0)</f>
        <v>3173904</v>
      </c>
      <c r="AB2" s="129" cm="1">
        <f t="array" aca="1" ref="AB2" ca="1">SUMPRODUCT(OFFSET(BD_COMERCIAL!AV$5,0,0,'POSIÇÕES (2023)'!$S$26,1),OFFSET(BD_COMERCIAL!DJ$5,0,0,'POSIÇÕES (2023)'!$S$26,1),--(OFFSET(BD_COMERCIAL!$I$5,0,0,'POSIÇÕES (2023)'!$S$26,1)="Trading"),--(OFFSET(BD_COMERCIAL!$FC$5,0,0,'POSIÇÕES (2023)'!$S$26,1)="V"),--(OFFSET(BD_COMERCIAL!$Q$5,0,0,'POSIÇÕES (2023)'!$S$26,1)="Fixo"))*BD_COMERCIAL!AV$2
+
SUMPRODUCT(OFFSET(BD_COMERCIAL!AV$5,0,0,'POSIÇÕES (2023)'!$S$26,1),OFFSET(BD_COMERCIAL!DJ$5,0,0,'POSIÇÕES (2023)'!$S$26,1)+'POSIÇÕES (2024)'!AH$25,--(OFFSET(BD_COMERCIAL!$I$5,0,0,'POSIÇÕES (2023)'!$S$26,1)="Trading"),--(OFFSET(BD_COMERCIAL!$FC$5,0,0,'POSIÇÕES (2023)'!$S$26,1)="V"),--(OFFSET(BD_COMERCIAL!$Q$5,0,0,'POSIÇÕES (2023)'!$S$26,1)="PLD + Spread"))*BD_COMERCIAL!AV$2
+
IF('POSIÇÕES (2024)'!AH28&gt;0,'POSIÇÕES (2024)'!AH28*BD_COMERCIAL!AV2*'POSIÇÕES (2024)'!AH25,0)</f>
        <v>3071520</v>
      </c>
      <c r="AC2" s="129" cm="1">
        <f t="array" aca="1" ref="AC2" ca="1">SUMPRODUCT(OFFSET(BD_COMERCIAL!AW$5,0,0,'POSIÇÕES (2023)'!$S$26,1),OFFSET(BD_COMERCIAL!DK$5,0,0,'POSIÇÕES (2023)'!$S$26,1),--(OFFSET(BD_COMERCIAL!$I$5,0,0,'POSIÇÕES (2023)'!$S$26,1)="Trading"),--(OFFSET(BD_COMERCIAL!$FC$5,0,0,'POSIÇÕES (2023)'!$S$26,1)="V"),--(OFFSET(BD_COMERCIAL!$Q$5,0,0,'POSIÇÕES (2023)'!$S$26,1)="Fixo"))*BD_COMERCIAL!AW$2
+
SUMPRODUCT(OFFSET(BD_COMERCIAL!AW$5,0,0,'POSIÇÕES (2023)'!$S$26,1),OFFSET(BD_COMERCIAL!DK$5,0,0,'POSIÇÕES (2023)'!$S$26,1)+'POSIÇÕES (2024)'!AI$25,--(OFFSET(BD_COMERCIAL!$I$5,0,0,'POSIÇÕES (2023)'!$S$26,1)="Trading"),--(OFFSET(BD_COMERCIAL!$FC$5,0,0,'POSIÇÕES (2023)'!$S$26,1)="V"),--(OFFSET(BD_COMERCIAL!$Q$5,0,0,'POSIÇÕES (2023)'!$S$26,1)="PLD + Spread"))*BD_COMERCIAL!AW$2
+
IF('POSIÇÕES (2024)'!AI28&gt;0,'POSIÇÕES (2024)'!AI28*BD_COMERCIAL!AW2*'POSIÇÕES (2024)'!AI25,0)</f>
        <v>3173904</v>
      </c>
      <c r="AD2" s="129" cm="1">
        <f t="array" aca="1" ref="AD2" ca="1">SUMPRODUCT(OFFSET(BD_COMERCIAL!AX$5,0,0,'POSIÇÕES (2023)'!$S$26,1),OFFSET(BD_COMERCIAL!DL$5,0,0,'POSIÇÕES (2023)'!$S$26,1),--(OFFSET(BD_COMERCIAL!$I$5,0,0,'POSIÇÕES (2023)'!$S$26,1)="Trading"),--(OFFSET(BD_COMERCIAL!$FC$5,0,0,'POSIÇÕES (2023)'!$S$26,1)="V"),--(OFFSET(BD_COMERCIAL!$Q$5,0,0,'POSIÇÕES (2023)'!$S$26,1)="Fixo"))*BD_COMERCIAL!AX$2
+
SUMPRODUCT(OFFSET(BD_COMERCIAL!AX$5,0,0,'POSIÇÕES (2023)'!$S$26,1),OFFSET(BD_COMERCIAL!DL$5,0,0,'POSIÇÕES (2023)'!$S$26,1)+'POSIÇÕES (2024)'!AJ$25,--(OFFSET(BD_COMERCIAL!$I$5,0,0,'POSIÇÕES (2023)'!$S$26,1)="Trading"),--(OFFSET(BD_COMERCIAL!$FC$5,0,0,'POSIÇÕES (2023)'!$S$26,1)="V"),--(OFFSET(BD_COMERCIAL!$Q$5,0,0,'POSIÇÕES (2023)'!$S$26,1)="PLD + Spread"))*BD_COMERCIAL!AX$2
+
IF('POSIÇÕES (2024)'!AJ28&gt;0,'POSIÇÕES (2024)'!AJ28*BD_COMERCIAL!AX2*'POSIÇÕES (2024)'!AJ25,0)</f>
        <v>3071520</v>
      </c>
      <c r="AE2" s="129" cm="1">
        <f t="array" aca="1" ref="AE2" ca="1">SUMPRODUCT(OFFSET(BD_COMERCIAL!AY$5,0,0,'POSIÇÕES (2023)'!$S$26,1),OFFSET(BD_COMERCIAL!DM$5,0,0,'POSIÇÕES (2023)'!$S$26,1),--(OFFSET(BD_COMERCIAL!$I$5,0,0,'POSIÇÕES (2023)'!$S$26,1)="Trading"),--(OFFSET(BD_COMERCIAL!$FC$5,0,0,'POSIÇÕES (2023)'!$S$26,1)="V"),--(OFFSET(BD_COMERCIAL!$Q$5,0,0,'POSIÇÕES (2023)'!$S$26,1)="Fixo"))*BD_COMERCIAL!AY$2
+
SUMPRODUCT(OFFSET(BD_COMERCIAL!AY$5,0,0,'POSIÇÕES (2023)'!$S$26,1),OFFSET(BD_COMERCIAL!DM$5,0,0,'POSIÇÕES (2023)'!$S$26,1)+'POSIÇÕES (2024)'!AK$25,--(OFFSET(BD_COMERCIAL!$I$5,0,0,'POSIÇÕES (2023)'!$S$26,1)="Trading"),--(OFFSET(BD_COMERCIAL!$FC$5,0,0,'POSIÇÕES (2023)'!$S$26,1)="V"),--(OFFSET(BD_COMERCIAL!$Q$5,0,0,'POSIÇÕES (2023)'!$S$26,1)="PLD + Spread"))*BD_COMERCIAL!AY$2
+
IF('POSIÇÕES (2024)'!AK28&gt;0,'POSIÇÕES (2024)'!AK28*BD_COMERCIAL!AY2*'POSIÇÕES (2024)'!AK25,0)</f>
        <v>3173904</v>
      </c>
      <c r="AF2" s="129">
        <f ca="1">SUM(T2:AE2)</f>
        <v>37472544</v>
      </c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</row>
    <row r="3" spans="1:45" x14ac:dyDescent="0.35">
      <c r="A3" s="21"/>
      <c r="B3" s="124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0"/>
      <c r="P3" s="131"/>
      <c r="Q3" s="130"/>
      <c r="R3" s="131"/>
      <c r="S3" s="130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</row>
    <row r="4" spans="1:45" x14ac:dyDescent="0.35">
      <c r="A4" s="21"/>
      <c r="B4" s="124" t="s">
        <v>96</v>
      </c>
      <c r="C4" s="132" t="e">
        <f ca="1">SUM(C5:C6)</f>
        <v>#N/A</v>
      </c>
      <c r="D4" s="132" t="e">
        <f t="shared" ref="D4:N4" ca="1" si="0">SUM(D5:D6)</f>
        <v>#N/A</v>
      </c>
      <c r="E4" s="132" t="e">
        <f t="shared" ca="1" si="0"/>
        <v>#N/A</v>
      </c>
      <c r="F4" s="132" t="e">
        <f t="shared" ca="1" si="0"/>
        <v>#N/A</v>
      </c>
      <c r="G4" s="132" t="e">
        <f t="shared" ca="1" si="0"/>
        <v>#N/A</v>
      </c>
      <c r="H4" s="132" t="e">
        <f t="shared" ca="1" si="0"/>
        <v>#N/A</v>
      </c>
      <c r="I4" s="132" t="e">
        <f t="shared" ca="1" si="0"/>
        <v>#N/A</v>
      </c>
      <c r="J4" s="132" t="e">
        <f t="shared" ca="1" si="0"/>
        <v>#N/A</v>
      </c>
      <c r="K4" s="132" t="e">
        <f t="shared" ca="1" si="0"/>
        <v>#N/A</v>
      </c>
      <c r="L4" s="132" t="e">
        <f t="shared" ca="1" si="0"/>
        <v>#N/A</v>
      </c>
      <c r="M4" s="132" t="e">
        <f t="shared" ca="1" si="0"/>
        <v>#N/A</v>
      </c>
      <c r="N4" s="132" t="e">
        <f t="shared" ca="1" si="0"/>
        <v>#N/A</v>
      </c>
      <c r="O4" s="130"/>
      <c r="P4" s="132" t="e">
        <f ca="1">SUMIF($C$1:$N$1,"&lt;"&amp;DATE(2021,MONTH(TODAY()),1),C4:N4)</f>
        <v>#N/A</v>
      </c>
      <c r="Q4" s="130"/>
      <c r="R4" s="132" t="e">
        <f ca="1">SUM(C4:N4)</f>
        <v>#N/A</v>
      </c>
      <c r="S4" s="130"/>
      <c r="T4" s="132">
        <f ca="1">SUM(T5:T6)</f>
        <v>-293586.12</v>
      </c>
      <c r="U4" s="132">
        <f t="shared" ref="U4:AE4" ca="1" si="1">SUM(U5:U6)</f>
        <v>-274645.08</v>
      </c>
      <c r="V4" s="132">
        <f t="shared" ca="1" si="1"/>
        <v>-293586.12</v>
      </c>
      <c r="W4" s="132">
        <f t="shared" ca="1" si="1"/>
        <v>-284115.59999999998</v>
      </c>
      <c r="X4" s="132">
        <f t="shared" ca="1" si="1"/>
        <v>-293586.12</v>
      </c>
      <c r="Y4" s="132">
        <f t="shared" ca="1" si="1"/>
        <v>-284115.59999999998</v>
      </c>
      <c r="Z4" s="132">
        <f t="shared" ca="1" si="1"/>
        <v>-293586.12</v>
      </c>
      <c r="AA4" s="132">
        <f t="shared" ca="1" si="1"/>
        <v>-293586.12</v>
      </c>
      <c r="AB4" s="132">
        <f t="shared" ca="1" si="1"/>
        <v>-284115.59999999998</v>
      </c>
      <c r="AC4" s="132">
        <f t="shared" ca="1" si="1"/>
        <v>-293586.12</v>
      </c>
      <c r="AD4" s="132">
        <f t="shared" ca="1" si="1"/>
        <v>-284115.59999999998</v>
      </c>
      <c r="AE4" s="132">
        <f t="shared" ca="1" si="1"/>
        <v>-293586.12</v>
      </c>
      <c r="AF4" s="132">
        <f ca="1">SUM(T4:AE4)</f>
        <v>-3466210.3200000008</v>
      </c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</row>
    <row r="5" spans="1:45" x14ac:dyDescent="0.35">
      <c r="A5" s="21"/>
      <c r="B5" s="21" t="s">
        <v>97</v>
      </c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0"/>
      <c r="P5" s="133"/>
      <c r="Q5" s="130"/>
      <c r="R5" s="133"/>
      <c r="S5" s="130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</row>
    <row r="6" spans="1:45" x14ac:dyDescent="0.35">
      <c r="A6" s="21"/>
      <c r="B6" s="21" t="s">
        <v>98</v>
      </c>
      <c r="C6" s="133" t="e">
        <f ca="1">-C2*9.25%</f>
        <v>#N/A</v>
      </c>
      <c r="D6" s="133" t="e">
        <f t="shared" ref="D6:N6" ca="1" si="2">-D2*9.25%</f>
        <v>#N/A</v>
      </c>
      <c r="E6" s="133" t="e">
        <f t="shared" ca="1" si="2"/>
        <v>#N/A</v>
      </c>
      <c r="F6" s="133" t="e">
        <f t="shared" ca="1" si="2"/>
        <v>#N/A</v>
      </c>
      <c r="G6" s="133" t="e">
        <f t="shared" ca="1" si="2"/>
        <v>#N/A</v>
      </c>
      <c r="H6" s="133" t="e">
        <f t="shared" ca="1" si="2"/>
        <v>#N/A</v>
      </c>
      <c r="I6" s="133" t="e">
        <f t="shared" ca="1" si="2"/>
        <v>#N/A</v>
      </c>
      <c r="J6" s="133" t="e">
        <f t="shared" ca="1" si="2"/>
        <v>#N/A</v>
      </c>
      <c r="K6" s="133" t="e">
        <f t="shared" ca="1" si="2"/>
        <v>#N/A</v>
      </c>
      <c r="L6" s="133" t="e">
        <f t="shared" ca="1" si="2"/>
        <v>#N/A</v>
      </c>
      <c r="M6" s="133" t="e">
        <f t="shared" ca="1" si="2"/>
        <v>#N/A</v>
      </c>
      <c r="N6" s="133" t="e">
        <f t="shared" ca="1" si="2"/>
        <v>#N/A</v>
      </c>
      <c r="O6" s="130"/>
      <c r="P6" s="133" t="e">
        <f ca="1">SUMIF($C$1:$N$1,"&lt;"&amp;DATE(2021,MONTH(TODAY()),1),C6:N6)</f>
        <v>#N/A</v>
      </c>
      <c r="Q6" s="130"/>
      <c r="R6" s="133" t="e">
        <f ca="1">SUM(C6:N6)</f>
        <v>#N/A</v>
      </c>
      <c r="S6" s="130"/>
      <c r="T6" s="133">
        <f ca="1">-T2*9.25%</f>
        <v>-293586.12</v>
      </c>
      <c r="U6" s="133">
        <f t="shared" ref="U6:AE6" ca="1" si="3">-U2*9.25%</f>
        <v>-274645.08</v>
      </c>
      <c r="V6" s="133">
        <f t="shared" ca="1" si="3"/>
        <v>-293586.12</v>
      </c>
      <c r="W6" s="133">
        <f t="shared" ca="1" si="3"/>
        <v>-284115.59999999998</v>
      </c>
      <c r="X6" s="133">
        <f t="shared" ca="1" si="3"/>
        <v>-293586.12</v>
      </c>
      <c r="Y6" s="133">
        <f t="shared" ca="1" si="3"/>
        <v>-284115.59999999998</v>
      </c>
      <c r="Z6" s="133">
        <f t="shared" ca="1" si="3"/>
        <v>-293586.12</v>
      </c>
      <c r="AA6" s="133">
        <f t="shared" ca="1" si="3"/>
        <v>-293586.12</v>
      </c>
      <c r="AB6" s="133">
        <f t="shared" ca="1" si="3"/>
        <v>-284115.59999999998</v>
      </c>
      <c r="AC6" s="133">
        <f t="shared" ca="1" si="3"/>
        <v>-293586.12</v>
      </c>
      <c r="AD6" s="133">
        <f t="shared" ca="1" si="3"/>
        <v>-284115.59999999998</v>
      </c>
      <c r="AE6" s="133">
        <f t="shared" ca="1" si="3"/>
        <v>-293586.12</v>
      </c>
      <c r="AF6" s="133">
        <f ca="1">SUM(T6:AE6)</f>
        <v>-3466210.3200000008</v>
      </c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</row>
    <row r="7" spans="1:45" x14ac:dyDescent="0.35">
      <c r="A7" s="21"/>
      <c r="B7" s="21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0"/>
      <c r="P7" s="133"/>
      <c r="Q7" s="130"/>
      <c r="R7" s="133"/>
      <c r="S7" s="130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</row>
    <row r="8" spans="1:45" x14ac:dyDescent="0.35">
      <c r="A8" s="21"/>
      <c r="B8" s="124" t="s">
        <v>99</v>
      </c>
      <c r="C8" s="132" t="e">
        <f ca="1">C2+C4</f>
        <v>#N/A</v>
      </c>
      <c r="D8" s="132" t="e">
        <f t="shared" ref="D8:N8" ca="1" si="4">D2+D4</f>
        <v>#N/A</v>
      </c>
      <c r="E8" s="132" t="e">
        <f t="shared" ca="1" si="4"/>
        <v>#N/A</v>
      </c>
      <c r="F8" s="132" t="e">
        <f t="shared" ca="1" si="4"/>
        <v>#N/A</v>
      </c>
      <c r="G8" s="132" t="e">
        <f t="shared" ca="1" si="4"/>
        <v>#N/A</v>
      </c>
      <c r="H8" s="132" t="e">
        <f t="shared" ca="1" si="4"/>
        <v>#N/A</v>
      </c>
      <c r="I8" s="132" t="e">
        <f t="shared" ca="1" si="4"/>
        <v>#N/A</v>
      </c>
      <c r="J8" s="132" t="e">
        <f t="shared" ca="1" si="4"/>
        <v>#N/A</v>
      </c>
      <c r="K8" s="132" t="e">
        <f t="shared" ca="1" si="4"/>
        <v>#N/A</v>
      </c>
      <c r="L8" s="132" t="e">
        <f t="shared" ca="1" si="4"/>
        <v>#N/A</v>
      </c>
      <c r="M8" s="132" t="e">
        <f t="shared" ca="1" si="4"/>
        <v>#N/A</v>
      </c>
      <c r="N8" s="132" t="e">
        <f t="shared" ca="1" si="4"/>
        <v>#N/A</v>
      </c>
      <c r="O8" s="130"/>
      <c r="P8" s="132" t="e">
        <f ca="1">SUMIF($C$1:$N$1,"&lt;"&amp;DATE(2021,MONTH(TODAY()),1),C8:N8)</f>
        <v>#N/A</v>
      </c>
      <c r="Q8" s="130"/>
      <c r="R8" s="132" t="e">
        <f ca="1">SUM(C8:N8)</f>
        <v>#N/A</v>
      </c>
      <c r="S8" s="130"/>
      <c r="T8" s="132">
        <f ca="1">T2+T4</f>
        <v>2880317.88</v>
      </c>
      <c r="U8" s="132">
        <f t="shared" ref="U8:AE8" ca="1" si="5">U2+U4</f>
        <v>2694490.92</v>
      </c>
      <c r="V8" s="132">
        <f t="shared" ca="1" si="5"/>
        <v>2880317.88</v>
      </c>
      <c r="W8" s="132">
        <f t="shared" ca="1" si="5"/>
        <v>2787404.4</v>
      </c>
      <c r="X8" s="132">
        <f t="shared" ca="1" si="5"/>
        <v>2880317.88</v>
      </c>
      <c r="Y8" s="132">
        <f t="shared" ca="1" si="5"/>
        <v>2787404.4</v>
      </c>
      <c r="Z8" s="132">
        <f t="shared" ca="1" si="5"/>
        <v>2880317.88</v>
      </c>
      <c r="AA8" s="132">
        <f t="shared" ca="1" si="5"/>
        <v>2880317.88</v>
      </c>
      <c r="AB8" s="132">
        <f t="shared" ca="1" si="5"/>
        <v>2787404.4</v>
      </c>
      <c r="AC8" s="132">
        <f t="shared" ca="1" si="5"/>
        <v>2880317.88</v>
      </c>
      <c r="AD8" s="132">
        <f t="shared" ca="1" si="5"/>
        <v>2787404.4</v>
      </c>
      <c r="AE8" s="132">
        <f t="shared" ca="1" si="5"/>
        <v>2880317.88</v>
      </c>
      <c r="AF8" s="132">
        <f ca="1">SUM(T8:AE8)</f>
        <v>34006333.679999992</v>
      </c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</row>
    <row r="9" spans="1:45" x14ac:dyDescent="0.35">
      <c r="A9" s="21"/>
      <c r="B9" s="124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0"/>
      <c r="P9" s="132"/>
      <c r="Q9" s="130"/>
      <c r="R9" s="132"/>
      <c r="S9" s="130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</row>
    <row r="10" spans="1:45" x14ac:dyDescent="0.35">
      <c r="A10" s="21"/>
      <c r="B10" s="124" t="s">
        <v>100</v>
      </c>
      <c r="C10" s="132" t="e">
        <f ca="1">SUM(C11:C14)</f>
        <v>#N/A</v>
      </c>
      <c r="D10" s="132" t="e">
        <f t="shared" ref="D10:N10" ca="1" si="6">SUM(D11:D14)</f>
        <v>#N/A</v>
      </c>
      <c r="E10" s="132" t="e">
        <f t="shared" ca="1" si="6"/>
        <v>#N/A</v>
      </c>
      <c r="F10" s="132" t="e">
        <f t="shared" ca="1" si="6"/>
        <v>#N/A</v>
      </c>
      <c r="G10" s="132" t="e">
        <f t="shared" ca="1" si="6"/>
        <v>#N/A</v>
      </c>
      <c r="H10" s="132" t="e">
        <f t="shared" ca="1" si="6"/>
        <v>#N/A</v>
      </c>
      <c r="I10" s="132" t="e">
        <f t="shared" ca="1" si="6"/>
        <v>#N/A</v>
      </c>
      <c r="J10" s="132" t="e">
        <f t="shared" ca="1" si="6"/>
        <v>#N/A</v>
      </c>
      <c r="K10" s="132" t="e">
        <f t="shared" ca="1" si="6"/>
        <v>#N/A</v>
      </c>
      <c r="L10" s="132" t="e">
        <f t="shared" ca="1" si="6"/>
        <v>#N/A</v>
      </c>
      <c r="M10" s="132" t="e">
        <f t="shared" ca="1" si="6"/>
        <v>#N/A</v>
      </c>
      <c r="N10" s="132" t="e">
        <f t="shared" ca="1" si="6"/>
        <v>#N/A</v>
      </c>
      <c r="O10" s="130"/>
      <c r="P10" s="132" t="e">
        <f ca="1">SUMIF($C$1:$N$1,"&lt;"&amp;DATE(2021,MONTH(TODAY()),1),C10:N10)</f>
        <v>#N/A</v>
      </c>
      <c r="Q10" s="130"/>
      <c r="R10" s="132" t="e">
        <f ca="1">SUM(C10:N10)</f>
        <v>#N/A</v>
      </c>
      <c r="S10" s="130"/>
      <c r="T10" s="132">
        <f ca="1">SUM(T11:T14)</f>
        <v>-1870248.6</v>
      </c>
      <c r="U10" s="132">
        <f t="shared" ref="U10:AE10" ca="1" si="7">SUM(U11:U14)</f>
        <v>-1749587.4</v>
      </c>
      <c r="V10" s="132">
        <f t="shared" ca="1" si="7"/>
        <v>-1870248.6</v>
      </c>
      <c r="W10" s="132">
        <f t="shared" ca="1" si="7"/>
        <v>-1809918</v>
      </c>
      <c r="X10" s="132">
        <f t="shared" ca="1" si="7"/>
        <v>-1870248.6</v>
      </c>
      <c r="Y10" s="132">
        <f t="shared" ca="1" si="7"/>
        <v>-1809918</v>
      </c>
      <c r="Z10" s="132">
        <f t="shared" ca="1" si="7"/>
        <v>-2003934.24</v>
      </c>
      <c r="AA10" s="132">
        <f t="shared" ca="1" si="7"/>
        <v>-2003934.24</v>
      </c>
      <c r="AB10" s="132">
        <f t="shared" ca="1" si="7"/>
        <v>-1939291.2</v>
      </c>
      <c r="AC10" s="132">
        <f t="shared" ca="1" si="7"/>
        <v>-2003934.24</v>
      </c>
      <c r="AD10" s="132">
        <f t="shared" ca="1" si="7"/>
        <v>-1939291.2</v>
      </c>
      <c r="AE10" s="132">
        <f t="shared" ca="1" si="7"/>
        <v>-2003934.24</v>
      </c>
      <c r="AF10" s="132">
        <f ca="1">SUM(T10:AE10)</f>
        <v>-22874488.559999995</v>
      </c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</row>
    <row r="11" spans="1:45" x14ac:dyDescent="0.35">
      <c r="A11" s="21"/>
      <c r="B11" s="21" t="s">
        <v>101</v>
      </c>
      <c r="C11" s="132" t="e" cm="1">
        <f t="array" aca="1" ref="C11" ca="1">SUMPRODUCT(OFFSET(BD_COMERCIAL!AB$5,0,0,'POSIÇÕES (2023)'!$S$26,1),OFFSET(BD_COMERCIAL!CP$5,0,0,'POSIÇÕES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(2023)'!$S$26,1)="Fixo"))*-BD_COMERCIAL!AB$2
+
SUMPRODUCT(OFFSET(BD_COMERCIAL!AB$5,0,0,'POSIÇÕES (2023)'!$S$26,1),OFFSET(BD_COMERCIAL!CP$5,0,0,'POSIÇÕES (2023)'!$S$26,1)+'POSIÇÕES (2023)'!Z$25,--(OFFSET(BD_COMERCIAL!$I$5,0,0,'POSIÇÕES (2023)'!$S$26,1)="Trading"),--(OFFSET(BD_COMERCIAL!$FC$5,0,0,'POSIÇÕES (2023)'!$S$26,1)="C"),--(OFFSET(BD_COMERCIAL!$Q$5,0,0,'POSIÇÕES (2023)'!$S$26,1)="PLD + Spread"))*-BD_COMERCIAL!AB$2
+
IF('POSIÇÕES (2023)'!Z28&lt;0,'POSIÇÕES (2023)'!Z28*BD_COMERCIAL!AB2*'POSIÇÕES (2023)'!Z25,0)</f>
        <v>#N/A</v>
      </c>
      <c r="D11" s="132" t="e" cm="1">
        <f t="array" aca="1" ref="D11" ca="1">SUMPRODUCT(OFFSET(BD_COMERCIAL!AC$5,0,0,'POSIÇÕES (2023)'!$S$26,1),OFFSET(BD_COMERCIAL!CQ$5,0,0,'POSIÇÕES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(2023)'!$S$26,1)="Fixo"))*-BD_COMERCIAL!AC$2
+
SUMPRODUCT(OFFSET(BD_COMERCIAL!AC$5,0,0,'POSIÇÕES (2023)'!$S$26,1),OFFSET(BD_COMERCIAL!CQ$5,0,0,'POSIÇÕES (2023)'!$S$26,1)+'POSIÇÕES (2023)'!AA$25,--(OFFSET(BD_COMERCIAL!$I$5,0,0,'POSIÇÕES (2023)'!$S$26,1)="Trading"),--(OFFSET(BD_COMERCIAL!$FC$5,0,0,'POSIÇÕES (2023)'!$S$26,1)="C"),--(OFFSET(BD_COMERCIAL!$Q$5,0,0,'POSIÇÕES (2023)'!$S$26,1)="PLD + Spread"))*-BD_COMERCIAL!AC$2
+
IF('POSIÇÕES (2023)'!AA28&lt;0,'POSIÇÕES (2023)'!AA28*BD_COMERCIAL!AC2*'POSIÇÕES (2023)'!AA25,0)</f>
        <v>#N/A</v>
      </c>
      <c r="E11" s="132" t="e" cm="1">
        <f t="array" aca="1" ref="E11" ca="1">SUMPRODUCT(OFFSET(BD_COMERCIAL!AD$5,0,0,'POSIÇÕES (2023)'!$S$26,1),OFFSET(BD_COMERCIAL!CR$5,0,0,'POSIÇÕES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(2023)'!$S$26,1)="Fixo"))*-BD_COMERCIAL!AD$2
+
SUMPRODUCT(OFFSET(BD_COMERCIAL!AD$5,0,0,'POSIÇÕES (2023)'!$S$26,1),OFFSET(BD_COMERCIAL!CR$5,0,0,'POSIÇÕES (2023)'!$S$26,1)+'POSIÇÕES (2023)'!AB$25,--(OFFSET(BD_COMERCIAL!$I$5,0,0,'POSIÇÕES (2023)'!$S$26,1)="Trading"),--(OFFSET(BD_COMERCIAL!$FC$5,0,0,'POSIÇÕES (2023)'!$S$26,1)="C"),--(OFFSET(BD_COMERCIAL!$Q$5,0,0,'POSIÇÕES (2023)'!$S$26,1)="PLD + Spread"))*-BD_COMERCIAL!AD$2
+
IF('POSIÇÕES (2023)'!AB28&lt;0,'POSIÇÕES (2023)'!AB28*BD_COMERCIAL!AD2*'POSIÇÕES (2023)'!AB25,0)</f>
        <v>#N/A</v>
      </c>
      <c r="F11" s="132" t="e" cm="1">
        <f t="array" aca="1" ref="F11" ca="1">SUMPRODUCT(OFFSET(BD_COMERCIAL!AE$5,0,0,'POSIÇÕES (2023)'!$S$26,1),OFFSET(BD_COMERCIAL!CS$5,0,0,'POSIÇÕES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(2023)'!$S$26,1)="Fixo"))*-BD_COMERCIAL!AE$2
+
SUMPRODUCT(OFFSET(BD_COMERCIAL!AE$5,0,0,'POSIÇÕES (2023)'!$S$26,1),OFFSET(BD_COMERCIAL!CS$5,0,0,'POSIÇÕES (2023)'!$S$26,1)+'POSIÇÕES (2023)'!AC$25,--(OFFSET(BD_COMERCIAL!$I$5,0,0,'POSIÇÕES (2023)'!$S$26,1)="Trading"),--(OFFSET(BD_COMERCIAL!$FC$5,0,0,'POSIÇÕES (2023)'!$S$26,1)="C"),--(OFFSET(BD_COMERCIAL!$Q$5,0,0,'POSIÇÕES (2023)'!$S$26,1)="PLD + Spread"))*-BD_COMERCIAL!AE$2
+
IF('POSIÇÕES (2023)'!AC28&lt;0,'POSIÇÕES (2023)'!AC28*BD_COMERCIAL!AE2*'POSIÇÕES (2023)'!AC25,0)</f>
        <v>#N/A</v>
      </c>
      <c r="G11" s="132" t="e" cm="1">
        <f t="array" aca="1" ref="G11" ca="1">SUMPRODUCT(OFFSET(BD_COMERCIAL!AF$5,0,0,'POSIÇÕES (2023)'!$S$26,1),OFFSET(BD_COMERCIAL!CT$5,0,0,'POSIÇÕES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(2023)'!$S$26,1)="Fixo"))*-BD_COMERCIAL!AF$2
+
SUMPRODUCT(OFFSET(BD_COMERCIAL!AF$5,0,0,'POSIÇÕES (2023)'!$S$26,1),OFFSET(BD_COMERCIAL!CT$5,0,0,'POSIÇÕES (2023)'!$S$26,1)+'POSIÇÕES (2023)'!AD$25,--(OFFSET(BD_COMERCIAL!$I$5,0,0,'POSIÇÕES (2023)'!$S$26,1)="Trading"),--(OFFSET(BD_COMERCIAL!$FC$5,0,0,'POSIÇÕES (2023)'!$S$26,1)="C"),--(OFFSET(BD_COMERCIAL!$Q$5,0,0,'POSIÇÕES (2023)'!$S$26,1)="PLD + Spread"))*-BD_COMERCIAL!AF$2
+
IF('POSIÇÕES (2023)'!AD28&lt;0,'POSIÇÕES (2023)'!AD28*BD_COMERCIAL!AF2*'POSIÇÕES (2023)'!AD25,0)</f>
        <v>#N/A</v>
      </c>
      <c r="H11" s="132" t="e" cm="1">
        <f t="array" aca="1" ref="H11" ca="1">SUMPRODUCT(OFFSET(BD_COMERCIAL!AG$5,0,0,'POSIÇÕES (2023)'!$S$26,1),OFFSET(BD_COMERCIAL!CU$5,0,0,'POSIÇÕES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(2023)'!$S$26,1)="Fixo"))*-BD_COMERCIAL!AG$2
+
SUMPRODUCT(OFFSET(BD_COMERCIAL!AG$5,0,0,'POSIÇÕES (2023)'!$S$26,1),OFFSET(BD_COMERCIAL!CU$5,0,0,'POSIÇÕES (2023)'!$S$26,1)+'POSIÇÕES (2023)'!AE$25,--(OFFSET(BD_COMERCIAL!$I$5,0,0,'POSIÇÕES (2023)'!$S$26,1)="Trading"),--(OFFSET(BD_COMERCIAL!$FC$5,0,0,'POSIÇÕES (2023)'!$S$26,1)="C"),--(OFFSET(BD_COMERCIAL!$Q$5,0,0,'POSIÇÕES (2023)'!$S$26,1)="PLD + Spread"))*-BD_COMERCIAL!AG$2
+
IF('POSIÇÕES (2023)'!AE28&lt;0,'POSIÇÕES (2023)'!AE28*BD_COMERCIAL!AG2*'POSIÇÕES (2023)'!AE25,0)</f>
        <v>#N/A</v>
      </c>
      <c r="I11" s="132" t="e" cm="1">
        <f t="array" aca="1" ref="I11" ca="1">SUMPRODUCT(OFFSET(BD_COMERCIAL!AH$5,0,0,'POSIÇÕES (2023)'!$S$26,1),OFFSET(BD_COMERCIAL!CV$5,0,0,'POSIÇÕES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(2023)'!$S$26,1)="Fixo"))*-BD_COMERCIAL!AH$2
+
SUMPRODUCT(OFFSET(BD_COMERCIAL!AH$5,0,0,'POSIÇÕES (2023)'!$S$26,1),OFFSET(BD_COMERCIAL!CV$5,0,0,'POSIÇÕES (2023)'!$S$26,1)+'POSIÇÕES (2023)'!AF$25,--(OFFSET(BD_COMERCIAL!$I$5,0,0,'POSIÇÕES (2023)'!$S$26,1)="Trading"),--(OFFSET(BD_COMERCIAL!$FC$5,0,0,'POSIÇÕES (2023)'!$S$26,1)="C"),--(OFFSET(BD_COMERCIAL!$Q$5,0,0,'POSIÇÕES (2023)'!$S$26,1)="PLD + Spread"))*-BD_COMERCIAL!AH$2
+
IF('POSIÇÕES (2023)'!AF28&lt;0,'POSIÇÕES (2023)'!AF28*BD_COMERCIAL!AH2*'POSIÇÕES (2023)'!AF25,0)</f>
        <v>#N/A</v>
      </c>
      <c r="J11" s="132" t="e" cm="1">
        <f t="array" aca="1" ref="J11" ca="1">SUMPRODUCT(OFFSET(BD_COMERCIAL!AI$5,0,0,'POSIÇÕES (2023)'!$S$26,1),OFFSET(BD_COMERCIAL!CW$5,0,0,'POSIÇÕES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(2023)'!$S$26,1)="Fixo"))*-BD_COMERCIAL!AI$2
+
SUMPRODUCT(OFFSET(BD_COMERCIAL!AI$5,0,0,'POSIÇÕES (2023)'!$S$26,1),OFFSET(BD_COMERCIAL!CW$5,0,0,'POSIÇÕES (2023)'!$S$26,1)+'POSIÇÕES (2023)'!AG$25,--(OFFSET(BD_COMERCIAL!$I$5,0,0,'POSIÇÕES (2023)'!$S$26,1)="Trading"),--(OFFSET(BD_COMERCIAL!$FC$5,0,0,'POSIÇÕES (2023)'!$S$26,1)="C"),--(OFFSET(BD_COMERCIAL!$Q$5,0,0,'POSIÇÕES (2023)'!$S$26,1)="PLD + Spread"))*-BD_COMERCIAL!AI$2
+
IF('POSIÇÕES (2023)'!AG28&lt;0,'POSIÇÕES (2023)'!AG28*BD_COMERCIAL!AI2*'POSIÇÕES (2023)'!AG25,0)</f>
        <v>#N/A</v>
      </c>
      <c r="K11" s="132" t="e" cm="1">
        <f t="array" aca="1" ref="K11" ca="1">SUMPRODUCT(OFFSET(BD_COMERCIAL!AJ$5,0,0,'POSIÇÕES (2023)'!$S$26,1),OFFSET(BD_COMERCIAL!CX$5,0,0,'POSIÇÕES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(2023)'!$S$26,1)="Fixo"))*-BD_COMERCIAL!AJ$2
+
SUMPRODUCT(OFFSET(BD_COMERCIAL!AJ$5,0,0,'POSIÇÕES (2023)'!$S$26,1),OFFSET(BD_COMERCIAL!CX$5,0,0,'POSIÇÕES (2023)'!$S$26,1)+'POSIÇÕES (2023)'!AH$25,--(OFFSET(BD_COMERCIAL!$I$5,0,0,'POSIÇÕES (2023)'!$S$26,1)="Trading"),--(OFFSET(BD_COMERCIAL!$FC$5,0,0,'POSIÇÕES (2023)'!$S$26,1)="C"),--(OFFSET(BD_COMERCIAL!$Q$5,0,0,'POSIÇÕES (2023)'!$S$26,1)="PLD + Spread"))*-BD_COMERCIAL!AJ$2
+
IF('POSIÇÕES (2023)'!AH28&lt;0,'POSIÇÕES (2023)'!AH28*BD_COMERCIAL!AJ2*'POSIÇÕES (2023)'!AH25,0)</f>
        <v>#N/A</v>
      </c>
      <c r="L11" s="132" t="e" cm="1">
        <f t="array" aca="1" ref="L11" ca="1">SUMPRODUCT(OFFSET(BD_COMERCIAL!AK$5,0,0,'POSIÇÕES (2023)'!$S$26,1),OFFSET(BD_COMERCIAL!CY$5,0,0,'POSIÇÕES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(2023)'!$S$26,1)="Fixo"))*-BD_COMERCIAL!AK$2
+
SUMPRODUCT(OFFSET(BD_COMERCIAL!AK$5,0,0,'POSIÇÕES (2023)'!$S$26,1),OFFSET(BD_COMERCIAL!CY$5,0,0,'POSIÇÕES (2023)'!$S$26,1)+'POSIÇÕES (2023)'!AI$25,--(OFFSET(BD_COMERCIAL!$I$5,0,0,'POSIÇÕES (2023)'!$S$26,1)="Trading"),--(OFFSET(BD_COMERCIAL!$FC$5,0,0,'POSIÇÕES (2023)'!$S$26,1)="C"),--(OFFSET(BD_COMERCIAL!$Q$5,0,0,'POSIÇÕES (2023)'!$S$26,1)="PLD + Spread"))*-BD_COMERCIAL!AK$2
+
IF('POSIÇÕES (2023)'!AI28&lt;0,'POSIÇÕES (2023)'!AI28*BD_COMERCIAL!AK2*'POSIÇÕES (2023)'!AI25,0)</f>
        <v>#N/A</v>
      </c>
      <c r="M11" s="132" t="e" cm="1">
        <f t="array" aca="1" ref="M11" ca="1">SUMPRODUCT(OFFSET(BD_COMERCIAL!AL$5,0,0,'POSIÇÕES (2023)'!$S$26,1),OFFSET(BD_COMERCIAL!CZ$5,0,0,'POSIÇÕES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(2023)'!$S$26,1)="Fixo"))*-BD_COMERCIAL!AL$2
+
SUMPRODUCT(OFFSET(BD_COMERCIAL!AL$5,0,0,'POSIÇÕES (2023)'!$S$26,1),OFFSET(BD_COMERCIAL!CZ$5,0,0,'POSIÇÕES (2023)'!$S$26,1)+'POSIÇÕES (2023)'!AJ$25,--(OFFSET(BD_COMERCIAL!$I$5,0,0,'POSIÇÕES (2023)'!$S$26,1)="Trading"),--(OFFSET(BD_COMERCIAL!$FC$5,0,0,'POSIÇÕES (2023)'!$S$26,1)="C"),--(OFFSET(BD_COMERCIAL!$Q$5,0,0,'POSIÇÕES (2023)'!$S$26,1)="PLD + Spread"))*-BD_COMERCIAL!AL$2
+
IF('POSIÇÕES (2023)'!AJ28&lt;0,'POSIÇÕES (2023)'!AJ28*BD_COMERCIAL!AL2*'POSIÇÕES (2023)'!AJ25,0)</f>
        <v>#N/A</v>
      </c>
      <c r="N11" s="132" t="e" cm="1">
        <f t="array" aca="1" ref="N11" ca="1">SUMPRODUCT(OFFSET(BD_COMERCIAL!AM$5,0,0,'POSIÇÕES (2023)'!$S$26,1),OFFSET(BD_COMERCIAL!DA$5,0,0,'POSIÇÕES (2023)'!$S$26,1)+OFFSET(BD_COMERCIAL!$FH$5,0,0,'POSIÇÕES (2023)'!$S$26,1),--(OFFSET(BD_COMERCIAL!$I$5,0,0,'POSIÇÕES (2023)'!$S$26,1)="Trading"),--(OFFSET(BD_COMERCIAL!$FC$5,0,0,'POSIÇÕES (2023)'!$S$26,1)="C"),--(OFFSET(BD_COMERCIAL!$Q$5,0,0,'POSIÇÕES (2023)'!$S$26,1)="Fixo"))*-BD_COMERCIAL!AM$2
+
SUMPRODUCT(OFFSET(BD_COMERCIAL!AM$5,0,0,'POSIÇÕES (2023)'!$S$26,1),OFFSET(BD_COMERCIAL!DA$5,0,0,'POSIÇÕES (2023)'!$S$26,1)+'POSIÇÕES (2023)'!AK$25,--(OFFSET(BD_COMERCIAL!$I$5,0,0,'POSIÇÕES (2023)'!$S$26,1)="Trading"),--(OFFSET(BD_COMERCIAL!$FC$5,0,0,'POSIÇÕES (2023)'!$S$26,1)="C"),--(OFFSET(BD_COMERCIAL!$Q$5,0,0,'POSIÇÕES (2023)'!$S$26,1)="PLD + Spread"))*-BD_COMERCIAL!AM$2
+
IF('POSIÇÕES (2023)'!AK28&lt;0,'POSIÇÕES (2023)'!AK28*BD_COMERCIAL!AM2*'POSIÇÕES (2023)'!AK25,0)</f>
        <v>#N/A</v>
      </c>
      <c r="O11" s="130"/>
      <c r="P11" s="132" t="e">
        <f ca="1">SUMIF($C$1:$N$1,"&lt;"&amp;DATE(2021,MONTH(TODAY()),1),C11:N11)</f>
        <v>#N/A</v>
      </c>
      <c r="Q11" s="130"/>
      <c r="R11" s="132" t="e">
        <f ca="1">SUM(C11:N11)</f>
        <v>#N/A</v>
      </c>
      <c r="S11" s="130"/>
      <c r="T11" s="132" cm="1">
        <f t="array" aca="1" ref="T11" ca="1">SUMPRODUCT(OFFSET(BD_COMERCIAL!AN$5,0,0,'POSIÇÕES (2023)'!$S$26,1),OFFSET(BD_COMERCIAL!DB$5,0,0,'POSIÇÕES (2023)'!$S$26,1),--(OFFSET(BD_COMERCIAL!$I$5,0,0,'POSIÇÕES (2023)'!$S$26,1)="Trading"),--(OFFSET(BD_COMERCIAL!$FC$5,0,0,'POSIÇÕES (2023)'!$S$26,1)="C"),--(OFFSET(BD_COMERCIAL!$Q$5,0,0,'POSIÇÕES (2023)'!$S$26,1)="Fixo"))*-BD_COMERCIAL!AN$2
+
SUMPRODUCT(OFFSET(BD_COMERCIAL!AN$5,0,0,'POSIÇÕES (2023)'!$S$26,1),OFFSET(BD_COMERCIAL!DB$5,0,0,'POSIÇÕES (2023)'!$S$26,1)+'POSIÇÕES (2024)'!Z$25,--(OFFSET(BD_COMERCIAL!$I$5,0,0,'POSIÇÕES (2023)'!$S$26,1)="Trading"),--(OFFSET(BD_COMERCIAL!$FC$5,0,0,'POSIÇÕES (2023)'!$S$26,1)="C"),--(OFFSET(BD_COMERCIAL!$Q$5,0,0,'POSIÇÕES (2023)'!$S$26,1)="PLD + Spread"))*-BD_COMERCIAL!AN$2
+
IF('POSIÇÕES (2024)'!Z28&lt;0,'POSIÇÕES (2024)'!Z28*BD_COMERCIAL!AN2*'POSIÇÕES (2024)'!Z25,0)</f>
        <v>-2060880</v>
      </c>
      <c r="U11" s="132" cm="1">
        <f t="array" aca="1" ref="U11" ca="1">SUMPRODUCT(OFFSET(BD_COMERCIAL!AO$5,0,0,'POSIÇÕES (2023)'!$S$26,1),OFFSET(BD_COMERCIAL!DC$5,0,0,'POSIÇÕES (2023)'!$S$26,1),--(OFFSET(BD_COMERCIAL!$I$5,0,0,'POSIÇÕES (2023)'!$S$26,1)="Trading"),--(OFFSET(BD_COMERCIAL!$FC$5,0,0,'POSIÇÕES (2023)'!$S$26,1)="C"),--(OFFSET(BD_COMERCIAL!$Q$5,0,0,'POSIÇÕES (2023)'!$S$26,1)="Fixo"))*-BD_COMERCIAL!AO$2
+
SUMPRODUCT(OFFSET(BD_COMERCIAL!AO$5,0,0,'POSIÇÕES (2023)'!$S$26,1),OFFSET(BD_COMERCIAL!DC$5,0,0,'POSIÇÕES (2023)'!$S$26,1)+'POSIÇÕES (2024)'!AA$25,--(OFFSET(BD_COMERCIAL!$I$5,0,0,'POSIÇÕES (2023)'!$S$26,1)="Trading"),--(OFFSET(BD_COMERCIAL!$FC$5,0,0,'POSIÇÕES (2023)'!$S$26,1)="C"),--(OFFSET(BD_COMERCIAL!$Q$5,0,0,'POSIÇÕES (2023)'!$S$26,1)="PLD + Spread"))*-BD_COMERCIAL!AO$2
+
IF('POSIÇÕES (2024)'!AA28&lt;0,'POSIÇÕES (2024)'!AA28*BD_COMERCIAL!AO2*'POSIÇÕES (2024)'!AA25,0)</f>
        <v>-1927920</v>
      </c>
      <c r="V11" s="132" cm="1">
        <f t="array" aca="1" ref="V11" ca="1">SUMPRODUCT(OFFSET(BD_COMERCIAL!AP$5,0,0,'POSIÇÕES (2023)'!$S$26,1),OFFSET(BD_COMERCIAL!DD$5,0,0,'POSIÇÕES (2023)'!$S$26,1),--(OFFSET(BD_COMERCIAL!$I$5,0,0,'POSIÇÕES (2023)'!$S$26,1)="Trading"),--(OFFSET(BD_COMERCIAL!$FC$5,0,0,'POSIÇÕES (2023)'!$S$26,1)="C"),--(OFFSET(BD_COMERCIAL!$Q$5,0,0,'POSIÇÕES (2023)'!$S$26,1)="Fixo"))*-BD_COMERCIAL!AP$2
+
SUMPRODUCT(OFFSET(BD_COMERCIAL!AP$5,0,0,'POSIÇÕES (2023)'!$S$26,1),OFFSET(BD_COMERCIAL!DD$5,0,0,'POSIÇÕES (2023)'!$S$26,1)+'POSIÇÕES (2024)'!AB$25,--(OFFSET(BD_COMERCIAL!$I$5,0,0,'POSIÇÕES (2023)'!$S$26,1)="Trading"),--(OFFSET(BD_COMERCIAL!$FC$5,0,0,'POSIÇÕES (2023)'!$S$26,1)="C"),--(OFFSET(BD_COMERCIAL!$Q$5,0,0,'POSIÇÕES (2023)'!$S$26,1)="PLD + Spread"))*-BD_COMERCIAL!AP$2
+
IF('POSIÇÕES (2024)'!AB28&lt;0,'POSIÇÕES (2024)'!AB28*BD_COMERCIAL!AP2*'POSIÇÕES (2024)'!AB25,0)</f>
        <v>-2060880</v>
      </c>
      <c r="W11" s="132" cm="1">
        <f t="array" aca="1" ref="W11" ca="1">SUMPRODUCT(OFFSET(BD_COMERCIAL!AQ$5,0,0,'POSIÇÕES (2023)'!$S$26,1),OFFSET(BD_COMERCIAL!DE$5,0,0,'POSIÇÕES (2023)'!$S$26,1),--(OFFSET(BD_COMERCIAL!$I$5,0,0,'POSIÇÕES (2023)'!$S$26,1)="Trading"),--(OFFSET(BD_COMERCIAL!$FC$5,0,0,'POSIÇÕES (2023)'!$S$26,1)="C"),--(OFFSET(BD_COMERCIAL!$Q$5,0,0,'POSIÇÕES (2023)'!$S$26,1)="Fixo"))*-BD_COMERCIAL!AQ$2
+
SUMPRODUCT(OFFSET(BD_COMERCIAL!AQ$5,0,0,'POSIÇÕES (2023)'!$S$26,1),OFFSET(BD_COMERCIAL!DE$5,0,0,'POSIÇÕES (2023)'!$S$26,1)+'POSIÇÕES (2024)'!AC$25,--(OFFSET(BD_COMERCIAL!$I$5,0,0,'POSIÇÕES (2023)'!$S$26,1)="Trading"),--(OFFSET(BD_COMERCIAL!$FC$5,0,0,'POSIÇÕES (2023)'!$S$26,1)="C"),--(OFFSET(BD_COMERCIAL!$Q$5,0,0,'POSIÇÕES (2023)'!$S$26,1)="PLD + Spread"))*-BD_COMERCIAL!AQ$2
+
IF('POSIÇÕES (2024)'!AC28&lt;0,'POSIÇÕES (2024)'!AC28*BD_COMERCIAL!AQ2*'POSIÇÕES (2024)'!AC25,0)</f>
        <v>-1994400</v>
      </c>
      <c r="X11" s="132" cm="1">
        <f t="array" aca="1" ref="X11" ca="1">SUMPRODUCT(OFFSET(BD_COMERCIAL!AR$5,0,0,'POSIÇÕES (2023)'!$S$26,1),OFFSET(BD_COMERCIAL!DF$5,0,0,'POSIÇÕES (2023)'!$S$26,1),--(OFFSET(BD_COMERCIAL!$I$5,0,0,'POSIÇÕES (2023)'!$S$26,1)="Trading"),--(OFFSET(BD_COMERCIAL!$FC$5,0,0,'POSIÇÕES (2023)'!$S$26,1)="C"),--(OFFSET(BD_COMERCIAL!$Q$5,0,0,'POSIÇÕES (2023)'!$S$26,1)="Fixo"))*-BD_COMERCIAL!AR$2
+
SUMPRODUCT(OFFSET(BD_COMERCIAL!AR$5,0,0,'POSIÇÕES (2023)'!$S$26,1),OFFSET(BD_COMERCIAL!DF$5,0,0,'POSIÇÕES (2023)'!$S$26,1)+'POSIÇÕES (2024)'!AD$25,--(OFFSET(BD_COMERCIAL!$I$5,0,0,'POSIÇÕES (2023)'!$S$26,1)="Trading"),--(OFFSET(BD_COMERCIAL!$FC$5,0,0,'POSIÇÕES (2023)'!$S$26,1)="C"),--(OFFSET(BD_COMERCIAL!$Q$5,0,0,'POSIÇÕES (2023)'!$S$26,1)="PLD + Spread"))*-BD_COMERCIAL!AR$2
+
IF('POSIÇÕES (2024)'!AD28&lt;0,'POSIÇÕES (2024)'!AD28*BD_COMERCIAL!AR2*'POSIÇÕES (2024)'!AD25,0)</f>
        <v>-2060880</v>
      </c>
      <c r="Y11" s="132" cm="1">
        <f t="array" aca="1" ref="Y11" ca="1">SUMPRODUCT(OFFSET(BD_COMERCIAL!AS$5,0,0,'POSIÇÕES (2023)'!$S$26,1),OFFSET(BD_COMERCIAL!DG$5,0,0,'POSIÇÕES (2023)'!$S$26,1),--(OFFSET(BD_COMERCIAL!$I$5,0,0,'POSIÇÕES (2023)'!$S$26,1)="Trading"),--(OFFSET(BD_COMERCIAL!$FC$5,0,0,'POSIÇÕES (2023)'!$S$26,1)="C"),--(OFFSET(BD_COMERCIAL!$Q$5,0,0,'POSIÇÕES (2023)'!$S$26,1)="Fixo"))*-BD_COMERCIAL!AS$2
+
SUMPRODUCT(OFFSET(BD_COMERCIAL!AS$5,0,0,'POSIÇÕES (2023)'!$S$26,1),OFFSET(BD_COMERCIAL!DG$5,0,0,'POSIÇÕES (2023)'!$S$26,1)+'POSIÇÕES (2024)'!AE$25,--(OFFSET(BD_COMERCIAL!$I$5,0,0,'POSIÇÕES (2023)'!$S$26,1)="Trading"),--(OFFSET(BD_COMERCIAL!$FC$5,0,0,'POSIÇÕES (2023)'!$S$26,1)="C"),--(OFFSET(BD_COMERCIAL!$Q$5,0,0,'POSIÇÕES (2023)'!$S$26,1)="PLD + Spread"))*-BD_COMERCIAL!AS$2
+
IF('POSIÇÕES (2024)'!AE28&lt;0,'POSIÇÕES (2024)'!AE28*BD_COMERCIAL!AS2*'POSIÇÕES (2024)'!AE25,0)</f>
        <v>-1994400</v>
      </c>
      <c r="Z11" s="132" cm="1">
        <f t="array" aca="1" ref="Z11" ca="1">SUMPRODUCT(OFFSET(BD_COMERCIAL!AT$5,0,0,'POSIÇÕES (2023)'!$S$26,1),OFFSET(BD_COMERCIAL!DH$5,0,0,'POSIÇÕES (2023)'!$S$26,1),--(OFFSET(BD_COMERCIAL!$I$5,0,0,'POSIÇÕES (2023)'!$S$26,1)="Trading"),--(OFFSET(BD_COMERCIAL!$FC$5,0,0,'POSIÇÕES (2023)'!$S$26,1)="C"),--(OFFSET(BD_COMERCIAL!$Q$5,0,0,'POSIÇÕES (2023)'!$S$26,1)="Fixo"))*-BD_COMERCIAL!AT$2
+
SUMPRODUCT(OFFSET(BD_COMERCIAL!AT$5,0,0,'POSIÇÕES (2023)'!$S$26,1),OFFSET(BD_COMERCIAL!DH$5,0,0,'POSIÇÕES (2023)'!$S$26,1)+'POSIÇÕES (2024)'!AF$25,--(OFFSET(BD_COMERCIAL!$I$5,0,0,'POSIÇÕES (2023)'!$S$26,1)="Trading"),--(OFFSET(BD_COMERCIAL!$FC$5,0,0,'POSIÇÕES (2023)'!$S$26,1)="C"),--(OFFSET(BD_COMERCIAL!$Q$5,0,0,'POSIÇÕES (2023)'!$S$26,1)="PLD + Spread"))*-BD_COMERCIAL!AT$2
+
IF('POSIÇÕES (2024)'!AF28&lt;0,'POSIÇÕES (2024)'!AF28*BD_COMERCIAL!AT2*'POSIÇÕES (2024)'!AF25,0)</f>
        <v>-2208192</v>
      </c>
      <c r="AA11" s="132" cm="1">
        <f t="array" aca="1" ref="AA11" ca="1">SUMPRODUCT(OFFSET(BD_COMERCIAL!AU$5,0,0,'POSIÇÕES (2023)'!$S$26,1),OFFSET(BD_COMERCIAL!DI$5,0,0,'POSIÇÕES (2023)'!$S$26,1),--(OFFSET(BD_COMERCIAL!$I$5,0,0,'POSIÇÕES (2023)'!$S$26,1)="Trading"),--(OFFSET(BD_COMERCIAL!$FC$5,0,0,'POSIÇÕES (2023)'!$S$26,1)="C"),--(OFFSET(BD_COMERCIAL!$Q$5,0,0,'POSIÇÕES (2023)'!$S$26,1)="Fixo"))*-BD_COMERCIAL!AU$2
+
SUMPRODUCT(OFFSET(BD_COMERCIAL!AU$5,0,0,'POSIÇÕES (2023)'!$S$26,1),OFFSET(BD_COMERCIAL!DI$5,0,0,'POSIÇÕES (2023)'!$S$26,1)+'POSIÇÕES (2024)'!AG$25,--(OFFSET(BD_COMERCIAL!$I$5,0,0,'POSIÇÕES (2023)'!$S$26,1)="Trading"),--(OFFSET(BD_COMERCIAL!$FC$5,0,0,'POSIÇÕES (2023)'!$S$26,1)="C"),--(OFFSET(BD_COMERCIAL!$Q$5,0,0,'POSIÇÕES (2023)'!$S$26,1)="PLD + Spread"))*-BD_COMERCIAL!AU$2
+
IF('POSIÇÕES (2024)'!AG28&lt;0,'POSIÇÕES (2024)'!AG28*BD_COMERCIAL!AU2*'POSIÇÕES (2024)'!AG25,0)</f>
        <v>-2208192</v>
      </c>
      <c r="AB11" s="132" cm="1">
        <f t="array" aca="1" ref="AB11" ca="1">SUMPRODUCT(OFFSET(BD_COMERCIAL!AV$5,0,0,'POSIÇÕES (2023)'!$S$26,1),OFFSET(BD_COMERCIAL!DJ$5,0,0,'POSIÇÕES (2023)'!$S$26,1),--(OFFSET(BD_COMERCIAL!$I$5,0,0,'POSIÇÕES (2023)'!$S$26,1)="Trading"),--(OFFSET(BD_COMERCIAL!$FC$5,0,0,'POSIÇÕES (2023)'!$S$26,1)="C"),--(OFFSET(BD_COMERCIAL!$Q$5,0,0,'POSIÇÕES (2023)'!$S$26,1)="Fixo"))*-BD_COMERCIAL!AV$2
+
SUMPRODUCT(OFFSET(BD_COMERCIAL!AV$5,0,0,'POSIÇÕES (2023)'!$S$26,1),OFFSET(BD_COMERCIAL!DJ$5,0,0,'POSIÇÕES (2023)'!$S$26,1)+'POSIÇÕES (2024)'!AH$25,--(OFFSET(BD_COMERCIAL!$I$5,0,0,'POSIÇÕES (2023)'!$S$26,1)="Trading"),--(OFFSET(BD_COMERCIAL!$FC$5,0,0,'POSIÇÕES (2023)'!$S$26,1)="C"),--(OFFSET(BD_COMERCIAL!$Q$5,0,0,'POSIÇÕES (2023)'!$S$26,1)="PLD + Spread"))*-BD_COMERCIAL!AV$2
+
IF('POSIÇÕES (2024)'!AH28&lt;0,'POSIÇÕES (2024)'!AH28*BD_COMERCIAL!AV2*'POSIÇÕES (2024)'!AH25,0)</f>
        <v>-2136960</v>
      </c>
      <c r="AC11" s="132" cm="1">
        <f t="array" aca="1" ref="AC11" ca="1">SUMPRODUCT(OFFSET(BD_COMERCIAL!AW$5,0,0,'POSIÇÕES (2023)'!$S$26,1),OFFSET(BD_COMERCIAL!DK$5,0,0,'POSIÇÕES (2023)'!$S$26,1),--(OFFSET(BD_COMERCIAL!$I$5,0,0,'POSIÇÕES (2023)'!$S$26,1)="Trading"),--(OFFSET(BD_COMERCIAL!$FC$5,0,0,'POSIÇÕES (2023)'!$S$26,1)="C"),--(OFFSET(BD_COMERCIAL!$Q$5,0,0,'POSIÇÕES (2023)'!$S$26,1)="Fixo"))*-BD_COMERCIAL!AW$2
+
SUMPRODUCT(OFFSET(BD_COMERCIAL!AW$5,0,0,'POSIÇÕES (2023)'!$S$26,1),OFFSET(BD_COMERCIAL!DK$5,0,0,'POSIÇÕES (2023)'!$S$26,1)+'POSIÇÕES (2024)'!AI$25,--(OFFSET(BD_COMERCIAL!$I$5,0,0,'POSIÇÕES (2023)'!$S$26,1)="Trading"),--(OFFSET(BD_COMERCIAL!$FC$5,0,0,'POSIÇÕES (2023)'!$S$26,1)="C"),--(OFFSET(BD_COMERCIAL!$Q$5,0,0,'POSIÇÕES (2023)'!$S$26,1)="PLD + Spread"))*-BD_COMERCIAL!AW$2
+
IF('POSIÇÕES (2024)'!AI28&lt;0,'POSIÇÕES (2024)'!AI28*BD_COMERCIAL!AW2*'POSIÇÕES (2024)'!AI25,0)</f>
        <v>-2208192</v>
      </c>
      <c r="AD11" s="132" cm="1">
        <f t="array" aca="1" ref="AD11" ca="1">SUMPRODUCT(OFFSET(BD_COMERCIAL!AX$5,0,0,'POSIÇÕES (2023)'!$S$26,1),OFFSET(BD_COMERCIAL!DL$5,0,0,'POSIÇÕES (2023)'!$S$26,1),--(OFFSET(BD_COMERCIAL!$I$5,0,0,'POSIÇÕES (2023)'!$S$26,1)="Trading"),--(OFFSET(BD_COMERCIAL!$FC$5,0,0,'POSIÇÕES (2023)'!$S$26,1)="C"),--(OFFSET(BD_COMERCIAL!$Q$5,0,0,'POSIÇÕES (2023)'!$S$26,1)="Fixo"))*-BD_COMERCIAL!AX$2
+
SUMPRODUCT(OFFSET(BD_COMERCIAL!AX$5,0,0,'POSIÇÕES (2023)'!$S$26,1),OFFSET(BD_COMERCIAL!DL$5,0,0,'POSIÇÕES (2023)'!$S$26,1)+'POSIÇÕES (2024)'!AJ$25,--(OFFSET(BD_COMERCIAL!$I$5,0,0,'POSIÇÕES (2023)'!$S$26,1)="Trading"),--(OFFSET(BD_COMERCIAL!$FC$5,0,0,'POSIÇÕES (2023)'!$S$26,1)="C"),--(OFFSET(BD_COMERCIAL!$Q$5,0,0,'POSIÇÕES (2023)'!$S$26,1)="PLD + Spread"))*-BD_COMERCIAL!AX$2
+
IF('POSIÇÕES (2024)'!AJ28&lt;0,'POSIÇÕES (2024)'!AJ28*BD_COMERCIAL!AX2*'POSIÇÕES (2024)'!AJ25,0)</f>
        <v>-2136960</v>
      </c>
      <c r="AE11" s="132" cm="1">
        <f t="array" aca="1" ref="AE11" ca="1">SUMPRODUCT(OFFSET(BD_COMERCIAL!AY$5,0,0,'POSIÇÕES (2023)'!$S$26,1),OFFSET(BD_COMERCIAL!DM$5,0,0,'POSIÇÕES (2023)'!$S$26,1),--(OFFSET(BD_COMERCIAL!$I$5,0,0,'POSIÇÕES (2023)'!$S$26,1)="Trading"),--(OFFSET(BD_COMERCIAL!$FC$5,0,0,'POSIÇÕES (2023)'!$S$26,1)="C"),--(OFFSET(BD_COMERCIAL!$Q$5,0,0,'POSIÇÕES (2023)'!$S$26,1)="Fixo"))*-BD_COMERCIAL!AY$2
+
SUMPRODUCT(OFFSET(BD_COMERCIAL!AY$5,0,0,'POSIÇÕES (2023)'!$S$26,1),OFFSET(BD_COMERCIAL!DM$5,0,0,'POSIÇÕES (2023)'!$S$26,1)+'POSIÇÕES (2024)'!AK$25,--(OFFSET(BD_COMERCIAL!$I$5,0,0,'POSIÇÕES (2023)'!$S$26,1)="Trading"),--(OFFSET(BD_COMERCIAL!$FC$5,0,0,'POSIÇÕES (2023)'!$S$26,1)="C"),--(OFFSET(BD_COMERCIAL!$Q$5,0,0,'POSIÇÕES (2023)'!$S$26,1)="PLD + Spread"))*-BD_COMERCIAL!AY$2
+
IF('POSIÇÕES (2024)'!AK28&lt;0,'POSIÇÕES (2024)'!AK28*BD_COMERCIAL!AY2*'POSIÇÕES (2024)'!AK25,0)</f>
        <v>-2208192</v>
      </c>
      <c r="AF11" s="132">
        <f ca="1">SUM(T11:AE11)</f>
        <v>-25206048</v>
      </c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</row>
    <row r="12" spans="1:45" x14ac:dyDescent="0.35">
      <c r="A12" s="21"/>
      <c r="B12" s="21" t="s">
        <v>102</v>
      </c>
      <c r="C12" s="133" t="e">
        <f ca="1">-9.25%*C11</f>
        <v>#N/A</v>
      </c>
      <c r="D12" s="133" t="e">
        <f t="shared" ref="D12:N12" ca="1" si="8">-9.25%*D11</f>
        <v>#N/A</v>
      </c>
      <c r="E12" s="133" t="e">
        <f t="shared" ca="1" si="8"/>
        <v>#N/A</v>
      </c>
      <c r="F12" s="133" t="e">
        <f t="shared" ca="1" si="8"/>
        <v>#N/A</v>
      </c>
      <c r="G12" s="133" t="e">
        <f t="shared" ca="1" si="8"/>
        <v>#N/A</v>
      </c>
      <c r="H12" s="133" t="e">
        <f t="shared" ca="1" si="8"/>
        <v>#N/A</v>
      </c>
      <c r="I12" s="133" t="e">
        <f t="shared" ca="1" si="8"/>
        <v>#N/A</v>
      </c>
      <c r="J12" s="133" t="e">
        <f t="shared" ca="1" si="8"/>
        <v>#N/A</v>
      </c>
      <c r="K12" s="133" t="e">
        <f t="shared" ca="1" si="8"/>
        <v>#N/A</v>
      </c>
      <c r="L12" s="133" t="e">
        <f t="shared" ca="1" si="8"/>
        <v>#N/A</v>
      </c>
      <c r="M12" s="133" t="e">
        <f t="shared" ca="1" si="8"/>
        <v>#N/A</v>
      </c>
      <c r="N12" s="133" t="e">
        <f t="shared" ca="1" si="8"/>
        <v>#N/A</v>
      </c>
      <c r="O12" s="130"/>
      <c r="P12" s="133" t="e">
        <f ca="1">SUMIF($C$1:$N$1,"&lt;"&amp;DATE(2021,MONTH(TODAY()),1),C12:N12)</f>
        <v>#N/A</v>
      </c>
      <c r="Q12" s="130"/>
      <c r="R12" s="133" t="e">
        <f ca="1">SUM(C12:N12)</f>
        <v>#N/A</v>
      </c>
      <c r="S12" s="130"/>
      <c r="T12" s="133">
        <f ca="1">-9.25%*T11</f>
        <v>190631.4</v>
      </c>
      <c r="U12" s="133">
        <f t="shared" ref="U12:AE12" ca="1" si="9">-9.25%*U11</f>
        <v>178332.6</v>
      </c>
      <c r="V12" s="133">
        <f t="shared" ca="1" si="9"/>
        <v>190631.4</v>
      </c>
      <c r="W12" s="133">
        <f t="shared" ca="1" si="9"/>
        <v>184482</v>
      </c>
      <c r="X12" s="133">
        <f t="shared" ca="1" si="9"/>
        <v>190631.4</v>
      </c>
      <c r="Y12" s="133">
        <f t="shared" ca="1" si="9"/>
        <v>184482</v>
      </c>
      <c r="Z12" s="133">
        <f t="shared" ca="1" si="9"/>
        <v>204257.76</v>
      </c>
      <c r="AA12" s="133">
        <f t="shared" ca="1" si="9"/>
        <v>204257.76</v>
      </c>
      <c r="AB12" s="133">
        <f t="shared" ca="1" si="9"/>
        <v>197668.8</v>
      </c>
      <c r="AC12" s="133">
        <f t="shared" ca="1" si="9"/>
        <v>204257.76</v>
      </c>
      <c r="AD12" s="133">
        <f t="shared" ca="1" si="9"/>
        <v>197668.8</v>
      </c>
      <c r="AE12" s="133">
        <f t="shared" ca="1" si="9"/>
        <v>204257.76</v>
      </c>
      <c r="AF12" s="133">
        <f ca="1">SUM(T12:AE12)</f>
        <v>2331559.4400000004</v>
      </c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</row>
    <row r="13" spans="1:45" x14ac:dyDescent="0.35">
      <c r="A13" s="21"/>
      <c r="B13" s="21" t="s">
        <v>103</v>
      </c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0"/>
      <c r="P13" s="133"/>
      <c r="Q13" s="130"/>
      <c r="R13" s="133"/>
      <c r="S13" s="130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</row>
    <row r="14" spans="1:45" x14ac:dyDescent="0.35">
      <c r="A14" s="21"/>
      <c r="B14" s="21" t="s">
        <v>104</v>
      </c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0"/>
      <c r="P14" s="133"/>
      <c r="Q14" s="130"/>
      <c r="R14" s="133"/>
      <c r="S14" s="130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3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</row>
    <row r="15" spans="1:45" ht="15" thickBot="1" x14ac:dyDescent="0.4">
      <c r="A15" s="21"/>
      <c r="B15" s="21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0"/>
      <c r="P15" s="133"/>
      <c r="Q15" s="130"/>
      <c r="R15" s="133"/>
      <c r="S15" s="130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</row>
    <row r="16" spans="1:45" ht="15.5" thickTop="1" thickBot="1" x14ac:dyDescent="0.4">
      <c r="A16" s="21"/>
      <c r="B16" s="128" t="s">
        <v>105</v>
      </c>
      <c r="C16" s="134" t="e">
        <f ca="1">C8+C10</f>
        <v>#N/A</v>
      </c>
      <c r="D16" s="134" t="e">
        <f t="shared" ref="D16:N16" ca="1" si="10">D8+D10</f>
        <v>#N/A</v>
      </c>
      <c r="E16" s="134" t="e">
        <f t="shared" ca="1" si="10"/>
        <v>#N/A</v>
      </c>
      <c r="F16" s="134" t="e">
        <f t="shared" ca="1" si="10"/>
        <v>#N/A</v>
      </c>
      <c r="G16" s="134" t="e">
        <f t="shared" ca="1" si="10"/>
        <v>#N/A</v>
      </c>
      <c r="H16" s="134" t="e">
        <f t="shared" ca="1" si="10"/>
        <v>#N/A</v>
      </c>
      <c r="I16" s="134" t="e">
        <f t="shared" ca="1" si="10"/>
        <v>#N/A</v>
      </c>
      <c r="J16" s="134" t="e">
        <f t="shared" ca="1" si="10"/>
        <v>#N/A</v>
      </c>
      <c r="K16" s="134" t="e">
        <f t="shared" ca="1" si="10"/>
        <v>#N/A</v>
      </c>
      <c r="L16" s="134" t="e">
        <f t="shared" ca="1" si="10"/>
        <v>#N/A</v>
      </c>
      <c r="M16" s="134" t="e">
        <f t="shared" ca="1" si="10"/>
        <v>#N/A</v>
      </c>
      <c r="N16" s="134" t="e">
        <f t="shared" ca="1" si="10"/>
        <v>#N/A</v>
      </c>
      <c r="O16" s="130"/>
      <c r="P16" s="134" t="e">
        <f ca="1">SUMIF($C$1:$N$1,"&lt;"&amp;DATE(2021,MONTH(TODAY()),1),C16:N16)</f>
        <v>#N/A</v>
      </c>
      <c r="Q16" s="130"/>
      <c r="R16" s="134" t="e">
        <f ca="1">SUM(C16:N16)</f>
        <v>#N/A</v>
      </c>
      <c r="S16" s="130"/>
      <c r="T16" s="134">
        <f ca="1">T8+T10</f>
        <v>1010069.2799999998</v>
      </c>
      <c r="U16" s="134">
        <f t="shared" ref="U16:AE16" ca="1" si="11">U8+U10</f>
        <v>944903.52</v>
      </c>
      <c r="V16" s="134">
        <f t="shared" ca="1" si="11"/>
        <v>1010069.2799999998</v>
      </c>
      <c r="W16" s="134">
        <f t="shared" ca="1" si="11"/>
        <v>977486.39999999991</v>
      </c>
      <c r="X16" s="134">
        <f t="shared" ca="1" si="11"/>
        <v>1010069.2799999998</v>
      </c>
      <c r="Y16" s="134">
        <f t="shared" ca="1" si="11"/>
        <v>977486.39999999991</v>
      </c>
      <c r="Z16" s="134">
        <f t="shared" ca="1" si="11"/>
        <v>876383.6399999999</v>
      </c>
      <c r="AA16" s="134">
        <f t="shared" ca="1" si="11"/>
        <v>876383.6399999999</v>
      </c>
      <c r="AB16" s="134">
        <f t="shared" ca="1" si="11"/>
        <v>848113.2</v>
      </c>
      <c r="AC16" s="134">
        <f t="shared" ca="1" si="11"/>
        <v>876383.6399999999</v>
      </c>
      <c r="AD16" s="134">
        <f t="shared" ca="1" si="11"/>
        <v>848113.2</v>
      </c>
      <c r="AE16" s="134">
        <f t="shared" ca="1" si="11"/>
        <v>876383.6399999999</v>
      </c>
      <c r="AF16" s="134">
        <f ca="1">SUM(T16:AE16)</f>
        <v>11131845.119999999</v>
      </c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</row>
    <row r="17" spans="1:45" ht="15" thickTop="1" x14ac:dyDescent="0.35">
      <c r="A17" s="21"/>
      <c r="B17" s="21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0"/>
      <c r="P17" s="133"/>
      <c r="Q17" s="130"/>
      <c r="R17" s="133"/>
      <c r="S17" s="130"/>
      <c r="T17" s="133"/>
      <c r="U17" s="133"/>
      <c r="V17" s="133"/>
      <c r="W17" s="133"/>
      <c r="X17" s="133"/>
      <c r="Y17" s="133"/>
      <c r="Z17" s="133"/>
      <c r="AA17" s="133"/>
      <c r="AB17" s="133"/>
      <c r="AC17" s="133"/>
      <c r="AD17" s="133"/>
      <c r="AE17" s="133"/>
      <c r="AF17" s="133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</row>
    <row r="18" spans="1:45" x14ac:dyDescent="0.35">
      <c r="A18" s="21"/>
      <c r="B18" s="21" t="s">
        <v>106</v>
      </c>
      <c r="C18" s="133" t="e">
        <f ca="1">IF(C16&lt;0,0,-34%*C16)</f>
        <v>#N/A</v>
      </c>
      <c r="D18" s="133" t="e">
        <f t="shared" ref="D18:N18" ca="1" si="12">IF(D16&lt;0,0,-34%*D16)</f>
        <v>#N/A</v>
      </c>
      <c r="E18" s="133" t="e">
        <f t="shared" ca="1" si="12"/>
        <v>#N/A</v>
      </c>
      <c r="F18" s="133" t="e">
        <f t="shared" ca="1" si="12"/>
        <v>#N/A</v>
      </c>
      <c r="G18" s="133" t="e">
        <f t="shared" ca="1" si="12"/>
        <v>#N/A</v>
      </c>
      <c r="H18" s="133" t="e">
        <f t="shared" ca="1" si="12"/>
        <v>#N/A</v>
      </c>
      <c r="I18" s="133" t="e">
        <f t="shared" ca="1" si="12"/>
        <v>#N/A</v>
      </c>
      <c r="J18" s="133" t="e">
        <f t="shared" ca="1" si="12"/>
        <v>#N/A</v>
      </c>
      <c r="K18" s="133" t="e">
        <f t="shared" ca="1" si="12"/>
        <v>#N/A</v>
      </c>
      <c r="L18" s="133" t="e">
        <f t="shared" ca="1" si="12"/>
        <v>#N/A</v>
      </c>
      <c r="M18" s="133" t="e">
        <f t="shared" ca="1" si="12"/>
        <v>#N/A</v>
      </c>
      <c r="N18" s="133" t="e">
        <f t="shared" ca="1" si="12"/>
        <v>#N/A</v>
      </c>
      <c r="O18" s="130"/>
      <c r="P18" s="133" t="e">
        <f ca="1">SUMIF($C$1:$N$1,"&lt;"&amp;DATE(2021,MONTH(TODAY()),1),C18:N18)</f>
        <v>#N/A</v>
      </c>
      <c r="Q18" s="130"/>
      <c r="R18" s="133" t="e">
        <f ca="1">SUM(C18:N18)</f>
        <v>#N/A</v>
      </c>
      <c r="S18" s="130"/>
      <c r="T18" s="133">
        <f t="shared" ref="T18:AE18" ca="1" si="13">IF(T16&lt;0,0,-34%*T16)</f>
        <v>-343423.55519999994</v>
      </c>
      <c r="U18" s="133">
        <f t="shared" ca="1" si="13"/>
        <v>-321267.19680000003</v>
      </c>
      <c r="V18" s="133">
        <f t="shared" ca="1" si="13"/>
        <v>-343423.55519999994</v>
      </c>
      <c r="W18" s="133">
        <f t="shared" ca="1" si="13"/>
        <v>-332345.37599999999</v>
      </c>
      <c r="X18" s="133">
        <f t="shared" ca="1" si="13"/>
        <v>-343423.55519999994</v>
      </c>
      <c r="Y18" s="133">
        <f t="shared" ca="1" si="13"/>
        <v>-332345.37599999999</v>
      </c>
      <c r="Z18" s="133">
        <f t="shared" ca="1" si="13"/>
        <v>-297970.4376</v>
      </c>
      <c r="AA18" s="133">
        <f t="shared" ca="1" si="13"/>
        <v>-297970.4376</v>
      </c>
      <c r="AB18" s="133">
        <f t="shared" ca="1" si="13"/>
        <v>-288358.48800000001</v>
      </c>
      <c r="AC18" s="133">
        <f t="shared" ca="1" si="13"/>
        <v>-297970.4376</v>
      </c>
      <c r="AD18" s="133">
        <f t="shared" ca="1" si="13"/>
        <v>-288358.48800000001</v>
      </c>
      <c r="AE18" s="133">
        <f t="shared" ca="1" si="13"/>
        <v>-297970.4376</v>
      </c>
      <c r="AF18" s="133">
        <f ca="1">SUM(T18:AE18)</f>
        <v>-3784827.340799999</v>
      </c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</row>
    <row r="19" spans="1:45" ht="15" thickBot="1" x14ac:dyDescent="0.4">
      <c r="A19" s="21"/>
      <c r="B19" s="21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0"/>
      <c r="P19" s="133"/>
      <c r="Q19" s="130"/>
      <c r="R19" s="133"/>
      <c r="S19" s="130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</row>
    <row r="20" spans="1:45" s="121" customFormat="1" ht="15" thickBot="1" x14ac:dyDescent="0.4">
      <c r="A20" s="124"/>
      <c r="B20" s="126" t="s">
        <v>107</v>
      </c>
      <c r="C20" s="136" t="e">
        <f ca="1">C16+C18</f>
        <v>#N/A</v>
      </c>
      <c r="D20" s="136" t="e">
        <f t="shared" ref="D20:N20" ca="1" si="14">D16+D18</f>
        <v>#N/A</v>
      </c>
      <c r="E20" s="136" t="e">
        <f t="shared" ca="1" si="14"/>
        <v>#N/A</v>
      </c>
      <c r="F20" s="136" t="e">
        <f t="shared" ca="1" si="14"/>
        <v>#N/A</v>
      </c>
      <c r="G20" s="136" t="e">
        <f t="shared" ca="1" si="14"/>
        <v>#N/A</v>
      </c>
      <c r="H20" s="136" t="e">
        <f t="shared" ca="1" si="14"/>
        <v>#N/A</v>
      </c>
      <c r="I20" s="136" t="e">
        <f t="shared" ca="1" si="14"/>
        <v>#N/A</v>
      </c>
      <c r="J20" s="136" t="e">
        <f t="shared" ca="1" si="14"/>
        <v>#N/A</v>
      </c>
      <c r="K20" s="136" t="e">
        <f t="shared" ca="1" si="14"/>
        <v>#N/A</v>
      </c>
      <c r="L20" s="136" t="e">
        <f t="shared" ca="1" si="14"/>
        <v>#N/A</v>
      </c>
      <c r="M20" s="136" t="e">
        <f t="shared" ca="1" si="14"/>
        <v>#N/A</v>
      </c>
      <c r="N20" s="136" t="e">
        <f t="shared" ca="1" si="14"/>
        <v>#N/A</v>
      </c>
      <c r="O20" s="137"/>
      <c r="P20" s="136" t="e">
        <f ca="1">SUMIF($C$1:$N$1,"&lt;"&amp;DATE(2021,MONTH(TODAY()),1),C20:N20)</f>
        <v>#N/A</v>
      </c>
      <c r="Q20" s="137"/>
      <c r="R20" s="136" t="e">
        <f ca="1">SUM(C20:N20)</f>
        <v>#N/A</v>
      </c>
      <c r="S20" s="137"/>
      <c r="T20" s="136">
        <f ca="1">T16+T18</f>
        <v>666645.72479999985</v>
      </c>
      <c r="U20" s="136">
        <f t="shared" ref="U20:AE20" ca="1" si="15">U16+U18</f>
        <v>623636.32319999998</v>
      </c>
      <c r="V20" s="136">
        <f t="shared" ca="1" si="15"/>
        <v>666645.72479999985</v>
      </c>
      <c r="W20" s="136">
        <f t="shared" ca="1" si="15"/>
        <v>645141.02399999998</v>
      </c>
      <c r="X20" s="136">
        <f t="shared" ca="1" si="15"/>
        <v>666645.72479999985</v>
      </c>
      <c r="Y20" s="136">
        <f t="shared" ca="1" si="15"/>
        <v>645141.02399999998</v>
      </c>
      <c r="Z20" s="136">
        <f t="shared" ca="1" si="15"/>
        <v>578413.20239999983</v>
      </c>
      <c r="AA20" s="136">
        <f t="shared" ca="1" si="15"/>
        <v>578413.20239999983</v>
      </c>
      <c r="AB20" s="136">
        <f t="shared" ca="1" si="15"/>
        <v>559754.71199999994</v>
      </c>
      <c r="AC20" s="136">
        <f t="shared" ca="1" si="15"/>
        <v>578413.20239999983</v>
      </c>
      <c r="AD20" s="136">
        <f t="shared" ca="1" si="15"/>
        <v>559754.71199999994</v>
      </c>
      <c r="AE20" s="136">
        <f t="shared" ca="1" si="15"/>
        <v>578413.20239999983</v>
      </c>
      <c r="AF20" s="136">
        <f ca="1">SUM(T20:AE20)</f>
        <v>7347017.7791999998</v>
      </c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</row>
    <row r="21" spans="1:45" ht="15" thickBot="1" x14ac:dyDescent="0.4">
      <c r="A21" s="21"/>
      <c r="B21" s="124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P21" s="123"/>
      <c r="R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</row>
    <row r="22" spans="1:45" s="140" customFormat="1" x14ac:dyDescent="0.35">
      <c r="B22" s="141" t="s">
        <v>109</v>
      </c>
      <c r="C22" s="142" t="e">
        <f ca="1">C2+C11</f>
        <v>#N/A</v>
      </c>
      <c r="D22" s="142" t="e">
        <f ca="1">D2+D11</f>
        <v>#N/A</v>
      </c>
      <c r="E22" s="142" t="e">
        <f t="shared" ref="E22:AF22" ca="1" si="16">E2+E11</f>
        <v>#N/A</v>
      </c>
      <c r="F22" s="142" t="e">
        <f t="shared" ca="1" si="16"/>
        <v>#N/A</v>
      </c>
      <c r="G22" s="142" t="e">
        <f t="shared" ca="1" si="16"/>
        <v>#N/A</v>
      </c>
      <c r="H22" s="142" t="e">
        <f t="shared" ca="1" si="16"/>
        <v>#N/A</v>
      </c>
      <c r="I22" s="142" t="e">
        <f t="shared" ca="1" si="16"/>
        <v>#N/A</v>
      </c>
      <c r="J22" s="142" t="e">
        <f t="shared" ca="1" si="16"/>
        <v>#N/A</v>
      </c>
      <c r="K22" s="142" t="e">
        <f t="shared" ca="1" si="16"/>
        <v>#N/A</v>
      </c>
      <c r="L22" s="142" t="e">
        <f t="shared" ca="1" si="16"/>
        <v>#N/A</v>
      </c>
      <c r="M22" s="142" t="e">
        <f t="shared" ca="1" si="16"/>
        <v>#N/A</v>
      </c>
      <c r="N22" s="142" t="e">
        <f t="shared" ca="1" si="16"/>
        <v>#N/A</v>
      </c>
      <c r="O22" s="142"/>
      <c r="P22" s="142" t="e">
        <f t="shared" ca="1" si="16"/>
        <v>#N/A</v>
      </c>
      <c r="Q22" s="142"/>
      <c r="R22" s="142" t="e">
        <f ca="1">R2+R11</f>
        <v>#N/A</v>
      </c>
      <c r="S22" s="142"/>
      <c r="T22" s="142">
        <f t="shared" ca="1" si="16"/>
        <v>1113024</v>
      </c>
      <c r="U22" s="142">
        <f t="shared" ca="1" si="16"/>
        <v>1041216</v>
      </c>
      <c r="V22" s="142">
        <f t="shared" ca="1" si="16"/>
        <v>1113024</v>
      </c>
      <c r="W22" s="142">
        <f t="shared" ca="1" si="16"/>
        <v>1077120</v>
      </c>
      <c r="X22" s="142">
        <f t="shared" ca="1" si="16"/>
        <v>1113024</v>
      </c>
      <c r="Y22" s="142">
        <f t="shared" ca="1" si="16"/>
        <v>1077120</v>
      </c>
      <c r="Z22" s="142">
        <f t="shared" ca="1" si="16"/>
        <v>965712</v>
      </c>
      <c r="AA22" s="142">
        <f t="shared" ca="1" si="16"/>
        <v>965712</v>
      </c>
      <c r="AB22" s="142">
        <f t="shared" ca="1" si="16"/>
        <v>934560</v>
      </c>
      <c r="AC22" s="142">
        <f t="shared" ca="1" si="16"/>
        <v>965712</v>
      </c>
      <c r="AD22" s="142">
        <f t="shared" ca="1" si="16"/>
        <v>934560</v>
      </c>
      <c r="AE22" s="142">
        <f t="shared" ca="1" si="16"/>
        <v>965712</v>
      </c>
      <c r="AF22" s="142">
        <f t="shared" ca="1" si="16"/>
        <v>12266496</v>
      </c>
    </row>
    <row r="23" spans="1:45" s="140" customFormat="1" x14ac:dyDescent="0.35">
      <c r="B23" s="140" t="s">
        <v>110</v>
      </c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</row>
    <row r="24" spans="1:45" s="140" customFormat="1" ht="15" thickBot="1" x14ac:dyDescent="0.4">
      <c r="B24" s="144" t="s">
        <v>111</v>
      </c>
      <c r="C24" s="145" t="e">
        <f ca="1">ROUND(C22-C23,0)</f>
        <v>#N/A</v>
      </c>
      <c r="D24" s="145" t="e">
        <f t="shared" ref="D24:N24" ca="1" si="17">ROUND(D22-D23,0)</f>
        <v>#N/A</v>
      </c>
      <c r="E24" s="145" t="e">
        <f t="shared" ca="1" si="17"/>
        <v>#N/A</v>
      </c>
      <c r="F24" s="145" t="e">
        <f t="shared" ca="1" si="17"/>
        <v>#N/A</v>
      </c>
      <c r="G24" s="145" t="e">
        <f t="shared" ca="1" si="17"/>
        <v>#N/A</v>
      </c>
      <c r="H24" s="145" t="e">
        <f t="shared" ca="1" si="17"/>
        <v>#N/A</v>
      </c>
      <c r="I24" s="145" t="e">
        <f t="shared" ca="1" si="17"/>
        <v>#N/A</v>
      </c>
      <c r="J24" s="145" t="e">
        <f t="shared" ca="1" si="17"/>
        <v>#N/A</v>
      </c>
      <c r="K24" s="145" t="e">
        <f t="shared" ca="1" si="17"/>
        <v>#N/A</v>
      </c>
      <c r="L24" s="145" t="e">
        <f t="shared" ca="1" si="17"/>
        <v>#N/A</v>
      </c>
      <c r="M24" s="145" t="e">
        <f t="shared" ca="1" si="17"/>
        <v>#N/A</v>
      </c>
      <c r="N24" s="145" t="e">
        <f t="shared" ca="1" si="17"/>
        <v>#N/A</v>
      </c>
      <c r="O24" s="146"/>
      <c r="P24" s="145" t="e">
        <f ca="1">ROUND(P22-P23,0)</f>
        <v>#N/A</v>
      </c>
      <c r="Q24" s="146"/>
      <c r="R24" s="145" t="e">
        <f ca="1">ROUND(R22-R23,0)</f>
        <v>#N/A</v>
      </c>
      <c r="S24" s="146"/>
      <c r="T24" s="146">
        <f t="shared" ref="T24:AE24" ca="1" si="18">T22-T23</f>
        <v>1113024</v>
      </c>
      <c r="U24" s="146">
        <f t="shared" ca="1" si="18"/>
        <v>1041216</v>
      </c>
      <c r="V24" s="146">
        <f t="shared" ca="1" si="18"/>
        <v>1113024</v>
      </c>
      <c r="W24" s="146">
        <f t="shared" ca="1" si="18"/>
        <v>1077120</v>
      </c>
      <c r="X24" s="146">
        <f t="shared" ca="1" si="18"/>
        <v>1113024</v>
      </c>
      <c r="Y24" s="146">
        <f t="shared" ca="1" si="18"/>
        <v>1077120</v>
      </c>
      <c r="Z24" s="146">
        <f t="shared" ca="1" si="18"/>
        <v>965712</v>
      </c>
      <c r="AA24" s="146">
        <f t="shared" ca="1" si="18"/>
        <v>965712</v>
      </c>
      <c r="AB24" s="146">
        <f t="shared" ca="1" si="18"/>
        <v>934560</v>
      </c>
      <c r="AC24" s="146">
        <f t="shared" ca="1" si="18"/>
        <v>965712</v>
      </c>
      <c r="AD24" s="146">
        <f t="shared" ca="1" si="18"/>
        <v>934560</v>
      </c>
      <c r="AE24" s="146">
        <f t="shared" ca="1" si="18"/>
        <v>965712</v>
      </c>
      <c r="AF24" s="145">
        <f ca="1">ROUND(AF22-AF23,0)</f>
        <v>12266496</v>
      </c>
    </row>
    <row r="25" spans="1:45" x14ac:dyDescent="0.3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R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</row>
    <row r="26" spans="1:45" x14ac:dyDescent="0.35">
      <c r="A26" s="21"/>
      <c r="B26" s="21"/>
      <c r="C26" s="307" t="s">
        <v>113</v>
      </c>
      <c r="D26" s="307"/>
      <c r="E26" s="307"/>
      <c r="F26" s="21"/>
      <c r="G26" s="21"/>
      <c r="H26" s="21"/>
      <c r="I26" s="21"/>
      <c r="J26" s="21"/>
      <c r="K26" s="21"/>
      <c r="L26" s="21"/>
      <c r="M26" s="21"/>
      <c r="N26" s="21"/>
      <c r="R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</row>
    <row r="27" spans="1:45" x14ac:dyDescent="0.35">
      <c r="A27" s="21"/>
      <c r="B27" s="21"/>
      <c r="C27" s="149">
        <v>2023</v>
      </c>
      <c r="D27" s="149">
        <v>2024</v>
      </c>
      <c r="E27" s="149" t="s">
        <v>112</v>
      </c>
      <c r="F27" s="21"/>
      <c r="G27" s="21"/>
      <c r="H27" s="21"/>
      <c r="I27" s="21"/>
      <c r="J27" s="21"/>
      <c r="K27" s="21"/>
      <c r="L27" s="21"/>
      <c r="M27" s="21"/>
      <c r="N27" s="21"/>
      <c r="R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130" t="e">
        <f ca="1">AF22+R22</f>
        <v>#N/A</v>
      </c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</row>
    <row r="28" spans="1:45" x14ac:dyDescent="0.35">
      <c r="A28" s="21"/>
      <c r="B28" s="21"/>
      <c r="C28" s="148" t="e">
        <f ca="1">R22/1000000</f>
        <v>#N/A</v>
      </c>
      <c r="D28" s="148">
        <f ca="1">AF22/1000000</f>
        <v>12.266496</v>
      </c>
      <c r="E28" s="148" t="e">
        <f ca="1">C28+D28</f>
        <v>#N/A</v>
      </c>
      <c r="F28" s="21"/>
      <c r="G28" s="21"/>
      <c r="H28" s="21"/>
      <c r="I28" s="21"/>
      <c r="J28" s="21"/>
      <c r="K28" s="21"/>
      <c r="L28" s="21"/>
      <c r="M28" s="21"/>
      <c r="N28" s="21"/>
      <c r="R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130" t="e">
        <f ca="1">AF27+AF30</f>
        <v>#N/A</v>
      </c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</row>
    <row r="29" spans="1:45" x14ac:dyDescent="0.3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R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</row>
    <row r="30" spans="1:45" ht="15" thickBot="1" x14ac:dyDescent="0.4">
      <c r="A30" s="21"/>
      <c r="B30" s="160" t="s">
        <v>237</v>
      </c>
      <c r="C30" s="161">
        <v>0</v>
      </c>
      <c r="D30" s="161">
        <v>0</v>
      </c>
      <c r="E30" s="161">
        <v>0</v>
      </c>
      <c r="F30" s="161">
        <v>216000</v>
      </c>
      <c r="G30" s="161">
        <v>204600</v>
      </c>
      <c r="H30" s="161">
        <v>190800</v>
      </c>
      <c r="I30" s="161">
        <v>0</v>
      </c>
      <c r="J30" s="161">
        <v>0</v>
      </c>
      <c r="K30" s="161">
        <v>0</v>
      </c>
      <c r="L30" s="161">
        <v>0</v>
      </c>
      <c r="M30" s="161">
        <v>0</v>
      </c>
      <c r="N30" s="162">
        <v>0</v>
      </c>
      <c r="R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130">
        <f>SUM(C30:N30)</f>
        <v>611400</v>
      </c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</row>
    <row r="31" spans="1:45" x14ac:dyDescent="0.3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R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</row>
    <row r="32" spans="1:45" x14ac:dyDescent="0.3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R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</row>
    <row r="33" spans="1:45" x14ac:dyDescent="0.3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R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</row>
    <row r="34" spans="1:45" x14ac:dyDescent="0.3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R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</row>
    <row r="35" spans="1:45" x14ac:dyDescent="0.3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R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</row>
    <row r="36" spans="1:45" x14ac:dyDescent="0.3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R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</row>
    <row r="37" spans="1:45" x14ac:dyDescent="0.3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R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</row>
    <row r="38" spans="1:45" x14ac:dyDescent="0.3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R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</row>
    <row r="39" spans="1:45" x14ac:dyDescent="0.3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R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</row>
    <row r="40" spans="1:45" x14ac:dyDescent="0.3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R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</row>
    <row r="41" spans="1:45" x14ac:dyDescent="0.3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R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</row>
    <row r="42" spans="1:45" x14ac:dyDescent="0.3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R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</row>
    <row r="43" spans="1:45" x14ac:dyDescent="0.3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R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</row>
    <row r="44" spans="1:45" x14ac:dyDescent="0.3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R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</row>
    <row r="45" spans="1:45" x14ac:dyDescent="0.3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R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</row>
    <row r="46" spans="1:45" x14ac:dyDescent="0.3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R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</row>
    <row r="47" spans="1:45" x14ac:dyDescent="0.3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R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</row>
    <row r="48" spans="1:45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R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</row>
    <row r="49" spans="1:45" x14ac:dyDescent="0.3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R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</row>
    <row r="50" spans="1:45" x14ac:dyDescent="0.3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R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</row>
    <row r="51" spans="1:45" x14ac:dyDescent="0.3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R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</row>
  </sheetData>
  <mergeCells count="1">
    <mergeCell ref="C26:E26"/>
  </mergeCells>
  <conditionalFormatting sqref="B30:N30">
    <cfRule type="cellIs" dxfId="16" priority="1" operator="between">
      <formula>-1000000000000</formula>
      <formula>-0.0000000001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61"/>
  <sheetViews>
    <sheetView showGridLines="0" topLeftCell="A40" workbookViewId="0">
      <selection activeCell="I52" sqref="I52"/>
    </sheetView>
  </sheetViews>
  <sheetFormatPr defaultRowHeight="14.5" x14ac:dyDescent="0.35"/>
  <cols>
    <col min="1" max="1" width="7.7265625" bestFit="1" customWidth="1"/>
    <col min="2" max="2" width="17" style="84" bestFit="1" customWidth="1"/>
    <col min="5" max="5" width="10.7265625" bestFit="1" customWidth="1"/>
  </cols>
  <sheetData>
    <row r="1" spans="1:4" ht="30" customHeight="1" x14ac:dyDescent="0.35">
      <c r="A1" s="196" t="s">
        <v>279</v>
      </c>
      <c r="B1" s="197" t="s">
        <v>285</v>
      </c>
    </row>
    <row r="2" spans="1:4" x14ac:dyDescent="0.35">
      <c r="A2" s="195">
        <v>43101</v>
      </c>
      <c r="B2" s="65">
        <v>4930.72</v>
      </c>
    </row>
    <row r="3" spans="1:4" x14ac:dyDescent="0.35">
      <c r="A3" s="195">
        <v>43132</v>
      </c>
      <c r="B3" s="65">
        <v>4946.5</v>
      </c>
    </row>
    <row r="4" spans="1:4" x14ac:dyDescent="0.35">
      <c r="A4" s="195">
        <v>43160</v>
      </c>
      <c r="B4" s="65">
        <v>4950.95</v>
      </c>
    </row>
    <row r="5" spans="1:4" x14ac:dyDescent="0.35">
      <c r="A5" s="195">
        <v>43191</v>
      </c>
      <c r="B5" s="65">
        <v>4961.84</v>
      </c>
    </row>
    <row r="6" spans="1:4" x14ac:dyDescent="0.35">
      <c r="A6" s="195">
        <v>43221</v>
      </c>
      <c r="B6" s="65">
        <v>4981.6899999999996</v>
      </c>
      <c r="D6" s="195"/>
    </row>
    <row r="7" spans="1:4" x14ac:dyDescent="0.35">
      <c r="A7" s="195">
        <v>43252</v>
      </c>
      <c r="B7" s="65">
        <v>5044.46</v>
      </c>
    </row>
    <row r="8" spans="1:4" x14ac:dyDescent="0.35">
      <c r="A8" s="195">
        <v>43282</v>
      </c>
      <c r="B8" s="65">
        <v>5061.1099999999997</v>
      </c>
    </row>
    <row r="9" spans="1:4" x14ac:dyDescent="0.35">
      <c r="A9" s="195">
        <v>43313</v>
      </c>
      <c r="B9" s="65">
        <v>5056.5600000000004</v>
      </c>
    </row>
    <row r="10" spans="1:4" x14ac:dyDescent="0.35">
      <c r="A10" s="195">
        <v>43344</v>
      </c>
      <c r="B10" s="65">
        <v>5080.83</v>
      </c>
    </row>
    <row r="11" spans="1:4" x14ac:dyDescent="0.35">
      <c r="A11" s="195">
        <v>43374</v>
      </c>
      <c r="B11" s="65">
        <v>5103.6899999999996</v>
      </c>
    </row>
    <row r="12" spans="1:4" x14ac:dyDescent="0.35">
      <c r="A12" s="195">
        <v>43405</v>
      </c>
      <c r="B12" s="65">
        <v>5092.97</v>
      </c>
    </row>
    <row r="13" spans="1:4" x14ac:dyDescent="0.35">
      <c r="A13" s="195">
        <v>43435</v>
      </c>
      <c r="B13" s="65">
        <v>5100.6099999999997</v>
      </c>
    </row>
    <row r="14" spans="1:4" x14ac:dyDescent="0.35">
      <c r="A14" s="195">
        <v>43466</v>
      </c>
      <c r="B14" s="65">
        <v>5116.93</v>
      </c>
    </row>
    <row r="15" spans="1:4" x14ac:dyDescent="0.35">
      <c r="A15" s="195">
        <v>43497</v>
      </c>
      <c r="B15" s="65">
        <v>5138.93</v>
      </c>
    </row>
    <row r="16" spans="1:4" x14ac:dyDescent="0.35">
      <c r="A16" s="195">
        <v>43525</v>
      </c>
      <c r="B16" s="65">
        <v>5177.47</v>
      </c>
    </row>
    <row r="17" spans="1:2" x14ac:dyDescent="0.35">
      <c r="A17" s="195">
        <v>43556</v>
      </c>
      <c r="B17" s="65">
        <v>5206.9799999999996</v>
      </c>
    </row>
    <row r="18" spans="1:2" x14ac:dyDescent="0.35">
      <c r="A18" s="195">
        <v>43586</v>
      </c>
      <c r="B18" s="65">
        <v>5213.75</v>
      </c>
    </row>
    <row r="19" spans="1:2" x14ac:dyDescent="0.35">
      <c r="A19" s="195">
        <v>43617</v>
      </c>
      <c r="B19" s="65">
        <v>5214.2700000000004</v>
      </c>
    </row>
    <row r="20" spans="1:2" x14ac:dyDescent="0.35">
      <c r="A20" s="195">
        <v>43647</v>
      </c>
      <c r="B20" s="65">
        <v>5224.18</v>
      </c>
    </row>
    <row r="21" spans="1:2" x14ac:dyDescent="0.35">
      <c r="A21" s="195">
        <v>43678</v>
      </c>
      <c r="B21" s="65">
        <v>5229.93</v>
      </c>
    </row>
    <row r="22" spans="1:2" x14ac:dyDescent="0.35">
      <c r="A22" s="195">
        <v>43709</v>
      </c>
      <c r="B22" s="65">
        <v>5227.84</v>
      </c>
    </row>
    <row r="23" spans="1:2" x14ac:dyDescent="0.35">
      <c r="A23" s="195">
        <v>43739</v>
      </c>
      <c r="B23" s="65">
        <v>5233.07</v>
      </c>
    </row>
    <row r="24" spans="1:2" x14ac:dyDescent="0.35">
      <c r="A24" s="195">
        <v>43770</v>
      </c>
      <c r="B24" s="65">
        <v>5259.76</v>
      </c>
    </row>
    <row r="25" spans="1:2" x14ac:dyDescent="0.35">
      <c r="A25" s="195">
        <v>43800</v>
      </c>
      <c r="B25" s="65">
        <v>5320.25</v>
      </c>
    </row>
    <row r="26" spans="1:2" x14ac:dyDescent="0.35">
      <c r="A26" s="195">
        <v>43831</v>
      </c>
      <c r="B26" s="65">
        <v>5331.42</v>
      </c>
    </row>
    <row r="27" spans="1:2" x14ac:dyDescent="0.35">
      <c r="A27" s="195">
        <v>43862</v>
      </c>
      <c r="B27" s="65">
        <v>5344.75</v>
      </c>
    </row>
    <row r="28" spans="1:2" ht="15" customHeight="1" x14ac:dyDescent="0.35">
      <c r="A28" s="195">
        <v>43891</v>
      </c>
      <c r="B28" s="65">
        <v>5348.49</v>
      </c>
    </row>
    <row r="29" spans="1:2" ht="15" customHeight="1" x14ac:dyDescent="0.35">
      <c r="A29" s="195">
        <v>43922</v>
      </c>
      <c r="B29" s="65">
        <v>5331.91</v>
      </c>
    </row>
    <row r="30" spans="1:2" ht="15" customHeight="1" x14ac:dyDescent="0.35">
      <c r="A30" s="195">
        <v>43952</v>
      </c>
      <c r="B30" s="65">
        <v>5311.65</v>
      </c>
    </row>
    <row r="31" spans="1:2" x14ac:dyDescent="0.35">
      <c r="A31" s="195">
        <v>43983</v>
      </c>
      <c r="B31" s="65">
        <v>5325.46</v>
      </c>
    </row>
    <row r="32" spans="1:2" x14ac:dyDescent="0.35">
      <c r="A32" s="195">
        <v>44013</v>
      </c>
      <c r="B32" s="65">
        <v>5344.63</v>
      </c>
    </row>
    <row r="33" spans="1:2" x14ac:dyDescent="0.35">
      <c r="A33" s="195">
        <v>44044</v>
      </c>
      <c r="B33" s="65">
        <v>5357.46</v>
      </c>
    </row>
    <row r="34" spans="1:2" x14ac:dyDescent="0.35">
      <c r="A34" s="195">
        <v>44075</v>
      </c>
      <c r="B34" s="65">
        <v>5391.75</v>
      </c>
    </row>
    <row r="35" spans="1:2" x14ac:dyDescent="0.35">
      <c r="A35" s="195">
        <v>44105</v>
      </c>
      <c r="B35" s="65">
        <v>5438.12</v>
      </c>
    </row>
    <row r="36" spans="1:2" x14ac:dyDescent="0.35">
      <c r="A36" s="195">
        <v>44136</v>
      </c>
      <c r="B36" s="65">
        <v>5486.52</v>
      </c>
    </row>
    <row r="37" spans="1:2" x14ac:dyDescent="0.35">
      <c r="A37" s="195">
        <v>44166</v>
      </c>
      <c r="B37" s="65">
        <v>5560.59</v>
      </c>
    </row>
    <row r="38" spans="1:2" x14ac:dyDescent="0.35">
      <c r="A38" s="195">
        <v>44197</v>
      </c>
      <c r="B38" s="65">
        <v>5574.49</v>
      </c>
    </row>
    <row r="39" spans="1:2" x14ac:dyDescent="0.35">
      <c r="A39" s="195">
        <v>44228</v>
      </c>
      <c r="B39" s="65">
        <v>5622.43</v>
      </c>
    </row>
    <row r="40" spans="1:2" x14ac:dyDescent="0.35">
      <c r="A40" s="195">
        <v>44256</v>
      </c>
      <c r="B40" s="65">
        <v>5674.72</v>
      </c>
    </row>
    <row r="41" spans="1:2" x14ac:dyDescent="0.35">
      <c r="A41" s="195">
        <v>44287</v>
      </c>
      <c r="B41" s="65">
        <v>5692.31</v>
      </c>
    </row>
    <row r="42" spans="1:2" x14ac:dyDescent="0.35">
      <c r="A42" s="195">
        <v>44317</v>
      </c>
      <c r="B42" s="65">
        <v>5739.56</v>
      </c>
    </row>
    <row r="43" spans="1:2" x14ac:dyDescent="0.35">
      <c r="A43" s="195">
        <v>44348</v>
      </c>
      <c r="B43" s="65">
        <v>5769.98</v>
      </c>
    </row>
    <row r="44" spans="1:2" x14ac:dyDescent="0.35">
      <c r="A44" s="195">
        <v>44378</v>
      </c>
      <c r="B44" s="65">
        <v>5825.37</v>
      </c>
    </row>
    <row r="45" spans="1:2" x14ac:dyDescent="0.35">
      <c r="A45" s="195">
        <v>44409</v>
      </c>
      <c r="B45" s="65">
        <v>5876.05</v>
      </c>
    </row>
    <row r="46" spans="1:2" x14ac:dyDescent="0.35">
      <c r="A46" s="195">
        <v>44440</v>
      </c>
      <c r="B46" s="65">
        <v>5944.21</v>
      </c>
    </row>
    <row r="47" spans="1:2" x14ac:dyDescent="0.35">
      <c r="A47" s="195">
        <v>44470</v>
      </c>
      <c r="B47" s="65">
        <v>6018.51</v>
      </c>
    </row>
    <row r="48" spans="1:2" x14ac:dyDescent="0.35">
      <c r="A48" s="195">
        <v>44501</v>
      </c>
      <c r="B48" s="65">
        <v>6075.69</v>
      </c>
    </row>
    <row r="49" spans="1:5" x14ac:dyDescent="0.35">
      <c r="A49" s="195">
        <v>44531</v>
      </c>
      <c r="B49" s="65">
        <v>6120.04</v>
      </c>
    </row>
    <row r="50" spans="1:5" x14ac:dyDescent="0.35">
      <c r="A50" s="195">
        <v>44562</v>
      </c>
      <c r="B50" s="65">
        <v>6153.09</v>
      </c>
    </row>
    <row r="51" spans="1:5" x14ac:dyDescent="0.35">
      <c r="A51" s="195">
        <v>44593</v>
      </c>
      <c r="B51" s="65">
        <v>6215.24</v>
      </c>
    </row>
    <row r="52" spans="1:5" x14ac:dyDescent="0.35">
      <c r="A52" s="195">
        <v>44621</v>
      </c>
      <c r="B52" s="65">
        <v>6315.93</v>
      </c>
    </row>
    <row r="53" spans="1:5" x14ac:dyDescent="0.35">
      <c r="A53" s="195">
        <v>44652</v>
      </c>
      <c r="B53" s="65">
        <v>6382.88</v>
      </c>
    </row>
    <row r="54" spans="1:5" x14ac:dyDescent="0.35">
      <c r="A54" s="195">
        <v>44682</v>
      </c>
      <c r="B54" s="65">
        <v>6412.88</v>
      </c>
      <c r="E54" s="83"/>
    </row>
    <row r="55" spans="1:5" x14ac:dyDescent="0.35">
      <c r="A55" s="195">
        <v>44713</v>
      </c>
      <c r="B55" s="65">
        <v>6455.85</v>
      </c>
    </row>
    <row r="56" spans="1:5" x14ac:dyDescent="0.35">
      <c r="A56" s="195">
        <v>44743</v>
      </c>
      <c r="B56" s="65">
        <v>6411.95</v>
      </c>
    </row>
    <row r="57" spans="1:5" x14ac:dyDescent="0.35">
      <c r="A57" s="195">
        <v>44774</v>
      </c>
      <c r="B57" s="65">
        <v>6388.87</v>
      </c>
    </row>
    <row r="58" spans="1:5" x14ac:dyDescent="0.35">
      <c r="A58" s="195">
        <v>44805</v>
      </c>
      <c r="B58" s="84">
        <v>6370.34</v>
      </c>
    </row>
    <row r="59" spans="1:5" x14ac:dyDescent="0.35">
      <c r="A59" s="195">
        <v>44835</v>
      </c>
      <c r="B59" s="84">
        <v>6407.93</v>
      </c>
    </row>
    <row r="60" spans="1:5" x14ac:dyDescent="0.35">
      <c r="A60" s="195">
        <v>44866</v>
      </c>
      <c r="B60" s="84">
        <v>6434.2</v>
      </c>
    </row>
    <row r="61" spans="1:5" x14ac:dyDescent="0.35">
      <c r="A61" s="195">
        <v>44896</v>
      </c>
      <c r="B61" s="84">
        <v>6474.09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98"/>
  <sheetViews>
    <sheetView topLeftCell="D1" workbookViewId="0">
      <selection activeCell="I1" sqref="I1:J96"/>
    </sheetView>
  </sheetViews>
  <sheetFormatPr defaultRowHeight="14.5" x14ac:dyDescent="0.35"/>
  <cols>
    <col min="1" max="1" width="58.1796875" bestFit="1" customWidth="1"/>
    <col min="2" max="2" width="16.453125" bestFit="1" customWidth="1"/>
    <col min="4" max="4" width="58.1796875" bestFit="1" customWidth="1"/>
    <col min="5" max="5" width="16.54296875" bestFit="1" customWidth="1"/>
    <col min="9" max="9" width="58" bestFit="1" customWidth="1"/>
    <col min="10" max="10" width="12.26953125" bestFit="1" customWidth="1"/>
  </cols>
  <sheetData>
    <row r="1" spans="1:10" x14ac:dyDescent="0.35">
      <c r="A1" s="168" t="s">
        <v>269</v>
      </c>
      <c r="B1" s="168" t="s">
        <v>267</v>
      </c>
      <c r="D1" s="168" t="s">
        <v>269</v>
      </c>
      <c r="E1" s="168" t="s">
        <v>267</v>
      </c>
      <c r="I1" s="168" t="s">
        <v>269</v>
      </c>
      <c r="J1" s="168" t="s">
        <v>267</v>
      </c>
    </row>
    <row r="2" spans="1:10" x14ac:dyDescent="0.35">
      <c r="A2" s="170" t="s">
        <v>140</v>
      </c>
      <c r="B2" s="193">
        <v>27612616.32</v>
      </c>
      <c r="D2" s="170" t="s">
        <v>140</v>
      </c>
      <c r="E2" s="193">
        <v>27612616.32</v>
      </c>
      <c r="F2" s="191">
        <f>VLOOKUP(D2,$A$2:$B$97,2,0)-E2</f>
        <v>0</v>
      </c>
      <c r="I2" s="170" t="s">
        <v>140</v>
      </c>
      <c r="J2" s="193">
        <v>19616838.720000003</v>
      </c>
    </row>
    <row r="3" spans="1:10" x14ac:dyDescent="0.35">
      <c r="A3" s="10" t="s">
        <v>272</v>
      </c>
      <c r="B3" s="192">
        <v>24312788.399999999</v>
      </c>
      <c r="D3" s="10" t="s">
        <v>272</v>
      </c>
      <c r="E3" s="192">
        <v>24312788.399999999</v>
      </c>
      <c r="F3" s="191">
        <f t="shared" ref="F3:F66" si="0">VLOOKUP(D3,$A$2:$B$97,2,0)-E3</f>
        <v>0</v>
      </c>
      <c r="I3" s="10" t="s">
        <v>173</v>
      </c>
      <c r="J3" s="192">
        <v>9729600</v>
      </c>
    </row>
    <row r="4" spans="1:10" x14ac:dyDescent="0.35">
      <c r="A4" s="10" t="s">
        <v>172</v>
      </c>
      <c r="B4" s="192">
        <v>21354734.399999999</v>
      </c>
      <c r="D4" s="10" t="s">
        <v>172</v>
      </c>
      <c r="E4" s="192">
        <v>21354734.399999999</v>
      </c>
      <c r="F4" s="191">
        <f t="shared" si="0"/>
        <v>0</v>
      </c>
      <c r="I4" s="10" t="s">
        <v>278</v>
      </c>
      <c r="J4" s="192">
        <v>7247760</v>
      </c>
    </row>
    <row r="5" spans="1:10" x14ac:dyDescent="0.35">
      <c r="A5" s="10" t="s">
        <v>169</v>
      </c>
      <c r="B5" s="192">
        <v>19864680</v>
      </c>
      <c r="D5" s="10" t="s">
        <v>169</v>
      </c>
      <c r="E5" s="192">
        <v>19864680</v>
      </c>
      <c r="F5" s="191">
        <f t="shared" si="0"/>
        <v>0</v>
      </c>
      <c r="I5" s="10" t="s">
        <v>271</v>
      </c>
      <c r="J5" s="192">
        <v>7004160</v>
      </c>
    </row>
    <row r="6" spans="1:10" x14ac:dyDescent="0.35">
      <c r="A6" s="10" t="s">
        <v>142</v>
      </c>
      <c r="B6" s="192">
        <v>18826056</v>
      </c>
      <c r="D6" s="10" t="s">
        <v>142</v>
      </c>
      <c r="E6" s="192">
        <v>18826056</v>
      </c>
      <c r="F6" s="191">
        <f t="shared" si="0"/>
        <v>0</v>
      </c>
      <c r="I6" s="10" t="s">
        <v>276</v>
      </c>
      <c r="J6" s="192">
        <v>6947640</v>
      </c>
    </row>
    <row r="7" spans="1:10" x14ac:dyDescent="0.35">
      <c r="A7" s="10" t="s">
        <v>275</v>
      </c>
      <c r="B7" s="192">
        <v>17667096</v>
      </c>
      <c r="D7" s="10" t="s">
        <v>278</v>
      </c>
      <c r="E7" s="192">
        <v>18228720</v>
      </c>
      <c r="F7" s="191">
        <f t="shared" si="0"/>
        <v>-4164480</v>
      </c>
      <c r="I7" s="10" t="s">
        <v>192</v>
      </c>
      <c r="J7" s="192">
        <v>6816288</v>
      </c>
    </row>
    <row r="8" spans="1:10" x14ac:dyDescent="0.35">
      <c r="A8" s="10" t="s">
        <v>278</v>
      </c>
      <c r="B8" s="192">
        <v>14064240</v>
      </c>
      <c r="D8" s="10" t="s">
        <v>275</v>
      </c>
      <c r="E8" s="192">
        <v>17667096</v>
      </c>
      <c r="F8" s="191">
        <f t="shared" si="0"/>
        <v>0</v>
      </c>
      <c r="I8" s="10" t="s">
        <v>142</v>
      </c>
      <c r="J8" s="192">
        <v>4328712.0000000009</v>
      </c>
    </row>
    <row r="9" spans="1:10" x14ac:dyDescent="0.35">
      <c r="A9" s="10" t="s">
        <v>177</v>
      </c>
      <c r="B9" s="192">
        <v>10936800</v>
      </c>
      <c r="D9" s="10" t="s">
        <v>177</v>
      </c>
      <c r="E9" s="192">
        <v>10936800</v>
      </c>
      <c r="F9" s="191">
        <f t="shared" si="0"/>
        <v>0</v>
      </c>
      <c r="I9" s="10" t="s">
        <v>155</v>
      </c>
      <c r="J9" s="192">
        <v>4172558.3999999994</v>
      </c>
    </row>
    <row r="10" spans="1:10" x14ac:dyDescent="0.35">
      <c r="A10" s="10" t="s">
        <v>139</v>
      </c>
      <c r="B10" s="192">
        <v>10503912</v>
      </c>
      <c r="D10" s="10" t="s">
        <v>139</v>
      </c>
      <c r="E10" s="192">
        <v>10503912</v>
      </c>
      <c r="F10" s="191">
        <f t="shared" si="0"/>
        <v>0</v>
      </c>
      <c r="I10" s="10" t="s">
        <v>153</v>
      </c>
      <c r="J10" s="192">
        <v>4023792</v>
      </c>
    </row>
    <row r="11" spans="1:10" x14ac:dyDescent="0.35">
      <c r="A11" s="10" t="s">
        <v>149</v>
      </c>
      <c r="B11" s="192">
        <v>10322532</v>
      </c>
      <c r="D11" s="10" t="s">
        <v>149</v>
      </c>
      <c r="E11" s="192">
        <v>10322532</v>
      </c>
      <c r="F11" s="191">
        <f t="shared" si="0"/>
        <v>0</v>
      </c>
      <c r="I11" s="10" t="s">
        <v>174</v>
      </c>
      <c r="J11" s="192">
        <v>3723984</v>
      </c>
    </row>
    <row r="12" spans="1:10" x14ac:dyDescent="0.35">
      <c r="A12" s="10" t="s">
        <v>155</v>
      </c>
      <c r="B12" s="192">
        <v>10251227.211907368</v>
      </c>
      <c r="D12" s="10" t="s">
        <v>155</v>
      </c>
      <c r="E12" s="192">
        <v>10251227.211907368</v>
      </c>
      <c r="F12" s="191">
        <f t="shared" si="0"/>
        <v>0</v>
      </c>
      <c r="I12" s="10" t="s">
        <v>166</v>
      </c>
      <c r="J12" s="192">
        <v>3564576</v>
      </c>
    </row>
    <row r="13" spans="1:10" x14ac:dyDescent="0.35">
      <c r="A13" s="10" t="s">
        <v>173</v>
      </c>
      <c r="B13" s="192">
        <v>9729600</v>
      </c>
      <c r="D13" s="10" t="s">
        <v>173</v>
      </c>
      <c r="E13" s="192">
        <v>9729600</v>
      </c>
      <c r="F13" s="191">
        <f t="shared" si="0"/>
        <v>0</v>
      </c>
      <c r="I13" s="10" t="s">
        <v>162</v>
      </c>
      <c r="J13" s="192">
        <v>2870280</v>
      </c>
    </row>
    <row r="14" spans="1:10" x14ac:dyDescent="0.35">
      <c r="A14" s="10" t="s">
        <v>276</v>
      </c>
      <c r="B14" s="192">
        <v>9419086.0799999982</v>
      </c>
      <c r="D14" s="10" t="s">
        <v>276</v>
      </c>
      <c r="E14" s="192">
        <v>9419086.0799999982</v>
      </c>
      <c r="F14" s="191">
        <f t="shared" si="0"/>
        <v>0</v>
      </c>
      <c r="I14" s="10" t="s">
        <v>270</v>
      </c>
      <c r="J14" s="192">
        <v>2588496</v>
      </c>
    </row>
    <row r="15" spans="1:10" x14ac:dyDescent="0.35">
      <c r="A15" s="10" t="s">
        <v>192</v>
      </c>
      <c r="B15" s="192">
        <v>6816288</v>
      </c>
      <c r="D15" s="10" t="s">
        <v>192</v>
      </c>
      <c r="E15" s="192">
        <v>6816288</v>
      </c>
      <c r="F15" s="191">
        <f t="shared" si="0"/>
        <v>0</v>
      </c>
      <c r="I15" s="10" t="s">
        <v>139</v>
      </c>
      <c r="J15" s="192">
        <v>2474352</v>
      </c>
    </row>
    <row r="16" spans="1:10" x14ac:dyDescent="0.35">
      <c r="A16" s="10" t="s">
        <v>143</v>
      </c>
      <c r="B16" s="192">
        <v>5904326.4000000004</v>
      </c>
      <c r="D16" s="10" t="s">
        <v>143</v>
      </c>
      <c r="E16" s="192">
        <v>5904326.4000000004</v>
      </c>
      <c r="F16" s="191">
        <f t="shared" si="0"/>
        <v>0</v>
      </c>
      <c r="I16" s="10" t="s">
        <v>208</v>
      </c>
      <c r="J16" s="192">
        <v>2461104</v>
      </c>
    </row>
    <row r="17" spans="1:10" x14ac:dyDescent="0.35">
      <c r="A17" s="10" t="s">
        <v>273</v>
      </c>
      <c r="B17" s="192">
        <v>5312451.5244240314</v>
      </c>
      <c r="D17" s="10" t="s">
        <v>273</v>
      </c>
      <c r="E17" s="192">
        <v>5312451.5244240314</v>
      </c>
      <c r="F17" s="191">
        <f t="shared" si="0"/>
        <v>0</v>
      </c>
      <c r="I17" s="10" t="s">
        <v>234</v>
      </c>
      <c r="J17" s="192">
        <v>1358534.4</v>
      </c>
    </row>
    <row r="18" spans="1:10" x14ac:dyDescent="0.35">
      <c r="A18" s="10" t="s">
        <v>165</v>
      </c>
      <c r="B18" s="192">
        <v>4794336</v>
      </c>
      <c r="D18" s="10" t="s">
        <v>165</v>
      </c>
      <c r="E18" s="192">
        <v>4794336</v>
      </c>
      <c r="F18" s="191">
        <f t="shared" si="0"/>
        <v>0</v>
      </c>
      <c r="I18" s="10" t="s">
        <v>213</v>
      </c>
      <c r="J18" s="192">
        <v>807000</v>
      </c>
    </row>
    <row r="19" spans="1:10" x14ac:dyDescent="0.35">
      <c r="A19" s="10" t="s">
        <v>159</v>
      </c>
      <c r="B19" s="192">
        <v>4074168</v>
      </c>
      <c r="D19" s="10" t="s">
        <v>159</v>
      </c>
      <c r="E19" s="192">
        <v>4074168</v>
      </c>
      <c r="F19" s="191">
        <f t="shared" si="0"/>
        <v>0</v>
      </c>
      <c r="I19" s="10" t="s">
        <v>152</v>
      </c>
      <c r="J19" s="192">
        <v>591602.40000000037</v>
      </c>
    </row>
    <row r="20" spans="1:10" x14ac:dyDescent="0.35">
      <c r="A20" s="10" t="s">
        <v>153</v>
      </c>
      <c r="B20" s="192">
        <v>4023792</v>
      </c>
      <c r="D20" s="10" t="s">
        <v>153</v>
      </c>
      <c r="E20" s="192">
        <v>4023792</v>
      </c>
      <c r="F20" s="191">
        <f t="shared" si="0"/>
        <v>0</v>
      </c>
      <c r="I20" s="10" t="s">
        <v>169</v>
      </c>
      <c r="J20" s="192">
        <v>360840</v>
      </c>
    </row>
    <row r="21" spans="1:10" x14ac:dyDescent="0.35">
      <c r="A21" s="10" t="s">
        <v>184</v>
      </c>
      <c r="B21" s="192">
        <v>3630957.6</v>
      </c>
      <c r="D21" s="10" t="s">
        <v>184</v>
      </c>
      <c r="E21" s="192">
        <v>3630957.6</v>
      </c>
      <c r="F21" s="191">
        <f t="shared" si="0"/>
        <v>0</v>
      </c>
      <c r="I21" s="10" t="s">
        <v>159</v>
      </c>
      <c r="J21" s="192">
        <v>338544</v>
      </c>
    </row>
    <row r="22" spans="1:10" x14ac:dyDescent="0.35">
      <c r="A22" s="10" t="s">
        <v>166</v>
      </c>
      <c r="B22" s="192">
        <v>3564576</v>
      </c>
      <c r="D22" s="10" t="s">
        <v>166</v>
      </c>
      <c r="E22" s="192">
        <v>3564576</v>
      </c>
      <c r="F22" s="191">
        <f t="shared" si="0"/>
        <v>0</v>
      </c>
      <c r="I22" s="10" t="s">
        <v>183</v>
      </c>
      <c r="J22" s="192">
        <v>111600</v>
      </c>
    </row>
    <row r="23" spans="1:10" x14ac:dyDescent="0.35">
      <c r="A23" s="10" t="s">
        <v>204</v>
      </c>
      <c r="B23" s="192">
        <v>3426696</v>
      </c>
      <c r="D23" s="10" t="s">
        <v>204</v>
      </c>
      <c r="E23" s="192">
        <v>3426696</v>
      </c>
      <c r="F23" s="191">
        <f t="shared" si="0"/>
        <v>0</v>
      </c>
      <c r="I23" s="10" t="s">
        <v>157</v>
      </c>
      <c r="J23" s="192">
        <v>95040</v>
      </c>
    </row>
    <row r="24" spans="1:10" x14ac:dyDescent="0.35">
      <c r="A24" s="10" t="s">
        <v>213</v>
      </c>
      <c r="B24" s="192">
        <v>3409416</v>
      </c>
      <c r="D24" s="10" t="s">
        <v>213</v>
      </c>
      <c r="E24" s="192">
        <v>3409416</v>
      </c>
      <c r="F24" s="191">
        <f t="shared" si="0"/>
        <v>0</v>
      </c>
      <c r="I24" s="10" t="s">
        <v>178</v>
      </c>
      <c r="J24" s="192">
        <v>86544</v>
      </c>
    </row>
    <row r="25" spans="1:10" x14ac:dyDescent="0.35">
      <c r="A25" s="10" t="s">
        <v>162</v>
      </c>
      <c r="B25" s="192">
        <v>2876419.645673342</v>
      </c>
      <c r="D25" s="10" t="s">
        <v>162</v>
      </c>
      <c r="E25" s="192">
        <v>2876419.645673342</v>
      </c>
      <c r="F25" s="191">
        <f t="shared" si="0"/>
        <v>0</v>
      </c>
      <c r="I25" s="10" t="s">
        <v>189</v>
      </c>
      <c r="J25" s="192">
        <v>75456</v>
      </c>
    </row>
    <row r="26" spans="1:10" x14ac:dyDescent="0.35">
      <c r="A26" s="10" t="s">
        <v>238</v>
      </c>
      <c r="B26" s="192">
        <v>2714112</v>
      </c>
      <c r="D26" s="10" t="s">
        <v>238</v>
      </c>
      <c r="E26" s="192">
        <v>2714112</v>
      </c>
      <c r="F26" s="191">
        <f t="shared" si="0"/>
        <v>0</v>
      </c>
      <c r="I26" s="10" t="s">
        <v>275</v>
      </c>
      <c r="J26" s="192">
        <v>55800</v>
      </c>
    </row>
    <row r="27" spans="1:10" x14ac:dyDescent="0.35">
      <c r="A27" s="10" t="s">
        <v>185</v>
      </c>
      <c r="B27" s="192">
        <v>2685120</v>
      </c>
      <c r="D27" s="10" t="s">
        <v>185</v>
      </c>
      <c r="E27" s="192">
        <v>2685120</v>
      </c>
      <c r="F27" s="191">
        <f t="shared" si="0"/>
        <v>0</v>
      </c>
      <c r="I27" s="10" t="s">
        <v>187</v>
      </c>
      <c r="J27" s="192">
        <v>42408</v>
      </c>
    </row>
    <row r="28" spans="1:10" x14ac:dyDescent="0.35">
      <c r="A28" s="10" t="s">
        <v>270</v>
      </c>
      <c r="B28" s="192">
        <v>2588496</v>
      </c>
      <c r="D28" s="10" t="s">
        <v>270</v>
      </c>
      <c r="E28" s="192">
        <v>2588496</v>
      </c>
      <c r="F28" s="191">
        <f t="shared" si="0"/>
        <v>0</v>
      </c>
      <c r="I28" s="10" t="s">
        <v>220</v>
      </c>
      <c r="J28" s="192">
        <v>0</v>
      </c>
    </row>
    <row r="29" spans="1:10" x14ac:dyDescent="0.35">
      <c r="A29" s="10" t="s">
        <v>208</v>
      </c>
      <c r="B29" s="192">
        <v>2461104</v>
      </c>
      <c r="D29" s="10" t="s">
        <v>208</v>
      </c>
      <c r="E29" s="192">
        <v>2461104</v>
      </c>
      <c r="F29" s="191">
        <f t="shared" si="0"/>
        <v>0</v>
      </c>
      <c r="I29" s="10" t="s">
        <v>243</v>
      </c>
      <c r="J29" s="192">
        <v>0</v>
      </c>
    </row>
    <row r="30" spans="1:10" x14ac:dyDescent="0.35">
      <c r="A30" s="10" t="s">
        <v>158</v>
      </c>
      <c r="B30" s="192">
        <v>1998180</v>
      </c>
      <c r="D30" s="10" t="s">
        <v>158</v>
      </c>
      <c r="E30" s="192">
        <v>1998180</v>
      </c>
      <c r="F30" s="191">
        <f t="shared" si="0"/>
        <v>0</v>
      </c>
      <c r="I30" s="10" t="s">
        <v>186</v>
      </c>
      <c r="J30" s="192">
        <v>0</v>
      </c>
    </row>
    <row r="31" spans="1:10" x14ac:dyDescent="0.35">
      <c r="A31" s="10" t="s">
        <v>271</v>
      </c>
      <c r="B31" s="192">
        <v>1813200</v>
      </c>
      <c r="D31" s="10" t="s">
        <v>271</v>
      </c>
      <c r="E31" s="192">
        <v>1813200</v>
      </c>
      <c r="F31" s="191">
        <f t="shared" si="0"/>
        <v>0</v>
      </c>
      <c r="I31" s="10" t="s">
        <v>202</v>
      </c>
      <c r="J31" s="192">
        <v>0</v>
      </c>
    </row>
    <row r="32" spans="1:10" x14ac:dyDescent="0.35">
      <c r="A32" s="10" t="s">
        <v>174</v>
      </c>
      <c r="B32" s="192">
        <v>1704024</v>
      </c>
      <c r="D32" s="10" t="s">
        <v>174</v>
      </c>
      <c r="E32" s="192">
        <v>1704024</v>
      </c>
      <c r="F32" s="191">
        <f t="shared" si="0"/>
        <v>0</v>
      </c>
      <c r="I32" s="10" t="s">
        <v>188</v>
      </c>
      <c r="J32" s="192">
        <v>0</v>
      </c>
    </row>
    <row r="33" spans="1:10" x14ac:dyDescent="0.35">
      <c r="A33" s="10" t="s">
        <v>234</v>
      </c>
      <c r="B33" s="192">
        <v>1358534.4</v>
      </c>
      <c r="D33" s="10" t="s">
        <v>234</v>
      </c>
      <c r="E33" s="192">
        <v>1358534.4</v>
      </c>
      <c r="F33" s="191">
        <f t="shared" si="0"/>
        <v>0</v>
      </c>
      <c r="I33" s="10" t="s">
        <v>185</v>
      </c>
      <c r="J33" s="192">
        <v>0</v>
      </c>
    </row>
    <row r="34" spans="1:10" x14ac:dyDescent="0.35">
      <c r="A34" s="10" t="s">
        <v>171</v>
      </c>
      <c r="B34" s="192">
        <v>1282692.7157894738</v>
      </c>
      <c r="D34" s="10" t="s">
        <v>171</v>
      </c>
      <c r="E34" s="192">
        <v>1282692.7157894738</v>
      </c>
      <c r="F34" s="191">
        <f t="shared" si="0"/>
        <v>0</v>
      </c>
      <c r="I34" s="10" t="s">
        <v>175</v>
      </c>
      <c r="J34" s="192">
        <v>0</v>
      </c>
    </row>
    <row r="35" spans="1:10" x14ac:dyDescent="0.35">
      <c r="A35" s="10" t="s">
        <v>179</v>
      </c>
      <c r="B35" s="192">
        <v>811416</v>
      </c>
      <c r="D35" s="10" t="s">
        <v>179</v>
      </c>
      <c r="E35" s="192">
        <v>811416</v>
      </c>
      <c r="F35" s="191">
        <f t="shared" si="0"/>
        <v>0</v>
      </c>
      <c r="I35" s="10" t="s">
        <v>233</v>
      </c>
      <c r="J35" s="192">
        <v>0</v>
      </c>
    </row>
    <row r="36" spans="1:10" x14ac:dyDescent="0.35">
      <c r="A36" s="10" t="s">
        <v>152</v>
      </c>
      <c r="B36" s="192">
        <v>591602.40000000037</v>
      </c>
      <c r="D36" s="10" t="s">
        <v>152</v>
      </c>
      <c r="E36" s="192">
        <v>591602.40000000037</v>
      </c>
      <c r="F36" s="191">
        <f t="shared" si="0"/>
        <v>0</v>
      </c>
      <c r="I36" s="10" t="s">
        <v>206</v>
      </c>
      <c r="J36" s="192">
        <v>0</v>
      </c>
    </row>
    <row r="37" spans="1:10" x14ac:dyDescent="0.35">
      <c r="A37" s="10" t="s">
        <v>193</v>
      </c>
      <c r="B37" s="192">
        <v>231409.44</v>
      </c>
      <c r="D37" s="10" t="s">
        <v>193</v>
      </c>
      <c r="E37" s="192">
        <v>231409.44</v>
      </c>
      <c r="F37" s="191">
        <f t="shared" si="0"/>
        <v>0</v>
      </c>
      <c r="I37" s="10" t="s">
        <v>150</v>
      </c>
      <c r="J37" s="192">
        <v>0</v>
      </c>
    </row>
    <row r="38" spans="1:10" x14ac:dyDescent="0.35">
      <c r="A38" s="10" t="s">
        <v>157</v>
      </c>
      <c r="B38" s="192">
        <v>95040</v>
      </c>
      <c r="D38" s="10" t="s">
        <v>157</v>
      </c>
      <c r="E38" s="192">
        <v>95040</v>
      </c>
      <c r="F38" s="191">
        <f t="shared" si="0"/>
        <v>0</v>
      </c>
      <c r="I38" s="10" t="s">
        <v>214</v>
      </c>
      <c r="J38" s="192">
        <v>0</v>
      </c>
    </row>
    <row r="39" spans="1:10" x14ac:dyDescent="0.35">
      <c r="A39" s="10" t="s">
        <v>189</v>
      </c>
      <c r="B39" s="192">
        <v>75456</v>
      </c>
      <c r="D39" s="10" t="s">
        <v>189</v>
      </c>
      <c r="E39" s="192">
        <v>75456</v>
      </c>
      <c r="F39" s="191">
        <f t="shared" si="0"/>
        <v>0</v>
      </c>
      <c r="I39" s="10" t="s">
        <v>273</v>
      </c>
      <c r="J39" s="192">
        <v>0</v>
      </c>
    </row>
    <row r="40" spans="1:10" x14ac:dyDescent="0.35">
      <c r="A40" s="10" t="s">
        <v>187</v>
      </c>
      <c r="B40" s="192">
        <v>54684</v>
      </c>
      <c r="D40" s="10" t="s">
        <v>187</v>
      </c>
      <c r="E40" s="192">
        <v>54684</v>
      </c>
      <c r="F40" s="191">
        <f t="shared" si="0"/>
        <v>0</v>
      </c>
      <c r="I40" s="10" t="s">
        <v>228</v>
      </c>
      <c r="J40" s="192">
        <v>0</v>
      </c>
    </row>
    <row r="41" spans="1:10" x14ac:dyDescent="0.35">
      <c r="A41" s="10" t="s">
        <v>220</v>
      </c>
      <c r="B41" s="192">
        <v>0</v>
      </c>
      <c r="D41" s="10" t="s">
        <v>220</v>
      </c>
      <c r="E41" s="192">
        <v>0</v>
      </c>
      <c r="F41" s="191">
        <f t="shared" si="0"/>
        <v>0</v>
      </c>
      <c r="I41" s="10" t="s">
        <v>194</v>
      </c>
      <c r="J41" s="192">
        <v>0</v>
      </c>
    </row>
    <row r="42" spans="1:10" x14ac:dyDescent="0.35">
      <c r="A42" s="10" t="s">
        <v>186</v>
      </c>
      <c r="B42" s="192">
        <v>0</v>
      </c>
      <c r="D42" s="10" t="s">
        <v>186</v>
      </c>
      <c r="E42" s="192">
        <v>0</v>
      </c>
      <c r="F42" s="191">
        <f t="shared" si="0"/>
        <v>0</v>
      </c>
      <c r="I42" s="10" t="s">
        <v>230</v>
      </c>
      <c r="J42" s="192">
        <v>0</v>
      </c>
    </row>
    <row r="43" spans="1:10" x14ac:dyDescent="0.35">
      <c r="A43" s="10" t="s">
        <v>202</v>
      </c>
      <c r="B43" s="192">
        <v>0</v>
      </c>
      <c r="D43" s="10" t="s">
        <v>202</v>
      </c>
      <c r="E43" s="192">
        <v>0</v>
      </c>
      <c r="F43" s="191">
        <f t="shared" si="0"/>
        <v>0</v>
      </c>
      <c r="I43" s="10" t="s">
        <v>227</v>
      </c>
      <c r="J43" s="192">
        <v>0</v>
      </c>
    </row>
    <row r="44" spans="1:10" x14ac:dyDescent="0.35">
      <c r="A44" s="10" t="s">
        <v>175</v>
      </c>
      <c r="B44" s="192">
        <v>0</v>
      </c>
      <c r="D44" s="10" t="s">
        <v>175</v>
      </c>
      <c r="E44" s="192">
        <v>0</v>
      </c>
      <c r="F44" s="191">
        <f t="shared" si="0"/>
        <v>0</v>
      </c>
      <c r="I44" s="10" t="s">
        <v>212</v>
      </c>
      <c r="J44" s="192">
        <v>0</v>
      </c>
    </row>
    <row r="45" spans="1:10" x14ac:dyDescent="0.35">
      <c r="A45" s="10" t="s">
        <v>233</v>
      </c>
      <c r="B45" s="192">
        <v>0</v>
      </c>
      <c r="D45" s="10" t="s">
        <v>233</v>
      </c>
      <c r="E45" s="192">
        <v>0</v>
      </c>
      <c r="F45" s="191">
        <f t="shared" si="0"/>
        <v>0</v>
      </c>
      <c r="I45" s="10" t="s">
        <v>211</v>
      </c>
      <c r="J45" s="192">
        <v>0</v>
      </c>
    </row>
    <row r="46" spans="1:10" x14ac:dyDescent="0.35">
      <c r="A46" s="10" t="s">
        <v>206</v>
      </c>
      <c r="B46" s="192">
        <v>0</v>
      </c>
      <c r="D46" s="10" t="s">
        <v>206</v>
      </c>
      <c r="E46" s="192">
        <v>0</v>
      </c>
      <c r="F46" s="191">
        <f t="shared" si="0"/>
        <v>0</v>
      </c>
      <c r="I46" s="10" t="s">
        <v>239</v>
      </c>
      <c r="J46" s="192">
        <v>0</v>
      </c>
    </row>
    <row r="47" spans="1:10" x14ac:dyDescent="0.35">
      <c r="A47" s="10" t="s">
        <v>150</v>
      </c>
      <c r="B47" s="192">
        <v>0</v>
      </c>
      <c r="D47" s="10" t="s">
        <v>150</v>
      </c>
      <c r="E47" s="192">
        <v>0</v>
      </c>
      <c r="F47" s="191">
        <f t="shared" si="0"/>
        <v>0</v>
      </c>
      <c r="I47" s="10" t="s">
        <v>200</v>
      </c>
      <c r="J47" s="192">
        <v>0</v>
      </c>
    </row>
    <row r="48" spans="1:10" x14ac:dyDescent="0.35">
      <c r="A48" s="10" t="s">
        <v>228</v>
      </c>
      <c r="B48" s="192">
        <v>0</v>
      </c>
      <c r="D48" s="10" t="s">
        <v>228</v>
      </c>
      <c r="E48" s="192">
        <v>0</v>
      </c>
      <c r="F48" s="191">
        <f t="shared" si="0"/>
        <v>0</v>
      </c>
      <c r="I48" s="10" t="s">
        <v>223</v>
      </c>
      <c r="J48" s="192">
        <v>0</v>
      </c>
    </row>
    <row r="49" spans="1:10" x14ac:dyDescent="0.35">
      <c r="A49" s="10" t="s">
        <v>194</v>
      </c>
      <c r="B49" s="192">
        <v>0</v>
      </c>
      <c r="D49" s="10" t="s">
        <v>194</v>
      </c>
      <c r="E49" s="192">
        <v>0</v>
      </c>
      <c r="F49" s="191">
        <f t="shared" si="0"/>
        <v>0</v>
      </c>
      <c r="I49" s="10" t="s">
        <v>172</v>
      </c>
      <c r="J49" s="192">
        <v>0</v>
      </c>
    </row>
    <row r="50" spans="1:10" x14ac:dyDescent="0.35">
      <c r="A50" s="10" t="s">
        <v>230</v>
      </c>
      <c r="B50" s="192">
        <v>0</v>
      </c>
      <c r="D50" s="10" t="s">
        <v>230</v>
      </c>
      <c r="E50" s="192">
        <v>0</v>
      </c>
      <c r="F50" s="191">
        <f t="shared" si="0"/>
        <v>0</v>
      </c>
      <c r="I50" s="10" t="s">
        <v>191</v>
      </c>
      <c r="J50" s="192">
        <v>0</v>
      </c>
    </row>
    <row r="51" spans="1:10" x14ac:dyDescent="0.35">
      <c r="A51" s="10" t="s">
        <v>227</v>
      </c>
      <c r="B51" s="192">
        <v>0</v>
      </c>
      <c r="D51" s="10" t="s">
        <v>227</v>
      </c>
      <c r="E51" s="192">
        <v>0</v>
      </c>
      <c r="F51" s="191">
        <f t="shared" si="0"/>
        <v>0</v>
      </c>
      <c r="I51" s="10" t="s">
        <v>240</v>
      </c>
      <c r="J51" s="192">
        <v>0</v>
      </c>
    </row>
    <row r="52" spans="1:10" x14ac:dyDescent="0.35">
      <c r="A52" s="10" t="s">
        <v>212</v>
      </c>
      <c r="B52" s="192">
        <v>0</v>
      </c>
      <c r="D52" s="10" t="s">
        <v>212</v>
      </c>
      <c r="E52" s="192">
        <v>0</v>
      </c>
      <c r="F52" s="191">
        <f t="shared" si="0"/>
        <v>0</v>
      </c>
      <c r="I52" s="10" t="s">
        <v>203</v>
      </c>
      <c r="J52" s="192">
        <v>0</v>
      </c>
    </row>
    <row r="53" spans="1:10" x14ac:dyDescent="0.35">
      <c r="A53" s="10" t="s">
        <v>211</v>
      </c>
      <c r="B53" s="192">
        <v>0</v>
      </c>
      <c r="D53" s="10" t="s">
        <v>211</v>
      </c>
      <c r="E53" s="192">
        <v>0</v>
      </c>
      <c r="F53" s="191">
        <f t="shared" si="0"/>
        <v>0</v>
      </c>
      <c r="I53" s="10" t="s">
        <v>217</v>
      </c>
      <c r="J53" s="192">
        <v>0</v>
      </c>
    </row>
    <row r="54" spans="1:10" x14ac:dyDescent="0.35">
      <c r="A54" s="10" t="s">
        <v>239</v>
      </c>
      <c r="B54" s="192">
        <v>0</v>
      </c>
      <c r="D54" s="10" t="s">
        <v>239</v>
      </c>
      <c r="E54" s="192">
        <v>0</v>
      </c>
      <c r="F54" s="191">
        <f t="shared" si="0"/>
        <v>0</v>
      </c>
      <c r="I54" s="10" t="s">
        <v>158</v>
      </c>
      <c r="J54" s="192">
        <v>0</v>
      </c>
    </row>
    <row r="55" spans="1:10" x14ac:dyDescent="0.35">
      <c r="A55" s="10" t="s">
        <v>200</v>
      </c>
      <c r="B55" s="192">
        <v>0</v>
      </c>
      <c r="D55" s="10" t="s">
        <v>200</v>
      </c>
      <c r="E55" s="192">
        <v>0</v>
      </c>
      <c r="F55" s="191">
        <f t="shared" si="0"/>
        <v>0</v>
      </c>
      <c r="I55" s="10" t="s">
        <v>210</v>
      </c>
      <c r="J55" s="192">
        <v>0</v>
      </c>
    </row>
    <row r="56" spans="1:10" x14ac:dyDescent="0.35">
      <c r="A56" s="10" t="s">
        <v>223</v>
      </c>
      <c r="B56" s="192">
        <v>0</v>
      </c>
      <c r="D56" s="10" t="s">
        <v>223</v>
      </c>
      <c r="E56" s="192">
        <v>0</v>
      </c>
      <c r="F56" s="191">
        <f t="shared" si="0"/>
        <v>0</v>
      </c>
      <c r="I56" s="10" t="s">
        <v>218</v>
      </c>
      <c r="J56" s="192">
        <v>0</v>
      </c>
    </row>
    <row r="57" spans="1:10" x14ac:dyDescent="0.35">
      <c r="A57" s="10" t="s">
        <v>240</v>
      </c>
      <c r="B57" s="192">
        <v>0</v>
      </c>
      <c r="D57" s="10" t="s">
        <v>240</v>
      </c>
      <c r="E57" s="192">
        <v>0</v>
      </c>
      <c r="F57" s="191">
        <f t="shared" si="0"/>
        <v>0</v>
      </c>
      <c r="I57" s="10" t="s">
        <v>229</v>
      </c>
      <c r="J57" s="192">
        <v>0</v>
      </c>
    </row>
    <row r="58" spans="1:10" x14ac:dyDescent="0.35">
      <c r="A58" s="10" t="s">
        <v>203</v>
      </c>
      <c r="B58" s="192">
        <v>0</v>
      </c>
      <c r="D58" s="10" t="s">
        <v>203</v>
      </c>
      <c r="E58" s="192">
        <v>0</v>
      </c>
      <c r="F58" s="191">
        <f t="shared" si="0"/>
        <v>0</v>
      </c>
      <c r="I58" s="10" t="s">
        <v>244</v>
      </c>
      <c r="J58" s="192">
        <v>0</v>
      </c>
    </row>
    <row r="59" spans="1:10" x14ac:dyDescent="0.35">
      <c r="A59" s="10" t="s">
        <v>217</v>
      </c>
      <c r="B59" s="192">
        <v>0</v>
      </c>
      <c r="D59" s="10" t="s">
        <v>217</v>
      </c>
      <c r="E59" s="192">
        <v>0</v>
      </c>
      <c r="F59" s="191">
        <f t="shared" si="0"/>
        <v>0</v>
      </c>
      <c r="I59" s="10" t="s">
        <v>224</v>
      </c>
      <c r="J59" s="192">
        <v>0</v>
      </c>
    </row>
    <row r="60" spans="1:10" x14ac:dyDescent="0.35">
      <c r="A60" s="10" t="s">
        <v>218</v>
      </c>
      <c r="B60" s="192">
        <v>0</v>
      </c>
      <c r="D60" s="10" t="s">
        <v>218</v>
      </c>
      <c r="E60" s="192">
        <v>0</v>
      </c>
      <c r="F60" s="191">
        <f t="shared" si="0"/>
        <v>0</v>
      </c>
      <c r="I60" s="10" t="s">
        <v>226</v>
      </c>
      <c r="J60" s="192">
        <v>0</v>
      </c>
    </row>
    <row r="61" spans="1:10" x14ac:dyDescent="0.35">
      <c r="A61" s="10" t="s">
        <v>229</v>
      </c>
      <c r="B61" s="192">
        <v>0</v>
      </c>
      <c r="D61" s="10" t="s">
        <v>229</v>
      </c>
      <c r="E61" s="192">
        <v>0</v>
      </c>
      <c r="F61" s="191">
        <f t="shared" si="0"/>
        <v>0</v>
      </c>
      <c r="I61" s="10" t="s">
        <v>143</v>
      </c>
      <c r="J61" s="192">
        <v>0</v>
      </c>
    </row>
    <row r="62" spans="1:10" x14ac:dyDescent="0.35">
      <c r="A62" s="10" t="s">
        <v>244</v>
      </c>
      <c r="B62" s="192">
        <v>0</v>
      </c>
      <c r="D62" s="10" t="s">
        <v>244</v>
      </c>
      <c r="E62" s="192">
        <v>0</v>
      </c>
      <c r="F62" s="191">
        <f t="shared" si="0"/>
        <v>0</v>
      </c>
      <c r="I62" s="10" t="s">
        <v>182</v>
      </c>
      <c r="J62" s="192">
        <v>0</v>
      </c>
    </row>
    <row r="63" spans="1:10" x14ac:dyDescent="0.35">
      <c r="A63" s="10" t="s">
        <v>224</v>
      </c>
      <c r="B63" s="192">
        <v>0</v>
      </c>
      <c r="D63" s="10" t="s">
        <v>224</v>
      </c>
      <c r="E63" s="192">
        <v>0</v>
      </c>
      <c r="F63" s="191">
        <f t="shared" si="0"/>
        <v>0</v>
      </c>
      <c r="I63" s="10" t="s">
        <v>216</v>
      </c>
      <c r="J63" s="192">
        <v>0</v>
      </c>
    </row>
    <row r="64" spans="1:10" x14ac:dyDescent="0.35">
      <c r="A64" s="10" t="s">
        <v>226</v>
      </c>
      <c r="B64" s="192">
        <v>0</v>
      </c>
      <c r="D64" s="10" t="s">
        <v>226</v>
      </c>
      <c r="E64" s="192">
        <v>0</v>
      </c>
      <c r="F64" s="191">
        <f t="shared" si="0"/>
        <v>0</v>
      </c>
      <c r="I64" s="10" t="s">
        <v>245</v>
      </c>
      <c r="J64" s="192">
        <v>0</v>
      </c>
    </row>
    <row r="65" spans="1:10" x14ac:dyDescent="0.35">
      <c r="A65" s="10" t="s">
        <v>182</v>
      </c>
      <c r="B65" s="192">
        <v>0</v>
      </c>
      <c r="D65" s="10" t="s">
        <v>182</v>
      </c>
      <c r="E65" s="192">
        <v>0</v>
      </c>
      <c r="F65" s="191">
        <f t="shared" si="0"/>
        <v>0</v>
      </c>
      <c r="I65" s="10" t="s">
        <v>164</v>
      </c>
      <c r="J65" s="192">
        <v>0</v>
      </c>
    </row>
    <row r="66" spans="1:10" x14ac:dyDescent="0.35">
      <c r="A66" s="10" t="s">
        <v>216</v>
      </c>
      <c r="B66" s="192">
        <v>0</v>
      </c>
      <c r="D66" s="10" t="s">
        <v>216</v>
      </c>
      <c r="E66" s="192">
        <v>0</v>
      </c>
      <c r="F66" s="191">
        <f t="shared" si="0"/>
        <v>0</v>
      </c>
      <c r="I66" s="10" t="s">
        <v>199</v>
      </c>
      <c r="J66" s="192">
        <v>0</v>
      </c>
    </row>
    <row r="67" spans="1:10" x14ac:dyDescent="0.35">
      <c r="A67" s="10" t="s">
        <v>164</v>
      </c>
      <c r="B67" s="192">
        <v>0</v>
      </c>
      <c r="D67" s="10" t="s">
        <v>164</v>
      </c>
      <c r="E67" s="192">
        <v>0</v>
      </c>
      <c r="F67" s="191">
        <f t="shared" ref="F67:F97" si="1">VLOOKUP(D67,$A$2:$B$97,2,0)-E67</f>
        <v>0</v>
      </c>
      <c r="I67" s="10" t="s">
        <v>149</v>
      </c>
      <c r="J67" s="192">
        <v>0</v>
      </c>
    </row>
    <row r="68" spans="1:10" x14ac:dyDescent="0.35">
      <c r="A68" s="10" t="s">
        <v>199</v>
      </c>
      <c r="B68" s="192">
        <v>0</v>
      </c>
      <c r="D68" s="10" t="s">
        <v>199</v>
      </c>
      <c r="E68" s="192">
        <v>0</v>
      </c>
      <c r="F68" s="191">
        <f t="shared" si="1"/>
        <v>0</v>
      </c>
      <c r="I68" s="10" t="s">
        <v>170</v>
      </c>
      <c r="J68" s="192">
        <v>0</v>
      </c>
    </row>
    <row r="69" spans="1:10" x14ac:dyDescent="0.35">
      <c r="A69" s="10" t="s">
        <v>170</v>
      </c>
      <c r="B69" s="192">
        <v>0</v>
      </c>
      <c r="D69" s="10" t="s">
        <v>170</v>
      </c>
      <c r="E69" s="192">
        <v>0</v>
      </c>
      <c r="F69" s="191">
        <f t="shared" si="1"/>
        <v>0</v>
      </c>
      <c r="I69" s="10" t="s">
        <v>204</v>
      </c>
      <c r="J69" s="192">
        <v>0</v>
      </c>
    </row>
    <row r="70" spans="1:10" x14ac:dyDescent="0.35">
      <c r="A70" s="10" t="s">
        <v>215</v>
      </c>
      <c r="B70" s="192">
        <v>0</v>
      </c>
      <c r="D70" s="10" t="s">
        <v>215</v>
      </c>
      <c r="E70" s="192">
        <v>0</v>
      </c>
      <c r="F70" s="191">
        <f t="shared" si="1"/>
        <v>0</v>
      </c>
      <c r="I70" s="10" t="s">
        <v>177</v>
      </c>
      <c r="J70" s="192">
        <v>0</v>
      </c>
    </row>
    <row r="71" spans="1:10" x14ac:dyDescent="0.35">
      <c r="A71" s="10" t="s">
        <v>167</v>
      </c>
      <c r="B71" s="192">
        <v>0</v>
      </c>
      <c r="D71" s="10" t="s">
        <v>167</v>
      </c>
      <c r="E71" s="192">
        <v>0</v>
      </c>
      <c r="F71" s="191">
        <f t="shared" si="1"/>
        <v>0</v>
      </c>
      <c r="I71" s="10" t="s">
        <v>215</v>
      </c>
      <c r="J71" s="192">
        <v>0</v>
      </c>
    </row>
    <row r="72" spans="1:10" x14ac:dyDescent="0.35">
      <c r="A72" s="10" t="s">
        <v>178</v>
      </c>
      <c r="B72" s="192">
        <v>-1776</v>
      </c>
      <c r="D72" s="10" t="s">
        <v>178</v>
      </c>
      <c r="E72" s="192">
        <v>-1776</v>
      </c>
      <c r="F72" s="191">
        <f t="shared" si="1"/>
        <v>0</v>
      </c>
      <c r="I72" s="10" t="s">
        <v>179</v>
      </c>
      <c r="J72" s="192">
        <v>0</v>
      </c>
    </row>
    <row r="73" spans="1:10" x14ac:dyDescent="0.35">
      <c r="A73" s="10" t="s">
        <v>245</v>
      </c>
      <c r="B73" s="192">
        <v>-24924</v>
      </c>
      <c r="D73" s="10" t="s">
        <v>245</v>
      </c>
      <c r="E73" s="192">
        <v>-24924</v>
      </c>
      <c r="F73" s="191">
        <f t="shared" si="1"/>
        <v>0</v>
      </c>
      <c r="I73" s="10" t="s">
        <v>165</v>
      </c>
      <c r="J73" s="192">
        <v>0</v>
      </c>
    </row>
    <row r="74" spans="1:10" x14ac:dyDescent="0.35">
      <c r="A74" s="10" t="s">
        <v>248</v>
      </c>
      <c r="B74" s="192">
        <v>-29016</v>
      </c>
      <c r="D74" s="10" t="s">
        <v>248</v>
      </c>
      <c r="E74" s="192">
        <v>-29016</v>
      </c>
      <c r="F74" s="191">
        <f t="shared" si="1"/>
        <v>0</v>
      </c>
      <c r="I74" s="10" t="s">
        <v>201</v>
      </c>
      <c r="J74" s="192">
        <v>0</v>
      </c>
    </row>
    <row r="75" spans="1:10" x14ac:dyDescent="0.35">
      <c r="A75" s="10" t="s">
        <v>205</v>
      </c>
      <c r="B75" s="192">
        <v>-41664</v>
      </c>
      <c r="D75" s="10" t="s">
        <v>205</v>
      </c>
      <c r="E75" s="192">
        <v>-41664</v>
      </c>
      <c r="F75" s="191">
        <f t="shared" si="1"/>
        <v>0</v>
      </c>
      <c r="I75" s="10" t="s">
        <v>167</v>
      </c>
      <c r="J75" s="192">
        <v>0</v>
      </c>
    </row>
    <row r="76" spans="1:10" x14ac:dyDescent="0.35">
      <c r="A76" s="10" t="s">
        <v>207</v>
      </c>
      <c r="B76" s="192">
        <v>-42027.368421052568</v>
      </c>
      <c r="D76" s="10" t="s">
        <v>207</v>
      </c>
      <c r="E76" s="192">
        <v>-42027.368421052568</v>
      </c>
      <c r="F76" s="191">
        <f t="shared" si="1"/>
        <v>0</v>
      </c>
      <c r="I76" s="10" t="s">
        <v>205</v>
      </c>
      <c r="J76" s="192">
        <v>0</v>
      </c>
    </row>
    <row r="77" spans="1:10" x14ac:dyDescent="0.35">
      <c r="A77" s="10" t="s">
        <v>210</v>
      </c>
      <c r="B77" s="192">
        <v>-50592</v>
      </c>
      <c r="D77" s="10" t="s">
        <v>210</v>
      </c>
      <c r="E77" s="192">
        <v>-50592</v>
      </c>
      <c r="F77" s="191">
        <f t="shared" si="1"/>
        <v>0</v>
      </c>
      <c r="I77" s="10" t="s">
        <v>207</v>
      </c>
      <c r="J77" s="192">
        <v>0</v>
      </c>
    </row>
    <row r="78" spans="1:10" x14ac:dyDescent="0.35">
      <c r="A78" s="10" t="s">
        <v>180</v>
      </c>
      <c r="B78" s="192">
        <v>-61008</v>
      </c>
      <c r="D78" s="10" t="s">
        <v>180</v>
      </c>
      <c r="E78" s="192">
        <v>-61008</v>
      </c>
      <c r="F78" s="191">
        <f t="shared" si="1"/>
        <v>0</v>
      </c>
      <c r="I78" s="10" t="s">
        <v>248</v>
      </c>
      <c r="J78" s="192">
        <v>-29016</v>
      </c>
    </row>
    <row r="79" spans="1:10" x14ac:dyDescent="0.35">
      <c r="A79" s="10" t="s">
        <v>231</v>
      </c>
      <c r="B79" s="192">
        <v>-73656</v>
      </c>
      <c r="D79" s="10" t="s">
        <v>231</v>
      </c>
      <c r="E79" s="192">
        <v>-73656</v>
      </c>
      <c r="F79" s="191">
        <f t="shared" si="1"/>
        <v>0</v>
      </c>
      <c r="I79" s="10" t="s">
        <v>171</v>
      </c>
      <c r="J79" s="192">
        <v>-35328</v>
      </c>
    </row>
    <row r="80" spans="1:10" x14ac:dyDescent="0.35">
      <c r="A80" s="10" t="s">
        <v>191</v>
      </c>
      <c r="B80" s="192">
        <v>-82212</v>
      </c>
      <c r="D80" s="10" t="s">
        <v>191</v>
      </c>
      <c r="E80" s="192">
        <v>-82212</v>
      </c>
      <c r="F80" s="191">
        <f t="shared" si="1"/>
        <v>0</v>
      </c>
      <c r="I80" s="10" t="s">
        <v>180</v>
      </c>
      <c r="J80" s="192">
        <v>-61008</v>
      </c>
    </row>
    <row r="81" spans="1:10" x14ac:dyDescent="0.35">
      <c r="A81" s="10" t="s">
        <v>243</v>
      </c>
      <c r="B81" s="192">
        <v>-133920</v>
      </c>
      <c r="D81" s="10" t="s">
        <v>243</v>
      </c>
      <c r="E81" s="192">
        <v>-133920</v>
      </c>
      <c r="F81" s="191">
        <f t="shared" si="1"/>
        <v>0</v>
      </c>
      <c r="I81" s="10" t="s">
        <v>231</v>
      </c>
      <c r="J81" s="192">
        <v>-73656</v>
      </c>
    </row>
    <row r="82" spans="1:10" x14ac:dyDescent="0.35">
      <c r="A82" s="10" t="s">
        <v>201</v>
      </c>
      <c r="B82" s="192">
        <v>-134664</v>
      </c>
      <c r="D82" s="10" t="s">
        <v>201</v>
      </c>
      <c r="E82" s="192">
        <v>-134664</v>
      </c>
      <c r="F82" s="191">
        <f t="shared" si="1"/>
        <v>0</v>
      </c>
      <c r="I82" s="10" t="s">
        <v>161</v>
      </c>
      <c r="J82" s="192">
        <v>-248400</v>
      </c>
    </row>
    <row r="83" spans="1:10" x14ac:dyDescent="0.35">
      <c r="A83" s="10" t="s">
        <v>161</v>
      </c>
      <c r="B83" s="192">
        <v>-227754</v>
      </c>
      <c r="D83" s="10" t="s">
        <v>161</v>
      </c>
      <c r="E83" s="192">
        <v>-227754</v>
      </c>
      <c r="F83" s="191">
        <f t="shared" si="1"/>
        <v>0</v>
      </c>
      <c r="I83" s="10" t="s">
        <v>184</v>
      </c>
      <c r="J83" s="192">
        <v>-279000</v>
      </c>
    </row>
    <row r="84" spans="1:10" x14ac:dyDescent="0.35">
      <c r="A84" s="10" t="s">
        <v>225</v>
      </c>
      <c r="B84" s="192">
        <v>-358831.2</v>
      </c>
      <c r="D84" s="10" t="s">
        <v>225</v>
      </c>
      <c r="E84" s="192">
        <v>-358831.2</v>
      </c>
      <c r="F84" s="191">
        <f t="shared" si="1"/>
        <v>0</v>
      </c>
      <c r="I84" s="10" t="s">
        <v>225</v>
      </c>
      <c r="J84" s="192">
        <v>-291648</v>
      </c>
    </row>
    <row r="85" spans="1:10" x14ac:dyDescent="0.35">
      <c r="A85" s="10" t="s">
        <v>188</v>
      </c>
      <c r="B85" s="192">
        <v>-677040</v>
      </c>
      <c r="D85" s="10" t="s">
        <v>188</v>
      </c>
      <c r="E85" s="192">
        <v>-677040</v>
      </c>
      <c r="F85" s="191">
        <f t="shared" si="1"/>
        <v>0</v>
      </c>
      <c r="I85" s="10" t="s">
        <v>181</v>
      </c>
      <c r="J85" s="192">
        <v>-731220</v>
      </c>
    </row>
    <row r="86" spans="1:10" x14ac:dyDescent="0.35">
      <c r="A86" s="10" t="s">
        <v>181</v>
      </c>
      <c r="B86" s="192">
        <v>-731220</v>
      </c>
      <c r="D86" s="10" t="s">
        <v>181</v>
      </c>
      <c r="E86" s="192">
        <v>-731220</v>
      </c>
      <c r="F86" s="191">
        <f t="shared" si="1"/>
        <v>0</v>
      </c>
      <c r="I86" s="10" t="s">
        <v>272</v>
      </c>
      <c r="J86" s="192">
        <v>-1000848</v>
      </c>
    </row>
    <row r="87" spans="1:10" x14ac:dyDescent="0.35">
      <c r="A87" s="10" t="s">
        <v>176</v>
      </c>
      <c r="B87" s="192">
        <v>-1872393.6</v>
      </c>
      <c r="D87" s="10" t="s">
        <v>176</v>
      </c>
      <c r="E87" s="192">
        <v>-1872393.6</v>
      </c>
      <c r="F87" s="191">
        <f t="shared" si="1"/>
        <v>0</v>
      </c>
      <c r="I87" s="10" t="s">
        <v>176</v>
      </c>
      <c r="J87" s="192">
        <v>-1872393.6</v>
      </c>
    </row>
    <row r="88" spans="1:10" x14ac:dyDescent="0.35">
      <c r="A88" s="10" t="s">
        <v>163</v>
      </c>
      <c r="B88" s="192">
        <v>-3203258.4000000004</v>
      </c>
      <c r="D88" s="10" t="s">
        <v>163</v>
      </c>
      <c r="E88" s="192">
        <v>-3203258.4000000004</v>
      </c>
      <c r="F88" s="191">
        <f t="shared" si="1"/>
        <v>0</v>
      </c>
      <c r="I88" s="10" t="s">
        <v>148</v>
      </c>
      <c r="J88" s="192">
        <v>-3141168</v>
      </c>
    </row>
    <row r="89" spans="1:10" x14ac:dyDescent="0.35">
      <c r="A89" s="10" t="s">
        <v>214</v>
      </c>
      <c r="B89" s="192">
        <v>-3756000</v>
      </c>
      <c r="D89" s="10" t="s">
        <v>214</v>
      </c>
      <c r="E89" s="192">
        <v>-3756000</v>
      </c>
      <c r="F89" s="191">
        <f t="shared" si="1"/>
        <v>0</v>
      </c>
      <c r="I89" s="10" t="s">
        <v>163</v>
      </c>
      <c r="J89" s="192">
        <v>-3203258.4000000004</v>
      </c>
    </row>
    <row r="90" spans="1:10" x14ac:dyDescent="0.35">
      <c r="A90" s="10" t="s">
        <v>183</v>
      </c>
      <c r="B90" s="192">
        <v>-3887472</v>
      </c>
      <c r="D90" s="10" t="s">
        <v>183</v>
      </c>
      <c r="E90" s="192">
        <v>-3887472</v>
      </c>
      <c r="F90" s="191">
        <f t="shared" si="1"/>
        <v>0</v>
      </c>
      <c r="I90" s="10" t="s">
        <v>193</v>
      </c>
      <c r="J90" s="192">
        <v>-3451200</v>
      </c>
    </row>
    <row r="91" spans="1:10" x14ac:dyDescent="0.35">
      <c r="A91" s="10" t="s">
        <v>148</v>
      </c>
      <c r="B91" s="192">
        <v>-4603102.2105263155</v>
      </c>
      <c r="D91" s="10" t="s">
        <v>221</v>
      </c>
      <c r="E91" s="192">
        <v>-4164480</v>
      </c>
      <c r="F91" s="191" t="e">
        <f t="shared" si="1"/>
        <v>#N/A</v>
      </c>
      <c r="I91" s="10" t="s">
        <v>190</v>
      </c>
      <c r="J91" s="192">
        <v>-5242104</v>
      </c>
    </row>
    <row r="92" spans="1:10" x14ac:dyDescent="0.35">
      <c r="A92" s="10" t="s">
        <v>190</v>
      </c>
      <c r="B92" s="192">
        <v>-5714619.3684210526</v>
      </c>
      <c r="D92" s="10" t="s">
        <v>148</v>
      </c>
      <c r="E92" s="192">
        <v>-4603102.2105263155</v>
      </c>
      <c r="F92" s="191">
        <f t="shared" si="1"/>
        <v>0</v>
      </c>
      <c r="I92" s="10" t="s">
        <v>138</v>
      </c>
      <c r="J92" s="192">
        <v>-7524288</v>
      </c>
    </row>
    <row r="93" spans="1:10" x14ac:dyDescent="0.35">
      <c r="A93" s="10" t="s">
        <v>138</v>
      </c>
      <c r="B93" s="192">
        <v>-7112555.1052631577</v>
      </c>
      <c r="D93" s="10" t="s">
        <v>190</v>
      </c>
      <c r="E93" s="192">
        <v>-5714619.3684210526</v>
      </c>
      <c r="F93" s="191">
        <f t="shared" si="1"/>
        <v>0</v>
      </c>
      <c r="I93" s="10" t="s">
        <v>168</v>
      </c>
      <c r="J93" s="192">
        <v>-10502688</v>
      </c>
    </row>
    <row r="94" spans="1:10" x14ac:dyDescent="0.35">
      <c r="A94" s="10" t="s">
        <v>168</v>
      </c>
      <c r="B94" s="192">
        <v>-10502688</v>
      </c>
      <c r="D94" s="10" t="s">
        <v>138</v>
      </c>
      <c r="E94" s="192">
        <v>-7112555.1052631577</v>
      </c>
      <c r="F94" s="191">
        <f t="shared" si="1"/>
        <v>0</v>
      </c>
      <c r="I94" s="10" t="s">
        <v>151</v>
      </c>
      <c r="J94" s="192">
        <v>-12433032</v>
      </c>
    </row>
    <row r="95" spans="1:10" x14ac:dyDescent="0.35">
      <c r="A95" s="10" t="s">
        <v>151</v>
      </c>
      <c r="B95" s="192">
        <v>-12433032</v>
      </c>
      <c r="D95" s="10" t="s">
        <v>168</v>
      </c>
      <c r="E95" s="192">
        <v>-10502688</v>
      </c>
      <c r="F95" s="191">
        <f t="shared" si="1"/>
        <v>0</v>
      </c>
      <c r="I95" s="10" t="s">
        <v>274</v>
      </c>
      <c r="J95" s="192">
        <v>-18747048</v>
      </c>
    </row>
    <row r="96" spans="1:10" x14ac:dyDescent="0.35">
      <c r="A96" s="10" t="s">
        <v>274</v>
      </c>
      <c r="B96" s="192">
        <v>-13157441.760000002</v>
      </c>
      <c r="D96" s="10" t="s">
        <v>151</v>
      </c>
      <c r="E96" s="192">
        <v>-12433032</v>
      </c>
      <c r="F96" s="191">
        <f t="shared" si="1"/>
        <v>0</v>
      </c>
      <c r="I96" s="9" t="s">
        <v>145</v>
      </c>
      <c r="J96" s="192">
        <v>-36654776.601600006</v>
      </c>
    </row>
    <row r="97" spans="1:6" x14ac:dyDescent="0.35">
      <c r="A97" s="10" t="s">
        <v>274</v>
      </c>
      <c r="B97" s="192">
        <v>-13157441.760000002</v>
      </c>
      <c r="D97" s="10" t="s">
        <v>274</v>
      </c>
      <c r="E97" s="192">
        <v>-13157441.760000002</v>
      </c>
      <c r="F97" s="191">
        <f t="shared" si="1"/>
        <v>0</v>
      </c>
    </row>
    <row r="98" spans="1:6" x14ac:dyDescent="0.35">
      <c r="A98" s="13"/>
    </row>
  </sheetData>
  <autoFilter ref="I1:J1" xr:uid="{00000000-0009-0000-0000-000005000000}">
    <sortState xmlns:xlrd2="http://schemas.microsoft.com/office/spreadsheetml/2017/richdata2" ref="I2:J95">
      <sortCondition descending="1" ref="J1"/>
    </sortState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17"/>
  <sheetViews>
    <sheetView topLeftCell="D1" zoomScaleNormal="100" workbookViewId="0">
      <selection activeCell="M98" sqref="M98"/>
    </sheetView>
  </sheetViews>
  <sheetFormatPr defaultRowHeight="14.5" x14ac:dyDescent="0.35"/>
  <cols>
    <col min="1" max="1" width="58.1796875" bestFit="1" customWidth="1"/>
    <col min="2" max="2" width="54.1796875" customWidth="1"/>
    <col min="3" max="3" width="15.453125" customWidth="1"/>
    <col min="4" max="4" width="15" customWidth="1"/>
    <col min="5" max="5" width="16.453125" bestFit="1" customWidth="1"/>
    <col min="6" max="6" width="14" customWidth="1"/>
    <col min="10" max="10" width="58.1796875" bestFit="1" customWidth="1"/>
    <col min="11" max="11" width="17.7265625" bestFit="1" customWidth="1"/>
    <col min="12" max="12" width="18.54296875" bestFit="1" customWidth="1"/>
    <col min="13" max="13" width="12.54296875" bestFit="1" customWidth="1"/>
  </cols>
  <sheetData>
    <row r="1" spans="1:18" x14ac:dyDescent="0.35">
      <c r="A1" s="168" t="s">
        <v>269</v>
      </c>
      <c r="B1" s="168" t="s">
        <v>250</v>
      </c>
      <c r="C1" s="168" t="s">
        <v>288</v>
      </c>
      <c r="D1" s="168" t="s">
        <v>289</v>
      </c>
      <c r="E1" s="168" t="s">
        <v>267</v>
      </c>
      <c r="F1" s="168" t="s">
        <v>266</v>
      </c>
      <c r="J1" s="168" t="s">
        <v>269</v>
      </c>
      <c r="K1" s="168" t="s">
        <v>288</v>
      </c>
      <c r="L1" s="168" t="s">
        <v>289</v>
      </c>
      <c r="M1" s="168" t="s">
        <v>267</v>
      </c>
    </row>
    <row r="2" spans="1:18" x14ac:dyDescent="0.35">
      <c r="A2" s="170" t="s">
        <v>220</v>
      </c>
      <c r="B2" s="170" t="s">
        <v>220</v>
      </c>
      <c r="C2" s="193">
        <f ca="1">SUMIF(BD_COMERCIAL!$FK$3:$FK$317,MtM!B2,BD_COMERCIAL!$GO$3:$GO$317)</f>
        <v>329760</v>
      </c>
      <c r="D2" s="193">
        <f ca="1">SUMIF(BD_COMERCIAL!$FK$3:$FK$317,MtM!B2,BD_COMERCIAL!$GP$3:$GP$317)</f>
        <v>-25872</v>
      </c>
      <c r="E2" s="193">
        <f ca="1">SUMIF(BD_COMERCIAL!$FK$3:$FK$317,MtM!B2,BD_COMERCIAL!$FM$3:$FM$317)</f>
        <v>303888</v>
      </c>
      <c r="F2" s="193">
        <f ca="1">SUMIF(BD_COMERCIAL!$FK$3:$FK$317,MtM!$B2,BD_COMERCIAL!$FL$3:$FL$317)</f>
        <v>703080</v>
      </c>
      <c r="J2" s="170" t="s">
        <v>220</v>
      </c>
      <c r="K2" s="193">
        <f ca="1">SUMIF(MtM!$A$2:$A$500,J2,MtM!$C$2:$C$500)</f>
        <v>329760</v>
      </c>
      <c r="L2" s="193">
        <f ca="1">SUMIF(MtM!$A$2:$A$500,J2,MtM!$D$2:$D$500)</f>
        <v>-25872</v>
      </c>
      <c r="M2" s="193">
        <f ca="1">SUMIF(MtM!$A$2:$A$500,J2,MtM!$E$2:$E$500)</f>
        <v>303888</v>
      </c>
      <c r="O2" s="191"/>
      <c r="P2" s="191"/>
      <c r="Q2" s="191"/>
      <c r="R2" s="191"/>
    </row>
    <row r="3" spans="1:18" x14ac:dyDescent="0.35">
      <c r="A3" s="10" t="s">
        <v>308</v>
      </c>
      <c r="B3" s="10" t="s">
        <v>308</v>
      </c>
      <c r="C3" s="192">
        <f ca="1">SUMIF(BD_COMERCIAL!$FK$3:$FK$317,MtM!B3,BD_COMERCIAL!$GO$3:$GO$317)</f>
        <v>0</v>
      </c>
      <c r="D3" s="192">
        <f ca="1">SUMIF(BD_COMERCIAL!$FK$3:$FK$317,MtM!B3,BD_COMERCIAL!$GP$3:$GP$317)</f>
        <v>0</v>
      </c>
      <c r="E3" s="192">
        <f ca="1">SUMIF(BD_COMERCIAL!$FK$3:$FK$317,MtM!B3,BD_COMERCIAL!$FM$3:$FM$317)</f>
        <v>0</v>
      </c>
      <c r="F3" s="192">
        <f ca="1">SUMIF(BD_COMERCIAL!$FK$3:$FK$317,MtM!$B3,BD_COMERCIAL!$FL$3:$FL$317)</f>
        <v>297.60000000000002</v>
      </c>
      <c r="J3" s="10" t="s">
        <v>308</v>
      </c>
      <c r="K3" s="192">
        <f ca="1">SUMIF(MtM!$A$2:$A$500,J3,MtM!$C$2:$C$500)</f>
        <v>0</v>
      </c>
      <c r="L3" s="192">
        <f ca="1">SUMIF(MtM!$A$2:$A$500,J3,MtM!$D$2:$D$500)</f>
        <v>0</v>
      </c>
      <c r="M3" s="192">
        <f ca="1">SUMIF(MtM!$A$2:$A$500,J3,MtM!$E$2:$E$500)</f>
        <v>0</v>
      </c>
      <c r="O3" s="191"/>
      <c r="P3" s="191"/>
      <c r="Q3" s="191"/>
      <c r="R3" s="191"/>
    </row>
    <row r="4" spans="1:18" x14ac:dyDescent="0.35">
      <c r="A4" s="10" t="s">
        <v>243</v>
      </c>
      <c r="B4" s="10" t="s">
        <v>243</v>
      </c>
      <c r="C4" s="192">
        <f>SUMIF(BD_COMERCIAL!$FK$3:$FK$317,MtM!B4,BD_COMERCIAL!$GO$3:$GO$317)</f>
        <v>0</v>
      </c>
      <c r="D4" s="192">
        <f>SUMIF(BD_COMERCIAL!$FK$3:$FK$317,MtM!B4,BD_COMERCIAL!$GP$3:$GP$317)</f>
        <v>0</v>
      </c>
      <c r="E4" s="192">
        <f>SUMIF(BD_COMERCIAL!$FK$3:$FK$317,MtM!B4,BD_COMERCIAL!$FM$3:$FM$317)</f>
        <v>0</v>
      </c>
      <c r="F4" s="192">
        <f>SUMIF(BD_COMERCIAL!$FK$3:$FK$317,MtM!$B4,BD_COMERCIAL!$FL$3:$FL$317)</f>
        <v>0</v>
      </c>
      <c r="J4" s="10" t="s">
        <v>243</v>
      </c>
      <c r="K4" s="192">
        <f>SUMIF(MtM!$A$2:$A$500,J4,MtM!$C$2:$C$500)</f>
        <v>0</v>
      </c>
      <c r="L4" s="192">
        <f>SUMIF(MtM!$A$2:$A$500,J4,MtM!$D$2:$D$500)</f>
        <v>0</v>
      </c>
      <c r="M4" s="192">
        <f>SUMIF(MtM!$A$2:$A$500,J4,MtM!$E$2:$E$500)</f>
        <v>0</v>
      </c>
      <c r="O4" s="191"/>
      <c r="P4" s="191"/>
      <c r="Q4" s="191"/>
      <c r="R4" s="191"/>
    </row>
    <row r="5" spans="1:18" x14ac:dyDescent="0.35">
      <c r="A5" s="10" t="s">
        <v>306</v>
      </c>
      <c r="B5" s="10" t="s">
        <v>306</v>
      </c>
      <c r="C5" s="192">
        <f>SUMIF(BD_COMERCIAL!$FK$3:$FK$317,MtM!B5,BD_COMERCIAL!$GO$3:$GO$317)</f>
        <v>0</v>
      </c>
      <c r="D5" s="192">
        <f>SUMIF(BD_COMERCIAL!$FK$3:$FK$317,MtM!B5,BD_COMERCIAL!$GP$3:$GP$317)</f>
        <v>0</v>
      </c>
      <c r="E5" s="192">
        <f>SUMIF(BD_COMERCIAL!$FK$3:$FK$317,MtM!B5,BD_COMERCIAL!$FM$3:$FM$317)</f>
        <v>0</v>
      </c>
      <c r="F5" s="192">
        <f>SUMIF(BD_COMERCIAL!$FK$3:$FK$317,MtM!$B5,BD_COMERCIAL!$FL$3:$FL$317)</f>
        <v>0</v>
      </c>
      <c r="J5" s="10" t="s">
        <v>306</v>
      </c>
      <c r="K5" s="192">
        <f>SUMIF(MtM!$A$2:$A$500,J5,MtM!$C$2:$C$500)</f>
        <v>0</v>
      </c>
      <c r="L5" s="192">
        <f>SUMIF(MtM!$A$2:$A$500,J5,MtM!$D$2:$D$500)</f>
        <v>0</v>
      </c>
      <c r="M5" s="192">
        <f>SUMIF(MtM!$A$2:$A$500,J5,MtM!$E$2:$E$500)</f>
        <v>0</v>
      </c>
      <c r="O5" s="191"/>
      <c r="P5" s="191"/>
      <c r="Q5" s="191"/>
      <c r="R5" s="191"/>
    </row>
    <row r="6" spans="1:18" x14ac:dyDescent="0.35">
      <c r="A6" s="10" t="s">
        <v>186</v>
      </c>
      <c r="B6" s="10" t="s">
        <v>186</v>
      </c>
      <c r="C6" s="192">
        <f>SUMIF(BD_COMERCIAL!$FK$3:$FK$317,MtM!B6,BD_COMERCIAL!$GO$3:$GO$317)</f>
        <v>0</v>
      </c>
      <c r="D6" s="192">
        <f>SUMIF(BD_COMERCIAL!$FK$3:$FK$317,MtM!B6,BD_COMERCIAL!$GP$3:$GP$317)</f>
        <v>0</v>
      </c>
      <c r="E6" s="192">
        <f>SUMIF(BD_COMERCIAL!$FK$3:$FK$317,MtM!B6,BD_COMERCIAL!$FM$3:$FM$317)</f>
        <v>0</v>
      </c>
      <c r="F6" s="192">
        <f>SUMIF(BD_COMERCIAL!$FK$3:$FK$317,MtM!$B6,BD_COMERCIAL!$FL$3:$FL$317)</f>
        <v>0</v>
      </c>
      <c r="J6" s="10" t="s">
        <v>186</v>
      </c>
      <c r="K6" s="192">
        <f>SUMIF(MtM!$A$2:$A$500,J6,MtM!$C$2:$C$500)</f>
        <v>0</v>
      </c>
      <c r="L6" s="192">
        <f>SUMIF(MtM!$A$2:$A$500,J6,MtM!$D$2:$D$500)</f>
        <v>0</v>
      </c>
      <c r="M6" s="192">
        <f>SUMIF(MtM!$A$2:$A$500,J6,MtM!$E$2:$E$500)</f>
        <v>0</v>
      </c>
      <c r="O6" s="191"/>
      <c r="P6" s="191"/>
      <c r="Q6" s="191"/>
      <c r="R6" s="191"/>
    </row>
    <row r="7" spans="1:18" x14ac:dyDescent="0.35">
      <c r="A7" s="10" t="s">
        <v>190</v>
      </c>
      <c r="B7" s="10" t="s">
        <v>190</v>
      </c>
      <c r="C7" s="192">
        <f ca="1">SUMIF(BD_COMERCIAL!$FK$3:$FK$317,MtM!B7,BD_COMERCIAL!$GO$3:$GO$317)</f>
        <v>3760466.4000000004</v>
      </c>
      <c r="D7" s="192">
        <f ca="1">SUMIF(BD_COMERCIAL!$FK$3:$FK$317,MtM!B7,BD_COMERCIAL!$GP$3:$GP$317)</f>
        <v>-388080</v>
      </c>
      <c r="E7" s="192">
        <f ca="1">SUMIF(BD_COMERCIAL!$FK$3:$FK$317,MtM!B7,BD_COMERCIAL!$FM$3:$FM$317)</f>
        <v>3372386.4000000004</v>
      </c>
      <c r="F7" s="192">
        <f ca="1">SUMIF(BD_COMERCIAL!$FK$3:$FK$317,MtM!$B7,BD_COMERCIAL!$FL$3:$FL$317)</f>
        <v>1698254.4</v>
      </c>
      <c r="J7" s="10" t="s">
        <v>190</v>
      </c>
      <c r="K7" s="192">
        <f ca="1">SUMIF(MtM!$A$2:$A$500,J7,MtM!$C$2:$C$500)</f>
        <v>3760466.4000000004</v>
      </c>
      <c r="L7" s="192">
        <f ca="1">SUMIF(MtM!$A$2:$A$500,J7,MtM!$D$2:$D$500)</f>
        <v>-388080</v>
      </c>
      <c r="M7" s="192">
        <f ca="1">SUMIF(MtM!$A$2:$A$500,J7,MtM!$E$2:$E$500)</f>
        <v>3372386.4000000004</v>
      </c>
      <c r="O7" s="191"/>
      <c r="P7" s="191"/>
      <c r="Q7" s="191"/>
      <c r="R7" s="191"/>
    </row>
    <row r="8" spans="1:18" x14ac:dyDescent="0.35">
      <c r="A8" s="10" t="s">
        <v>202</v>
      </c>
      <c r="B8" s="10" t="s">
        <v>202</v>
      </c>
      <c r="C8" s="192">
        <f>SUMIF(BD_COMERCIAL!$FK$3:$FK$317,MtM!B8,BD_COMERCIAL!$GO$3:$GO$317)</f>
        <v>0</v>
      </c>
      <c r="D8" s="192">
        <f>SUMIF(BD_COMERCIAL!$FK$3:$FK$317,MtM!B8,BD_COMERCIAL!$GP$3:$GP$317)</f>
        <v>0</v>
      </c>
      <c r="E8" s="192">
        <f>SUMIF(BD_COMERCIAL!$FK$3:$FK$317,MtM!B8,BD_COMERCIAL!$FM$3:$FM$317)</f>
        <v>0</v>
      </c>
      <c r="F8" s="192">
        <f>SUMIF(BD_COMERCIAL!$FK$3:$FK$317,MtM!$B8,BD_COMERCIAL!$FL$3:$FL$317)</f>
        <v>0</v>
      </c>
      <c r="J8" s="10" t="s">
        <v>202</v>
      </c>
      <c r="K8" s="192">
        <f>SUMIF(MtM!$A$2:$A$500,J8,MtM!$C$2:$C$500)</f>
        <v>0</v>
      </c>
      <c r="L8" s="192">
        <f>SUMIF(MtM!$A$2:$A$500,J8,MtM!$D$2:$D$500)</f>
        <v>0</v>
      </c>
      <c r="M8" s="192">
        <f>SUMIF(MtM!$A$2:$A$500,J8,MtM!$E$2:$E$500)</f>
        <v>0</v>
      </c>
      <c r="O8" s="191"/>
      <c r="P8" s="191"/>
      <c r="Q8" s="191"/>
      <c r="R8" s="191"/>
    </row>
    <row r="9" spans="1:18" x14ac:dyDescent="0.35">
      <c r="A9" s="10" t="s">
        <v>188</v>
      </c>
      <c r="B9" s="10" t="s">
        <v>188</v>
      </c>
      <c r="C9" s="192">
        <f ca="1">SUMIF(BD_COMERCIAL!$FK$3:$FK$317,MtM!B9,BD_COMERCIAL!$GO$3:$GO$317)</f>
        <v>452640</v>
      </c>
      <c r="D9" s="192">
        <f ca="1">SUMIF(BD_COMERCIAL!$FK$3:$FK$317,MtM!B9,BD_COMERCIAL!$GP$3:$GP$317)</f>
        <v>-463680</v>
      </c>
      <c r="E9" s="192">
        <f ca="1">SUMIF(BD_COMERCIAL!$FK$3:$FK$317,MtM!B9,BD_COMERCIAL!$FM$3:$FM$317)</f>
        <v>-11040</v>
      </c>
      <c r="F9" s="192">
        <f ca="1">SUMIF(BD_COMERCIAL!$FK$3:$FK$317,MtM!$B9,BD_COMERCIAL!$FL$3:$FL$317)</f>
        <v>0</v>
      </c>
      <c r="J9" s="10" t="s">
        <v>188</v>
      </c>
      <c r="K9" s="192">
        <f ca="1">SUMIF(MtM!$A$2:$A$500,J9,MtM!$C$2:$C$500)</f>
        <v>452640</v>
      </c>
      <c r="L9" s="192">
        <f ca="1">SUMIF(MtM!$A$2:$A$500,J9,MtM!$D$2:$D$500)</f>
        <v>-463680</v>
      </c>
      <c r="M9" s="192">
        <f ca="1">SUMIF(MtM!$A$2:$A$500,J9,MtM!$E$2:$E$500)</f>
        <v>-11040</v>
      </c>
      <c r="O9" s="191"/>
      <c r="P9" s="191"/>
      <c r="Q9" s="191"/>
      <c r="R9" s="191"/>
    </row>
    <row r="10" spans="1:18" x14ac:dyDescent="0.35">
      <c r="A10" s="10" t="s">
        <v>161</v>
      </c>
      <c r="B10" s="10" t="s">
        <v>161</v>
      </c>
      <c r="C10" s="192">
        <f>SUMIF(BD_COMERCIAL!$FK$3:$FK$317,MtM!B10,BD_COMERCIAL!$GO$3:$GO$317)</f>
        <v>0</v>
      </c>
      <c r="D10" s="192">
        <f>SUMIF(BD_COMERCIAL!$FK$3:$FK$317,MtM!B10,BD_COMERCIAL!$GP$3:$GP$317)</f>
        <v>0</v>
      </c>
      <c r="E10" s="192">
        <f>SUMIF(BD_COMERCIAL!$FK$3:$FK$317,MtM!B10,BD_COMERCIAL!$FM$3:$FM$317)</f>
        <v>0</v>
      </c>
      <c r="F10" s="192">
        <f>SUMIF(BD_COMERCIAL!$FK$3:$FK$317,MtM!$B10,BD_COMERCIAL!$FL$3:$FL$317)</f>
        <v>0</v>
      </c>
      <c r="J10" s="10" t="s">
        <v>161</v>
      </c>
      <c r="K10" s="192">
        <f>SUMIF(MtM!$A$2:$A$500,J10,MtM!$C$2:$C$500)</f>
        <v>0</v>
      </c>
      <c r="L10" s="192">
        <f>SUMIF(MtM!$A$2:$A$500,J10,MtM!$D$2:$D$500)</f>
        <v>0</v>
      </c>
      <c r="M10" s="192">
        <f>SUMIF(MtM!$A$2:$A$500,J10,MtM!$E$2:$E$500)</f>
        <v>0</v>
      </c>
      <c r="O10" s="191"/>
      <c r="P10" s="191"/>
      <c r="Q10" s="191"/>
      <c r="R10" s="191"/>
    </row>
    <row r="11" spans="1:18" x14ac:dyDescent="0.35">
      <c r="A11" s="10" t="s">
        <v>153</v>
      </c>
      <c r="B11" s="10" t="s">
        <v>153</v>
      </c>
      <c r="C11" s="192">
        <f ca="1">SUMIF(BD_COMERCIAL!$FK$3:$FK$317,MtM!B11,BD_COMERCIAL!$GO$3:$GO$317)</f>
        <v>1108680</v>
      </c>
      <c r="D11" s="192">
        <f ca="1">SUMIF(BD_COMERCIAL!$FK$3:$FK$317,MtM!B11,BD_COMERCIAL!$GP$3:$GP$317)</f>
        <v>-5004048</v>
      </c>
      <c r="E11" s="192">
        <f ca="1">SUMIF(BD_COMERCIAL!$FK$3:$FK$317,MtM!B11,BD_COMERCIAL!$FM$3:$FM$317)</f>
        <v>-3895368</v>
      </c>
      <c r="F11" s="192">
        <f ca="1">SUMIF(BD_COMERCIAL!$FK$3:$FK$317,MtM!$B11,BD_COMERCIAL!$FL$3:$FL$317)</f>
        <v>-243362.40000000002</v>
      </c>
      <c r="J11" s="10" t="s">
        <v>153</v>
      </c>
      <c r="K11" s="192">
        <f ca="1">SUMIF(MtM!$A$2:$A$500,J11,MtM!$C$2:$C$500)</f>
        <v>1108680</v>
      </c>
      <c r="L11" s="192">
        <f ca="1">SUMIF(MtM!$A$2:$A$500,J11,MtM!$D$2:$D$500)</f>
        <v>-5004048</v>
      </c>
      <c r="M11" s="192">
        <f ca="1">SUMIF(MtM!$A$2:$A$500,J11,MtM!$E$2:$E$500)</f>
        <v>-3895368</v>
      </c>
      <c r="O11" s="191"/>
      <c r="P11" s="191"/>
      <c r="Q11" s="191"/>
      <c r="R11" s="191"/>
    </row>
    <row r="12" spans="1:18" x14ac:dyDescent="0.35">
      <c r="A12" s="10" t="s">
        <v>231</v>
      </c>
      <c r="B12" s="10" t="s">
        <v>231</v>
      </c>
      <c r="C12" s="192">
        <f ca="1">SUMIF(BD_COMERCIAL!$FK$3:$FK$317,MtM!B12,BD_COMERCIAL!$GO$3:$GO$317)</f>
        <v>0</v>
      </c>
      <c r="D12" s="192">
        <f ca="1">SUMIF(BD_COMERCIAL!$FK$3:$FK$317,MtM!B12,BD_COMERCIAL!$GP$3:$GP$317)</f>
        <v>-806.4</v>
      </c>
      <c r="E12" s="192">
        <f ca="1">SUMIF(BD_COMERCIAL!$FK$3:$FK$317,MtM!B12,BD_COMERCIAL!$FM$3:$FM$317)</f>
        <v>-806.4</v>
      </c>
      <c r="F12" s="192">
        <f ca="1">SUMIF(BD_COMERCIAL!$FK$3:$FK$317,MtM!$B12,BD_COMERCIAL!$FL$3:$FL$317)</f>
        <v>293880</v>
      </c>
      <c r="J12" s="10" t="s">
        <v>231</v>
      </c>
      <c r="K12" s="192">
        <f ca="1">SUMIF(MtM!$A$2:$A$500,J12,MtM!$C$2:$C$500)</f>
        <v>0</v>
      </c>
      <c r="L12" s="192">
        <f ca="1">SUMIF(MtM!$A$2:$A$500,J12,MtM!$D$2:$D$500)</f>
        <v>-806.4</v>
      </c>
      <c r="M12" s="192">
        <f ca="1">SUMIF(MtM!$A$2:$A$500,J12,MtM!$E$2:$E$500)</f>
        <v>-806.4</v>
      </c>
      <c r="O12" s="191"/>
      <c r="P12" s="191"/>
      <c r="Q12" s="191"/>
      <c r="R12" s="191"/>
    </row>
    <row r="13" spans="1:18" x14ac:dyDescent="0.35">
      <c r="A13" s="10" t="s">
        <v>290</v>
      </c>
      <c r="B13" s="10" t="s">
        <v>173</v>
      </c>
      <c r="C13" s="192">
        <f>SUMIF(BD_COMERCIAL!$FK$3:$FK$317,MtM!B13,BD_COMERCIAL!$GO$3:$GO$317)</f>
        <v>0</v>
      </c>
      <c r="D13" s="192">
        <f>SUMIF(BD_COMERCIAL!$FK$3:$FK$317,MtM!B13,BD_COMERCIAL!$GP$3:$GP$317)</f>
        <v>0</v>
      </c>
      <c r="E13" s="192">
        <f>SUMIF(BD_COMERCIAL!$FK$3:$FK$317,MtM!B13,BD_COMERCIAL!$FM$3:$FM$317)</f>
        <v>0</v>
      </c>
      <c r="F13" s="192">
        <f>SUMIF(BD_COMERCIAL!$FK$3:$FK$317,MtM!$B13,BD_COMERCIAL!$FL$3:$FL$317)</f>
        <v>0</v>
      </c>
      <c r="J13" s="10" t="s">
        <v>290</v>
      </c>
      <c r="K13" s="192">
        <f ca="1">SUMIF(MtM!$A$2:$A$500,J13,MtM!$C$2:$C$500)</f>
        <v>13392</v>
      </c>
      <c r="L13" s="192">
        <f ca="1">SUMIF(MtM!$A$2:$A$500,J13,MtM!$D$2:$D$500)</f>
        <v>0</v>
      </c>
      <c r="M13" s="192">
        <f ca="1">SUMIF(MtM!$A$2:$A$500,J13,MtM!$E$2:$E$500)</f>
        <v>13392</v>
      </c>
      <c r="O13" s="191"/>
      <c r="P13" s="191"/>
      <c r="Q13" s="191"/>
      <c r="R13" s="191"/>
    </row>
    <row r="14" spans="1:18" x14ac:dyDescent="0.35">
      <c r="A14" s="10" t="s">
        <v>290</v>
      </c>
      <c r="B14" s="10" t="s">
        <v>185</v>
      </c>
      <c r="C14" s="192">
        <f>SUMIF(BD_COMERCIAL!$FK$3:$FK$317,MtM!B14,BD_COMERCIAL!$GO$3:$GO$317)</f>
        <v>0</v>
      </c>
      <c r="D14" s="192">
        <f>SUMIF(BD_COMERCIAL!$FK$3:$FK$317,MtM!B14,BD_COMERCIAL!$GP$3:$GP$317)</f>
        <v>0</v>
      </c>
      <c r="E14" s="192">
        <f>SUMIF(BD_COMERCIAL!$FK$3:$FK$317,MtM!B14,BD_COMERCIAL!$FM$3:$FM$317)</f>
        <v>0</v>
      </c>
      <c r="F14" s="192">
        <f>SUMIF(BD_COMERCIAL!$FK$3:$FK$317,MtM!$B14,BD_COMERCIAL!$FL$3:$FL$317)</f>
        <v>0</v>
      </c>
      <c r="J14" s="10" t="s">
        <v>270</v>
      </c>
      <c r="K14" s="192">
        <f>SUMIF(MtM!$A$2:$A$500,J14,MtM!$C$2:$C$500)</f>
        <v>0</v>
      </c>
      <c r="L14" s="192">
        <f>SUMIF(MtM!$A$2:$A$500,J14,MtM!$D$2:$D$500)</f>
        <v>0</v>
      </c>
      <c r="M14" s="192">
        <f>SUMIF(MtM!$A$2:$A$500,J14,MtM!$E$2:$E$500)</f>
        <v>0</v>
      </c>
      <c r="O14" s="191"/>
      <c r="P14" s="191"/>
      <c r="Q14" s="191"/>
      <c r="R14" s="191"/>
    </row>
    <row r="15" spans="1:18" x14ac:dyDescent="0.35">
      <c r="A15" s="10" t="s">
        <v>270</v>
      </c>
      <c r="B15" s="10" t="s">
        <v>236</v>
      </c>
      <c r="C15" s="192">
        <f>SUMIF(BD_COMERCIAL!$FK$3:$FK$317,MtM!B15,BD_COMERCIAL!$GO$3:$GO$317)</f>
        <v>0</v>
      </c>
      <c r="D15" s="192">
        <f>SUMIF(BD_COMERCIAL!$FK$3:$FK$317,MtM!B15,BD_COMERCIAL!$GP$3:$GP$317)</f>
        <v>0</v>
      </c>
      <c r="E15" s="192">
        <f>SUMIF(BD_COMERCIAL!$FK$3:$FK$317,MtM!B15,BD_COMERCIAL!$FM$3:$FM$317)</f>
        <v>0</v>
      </c>
      <c r="F15" s="192">
        <f>SUMIF(BD_COMERCIAL!$FK$3:$FK$317,MtM!$B15,BD_COMERCIAL!$FL$3:$FL$317)</f>
        <v>0</v>
      </c>
      <c r="J15" s="10" t="s">
        <v>291</v>
      </c>
      <c r="K15" s="192">
        <f>SUMIF(MtM!$A$2:$A$500,J15,MtM!$C$2:$C$500)</f>
        <v>0</v>
      </c>
      <c r="L15" s="192">
        <f>SUMIF(MtM!$A$2:$A$500,J15,MtM!$D$2:$D$500)</f>
        <v>0</v>
      </c>
      <c r="M15" s="192">
        <f>SUMIF(MtM!$A$2:$A$500,J15,MtM!$E$2:$E$500)</f>
        <v>0</v>
      </c>
      <c r="O15" s="191"/>
      <c r="P15" s="191"/>
      <c r="Q15" s="191"/>
      <c r="R15" s="191"/>
    </row>
    <row r="16" spans="1:18" x14ac:dyDescent="0.35">
      <c r="A16" s="10" t="s">
        <v>270</v>
      </c>
      <c r="B16" s="10" t="s">
        <v>219</v>
      </c>
      <c r="C16" s="192">
        <f>SUMIF(BD_COMERCIAL!$FK$3:$FK$317,MtM!B16,BD_COMERCIAL!$GO$3:$GO$317)</f>
        <v>0</v>
      </c>
      <c r="D16" s="192">
        <f>SUMIF(BD_COMERCIAL!$FK$3:$FK$317,MtM!B16,BD_COMERCIAL!$GP$3:$GP$317)</f>
        <v>0</v>
      </c>
      <c r="E16" s="192">
        <f>SUMIF(BD_COMERCIAL!$FK$3:$FK$317,MtM!B16,BD_COMERCIAL!$FM$3:$FM$317)</f>
        <v>0</v>
      </c>
      <c r="F16" s="192">
        <f>SUMIF(BD_COMERCIAL!$FK$3:$FK$317,MtM!$B16,BD_COMERCIAL!$FL$3:$FL$317)</f>
        <v>0</v>
      </c>
      <c r="J16" s="10" t="s">
        <v>174</v>
      </c>
      <c r="K16" s="192">
        <f ca="1">SUMIF(MtM!$A$2:$A$500,J16,MtM!$C$2:$C$500)</f>
        <v>0</v>
      </c>
      <c r="L16" s="192">
        <f ca="1">SUMIF(MtM!$A$2:$A$500,J16,MtM!$D$2:$D$500)</f>
        <v>0</v>
      </c>
      <c r="M16" s="192">
        <f ca="1">SUMIF(MtM!$A$2:$A$500,J16,MtM!$E$2:$E$500)</f>
        <v>0</v>
      </c>
      <c r="O16" s="191"/>
      <c r="P16" s="191"/>
      <c r="Q16" s="191"/>
      <c r="R16" s="191"/>
    </row>
    <row r="17" spans="1:18" x14ac:dyDescent="0.35">
      <c r="A17" s="10" t="s">
        <v>291</v>
      </c>
      <c r="B17" s="10" t="s">
        <v>198</v>
      </c>
      <c r="C17" s="192">
        <f>SUMIF(BD_COMERCIAL!$FK$3:$FK$317,MtM!B17,BD_COMERCIAL!$GO$3:$GO$317)</f>
        <v>0</v>
      </c>
      <c r="D17" s="192">
        <f>SUMIF(BD_COMERCIAL!$FK$3:$FK$317,MtM!B17,BD_COMERCIAL!$GP$3:$GP$317)</f>
        <v>0</v>
      </c>
      <c r="E17" s="192">
        <f>SUMIF(BD_COMERCIAL!$FK$3:$FK$317,MtM!B17,BD_COMERCIAL!$FM$3:$FM$317)</f>
        <v>0</v>
      </c>
      <c r="F17" s="192">
        <f>SUMIF(BD_COMERCIAL!$FK$3:$FK$317,MtM!$B17,BD_COMERCIAL!$FL$3:$FL$317)</f>
        <v>0</v>
      </c>
      <c r="J17" s="10" t="s">
        <v>175</v>
      </c>
      <c r="K17" s="192">
        <f ca="1">SUMIF(MtM!$A$2:$A$500,J17,MtM!$C$2:$C$500)</f>
        <v>14112</v>
      </c>
      <c r="L17" s="192">
        <f ca="1">SUMIF(MtM!$A$2:$A$500,J17,MtM!$D$2:$D$500)</f>
        <v>0</v>
      </c>
      <c r="M17" s="192">
        <f ca="1">SUMIF(MtM!$A$2:$A$500,J17,MtM!$E$2:$E$500)</f>
        <v>14112</v>
      </c>
      <c r="O17" s="191"/>
      <c r="P17" s="191"/>
      <c r="Q17" s="191"/>
      <c r="R17" s="191"/>
    </row>
    <row r="18" spans="1:18" x14ac:dyDescent="0.35">
      <c r="A18" s="10" t="s">
        <v>291</v>
      </c>
      <c r="B18" s="10" t="s">
        <v>168</v>
      </c>
      <c r="C18" s="192">
        <f>SUMIF(BD_COMERCIAL!$FK$3:$FK$317,MtM!B18,BD_COMERCIAL!$GO$3:$GO$317)</f>
        <v>0</v>
      </c>
      <c r="D18" s="192">
        <f>SUMIF(BD_COMERCIAL!$FK$3:$FK$317,MtM!B18,BD_COMERCIAL!$GP$3:$GP$317)</f>
        <v>0</v>
      </c>
      <c r="E18" s="192">
        <f>SUMIF(BD_COMERCIAL!$FK$3:$FK$317,MtM!B18,BD_COMERCIAL!$FM$3:$FM$317)</f>
        <v>0</v>
      </c>
      <c r="F18" s="192">
        <f>SUMIF(BD_COMERCIAL!$FK$3:$FK$317,MtM!$B18,BD_COMERCIAL!$FL$3:$FL$317)</f>
        <v>0</v>
      </c>
      <c r="J18" s="10" t="s">
        <v>327</v>
      </c>
      <c r="K18" s="192">
        <f ca="1">SUMIF(MtM!$A$2:$A$500,J18,MtM!$C$2:$C$500)</f>
        <v>870840</v>
      </c>
      <c r="L18" s="192">
        <f ca="1">SUMIF(MtM!$A$2:$A$500,J18,MtM!$D$2:$D$500)</f>
        <v>0</v>
      </c>
      <c r="M18" s="192">
        <f ca="1">SUMIF(MtM!$A$2:$A$500,J18,MtM!$E$2:$E$500)</f>
        <v>870840</v>
      </c>
      <c r="O18" s="191"/>
      <c r="P18" s="191"/>
      <c r="Q18" s="191"/>
      <c r="R18" s="191"/>
    </row>
    <row r="19" spans="1:18" x14ac:dyDescent="0.35">
      <c r="A19" s="10" t="s">
        <v>174</v>
      </c>
      <c r="B19" s="10" t="s">
        <v>174</v>
      </c>
      <c r="C19" s="192">
        <f ca="1">SUMIF(BD_COMERCIAL!$FK$3:$FK$317,MtM!B19,BD_COMERCIAL!$GO$3:$GO$317)</f>
        <v>0</v>
      </c>
      <c r="D19" s="192">
        <f ca="1">SUMIF(BD_COMERCIAL!$FK$3:$FK$317,MtM!B19,BD_COMERCIAL!$GP$3:$GP$317)</f>
        <v>0</v>
      </c>
      <c r="E19" s="192">
        <f ca="1">SUMIF(BD_COMERCIAL!$FK$3:$FK$317,MtM!B19,BD_COMERCIAL!$FM$3:$FM$317)</f>
        <v>0</v>
      </c>
      <c r="F19" s="192">
        <f ca="1">SUMIF(BD_COMERCIAL!$FK$3:$FK$317,MtM!$B19,BD_COMERCIAL!$FL$3:$FL$317)</f>
        <v>0</v>
      </c>
      <c r="J19" s="10" t="s">
        <v>233</v>
      </c>
      <c r="K19" s="192">
        <f>SUMIF(MtM!$A$2:$A$500,J19,MtM!$C$2:$C$500)</f>
        <v>0</v>
      </c>
      <c r="L19" s="192">
        <f>SUMIF(MtM!$A$2:$A$500,J19,MtM!$D$2:$D$500)</f>
        <v>0</v>
      </c>
      <c r="M19" s="192">
        <f>SUMIF(MtM!$A$2:$A$500,J19,MtM!$E$2:$E$500)</f>
        <v>0</v>
      </c>
      <c r="O19" s="191"/>
      <c r="P19" s="191"/>
      <c r="Q19" s="191"/>
      <c r="R19" s="191"/>
    </row>
    <row r="20" spans="1:18" x14ac:dyDescent="0.35">
      <c r="A20" s="10" t="s">
        <v>291</v>
      </c>
      <c r="B20" s="10" t="s">
        <v>232</v>
      </c>
      <c r="C20" s="192">
        <f>SUMIF(BD_COMERCIAL!$FK$3:$FK$317,MtM!B20,BD_COMERCIAL!$GO$3:$GO$317)</f>
        <v>0</v>
      </c>
      <c r="D20" s="192">
        <f>SUMIF(BD_COMERCIAL!$FK$3:$FK$317,MtM!B20,BD_COMERCIAL!$GP$3:$GP$317)</f>
        <v>0</v>
      </c>
      <c r="E20" s="192">
        <f>SUMIF(BD_COMERCIAL!$FK$3:$FK$317,MtM!B20,BD_COMERCIAL!$FM$3:$FM$317)</f>
        <v>0</v>
      </c>
      <c r="F20" s="192">
        <f>SUMIF(BD_COMERCIAL!$FK$3:$FK$317,MtM!$B20,BD_COMERCIAL!$FL$3:$FL$317)</f>
        <v>0</v>
      </c>
      <c r="J20" s="10" t="s">
        <v>328</v>
      </c>
      <c r="K20" s="192">
        <f>SUMIF(MtM!$A$2:$A$500,J20,MtM!$C$2:$C$500)</f>
        <v>0</v>
      </c>
      <c r="L20" s="192">
        <f>SUMIF(MtM!$A$2:$A$500,J20,MtM!$D$2:$D$500)</f>
        <v>0</v>
      </c>
      <c r="M20" s="192">
        <f>SUMIF(MtM!$A$2:$A$500,J20,MtM!$E$2:$E$500)</f>
        <v>0</v>
      </c>
      <c r="O20" s="191"/>
      <c r="P20" s="191"/>
      <c r="Q20" s="191"/>
      <c r="R20" s="191"/>
    </row>
    <row r="21" spans="1:18" x14ac:dyDescent="0.35">
      <c r="A21" s="10" t="s">
        <v>291</v>
      </c>
      <c r="B21" s="10" t="s">
        <v>154</v>
      </c>
      <c r="C21" s="192">
        <f>SUMIF(BD_COMERCIAL!$FK$3:$FK$317,MtM!B21,BD_COMERCIAL!$GO$3:$GO$317)</f>
        <v>0</v>
      </c>
      <c r="D21" s="192">
        <f>SUMIF(BD_COMERCIAL!$FK$3:$FK$317,MtM!B21,BD_COMERCIAL!$GP$3:$GP$317)</f>
        <v>0</v>
      </c>
      <c r="E21" s="192">
        <f>SUMIF(BD_COMERCIAL!$FK$3:$FK$317,MtM!B21,BD_COMERCIAL!$FM$3:$FM$317)</f>
        <v>0</v>
      </c>
      <c r="F21" s="192">
        <f>SUMIF(BD_COMERCIAL!$FK$3:$FK$317,MtM!$B21,BD_COMERCIAL!$FL$3:$FL$317)</f>
        <v>0</v>
      </c>
      <c r="J21" s="10" t="s">
        <v>208</v>
      </c>
      <c r="K21" s="192">
        <f>SUMIF(MtM!$A$2:$A$500,J21,MtM!$C$2:$C$500)</f>
        <v>0</v>
      </c>
      <c r="L21" s="192">
        <f>SUMIF(MtM!$A$2:$A$500,J21,MtM!$D$2:$D$500)</f>
        <v>0</v>
      </c>
      <c r="M21" s="192">
        <f>SUMIF(MtM!$A$2:$A$500,J21,MtM!$E$2:$E$500)</f>
        <v>0</v>
      </c>
      <c r="O21" s="191"/>
      <c r="P21" s="191"/>
      <c r="Q21" s="191"/>
      <c r="R21" s="191"/>
    </row>
    <row r="22" spans="1:18" x14ac:dyDescent="0.35">
      <c r="A22" s="10" t="s">
        <v>175</v>
      </c>
      <c r="B22" s="10" t="s">
        <v>175</v>
      </c>
      <c r="C22" s="192">
        <f ca="1">SUMIF(BD_COMERCIAL!$FK$3:$FK$317,MtM!B22,BD_COMERCIAL!$GO$3:$GO$317)</f>
        <v>14112</v>
      </c>
      <c r="D22" s="192">
        <f ca="1">SUMIF(BD_COMERCIAL!$FK$3:$FK$317,MtM!B22,BD_COMERCIAL!$GP$3:$GP$317)</f>
        <v>0</v>
      </c>
      <c r="E22" s="192">
        <f ca="1">SUMIF(BD_COMERCIAL!$FK$3:$FK$317,MtM!B22,BD_COMERCIAL!$FM$3:$FM$317)</f>
        <v>14112</v>
      </c>
      <c r="F22" s="192">
        <f ca="1">SUMIF(BD_COMERCIAL!$FK$3:$FK$317,MtM!$B22,BD_COMERCIAL!$FL$3:$FL$317)</f>
        <v>0</v>
      </c>
      <c r="J22" s="10" t="s">
        <v>272</v>
      </c>
      <c r="K22" s="192">
        <f ca="1">SUMIF(MtM!$A$2:$A$500,J22,MtM!$C$2:$C$500)</f>
        <v>0</v>
      </c>
      <c r="L22" s="192">
        <f ca="1">SUMIF(MtM!$A$2:$A$500,J22,MtM!$D$2:$D$500)</f>
        <v>-11732850</v>
      </c>
      <c r="M22" s="192">
        <f ca="1">SUMIF(MtM!$A$2:$A$500,J22,MtM!$E$2:$E$500)</f>
        <v>-11732850</v>
      </c>
      <c r="O22" s="191"/>
      <c r="P22" s="191"/>
      <c r="Q22" s="191"/>
      <c r="R22" s="191"/>
    </row>
    <row r="23" spans="1:18" x14ac:dyDescent="0.35">
      <c r="A23" s="10" t="s">
        <v>327</v>
      </c>
      <c r="B23" s="10" t="s">
        <v>303</v>
      </c>
      <c r="C23" s="192">
        <f ca="1">SUMIF(BD_COMERCIAL!$FK$3:$FK$317,MtM!B23,BD_COMERCIAL!$GO$3:$GO$317)</f>
        <v>870840</v>
      </c>
      <c r="D23" s="192">
        <f ca="1">SUMIF(BD_COMERCIAL!$FK$3:$FK$317,MtM!B23,BD_COMERCIAL!$GP$3:$GP$317)</f>
        <v>0</v>
      </c>
      <c r="E23" s="192">
        <f ca="1">SUMIF(BD_COMERCIAL!$FK$3:$FK$317,MtM!B23,BD_COMERCIAL!$FM$3:$FM$317)</f>
        <v>870840</v>
      </c>
      <c r="F23" s="192">
        <f ca="1">SUMIF(BD_COMERCIAL!$FK$3:$FK$317,MtM!$B23,BD_COMERCIAL!$FL$3:$FL$317)</f>
        <v>457560</v>
      </c>
      <c r="J23" s="10" t="s">
        <v>294</v>
      </c>
      <c r="K23" s="192">
        <f ca="1">SUMIF(MtM!$A$2:$A$500,J23,MtM!$C$2:$C$500)</f>
        <v>5339256</v>
      </c>
      <c r="L23" s="192">
        <f ca="1">SUMIF(MtM!$A$2:$A$500,J23,MtM!$D$2:$D$500)</f>
        <v>0</v>
      </c>
      <c r="M23" s="192">
        <f ca="1">SUMIF(MtM!$A$2:$A$500,J23,MtM!$E$2:$E$500)</f>
        <v>5339256</v>
      </c>
      <c r="O23" s="191"/>
      <c r="P23" s="191"/>
      <c r="Q23" s="191"/>
      <c r="R23" s="191"/>
    </row>
    <row r="24" spans="1:18" x14ac:dyDescent="0.35">
      <c r="A24" s="10" t="s">
        <v>327</v>
      </c>
      <c r="B24" s="10" t="s">
        <v>248</v>
      </c>
      <c r="C24" s="192">
        <f>SUMIF(BD_COMERCIAL!$FK$3:$FK$317,MtM!B24,BD_COMERCIAL!$GO$3:$GO$317)</f>
        <v>0</v>
      </c>
      <c r="D24" s="192">
        <f>SUMIF(BD_COMERCIAL!$FK$3:$FK$317,MtM!B24,BD_COMERCIAL!$GP$3:$GP$317)</f>
        <v>0</v>
      </c>
      <c r="E24" s="192">
        <f>SUMIF(BD_COMERCIAL!$FK$3:$FK$317,MtM!B24,BD_COMERCIAL!$FM$3:$FM$317)</f>
        <v>0</v>
      </c>
      <c r="F24" s="192">
        <f>SUMIF(BD_COMERCIAL!$FK$3:$FK$317,MtM!$B24,BD_COMERCIAL!$FL$3:$FL$317)</f>
        <v>0</v>
      </c>
      <c r="J24" s="10" t="s">
        <v>214</v>
      </c>
      <c r="K24" s="192">
        <f ca="1">SUMIF(MtM!$A$2:$A$500,J24,MtM!$C$2:$C$500)</f>
        <v>0</v>
      </c>
      <c r="L24" s="192">
        <f ca="1">SUMIF(MtM!$A$2:$A$500,J24,MtM!$D$2:$D$500)</f>
        <v>-2024880</v>
      </c>
      <c r="M24" s="192">
        <f ca="1">SUMIF(MtM!$A$2:$A$500,J24,MtM!$E$2:$E$500)</f>
        <v>-2024880</v>
      </c>
      <c r="O24" s="191"/>
      <c r="P24" s="191"/>
      <c r="Q24" s="191"/>
      <c r="R24" s="191"/>
    </row>
    <row r="25" spans="1:18" x14ac:dyDescent="0.35">
      <c r="A25" s="10" t="s">
        <v>233</v>
      </c>
      <c r="B25" s="10" t="s">
        <v>233</v>
      </c>
      <c r="C25" s="192">
        <f>SUMIF(BD_COMERCIAL!$FK$3:$FK$317,MtM!B25,BD_COMERCIAL!$GO$3:$GO$317)</f>
        <v>0</v>
      </c>
      <c r="D25" s="192">
        <f>SUMIF(BD_COMERCIAL!$FK$3:$FK$317,MtM!B25,BD_COMERCIAL!$GP$3:$GP$317)</f>
        <v>0</v>
      </c>
      <c r="E25" s="192">
        <f>SUMIF(BD_COMERCIAL!$FK$3:$FK$317,MtM!B25,BD_COMERCIAL!$FM$3:$FM$317)</f>
        <v>0</v>
      </c>
      <c r="F25" s="192">
        <f>SUMIF(BD_COMERCIAL!$FK$3:$FK$317,MtM!$B25,BD_COMERCIAL!$FL$3:$FL$317)</f>
        <v>0</v>
      </c>
      <c r="J25" s="10" t="s">
        <v>273</v>
      </c>
      <c r="K25" s="192">
        <f ca="1">SUMIF(MtM!$A$2:$A$500,J25,MtM!$C$2:$C$500)</f>
        <v>3118272</v>
      </c>
      <c r="L25" s="192">
        <f ca="1">SUMIF(MtM!$A$2:$A$500,J25,MtM!$D$2:$D$500)</f>
        <v>0</v>
      </c>
      <c r="M25" s="192">
        <f ca="1">SUMIF(MtM!$A$2:$A$500,J25,MtM!$E$2:$E$500)</f>
        <v>3118272</v>
      </c>
      <c r="O25" s="191"/>
      <c r="P25" s="191"/>
      <c r="Q25" s="191"/>
      <c r="R25" s="191"/>
    </row>
    <row r="26" spans="1:18" x14ac:dyDescent="0.35">
      <c r="A26" s="10" t="s">
        <v>328</v>
      </c>
      <c r="B26" s="10" t="s">
        <v>206</v>
      </c>
      <c r="C26" s="192">
        <f>SUMIF(BD_COMERCIAL!$FK$3:$FK$317,MtM!B26,BD_COMERCIAL!$GO$3:$GO$317)</f>
        <v>0</v>
      </c>
      <c r="D26" s="192">
        <f>SUMIF(BD_COMERCIAL!$FK$3:$FK$317,MtM!B26,BD_COMERCIAL!$GP$3:$GP$317)</f>
        <v>0</v>
      </c>
      <c r="E26" s="192">
        <f>SUMIF(BD_COMERCIAL!$FK$3:$FK$317,MtM!B26,BD_COMERCIAL!$FM$3:$FM$317)</f>
        <v>0</v>
      </c>
      <c r="F26" s="192">
        <f>SUMIF(BD_COMERCIAL!$FK$3:$FK$317,MtM!$B26,BD_COMERCIAL!$FL$3:$FL$317)</f>
        <v>0</v>
      </c>
      <c r="J26" s="10" t="s">
        <v>278</v>
      </c>
      <c r="K26" s="192">
        <f ca="1">SUMIF(MtM!$A$2:$A$500,J26,MtM!$C$2:$C$500)</f>
        <v>401760</v>
      </c>
      <c r="L26" s="192">
        <f ca="1">SUMIF(MtM!$A$2:$A$500,J26,MtM!$D$2:$D$500)</f>
        <v>-2536848</v>
      </c>
      <c r="M26" s="192">
        <f ca="1">SUMIF(MtM!$A$2:$A$500,J26,MtM!$E$2:$E$500)</f>
        <v>-2135088</v>
      </c>
      <c r="O26" s="191"/>
      <c r="P26" s="191"/>
      <c r="Q26" s="191"/>
      <c r="R26" s="191"/>
    </row>
    <row r="27" spans="1:18" x14ac:dyDescent="0.35">
      <c r="A27" s="10" t="s">
        <v>328</v>
      </c>
      <c r="B27" s="10" t="s">
        <v>322</v>
      </c>
      <c r="C27" s="192">
        <f>SUMIF(BD_COMERCIAL!$FK$3:$FK$317,MtM!B27,BD_COMERCIAL!$GO$3:$GO$317)</f>
        <v>0</v>
      </c>
      <c r="D27" s="192">
        <f>SUMIF(BD_COMERCIAL!$FK$3:$FK$317,MtM!B27,BD_COMERCIAL!$GP$3:$GP$317)</f>
        <v>0</v>
      </c>
      <c r="E27" s="192">
        <f>SUMIF(BD_COMERCIAL!$FK$3:$FK$317,MtM!B27,BD_COMERCIAL!$FM$3:$FM$317)</f>
        <v>0</v>
      </c>
      <c r="F27" s="192">
        <f>SUMIF(BD_COMERCIAL!$FK$3:$FK$317,MtM!$B27,BD_COMERCIAL!$FL$3:$FL$317)</f>
        <v>0</v>
      </c>
      <c r="J27" s="10" t="s">
        <v>292</v>
      </c>
      <c r="K27" s="192">
        <f>SUMIF(MtM!$A$2:$A$500,J27,MtM!$C$2:$C$500)</f>
        <v>0</v>
      </c>
      <c r="L27" s="192">
        <f>SUMIF(MtM!$A$2:$A$500,J27,MtM!$D$2:$D$500)</f>
        <v>0</v>
      </c>
      <c r="M27" s="192">
        <f>SUMIF(MtM!$A$2:$A$500,J27,MtM!$E$2:$E$500)</f>
        <v>0</v>
      </c>
      <c r="O27" s="191"/>
      <c r="P27" s="191"/>
      <c r="Q27" s="191"/>
      <c r="R27" s="191"/>
    </row>
    <row r="28" spans="1:18" x14ac:dyDescent="0.35">
      <c r="A28" s="10" t="s">
        <v>208</v>
      </c>
      <c r="B28" s="10" t="s">
        <v>208</v>
      </c>
      <c r="C28" s="192">
        <f>SUMIF(BD_COMERCIAL!$FK$3:$FK$317,MtM!B28,BD_COMERCIAL!$GO$3:$GO$317)</f>
        <v>0</v>
      </c>
      <c r="D28" s="192">
        <f>SUMIF(BD_COMERCIAL!$FK$3:$FK$317,MtM!B28,BD_COMERCIAL!$GP$3:$GP$317)</f>
        <v>0</v>
      </c>
      <c r="E28" s="192">
        <f>SUMIF(BD_COMERCIAL!$FK$3:$FK$317,MtM!B28,BD_COMERCIAL!$FM$3:$FM$317)</f>
        <v>0</v>
      </c>
      <c r="F28" s="192">
        <f>SUMIF(BD_COMERCIAL!$FK$3:$FK$317,MtM!$B28,BD_COMERCIAL!$FL$3:$FL$317)</f>
        <v>0</v>
      </c>
      <c r="J28" s="10" t="s">
        <v>293</v>
      </c>
      <c r="K28" s="192">
        <f ca="1">SUMIF(MtM!$A$2:$A$500,J28,MtM!$C$2:$C$500)</f>
        <v>0</v>
      </c>
      <c r="L28" s="192">
        <f ca="1">SUMIF(MtM!$A$2:$A$500,J28,MtM!$D$2:$D$500)</f>
        <v>-5952</v>
      </c>
      <c r="M28" s="192">
        <f ca="1">SUMIF(MtM!$A$2:$A$500,J28,MtM!$E$2:$E$500)</f>
        <v>-5952</v>
      </c>
      <c r="O28" s="191"/>
      <c r="P28" s="191"/>
      <c r="Q28" s="191"/>
      <c r="R28" s="191"/>
    </row>
    <row r="29" spans="1:18" x14ac:dyDescent="0.35">
      <c r="A29" s="10" t="s">
        <v>272</v>
      </c>
      <c r="B29" s="10" t="s">
        <v>141</v>
      </c>
      <c r="C29" s="192">
        <f ca="1">SUMIF(BD_COMERCIAL!$FK$3:$FK$317,MtM!B29,BD_COMERCIAL!$GO$3:$GO$317)</f>
        <v>0</v>
      </c>
      <c r="D29" s="192">
        <f ca="1">SUMIF(BD_COMERCIAL!$FK$3:$FK$317,MtM!B29,BD_COMERCIAL!$GP$3:$GP$317)</f>
        <v>-11732850</v>
      </c>
      <c r="E29" s="192">
        <f ca="1">SUMIF(BD_COMERCIAL!$FK$3:$FK$317,MtM!B29,BD_COMERCIAL!$FM$3:$FM$317)</f>
        <v>-11732850</v>
      </c>
      <c r="F29" s="192">
        <f ca="1">SUMIF(BD_COMERCIAL!$FK$3:$FK$317,MtM!$B29,BD_COMERCIAL!$FL$3:$FL$317)</f>
        <v>-1129950</v>
      </c>
      <c r="J29" s="10" t="s">
        <v>228</v>
      </c>
      <c r="K29" s="192">
        <f ca="1">SUMIF(MtM!$A$2:$A$500,J29,MtM!$C$2:$C$500)</f>
        <v>0</v>
      </c>
      <c r="L29" s="192">
        <f ca="1">SUMIF(MtM!$A$2:$A$500,J29,MtM!$D$2:$D$500)</f>
        <v>0</v>
      </c>
      <c r="M29" s="192">
        <f ca="1">SUMIF(MtM!$A$2:$A$500,J29,MtM!$E$2:$E$500)</f>
        <v>0</v>
      </c>
      <c r="O29" s="191"/>
      <c r="P29" s="191"/>
      <c r="Q29" s="191"/>
      <c r="R29" s="191"/>
    </row>
    <row r="30" spans="1:18" x14ac:dyDescent="0.35">
      <c r="A30" s="10" t="s">
        <v>272</v>
      </c>
      <c r="B30" s="10" t="s">
        <v>147</v>
      </c>
      <c r="C30" s="192">
        <f>SUMIF(BD_COMERCIAL!$FK$3:$FK$317,MtM!B30,BD_COMERCIAL!$GO$3:$GO$317)</f>
        <v>0</v>
      </c>
      <c r="D30" s="192">
        <f>SUMIF(BD_COMERCIAL!$FK$3:$FK$317,MtM!B30,BD_COMERCIAL!$GP$3:$GP$317)</f>
        <v>0</v>
      </c>
      <c r="E30" s="192">
        <f>SUMIF(BD_COMERCIAL!$FK$3:$FK$317,MtM!B30,BD_COMERCIAL!$FM$3:$FM$317)</f>
        <v>0</v>
      </c>
      <c r="F30" s="192">
        <f>SUMIF(BD_COMERCIAL!$FK$3:$FK$317,MtM!$B30,BD_COMERCIAL!$FL$3:$FL$317)</f>
        <v>0</v>
      </c>
      <c r="J30" s="10" t="s">
        <v>194</v>
      </c>
      <c r="K30" s="192">
        <f ca="1">SUMIF(MtM!$A$2:$A$500,J30,MtM!$C$2:$C$500)</f>
        <v>362496</v>
      </c>
      <c r="L30" s="192">
        <f ca="1">SUMIF(MtM!$A$2:$A$500,J30,MtM!$D$2:$D$500)</f>
        <v>0</v>
      </c>
      <c r="M30" s="192">
        <f ca="1">SUMIF(MtM!$A$2:$A$500,J30,MtM!$E$2:$E$500)</f>
        <v>362496</v>
      </c>
      <c r="O30" s="191"/>
      <c r="P30" s="191"/>
      <c r="Q30" s="191"/>
      <c r="R30" s="191"/>
    </row>
    <row r="31" spans="1:18" x14ac:dyDescent="0.35">
      <c r="A31" s="10" t="s">
        <v>294</v>
      </c>
      <c r="B31" s="10" t="s">
        <v>155</v>
      </c>
      <c r="C31" s="192">
        <f ca="1">SUMIF(BD_COMERCIAL!$FK$3:$FK$317,MtM!B31,BD_COMERCIAL!$GO$3:$GO$317)</f>
        <v>5339256</v>
      </c>
      <c r="D31" s="192">
        <f ca="1">SUMIF(BD_COMERCIAL!$FK$3:$FK$317,MtM!B31,BD_COMERCIAL!$GP$3:$GP$317)</f>
        <v>0</v>
      </c>
      <c r="E31" s="192">
        <f ca="1">SUMIF(BD_COMERCIAL!$FK$3:$FK$317,MtM!B31,BD_COMERCIAL!$FM$3:$FM$317)</f>
        <v>5339256</v>
      </c>
      <c r="F31" s="192">
        <f ca="1">SUMIF(BD_COMERCIAL!$FK$3:$FK$317,MtM!$B31,BD_COMERCIAL!$FL$3:$FL$317)</f>
        <v>325872</v>
      </c>
      <c r="J31" s="10" t="s">
        <v>230</v>
      </c>
      <c r="K31" s="192">
        <f>SUMIF(MtM!$A$2:$A$500,J31,MtM!$C$2:$C$500)</f>
        <v>0</v>
      </c>
      <c r="L31" s="192">
        <f>SUMIF(MtM!$A$2:$A$500,J31,MtM!$D$2:$D$500)</f>
        <v>0</v>
      </c>
      <c r="M31" s="192">
        <f>SUMIF(MtM!$A$2:$A$500,J31,MtM!$E$2:$E$500)</f>
        <v>0</v>
      </c>
      <c r="O31" s="191"/>
      <c r="P31" s="191"/>
      <c r="Q31" s="191"/>
      <c r="R31" s="191"/>
    </row>
    <row r="32" spans="1:18" x14ac:dyDescent="0.35">
      <c r="A32" s="10" t="s">
        <v>290</v>
      </c>
      <c r="B32" s="10" t="s">
        <v>150</v>
      </c>
      <c r="C32" s="192">
        <f>SUMIF(BD_COMERCIAL!$FK$3:$FK$317,MtM!B32,BD_COMERCIAL!$GO$3:$GO$317)</f>
        <v>0</v>
      </c>
      <c r="D32" s="192">
        <f>SUMIF(BD_COMERCIAL!$FK$3:$FK$317,MtM!B32,BD_COMERCIAL!$GP$3:$GP$317)</f>
        <v>0</v>
      </c>
      <c r="E32" s="192">
        <f>SUMIF(BD_COMERCIAL!$FK$3:$FK$317,MtM!B32,BD_COMERCIAL!$FM$3:$FM$317)</f>
        <v>0</v>
      </c>
      <c r="F32" s="192">
        <f>SUMIF(BD_COMERCIAL!$FK$3:$FK$317,MtM!$B32,BD_COMERCIAL!$FL$3:$FL$317)</f>
        <v>0</v>
      </c>
      <c r="J32" s="10" t="s">
        <v>307</v>
      </c>
      <c r="K32" s="192">
        <f ca="1">SUMIF(MtM!$A$2:$A$500,J32,MtM!$C$2:$C$500)</f>
        <v>0</v>
      </c>
      <c r="L32" s="192">
        <f ca="1">SUMIF(MtM!$A$2:$A$500,J32,MtM!$D$2:$D$500)</f>
        <v>-1339176</v>
      </c>
      <c r="M32" s="192">
        <f ca="1">SUMIF(MtM!$A$2:$A$500,J32,MtM!$E$2:$E$500)</f>
        <v>-1339176</v>
      </c>
      <c r="O32" s="191"/>
      <c r="P32" s="191"/>
      <c r="Q32" s="191"/>
      <c r="R32" s="191"/>
    </row>
    <row r="33" spans="1:18" x14ac:dyDescent="0.35">
      <c r="A33" s="10" t="s">
        <v>214</v>
      </c>
      <c r="B33" s="10" t="s">
        <v>214</v>
      </c>
      <c r="C33" s="192">
        <f ca="1">SUMIF(BD_COMERCIAL!$FK$3:$FK$317,MtM!B33,BD_COMERCIAL!$GO$3:$GO$317)</f>
        <v>0</v>
      </c>
      <c r="D33" s="192">
        <f ca="1">SUMIF(BD_COMERCIAL!$FK$3:$FK$317,MtM!B33,BD_COMERCIAL!$GP$3:$GP$317)</f>
        <v>-2024880</v>
      </c>
      <c r="E33" s="192">
        <f ca="1">SUMIF(BD_COMERCIAL!$FK$3:$FK$317,MtM!B33,BD_COMERCIAL!$FM$3:$FM$317)</f>
        <v>-2024880</v>
      </c>
      <c r="F33" s="192">
        <f ca="1">SUMIF(BD_COMERCIAL!$FK$3:$FK$317,MtM!$B33,BD_COMERCIAL!$FL$3:$FL$317)</f>
        <v>-1063920</v>
      </c>
      <c r="J33" s="10" t="s">
        <v>178</v>
      </c>
      <c r="K33" s="192">
        <f>SUMIF(MtM!$A$2:$A$500,J33,MtM!$C$2:$C$500)</f>
        <v>0</v>
      </c>
      <c r="L33" s="192">
        <f>SUMIF(MtM!$A$2:$A$500,J33,MtM!$D$2:$D$500)</f>
        <v>0</v>
      </c>
      <c r="M33" s="192">
        <f>SUMIF(MtM!$A$2:$A$500,J33,MtM!$E$2:$E$500)</f>
        <v>0</v>
      </c>
      <c r="O33" s="191"/>
      <c r="P33" s="191"/>
      <c r="Q33" s="191"/>
      <c r="R33" s="191"/>
    </row>
    <row r="34" spans="1:18" x14ac:dyDescent="0.35">
      <c r="A34" s="10" t="s">
        <v>273</v>
      </c>
      <c r="B34" s="10" t="s">
        <v>131</v>
      </c>
      <c r="C34" s="192">
        <f ca="1">SUMIF(BD_COMERCIAL!$FK$3:$FK$317,MtM!B34,BD_COMERCIAL!$GO$3:$GO$317)</f>
        <v>3118272</v>
      </c>
      <c r="D34" s="192">
        <f ca="1">SUMIF(BD_COMERCIAL!$FK$3:$FK$317,MtM!B34,BD_COMERCIAL!$GP$3:$GP$317)</f>
        <v>0</v>
      </c>
      <c r="E34" s="192">
        <f ca="1">SUMIF(BD_COMERCIAL!$FK$3:$FK$317,MtM!B34,BD_COMERCIAL!$FM$3:$FM$317)</f>
        <v>3118272</v>
      </c>
      <c r="F34" s="192">
        <f ca="1">SUMIF(BD_COMERCIAL!$FK$3:$FK$317,MtM!$B34,BD_COMERCIAL!$FL$3:$FL$317)</f>
        <v>928512</v>
      </c>
      <c r="J34" s="10" t="s">
        <v>140</v>
      </c>
      <c r="K34" s="192">
        <f>SUMIF(MtM!$A$2:$A$500,J34,MtM!$C$2:$C$500)</f>
        <v>0</v>
      </c>
      <c r="L34" s="192">
        <f>SUMIF(MtM!$A$2:$A$500,J34,MtM!$D$2:$D$500)</f>
        <v>0</v>
      </c>
      <c r="M34" s="192">
        <f>SUMIF(MtM!$A$2:$A$500,J34,MtM!$E$2:$E$500)</f>
        <v>0</v>
      </c>
      <c r="O34" s="191"/>
      <c r="P34" s="191"/>
      <c r="Q34" s="191"/>
      <c r="R34" s="191"/>
    </row>
    <row r="35" spans="1:18" x14ac:dyDescent="0.35">
      <c r="A35" s="10" t="s">
        <v>273</v>
      </c>
      <c r="B35" s="10" t="s">
        <v>246</v>
      </c>
      <c r="C35" s="192">
        <f>SUMIF(BD_COMERCIAL!$FK$3:$FK$317,MtM!B35,BD_COMERCIAL!$GO$3:$GO$317)</f>
        <v>0</v>
      </c>
      <c r="D35" s="192">
        <f>SUMIF(BD_COMERCIAL!$FK$3:$FK$317,MtM!B35,BD_COMERCIAL!$GP$3:$GP$317)</f>
        <v>0</v>
      </c>
      <c r="E35" s="192">
        <f>SUMIF(BD_COMERCIAL!$FK$3:$FK$317,MtM!B35,BD_COMERCIAL!$FM$3:$FM$317)</f>
        <v>0</v>
      </c>
      <c r="F35" s="192">
        <f>SUMIF(BD_COMERCIAL!$FK$3:$FK$317,MtM!$B35,BD_COMERCIAL!$FL$3:$FL$317)</f>
        <v>0</v>
      </c>
      <c r="J35" s="10" t="s">
        <v>176</v>
      </c>
      <c r="K35" s="192">
        <f>SUMIF(MtM!$A$2:$A$500,J35,MtM!$C$2:$C$500)</f>
        <v>0</v>
      </c>
      <c r="L35" s="192">
        <f>SUMIF(MtM!$A$2:$A$500,J35,MtM!$D$2:$D$500)</f>
        <v>0</v>
      </c>
      <c r="M35" s="192">
        <f>SUMIF(MtM!$A$2:$A$500,J35,MtM!$E$2:$E$500)</f>
        <v>0</v>
      </c>
      <c r="O35" s="191"/>
      <c r="P35" s="191"/>
      <c r="Q35" s="191"/>
      <c r="R35" s="191"/>
    </row>
    <row r="36" spans="1:18" x14ac:dyDescent="0.35">
      <c r="A36" s="10" t="s">
        <v>278</v>
      </c>
      <c r="B36" s="10" t="s">
        <v>299</v>
      </c>
      <c r="C36" s="192">
        <f ca="1">SUMIF(BD_COMERCIAL!$FK$3:$FK$317,MtM!B36,BD_COMERCIAL!$GO$3:$GO$317)</f>
        <v>0</v>
      </c>
      <c r="D36" s="192">
        <f ca="1">SUMIF(BD_COMERCIAL!$FK$3:$FK$317,MtM!B36,BD_COMERCIAL!$GP$3:$GP$317)</f>
        <v>-2117232</v>
      </c>
      <c r="E36" s="192">
        <f ca="1">SUMIF(BD_COMERCIAL!$FK$3:$FK$317,MtM!B36,BD_COMERCIAL!$FM$3:$FM$317)</f>
        <v>-2117232</v>
      </c>
      <c r="F36" s="192">
        <f ca="1">SUMIF(BD_COMERCIAL!$FK$3:$FK$317,MtM!$B36,BD_COMERCIAL!$FL$3:$FL$317)</f>
        <v>-200880</v>
      </c>
      <c r="J36" s="10" t="s">
        <v>138</v>
      </c>
      <c r="K36" s="192">
        <f ca="1">SUMIF(MtM!$A$2:$A$500,J36,MtM!$C$2:$C$500)</f>
        <v>2352</v>
      </c>
      <c r="L36" s="192">
        <f ca="1">SUMIF(MtM!$A$2:$A$500,J36,MtM!$D$2:$D$500)</f>
        <v>0</v>
      </c>
      <c r="M36" s="192">
        <f ca="1">SUMIF(MtM!$A$2:$A$500,J36,MtM!$E$2:$E$500)</f>
        <v>2352</v>
      </c>
      <c r="O36" s="191"/>
      <c r="P36" s="191"/>
      <c r="Q36" s="191"/>
      <c r="R36" s="191"/>
    </row>
    <row r="37" spans="1:18" x14ac:dyDescent="0.35">
      <c r="A37" s="10" t="s">
        <v>278</v>
      </c>
      <c r="B37" s="10" t="s">
        <v>160</v>
      </c>
      <c r="C37" s="192">
        <f ca="1">SUMIF(BD_COMERCIAL!$FK$3:$FK$317,MtM!B37,BD_COMERCIAL!$GO$3:$GO$317)</f>
        <v>401760</v>
      </c>
      <c r="D37" s="192">
        <f ca="1">SUMIF(BD_COMERCIAL!$FK$3:$FK$317,MtM!B37,BD_COMERCIAL!$GP$3:$GP$317)</f>
        <v>-419616</v>
      </c>
      <c r="E37" s="192">
        <f ca="1">SUMIF(BD_COMERCIAL!$FK$3:$FK$317,MtM!B37,BD_COMERCIAL!$FM$3:$FM$317)</f>
        <v>-17856</v>
      </c>
      <c r="F37" s="192">
        <f ca="1">SUMIF(BD_COMERCIAL!$FK$3:$FK$317,MtM!$B37,BD_COMERCIAL!$FL$3:$FL$317)</f>
        <v>0</v>
      </c>
      <c r="J37" s="10" t="s">
        <v>212</v>
      </c>
      <c r="K37" s="192">
        <f ca="1">SUMIF(MtM!$A$2:$A$500,J37,MtM!$C$2:$C$500)</f>
        <v>2984400</v>
      </c>
      <c r="L37" s="192">
        <f ca="1">SUMIF(MtM!$A$2:$A$500,J37,MtM!$D$2:$D$500)</f>
        <v>0</v>
      </c>
      <c r="M37" s="192">
        <f ca="1">SUMIF(MtM!$A$2:$A$500,J37,MtM!$E$2:$E$500)</f>
        <v>2984400</v>
      </c>
      <c r="O37" s="191"/>
      <c r="P37" s="191"/>
      <c r="Q37" s="191"/>
      <c r="R37" s="191"/>
    </row>
    <row r="38" spans="1:18" x14ac:dyDescent="0.35">
      <c r="A38" s="10" t="s">
        <v>292</v>
      </c>
      <c r="B38" s="10" t="s">
        <v>162</v>
      </c>
      <c r="C38" s="192">
        <f>SUMIF(BD_COMERCIAL!$FK$3:$FK$317,MtM!B38,BD_COMERCIAL!$GO$3:$GO$317)</f>
        <v>0</v>
      </c>
      <c r="D38" s="192">
        <f>SUMIF(BD_COMERCIAL!$FK$3:$FK$317,MtM!B38,BD_COMERCIAL!$GP$3:$GP$317)</f>
        <v>0</v>
      </c>
      <c r="E38" s="192">
        <f>SUMIF(BD_COMERCIAL!$FK$3:$FK$317,MtM!B38,BD_COMERCIAL!$FM$3:$FM$317)</f>
        <v>0</v>
      </c>
      <c r="F38" s="192">
        <f>SUMIF(BD_COMERCIAL!$FK$3:$FK$317,MtM!$B38,BD_COMERCIAL!$FL$3:$FL$317)</f>
        <v>0</v>
      </c>
      <c r="J38" s="10" t="s">
        <v>295</v>
      </c>
      <c r="K38" s="192">
        <f>SUMIF(MtM!$A$2:$A$500,J38,MtM!$C$2:$C$500)</f>
        <v>0</v>
      </c>
      <c r="L38" s="192">
        <f>SUMIF(MtM!$A$2:$A$500,J38,MtM!$D$2:$D$500)</f>
        <v>0</v>
      </c>
      <c r="M38" s="192">
        <f>SUMIF(MtM!$A$2:$A$500,J38,MtM!$E$2:$E$500)</f>
        <v>0</v>
      </c>
      <c r="O38" s="191"/>
      <c r="P38" s="191"/>
      <c r="Q38" s="191"/>
      <c r="R38" s="191"/>
    </row>
    <row r="39" spans="1:18" x14ac:dyDescent="0.35">
      <c r="A39" s="10" t="s">
        <v>293</v>
      </c>
      <c r="B39" s="10" t="s">
        <v>171</v>
      </c>
      <c r="C39" s="192">
        <f ca="1">SUMIF(BD_COMERCIAL!$FK$3:$FK$317,MtM!B39,BD_COMERCIAL!$GO$3:$GO$317)</f>
        <v>0</v>
      </c>
      <c r="D39" s="192">
        <f ca="1">SUMIF(BD_COMERCIAL!$FK$3:$FK$317,MtM!B39,BD_COMERCIAL!$GP$3:$GP$317)</f>
        <v>-5952</v>
      </c>
      <c r="E39" s="192">
        <f ca="1">SUMIF(BD_COMERCIAL!$FK$3:$FK$317,MtM!B39,BD_COMERCIAL!$FM$3:$FM$317)</f>
        <v>-5952</v>
      </c>
      <c r="F39" s="192">
        <f ca="1">SUMIF(BD_COMERCIAL!$FK$3:$FK$317,MtM!$B39,BD_COMERCIAL!$FL$3:$FL$317)</f>
        <v>55800</v>
      </c>
      <c r="J39" s="10" t="s">
        <v>187</v>
      </c>
      <c r="K39" s="192">
        <f ca="1">SUMIF(MtM!$A$2:$A$500,J39,MtM!$C$2:$C$500)</f>
        <v>16704</v>
      </c>
      <c r="L39" s="192">
        <f ca="1">SUMIF(MtM!$A$2:$A$500,J39,MtM!$D$2:$D$500)</f>
        <v>0</v>
      </c>
      <c r="M39" s="192">
        <f ca="1">SUMIF(MtM!$A$2:$A$500,J39,MtM!$E$2:$E$500)</f>
        <v>16704</v>
      </c>
      <c r="O39" s="191"/>
      <c r="P39" s="191"/>
      <c r="Q39" s="191"/>
      <c r="R39" s="191"/>
    </row>
    <row r="40" spans="1:18" x14ac:dyDescent="0.35">
      <c r="A40" s="10" t="s">
        <v>228</v>
      </c>
      <c r="B40" s="10" t="s">
        <v>228</v>
      </c>
      <c r="C40" s="192">
        <f ca="1">SUMIF(BD_COMERCIAL!$FK$3:$FK$317,MtM!B40,BD_COMERCIAL!$GO$3:$GO$317)</f>
        <v>0</v>
      </c>
      <c r="D40" s="192">
        <f ca="1">SUMIF(BD_COMERCIAL!$FK$3:$FK$317,MtM!B40,BD_COMERCIAL!$GP$3:$GP$317)</f>
        <v>0</v>
      </c>
      <c r="E40" s="192">
        <f ca="1">SUMIF(BD_COMERCIAL!$FK$3:$FK$317,MtM!B40,BD_COMERCIAL!$FM$3:$FM$317)</f>
        <v>0</v>
      </c>
      <c r="F40" s="192">
        <f ca="1">SUMIF(BD_COMERCIAL!$FK$3:$FK$317,MtM!$B40,BD_COMERCIAL!$FL$3:$FL$317)</f>
        <v>744</v>
      </c>
      <c r="J40" s="10" t="s">
        <v>211</v>
      </c>
      <c r="K40" s="192">
        <f ca="1">SUMIF(MtM!$A$2:$A$500,J40,MtM!$C$2:$C$500)</f>
        <v>0</v>
      </c>
      <c r="L40" s="192">
        <f ca="1">SUMIF(MtM!$A$2:$A$500,J40,MtM!$D$2:$D$500)</f>
        <v>0</v>
      </c>
      <c r="M40" s="192">
        <f ca="1">SUMIF(MtM!$A$2:$A$500,J40,MtM!$E$2:$E$500)</f>
        <v>0</v>
      </c>
      <c r="O40" s="191"/>
      <c r="P40" s="191"/>
      <c r="Q40" s="191"/>
      <c r="R40" s="191"/>
    </row>
    <row r="41" spans="1:18" x14ac:dyDescent="0.35">
      <c r="A41" s="10" t="s">
        <v>194</v>
      </c>
      <c r="B41" s="10" t="s">
        <v>194</v>
      </c>
      <c r="C41" s="192">
        <f ca="1">SUMIF(BD_COMERCIAL!$FK$3:$FK$317,MtM!B41,BD_COMERCIAL!$GO$3:$GO$317)</f>
        <v>362496</v>
      </c>
      <c r="D41" s="192">
        <f ca="1">SUMIF(BD_COMERCIAL!$FK$3:$FK$317,MtM!B41,BD_COMERCIAL!$GP$3:$GP$317)</f>
        <v>0</v>
      </c>
      <c r="E41" s="192">
        <f ca="1">SUMIF(BD_COMERCIAL!$FK$3:$FK$317,MtM!B41,BD_COMERCIAL!$FM$3:$FM$317)</f>
        <v>362496</v>
      </c>
      <c r="F41" s="192">
        <f ca="1">SUMIF(BD_COMERCIAL!$FK$3:$FK$317,MtM!$B41,BD_COMERCIAL!$FL$3:$FL$317)</f>
        <v>190464</v>
      </c>
      <c r="J41" s="10" t="s">
        <v>239</v>
      </c>
      <c r="K41" s="192">
        <f>SUMIF(MtM!$A$2:$A$500,J41,MtM!$C$2:$C$500)</f>
        <v>0</v>
      </c>
      <c r="L41" s="192">
        <f>SUMIF(MtM!$A$2:$A$500,J41,MtM!$D$2:$D$500)</f>
        <v>0</v>
      </c>
      <c r="M41" s="192">
        <f>SUMIF(MtM!$A$2:$A$500,J41,MtM!$E$2:$E$500)</f>
        <v>0</v>
      </c>
      <c r="O41" s="191"/>
      <c r="P41" s="191"/>
      <c r="Q41" s="191"/>
      <c r="R41" s="191"/>
    </row>
    <row r="42" spans="1:18" x14ac:dyDescent="0.35">
      <c r="A42" s="10" t="s">
        <v>230</v>
      </c>
      <c r="B42" s="10" t="s">
        <v>230</v>
      </c>
      <c r="C42" s="192">
        <f>SUMIF(BD_COMERCIAL!$FK$3:$FK$317,MtM!B42,BD_COMERCIAL!$GO$3:$GO$317)</f>
        <v>0</v>
      </c>
      <c r="D42" s="192">
        <f>SUMIF(BD_COMERCIAL!$FK$3:$FK$317,MtM!B42,BD_COMERCIAL!$GP$3:$GP$317)</f>
        <v>0</v>
      </c>
      <c r="E42" s="192">
        <f>SUMIF(BD_COMERCIAL!$FK$3:$FK$317,MtM!B42,BD_COMERCIAL!$FM$3:$FM$317)</f>
        <v>0</v>
      </c>
      <c r="F42" s="192">
        <f>SUMIF(BD_COMERCIAL!$FK$3:$FK$317,MtM!$B42,BD_COMERCIAL!$FL$3:$FL$317)</f>
        <v>0</v>
      </c>
      <c r="J42" s="10" t="s">
        <v>200</v>
      </c>
      <c r="K42" s="192">
        <f>SUMIF(MtM!$A$2:$A$500,J42,MtM!$C$2:$C$500)</f>
        <v>0</v>
      </c>
      <c r="L42" s="192">
        <f>SUMIF(MtM!$A$2:$A$500,J42,MtM!$D$2:$D$500)</f>
        <v>0</v>
      </c>
      <c r="M42" s="192">
        <f>SUMIF(MtM!$A$2:$A$500,J42,MtM!$E$2:$E$500)</f>
        <v>0</v>
      </c>
      <c r="O42" s="191"/>
      <c r="P42" s="191"/>
      <c r="Q42" s="191"/>
      <c r="R42" s="191"/>
    </row>
    <row r="43" spans="1:18" x14ac:dyDescent="0.35">
      <c r="A43" s="10" t="s">
        <v>307</v>
      </c>
      <c r="B43" s="10" t="s">
        <v>307</v>
      </c>
      <c r="C43" s="192">
        <f ca="1">SUMIF(BD_COMERCIAL!$FK$3:$FK$317,MtM!B43,BD_COMERCIAL!$GO$3:$GO$317)</f>
        <v>0</v>
      </c>
      <c r="D43" s="192">
        <f ca="1">SUMIF(BD_COMERCIAL!$FK$3:$FK$317,MtM!B43,BD_COMERCIAL!$GP$3:$GP$317)</f>
        <v>-1339176</v>
      </c>
      <c r="E43" s="192">
        <f ca="1">SUMIF(BD_COMERCIAL!$FK$3:$FK$317,MtM!B43,BD_COMERCIAL!$FM$3:$FM$317)</f>
        <v>-1339176</v>
      </c>
      <c r="F43" s="192">
        <f ca="1">SUMIF(BD_COMERCIAL!$FK$3:$FK$317,MtM!$B43,BD_COMERCIAL!$FL$3:$FL$317)</f>
        <v>-126480</v>
      </c>
      <c r="J43" s="10" t="s">
        <v>148</v>
      </c>
      <c r="K43" s="192">
        <f>SUMIF(MtM!$A$2:$A$500,J43,MtM!$C$2:$C$500)</f>
        <v>0</v>
      </c>
      <c r="L43" s="192">
        <f>SUMIF(MtM!$A$2:$A$500,J43,MtM!$D$2:$D$500)</f>
        <v>0</v>
      </c>
      <c r="M43" s="192">
        <f>SUMIF(MtM!$A$2:$A$500,J43,MtM!$E$2:$E$500)</f>
        <v>0</v>
      </c>
      <c r="O43" s="191"/>
      <c r="P43" s="191"/>
      <c r="Q43" s="191"/>
      <c r="R43" s="191"/>
    </row>
    <row r="44" spans="1:18" x14ac:dyDescent="0.35">
      <c r="A44" s="10" t="s">
        <v>292</v>
      </c>
      <c r="B44" s="10" t="s">
        <v>227</v>
      </c>
      <c r="C44" s="192">
        <f>SUMIF(BD_COMERCIAL!$FK$3:$FK$317,MtM!B44,BD_COMERCIAL!$GO$3:$GO$317)</f>
        <v>0</v>
      </c>
      <c r="D44" s="192">
        <f>SUMIF(BD_COMERCIAL!$FK$3:$FK$317,MtM!B44,BD_COMERCIAL!$GP$3:$GP$317)</f>
        <v>0</v>
      </c>
      <c r="E44" s="192">
        <f>SUMIF(BD_COMERCIAL!$FK$3:$FK$317,MtM!B44,BD_COMERCIAL!$FM$3:$FM$317)</f>
        <v>0</v>
      </c>
      <c r="F44" s="192">
        <f>SUMIF(BD_COMERCIAL!$FK$3:$FK$317,MtM!$B44,BD_COMERCIAL!$FL$3:$FL$317)</f>
        <v>0</v>
      </c>
      <c r="J44" s="10" t="s">
        <v>282</v>
      </c>
      <c r="K44" s="192">
        <f>SUMIF(MtM!$A$2:$A$500,J44,MtM!$C$2:$C$500)</f>
        <v>0</v>
      </c>
      <c r="L44" s="192">
        <f>SUMIF(MtM!$A$2:$A$500,J44,MtM!$D$2:$D$500)</f>
        <v>0</v>
      </c>
      <c r="M44" s="192">
        <f>SUMIF(MtM!$A$2:$A$500,J44,MtM!$E$2:$E$500)</f>
        <v>0</v>
      </c>
      <c r="O44" s="191"/>
      <c r="P44" s="191"/>
      <c r="Q44" s="191"/>
      <c r="R44" s="191"/>
    </row>
    <row r="45" spans="1:18" x14ac:dyDescent="0.35">
      <c r="A45" s="10" t="s">
        <v>178</v>
      </c>
      <c r="B45" s="10" t="s">
        <v>178</v>
      </c>
      <c r="C45" s="192">
        <f>SUMIF(BD_COMERCIAL!$FK$3:$FK$317,MtM!B45,BD_COMERCIAL!$GO$3:$GO$317)</f>
        <v>0</v>
      </c>
      <c r="D45" s="192">
        <f>SUMIF(BD_COMERCIAL!$FK$3:$FK$317,MtM!B45,BD_COMERCIAL!$GP$3:$GP$317)</f>
        <v>0</v>
      </c>
      <c r="E45" s="192">
        <f>SUMIF(BD_COMERCIAL!$FK$3:$FK$317,MtM!B45,BD_COMERCIAL!$FM$3:$FM$317)</f>
        <v>0</v>
      </c>
      <c r="F45" s="192">
        <f>SUMIF(BD_COMERCIAL!$FK$3:$FK$317,MtM!$B45,BD_COMERCIAL!$FL$3:$FL$317)</f>
        <v>0</v>
      </c>
      <c r="J45" s="10" t="s">
        <v>193</v>
      </c>
      <c r="K45" s="192">
        <f ca="1">SUMIF(MtM!$A$2:$A$500,J45,MtM!$C$2:$C$500)</f>
        <v>489780</v>
      </c>
      <c r="L45" s="192">
        <f ca="1">SUMIF(MtM!$A$2:$A$500,J45,MtM!$D$2:$D$500)</f>
        <v>-45312.000000000036</v>
      </c>
      <c r="M45" s="192">
        <f ca="1">SUMIF(MtM!$A$2:$A$500,J45,MtM!$E$2:$E$500)</f>
        <v>444467.99999999994</v>
      </c>
      <c r="O45" s="191"/>
      <c r="P45" s="191"/>
      <c r="Q45" s="191"/>
      <c r="R45" s="191"/>
    </row>
    <row r="46" spans="1:18" x14ac:dyDescent="0.35">
      <c r="A46" s="10" t="s">
        <v>140</v>
      </c>
      <c r="B46" s="10" t="s">
        <v>140</v>
      </c>
      <c r="C46" s="192">
        <f>SUMIF(BD_COMERCIAL!$FK$3:$FK$317,MtM!B46,BD_COMERCIAL!$GO$3:$GO$317)</f>
        <v>0</v>
      </c>
      <c r="D46" s="192">
        <f>SUMIF(BD_COMERCIAL!$FK$3:$FK$317,MtM!B46,BD_COMERCIAL!$GP$3:$GP$317)</f>
        <v>0</v>
      </c>
      <c r="E46" s="192">
        <f>SUMIF(BD_COMERCIAL!$FK$3:$FK$317,MtM!B46,BD_COMERCIAL!$FM$3:$FM$317)</f>
        <v>0</v>
      </c>
      <c r="F46" s="192">
        <f>SUMIF(BD_COMERCIAL!$FK$3:$FK$317,MtM!$B46,BD_COMERCIAL!$FL$3:$FL$317)</f>
        <v>0</v>
      </c>
      <c r="J46" s="10" t="s">
        <v>329</v>
      </c>
      <c r="K46" s="192">
        <f ca="1">SUMIF(MtM!$A$2:$A$500,J46,MtM!$C$2:$C$500)</f>
        <v>1768920</v>
      </c>
      <c r="L46" s="192">
        <f ca="1">SUMIF(MtM!$A$2:$A$500,J46,MtM!$D$2:$D$500)</f>
        <v>-752184</v>
      </c>
      <c r="M46" s="192">
        <f ca="1">SUMIF(MtM!$A$2:$A$500,J46,MtM!$E$2:$E$500)</f>
        <v>1016736</v>
      </c>
      <c r="O46" s="191"/>
      <c r="P46" s="191"/>
      <c r="Q46" s="191"/>
      <c r="R46" s="191"/>
    </row>
    <row r="47" spans="1:18" x14ac:dyDescent="0.35">
      <c r="A47" s="10" t="s">
        <v>176</v>
      </c>
      <c r="B47" s="10" t="s">
        <v>176</v>
      </c>
      <c r="C47" s="192">
        <f>SUMIF(BD_COMERCIAL!$FK$3:$FK$317,MtM!B47,BD_COMERCIAL!$GO$3:$GO$317)</f>
        <v>0</v>
      </c>
      <c r="D47" s="192">
        <f>SUMIF(BD_COMERCIAL!$FK$3:$FK$317,MtM!B47,BD_COMERCIAL!$GP$3:$GP$317)</f>
        <v>0</v>
      </c>
      <c r="E47" s="192">
        <f>SUMIF(BD_COMERCIAL!$FK$3:$FK$317,MtM!B47,BD_COMERCIAL!$FM$3:$FM$317)</f>
        <v>0</v>
      </c>
      <c r="F47" s="192">
        <f>SUMIF(BD_COMERCIAL!$FK$3:$FK$317,MtM!$B47,BD_COMERCIAL!$FL$3:$FL$317)</f>
        <v>0</v>
      </c>
      <c r="J47" s="10" t="s">
        <v>172</v>
      </c>
      <c r="K47" s="192">
        <f ca="1">SUMIF(MtM!$A$2:$A$500,J47,MtM!$C$2:$C$500)</f>
        <v>986952</v>
      </c>
      <c r="L47" s="192">
        <f ca="1">SUMIF(MtM!$A$2:$A$500,J47,MtM!$D$2:$D$500)</f>
        <v>0</v>
      </c>
      <c r="M47" s="192">
        <f ca="1">SUMIF(MtM!$A$2:$A$500,J47,MtM!$E$2:$E$500)</f>
        <v>986952</v>
      </c>
      <c r="O47" s="191"/>
      <c r="P47" s="191"/>
      <c r="Q47" s="191"/>
      <c r="R47" s="191"/>
    </row>
    <row r="48" spans="1:18" x14ac:dyDescent="0.35">
      <c r="A48" s="10" t="s">
        <v>138</v>
      </c>
      <c r="B48" s="10" t="s">
        <v>138</v>
      </c>
      <c r="C48" s="192">
        <f ca="1">SUMIF(BD_COMERCIAL!$FK$3:$FK$317,MtM!B48,BD_COMERCIAL!$GO$3:$GO$317)</f>
        <v>2352</v>
      </c>
      <c r="D48" s="192">
        <f ca="1">SUMIF(BD_COMERCIAL!$FK$3:$FK$317,MtM!B48,BD_COMERCIAL!$GP$3:$GP$317)</f>
        <v>0</v>
      </c>
      <c r="E48" s="192">
        <f ca="1">SUMIF(BD_COMERCIAL!$FK$3:$FK$317,MtM!B48,BD_COMERCIAL!$FM$3:$FM$317)</f>
        <v>2352</v>
      </c>
      <c r="F48" s="192">
        <f ca="1">SUMIF(BD_COMERCIAL!$FK$3:$FK$317,MtM!$B48,BD_COMERCIAL!$FL$3:$FL$317)</f>
        <v>0</v>
      </c>
      <c r="J48" s="10" t="s">
        <v>313</v>
      </c>
      <c r="K48" s="192">
        <f ca="1">SUMIF(MtM!$A$2:$A$500,J48,MtM!$C$2:$C$500)</f>
        <v>2260800</v>
      </c>
      <c r="L48" s="192">
        <f ca="1">SUMIF(MtM!$A$2:$A$500,J48,MtM!$D$2:$D$500)</f>
        <v>0</v>
      </c>
      <c r="M48" s="192">
        <f ca="1">SUMIF(MtM!$A$2:$A$500,J48,MtM!$E$2:$E$500)</f>
        <v>2260800</v>
      </c>
      <c r="O48" s="191"/>
      <c r="P48" s="191"/>
      <c r="Q48" s="191"/>
      <c r="R48" s="191"/>
    </row>
    <row r="49" spans="1:18" x14ac:dyDescent="0.35">
      <c r="A49" s="10" t="s">
        <v>212</v>
      </c>
      <c r="B49" s="10" t="s">
        <v>212</v>
      </c>
      <c r="C49" s="192">
        <f ca="1">SUMIF(BD_COMERCIAL!$FK$3:$FK$317,MtM!B49,BD_COMERCIAL!$GO$3:$GO$317)</f>
        <v>2984400</v>
      </c>
      <c r="D49" s="192">
        <f ca="1">SUMIF(BD_COMERCIAL!$FK$3:$FK$317,MtM!B49,BD_COMERCIAL!$GP$3:$GP$317)</f>
        <v>0</v>
      </c>
      <c r="E49" s="192">
        <f ca="1">SUMIF(BD_COMERCIAL!$FK$3:$FK$317,MtM!B49,BD_COMERCIAL!$FM$3:$FM$317)</f>
        <v>2984400</v>
      </c>
      <c r="F49" s="192">
        <f ca="1">SUMIF(BD_COMERCIAL!$FK$3:$FK$317,MtM!$B49,BD_COMERCIAL!$FL$3:$FL$317)</f>
        <v>416640</v>
      </c>
      <c r="J49" s="10" t="s">
        <v>191</v>
      </c>
      <c r="K49" s="192">
        <f>SUMIF(MtM!$A$2:$A$500,J49,MtM!$C$2:$C$500)</f>
        <v>0</v>
      </c>
      <c r="L49" s="192">
        <f>SUMIF(MtM!$A$2:$A$500,J49,MtM!$D$2:$D$500)</f>
        <v>0</v>
      </c>
      <c r="M49" s="192">
        <f>SUMIF(MtM!$A$2:$A$500,J49,MtM!$E$2:$E$500)</f>
        <v>0</v>
      </c>
      <c r="O49" s="191"/>
      <c r="P49" s="191"/>
      <c r="Q49" s="191"/>
      <c r="R49" s="191"/>
    </row>
    <row r="50" spans="1:18" x14ac:dyDescent="0.35">
      <c r="A50" s="10" t="s">
        <v>295</v>
      </c>
      <c r="B50" s="10" t="s">
        <v>209</v>
      </c>
      <c r="C50" s="192">
        <f>SUMIF(BD_COMERCIAL!$FK$3:$FK$317,MtM!B50,BD_COMERCIAL!$GO$3:$GO$317)</f>
        <v>0</v>
      </c>
      <c r="D50" s="192">
        <f>SUMIF(BD_COMERCIAL!$FK$3:$FK$317,MtM!B50,BD_COMERCIAL!$GP$3:$GP$317)</f>
        <v>0</v>
      </c>
      <c r="E50" s="192">
        <f>SUMIF(BD_COMERCIAL!$FK$3:$FK$317,MtM!B50,BD_COMERCIAL!$FM$3:$FM$317)</f>
        <v>0</v>
      </c>
      <c r="F50" s="192">
        <f>SUMIF(BD_COMERCIAL!$FK$3:$FK$317,MtM!$B50,BD_COMERCIAL!$FL$3:$FL$317)</f>
        <v>0</v>
      </c>
      <c r="J50" s="10" t="s">
        <v>240</v>
      </c>
      <c r="K50" s="192">
        <f>SUMIF(MtM!$A$2:$A$500,J50,MtM!$C$2:$C$500)</f>
        <v>0</v>
      </c>
      <c r="L50" s="192">
        <f>SUMIF(MtM!$A$2:$A$500,J50,MtM!$D$2:$D$500)</f>
        <v>0</v>
      </c>
      <c r="M50" s="192">
        <f>SUMIF(MtM!$A$2:$A$500,J50,MtM!$E$2:$E$500)</f>
        <v>0</v>
      </c>
      <c r="O50" s="191"/>
      <c r="P50" s="191"/>
      <c r="Q50" s="191"/>
      <c r="R50" s="191"/>
    </row>
    <row r="51" spans="1:18" x14ac:dyDescent="0.35">
      <c r="A51" s="10" t="s">
        <v>295</v>
      </c>
      <c r="B51" s="10" t="s">
        <v>136</v>
      </c>
      <c r="C51" s="192">
        <f>SUMIF(BD_COMERCIAL!$FK$3:$FK$317,MtM!B51,BD_COMERCIAL!$GO$3:$GO$317)</f>
        <v>0</v>
      </c>
      <c r="D51" s="192">
        <f>SUMIF(BD_COMERCIAL!$FK$3:$FK$317,MtM!B51,BD_COMERCIAL!$GP$3:$GP$317)</f>
        <v>0</v>
      </c>
      <c r="E51" s="192">
        <f>SUMIF(BD_COMERCIAL!$FK$3:$FK$317,MtM!B51,BD_COMERCIAL!$FM$3:$FM$317)</f>
        <v>0</v>
      </c>
      <c r="F51" s="192">
        <f>SUMIF(BD_COMERCIAL!$FK$3:$FK$317,MtM!$B51,BD_COMERCIAL!$FL$3:$FL$317)</f>
        <v>0</v>
      </c>
      <c r="J51" s="10" t="s">
        <v>203</v>
      </c>
      <c r="K51" s="192">
        <f ca="1">SUMIF(MtM!$A$2:$A$500,J51,MtM!$C$2:$C$500)</f>
        <v>0</v>
      </c>
      <c r="L51" s="192">
        <f ca="1">SUMIF(MtM!$A$2:$A$500,J51,MtM!$D$2:$D$500)</f>
        <v>-69384</v>
      </c>
      <c r="M51" s="192">
        <f ca="1">SUMIF(MtM!$A$2:$A$500,J51,MtM!$E$2:$E$500)</f>
        <v>-69384</v>
      </c>
      <c r="O51" s="191"/>
      <c r="P51" s="191"/>
      <c r="Q51" s="191"/>
      <c r="R51" s="191"/>
    </row>
    <row r="52" spans="1:18" x14ac:dyDescent="0.35">
      <c r="A52" s="10" t="s">
        <v>187</v>
      </c>
      <c r="B52" s="10" t="s">
        <v>187</v>
      </c>
      <c r="C52" s="192">
        <f ca="1">SUMIF(BD_COMERCIAL!$FK$3:$FK$317,MtM!B52,BD_COMERCIAL!$GO$3:$GO$317)</f>
        <v>16704</v>
      </c>
      <c r="D52" s="192">
        <f ca="1">SUMIF(BD_COMERCIAL!$FK$3:$FK$317,MtM!B52,BD_COMERCIAL!$GP$3:$GP$317)</f>
        <v>0</v>
      </c>
      <c r="E52" s="192">
        <f ca="1">SUMIF(BD_COMERCIAL!$FK$3:$FK$317,MtM!B52,BD_COMERCIAL!$FM$3:$FM$317)</f>
        <v>16704</v>
      </c>
      <c r="F52" s="192">
        <f ca="1">SUMIF(BD_COMERCIAL!$FK$3:$FK$317,MtM!$B52,BD_COMERCIAL!$FL$3:$FL$317)</f>
        <v>0</v>
      </c>
      <c r="J52" s="10" t="s">
        <v>217</v>
      </c>
      <c r="K52" s="192">
        <f ca="1">SUMIF(MtM!$A$2:$A$500,J52,MtM!$C$2:$C$500)</f>
        <v>5991840</v>
      </c>
      <c r="L52" s="192">
        <f ca="1">SUMIF(MtM!$A$2:$A$500,J52,MtM!$D$2:$D$500)</f>
        <v>0</v>
      </c>
      <c r="M52" s="192">
        <f ca="1">SUMIF(MtM!$A$2:$A$500,J52,MtM!$E$2:$E$500)</f>
        <v>5991840</v>
      </c>
      <c r="O52" s="191"/>
      <c r="P52" s="191"/>
      <c r="Q52" s="191"/>
      <c r="R52" s="191"/>
    </row>
    <row r="53" spans="1:18" x14ac:dyDescent="0.35">
      <c r="A53" s="10" t="s">
        <v>211</v>
      </c>
      <c r="B53" s="10" t="s">
        <v>211</v>
      </c>
      <c r="C53" s="192">
        <f ca="1">SUMIF(BD_COMERCIAL!$FK$3:$FK$317,MtM!B53,BD_COMERCIAL!$GO$3:$GO$317)</f>
        <v>0</v>
      </c>
      <c r="D53" s="192">
        <f ca="1">SUMIF(BD_COMERCIAL!$FK$3:$FK$317,MtM!B53,BD_COMERCIAL!$GP$3:$GP$317)</f>
        <v>0</v>
      </c>
      <c r="E53" s="192">
        <f ca="1">SUMIF(BD_COMERCIAL!$FK$3:$FK$317,MtM!B53,BD_COMERCIAL!$FM$3:$FM$317)</f>
        <v>0</v>
      </c>
      <c r="F53" s="192">
        <f ca="1">SUMIF(BD_COMERCIAL!$FK$3:$FK$317,MtM!$B53,BD_COMERCIAL!$FL$3:$FL$317)</f>
        <v>-6696</v>
      </c>
      <c r="J53" s="10" t="s">
        <v>158</v>
      </c>
      <c r="K53" s="192">
        <f>SUMIF(MtM!$A$2:$A$500,J53,MtM!$C$2:$C$500)</f>
        <v>0</v>
      </c>
      <c r="L53" s="192">
        <f>SUMIF(MtM!$A$2:$A$500,J53,MtM!$D$2:$D$500)</f>
        <v>0</v>
      </c>
      <c r="M53" s="192">
        <f>SUMIF(MtM!$A$2:$A$500,J53,MtM!$E$2:$E$500)</f>
        <v>0</v>
      </c>
      <c r="O53" s="191"/>
      <c r="P53" s="191"/>
      <c r="Q53" s="191"/>
      <c r="R53" s="191"/>
    </row>
    <row r="54" spans="1:18" x14ac:dyDescent="0.35">
      <c r="A54" s="10" t="s">
        <v>239</v>
      </c>
      <c r="B54" s="10" t="s">
        <v>239</v>
      </c>
      <c r="C54" s="192">
        <f>SUMIF(BD_COMERCIAL!$FK$3:$FK$317,MtM!B54,BD_COMERCIAL!$GO$3:$GO$317)</f>
        <v>0</v>
      </c>
      <c r="D54" s="192">
        <f>SUMIF(BD_COMERCIAL!$FK$3:$FK$317,MtM!B54,BD_COMERCIAL!$GP$3:$GP$317)</f>
        <v>0</v>
      </c>
      <c r="E54" s="192">
        <f>SUMIF(BD_COMERCIAL!$FK$3:$FK$317,MtM!B54,BD_COMERCIAL!$FM$3:$FM$317)</f>
        <v>0</v>
      </c>
      <c r="F54" s="192">
        <f>SUMIF(BD_COMERCIAL!$FK$3:$FK$317,MtM!$B54,BD_COMERCIAL!$FL$3:$FL$317)</f>
        <v>0</v>
      </c>
      <c r="J54" s="10" t="s">
        <v>210</v>
      </c>
      <c r="K54" s="192">
        <f>SUMIF(MtM!$A$2:$A$500,J54,MtM!$C$2:$C$500)</f>
        <v>0</v>
      </c>
      <c r="L54" s="192">
        <f>SUMIF(MtM!$A$2:$A$500,J54,MtM!$D$2:$D$500)</f>
        <v>0</v>
      </c>
      <c r="M54" s="192">
        <f>SUMIF(MtM!$A$2:$A$500,J54,MtM!$E$2:$E$500)</f>
        <v>0</v>
      </c>
      <c r="O54" s="191"/>
      <c r="P54" s="191"/>
      <c r="Q54" s="191"/>
      <c r="R54" s="191"/>
    </row>
    <row r="55" spans="1:18" x14ac:dyDescent="0.35">
      <c r="A55" s="10" t="s">
        <v>200</v>
      </c>
      <c r="B55" s="10" t="s">
        <v>200</v>
      </c>
      <c r="C55" s="192">
        <f>SUMIF(BD_COMERCIAL!$FK$3:$FK$317,MtM!B55,BD_COMERCIAL!$GO$3:$GO$317)</f>
        <v>0</v>
      </c>
      <c r="D55" s="192">
        <f>SUMIF(BD_COMERCIAL!$FK$3:$FK$317,MtM!B55,BD_COMERCIAL!$GP$3:$GP$317)</f>
        <v>0</v>
      </c>
      <c r="E55" s="192">
        <f>SUMIF(BD_COMERCIAL!$FK$3:$FK$317,MtM!B55,BD_COMERCIAL!$FM$3:$FM$317)</f>
        <v>0</v>
      </c>
      <c r="F55" s="192">
        <f>SUMIF(BD_COMERCIAL!$FK$3:$FK$317,MtM!$B55,BD_COMERCIAL!$FL$3:$FL$317)</f>
        <v>0</v>
      </c>
      <c r="J55" s="10" t="s">
        <v>184</v>
      </c>
      <c r="K55" s="192">
        <f ca="1">SUMIF(MtM!$A$2:$A$500,J55,MtM!$C$2:$C$500)</f>
        <v>849600</v>
      </c>
      <c r="L55" s="192">
        <f ca="1">SUMIF(MtM!$A$2:$A$500,J55,MtM!$D$2:$D$500)</f>
        <v>0</v>
      </c>
      <c r="M55" s="192">
        <f ca="1">SUMIF(MtM!$A$2:$A$500,J55,MtM!$E$2:$E$500)</f>
        <v>849600</v>
      </c>
      <c r="O55" s="191"/>
      <c r="P55" s="191"/>
      <c r="Q55" s="191"/>
      <c r="R55" s="191"/>
    </row>
    <row r="56" spans="1:18" x14ac:dyDescent="0.35">
      <c r="A56" s="10" t="s">
        <v>148</v>
      </c>
      <c r="B56" s="10" t="s">
        <v>148</v>
      </c>
      <c r="C56" s="192">
        <f>SUMIF(BD_COMERCIAL!$FK$3:$FK$317,MtM!B56,BD_COMERCIAL!$GO$3:$GO$317)</f>
        <v>0</v>
      </c>
      <c r="D56" s="192">
        <f>SUMIF(BD_COMERCIAL!$FK$3:$FK$317,MtM!B56,BD_COMERCIAL!$GP$3:$GP$317)</f>
        <v>0</v>
      </c>
      <c r="E56" s="192">
        <f>SUMIF(BD_COMERCIAL!$FK$3:$FK$317,MtM!B56,BD_COMERCIAL!$FM$3:$FM$317)</f>
        <v>0</v>
      </c>
      <c r="F56" s="192">
        <f>SUMIF(BD_COMERCIAL!$FK$3:$FK$317,MtM!$B56,BD_COMERCIAL!$FL$3:$FL$317)</f>
        <v>0</v>
      </c>
      <c r="J56" s="10" t="s">
        <v>218</v>
      </c>
      <c r="K56" s="192">
        <f ca="1">SUMIF(MtM!$A$2:$A$500,J56,MtM!$C$2:$C$500)</f>
        <v>905280</v>
      </c>
      <c r="L56" s="192">
        <f ca="1">SUMIF(MtM!$A$2:$A$500,J56,MtM!$D$2:$D$500)</f>
        <v>-423395.99999999994</v>
      </c>
      <c r="M56" s="192">
        <f ca="1">SUMIF(MtM!$A$2:$A$500,J56,MtM!$E$2:$E$500)</f>
        <v>481884.00000000006</v>
      </c>
      <c r="O56" s="191"/>
      <c r="P56" s="191"/>
      <c r="Q56" s="191"/>
      <c r="R56" s="191"/>
    </row>
    <row r="57" spans="1:18" x14ac:dyDescent="0.35">
      <c r="A57" s="10" t="s">
        <v>282</v>
      </c>
      <c r="B57" s="10" t="s">
        <v>282</v>
      </c>
      <c r="C57" s="192">
        <f>SUMIF(BD_COMERCIAL!$FK$3:$FK$317,MtM!B57,BD_COMERCIAL!$GO$3:$GO$317)</f>
        <v>0</v>
      </c>
      <c r="D57" s="192">
        <f>SUMIF(BD_COMERCIAL!$FK$3:$FK$317,MtM!B57,BD_COMERCIAL!$GP$3:$GP$317)</f>
        <v>0</v>
      </c>
      <c r="E57" s="192">
        <f>SUMIF(BD_COMERCIAL!$FK$3:$FK$317,MtM!B57,BD_COMERCIAL!$FM$3:$FM$317)</f>
        <v>0</v>
      </c>
      <c r="F57" s="192">
        <f>SUMIF(BD_COMERCIAL!$FK$3:$FK$317,MtM!$B57,BD_COMERCIAL!$FL$3:$FL$317)</f>
        <v>0</v>
      </c>
      <c r="J57" s="10" t="s">
        <v>180</v>
      </c>
      <c r="K57" s="192">
        <f>SUMIF(MtM!$A$2:$A$500,J57,MtM!$C$2:$C$500)</f>
        <v>0</v>
      </c>
      <c r="L57" s="192">
        <f>SUMIF(MtM!$A$2:$A$500,J57,MtM!$D$2:$D$500)</f>
        <v>0</v>
      </c>
      <c r="M57" s="192">
        <f>SUMIF(MtM!$A$2:$A$500,J57,MtM!$E$2:$E$500)</f>
        <v>0</v>
      </c>
      <c r="O57" s="191"/>
      <c r="P57" s="191"/>
      <c r="Q57" s="191"/>
      <c r="R57" s="191"/>
    </row>
    <row r="58" spans="1:18" x14ac:dyDescent="0.35">
      <c r="A58" s="10" t="s">
        <v>193</v>
      </c>
      <c r="B58" s="10" t="s">
        <v>193</v>
      </c>
      <c r="C58" s="192">
        <f ca="1">SUMIF(BD_COMERCIAL!$FK$3:$FK$317,MtM!B58,BD_COMERCIAL!$GO$3:$GO$317)</f>
        <v>489780</v>
      </c>
      <c r="D58" s="192">
        <f ca="1">SUMIF(BD_COMERCIAL!$FK$3:$FK$317,MtM!B58,BD_COMERCIAL!$GP$3:$GP$317)</f>
        <v>-45312.000000000036</v>
      </c>
      <c r="E58" s="192">
        <f ca="1">SUMIF(BD_COMERCIAL!$FK$3:$FK$317,MtM!B58,BD_COMERCIAL!$FM$3:$FM$317)</f>
        <v>444467.99999999994</v>
      </c>
      <c r="F58" s="192">
        <f ca="1">SUMIF(BD_COMERCIAL!$FK$3:$FK$317,MtM!$B58,BD_COMERCIAL!$FL$3:$FL$317)</f>
        <v>148055.99999999997</v>
      </c>
      <c r="J58" s="10" t="s">
        <v>229</v>
      </c>
      <c r="K58" s="192">
        <f ca="1">SUMIF(MtM!$A$2:$A$500,J58,MtM!$C$2:$C$500)</f>
        <v>0</v>
      </c>
      <c r="L58" s="192">
        <f ca="1">SUMIF(MtM!$A$2:$A$500,J58,MtM!$D$2:$D$500)</f>
        <v>-826944</v>
      </c>
      <c r="M58" s="192">
        <f ca="1">SUMIF(MtM!$A$2:$A$500,J58,MtM!$E$2:$E$500)</f>
        <v>-826944</v>
      </c>
      <c r="O58" s="191"/>
      <c r="P58" s="191"/>
      <c r="Q58" s="191"/>
      <c r="R58" s="191"/>
    </row>
    <row r="59" spans="1:18" x14ac:dyDescent="0.35">
      <c r="A59" s="10" t="s">
        <v>295</v>
      </c>
      <c r="B59" s="10" t="s">
        <v>238</v>
      </c>
      <c r="C59" s="192">
        <f>SUMIF(BD_COMERCIAL!$FK$3:$FK$317,MtM!B59,BD_COMERCIAL!$GO$3:$GO$317)</f>
        <v>0</v>
      </c>
      <c r="D59" s="192">
        <f>SUMIF(BD_COMERCIAL!$FK$3:$FK$317,MtM!B59,BD_COMERCIAL!$GP$3:$GP$317)</f>
        <v>0</v>
      </c>
      <c r="E59" s="192">
        <f>SUMIF(BD_COMERCIAL!$FK$3:$FK$317,MtM!B59,BD_COMERCIAL!$FM$3:$FM$317)</f>
        <v>0</v>
      </c>
      <c r="F59" s="192">
        <f>SUMIF(BD_COMERCIAL!$FK$3:$FK$317,MtM!$B59,BD_COMERCIAL!$FL$3:$FL$317)</f>
        <v>0</v>
      </c>
      <c r="J59" s="10" t="s">
        <v>151</v>
      </c>
      <c r="K59" s="192">
        <f>SUMIF(MtM!$A$2:$A$500,J59,MtM!$C$2:$C$500)</f>
        <v>0</v>
      </c>
      <c r="L59" s="192">
        <f>SUMIF(MtM!$A$2:$A$500,J59,MtM!$D$2:$D$500)</f>
        <v>0</v>
      </c>
      <c r="M59" s="192">
        <f>SUMIF(MtM!$A$2:$A$500,J59,MtM!$E$2:$E$500)</f>
        <v>0</v>
      </c>
      <c r="O59" s="191"/>
      <c r="P59" s="191"/>
      <c r="Q59" s="191"/>
      <c r="R59" s="191"/>
    </row>
    <row r="60" spans="1:18" x14ac:dyDescent="0.35">
      <c r="A60" s="10" t="s">
        <v>329</v>
      </c>
      <c r="B60" s="10" t="s">
        <v>223</v>
      </c>
      <c r="C60" s="192">
        <f>SUMIF(BD_COMERCIAL!$FK$3:$FK$317,MtM!B60,BD_COMERCIAL!$GO$3:$GO$317)</f>
        <v>0</v>
      </c>
      <c r="D60" s="192">
        <f>SUMIF(BD_COMERCIAL!$FK$3:$FK$317,MtM!B60,BD_COMERCIAL!$GP$3:$GP$317)</f>
        <v>0</v>
      </c>
      <c r="E60" s="192">
        <f>SUMIF(BD_COMERCIAL!$FK$3:$FK$317,MtM!B60,BD_COMERCIAL!$FM$3:$FM$317)</f>
        <v>0</v>
      </c>
      <c r="F60" s="192">
        <f>SUMIF(BD_COMERCIAL!$FK$3:$FK$317,MtM!$B60,BD_COMERCIAL!$FL$3:$FL$317)</f>
        <v>0</v>
      </c>
      <c r="J60" s="10" t="s">
        <v>166</v>
      </c>
      <c r="K60" s="192">
        <f>SUMIF(MtM!$A$2:$A$500,J60,MtM!$C$2:$C$500)</f>
        <v>0</v>
      </c>
      <c r="L60" s="192">
        <f>SUMIF(MtM!$A$2:$A$500,J60,MtM!$D$2:$D$500)</f>
        <v>0</v>
      </c>
      <c r="M60" s="192">
        <f>SUMIF(MtM!$A$2:$A$500,J60,MtM!$E$2:$E$500)</f>
        <v>0</v>
      </c>
      <c r="O60" s="191"/>
      <c r="P60" s="191"/>
      <c r="Q60" s="191"/>
      <c r="R60" s="191"/>
    </row>
    <row r="61" spans="1:18" x14ac:dyDescent="0.35">
      <c r="A61" s="10" t="s">
        <v>329</v>
      </c>
      <c r="B61" s="10" t="s">
        <v>304</v>
      </c>
      <c r="C61" s="192">
        <f ca="1">SUMIF(BD_COMERCIAL!$FK$3:$FK$317,MtM!B61,BD_COMERCIAL!$GO$3:$GO$317)</f>
        <v>1768920</v>
      </c>
      <c r="D61" s="192">
        <f ca="1">SUMIF(BD_COMERCIAL!$FK$3:$FK$317,MtM!B61,BD_COMERCIAL!$GP$3:$GP$317)</f>
        <v>-752184</v>
      </c>
      <c r="E61" s="192">
        <f ca="1">SUMIF(BD_COMERCIAL!$FK$3:$FK$317,MtM!B61,BD_COMERCIAL!$FM$3:$FM$317)</f>
        <v>1016736</v>
      </c>
      <c r="F61" s="192">
        <f ca="1">SUMIF(BD_COMERCIAL!$FK$3:$FK$317,MtM!$B61,BD_COMERCIAL!$FL$3:$FL$317)</f>
        <v>0</v>
      </c>
      <c r="J61" s="10" t="s">
        <v>183</v>
      </c>
      <c r="K61" s="192">
        <f>SUMIF(MtM!$A$2:$A$500,J61,MtM!$C$2:$C$500)</f>
        <v>0</v>
      </c>
      <c r="L61" s="192">
        <f>SUMIF(MtM!$A$2:$A$500,J61,MtM!$D$2:$D$500)</f>
        <v>0</v>
      </c>
      <c r="M61" s="192">
        <f>SUMIF(MtM!$A$2:$A$500,J61,MtM!$E$2:$E$500)</f>
        <v>0</v>
      </c>
      <c r="O61" s="191"/>
      <c r="P61" s="191"/>
      <c r="Q61" s="191"/>
      <c r="R61" s="191"/>
    </row>
    <row r="62" spans="1:18" x14ac:dyDescent="0.35">
      <c r="A62" s="10" t="s">
        <v>172</v>
      </c>
      <c r="B62" s="10" t="s">
        <v>172</v>
      </c>
      <c r="C62" s="192">
        <f ca="1">SUMIF(BD_COMERCIAL!$FK$3:$FK$317,MtM!B62,BD_COMERCIAL!$GO$3:$GO$317)</f>
        <v>986952</v>
      </c>
      <c r="D62" s="192">
        <f ca="1">SUMIF(BD_COMERCIAL!$FK$3:$FK$317,MtM!B62,BD_COMERCIAL!$GP$3:$GP$317)</f>
        <v>0</v>
      </c>
      <c r="E62" s="192">
        <f ca="1">SUMIF(BD_COMERCIAL!$FK$3:$FK$317,MtM!B62,BD_COMERCIAL!$FM$3:$FM$317)</f>
        <v>986952</v>
      </c>
      <c r="F62" s="192">
        <f ca="1">SUMIF(BD_COMERCIAL!$FK$3:$FK$317,MtM!$B62,BD_COMERCIAL!$FL$3:$FL$317)</f>
        <v>156240</v>
      </c>
      <c r="J62" s="10" t="s">
        <v>244</v>
      </c>
      <c r="K62" s="192">
        <f>SUMIF(MtM!$A$2:$A$500,J62,MtM!$C$2:$C$500)</f>
        <v>0</v>
      </c>
      <c r="L62" s="192">
        <f>SUMIF(MtM!$A$2:$A$500,J62,MtM!$D$2:$D$500)</f>
        <v>0</v>
      </c>
      <c r="M62" s="192">
        <f>SUMIF(MtM!$A$2:$A$500,J62,MtM!$E$2:$E$500)</f>
        <v>0</v>
      </c>
      <c r="O62" s="191"/>
      <c r="P62" s="191"/>
      <c r="Q62" s="191"/>
      <c r="R62" s="191"/>
    </row>
    <row r="63" spans="1:18" x14ac:dyDescent="0.35">
      <c r="A63" s="10" t="s">
        <v>313</v>
      </c>
      <c r="B63" s="10" t="s">
        <v>313</v>
      </c>
      <c r="C63" s="192">
        <f ca="1">SUMIF(BD_COMERCIAL!$FK$3:$FK$317,MtM!B63,BD_COMERCIAL!$GO$3:$GO$317)</f>
        <v>2260800</v>
      </c>
      <c r="D63" s="192">
        <f ca="1">SUMIF(BD_COMERCIAL!$FK$3:$FK$317,MtM!B63,BD_COMERCIAL!$GP$3:$GP$317)</f>
        <v>0</v>
      </c>
      <c r="E63" s="192">
        <f ca="1">SUMIF(BD_COMERCIAL!$FK$3:$FK$317,MtM!B63,BD_COMERCIAL!$FM$3:$FM$317)</f>
        <v>2260800</v>
      </c>
      <c r="F63" s="192">
        <f ca="1">SUMIF(BD_COMERCIAL!$FK$3:$FK$317,MtM!$B63,BD_COMERCIAL!$FL$3:$FL$317)</f>
        <v>59148</v>
      </c>
      <c r="J63" s="10" t="s">
        <v>224</v>
      </c>
      <c r="K63" s="192">
        <f>SUMIF(MtM!$A$2:$A$500,J63,MtM!$C$2:$C$500)</f>
        <v>0</v>
      </c>
      <c r="L63" s="192">
        <f>SUMIF(MtM!$A$2:$A$500,J63,MtM!$D$2:$D$500)</f>
        <v>0</v>
      </c>
      <c r="M63" s="192">
        <f>SUMIF(MtM!$A$2:$A$500,J63,MtM!$E$2:$E$500)</f>
        <v>0</v>
      </c>
      <c r="O63" s="191"/>
      <c r="P63" s="191"/>
      <c r="Q63" s="191"/>
      <c r="R63" s="191"/>
    </row>
    <row r="64" spans="1:18" x14ac:dyDescent="0.35">
      <c r="A64" s="10" t="s">
        <v>191</v>
      </c>
      <c r="B64" s="10" t="s">
        <v>191</v>
      </c>
      <c r="C64" s="192">
        <f>SUMIF(BD_COMERCIAL!$FK$3:$FK$317,MtM!B64,BD_COMERCIAL!$GO$3:$GO$317)</f>
        <v>0</v>
      </c>
      <c r="D64" s="192">
        <f>SUMIF(BD_COMERCIAL!$FK$3:$FK$317,MtM!B64,BD_COMERCIAL!$GP$3:$GP$317)</f>
        <v>0</v>
      </c>
      <c r="E64" s="192">
        <f>SUMIF(BD_COMERCIAL!$FK$3:$FK$317,MtM!B64,BD_COMERCIAL!$FM$3:$FM$317)</f>
        <v>0</v>
      </c>
      <c r="F64" s="192">
        <f>SUMIF(BD_COMERCIAL!$FK$3:$FK$317,MtM!$B64,BD_COMERCIAL!$FL$3:$FL$317)</f>
        <v>0</v>
      </c>
      <c r="J64" s="10" t="s">
        <v>226</v>
      </c>
      <c r="K64" s="192">
        <f>SUMIF(MtM!$A$2:$A$500,J64,MtM!$C$2:$C$500)</f>
        <v>0</v>
      </c>
      <c r="L64" s="192">
        <f>SUMIF(MtM!$A$2:$A$500,J64,MtM!$D$2:$D$500)</f>
        <v>0</v>
      </c>
      <c r="M64" s="192">
        <f>SUMIF(MtM!$A$2:$A$500,J64,MtM!$E$2:$E$500)</f>
        <v>0</v>
      </c>
      <c r="O64" s="191"/>
      <c r="P64" s="191"/>
      <c r="Q64" s="191"/>
      <c r="R64" s="191"/>
    </row>
    <row r="65" spans="1:18" x14ac:dyDescent="0.35">
      <c r="A65" s="10" t="s">
        <v>240</v>
      </c>
      <c r="B65" s="10" t="s">
        <v>240</v>
      </c>
      <c r="C65" s="192">
        <f>SUMIF(BD_COMERCIAL!$FK$3:$FK$317,MtM!B65,BD_COMERCIAL!$GO$3:$GO$317)</f>
        <v>0</v>
      </c>
      <c r="D65" s="192">
        <f>SUMIF(BD_COMERCIAL!$FK$3:$FK$317,MtM!B65,BD_COMERCIAL!$GP$3:$GP$317)</f>
        <v>0</v>
      </c>
      <c r="E65" s="192">
        <f>SUMIF(BD_COMERCIAL!$FK$3:$FK$317,MtM!B65,BD_COMERCIAL!$FM$3:$FM$317)</f>
        <v>0</v>
      </c>
      <c r="F65" s="192">
        <f>SUMIF(BD_COMERCIAL!$FK$3:$FK$317,MtM!$B65,BD_COMERCIAL!$FL$3:$FL$317)</f>
        <v>0</v>
      </c>
      <c r="J65" s="10" t="s">
        <v>157</v>
      </c>
      <c r="K65" s="192">
        <f>SUMIF(MtM!$A$2:$A$500,J65,MtM!$C$2:$C$500)</f>
        <v>0</v>
      </c>
      <c r="L65" s="192">
        <f>SUMIF(MtM!$A$2:$A$500,J65,MtM!$D$2:$D$500)</f>
        <v>0</v>
      </c>
      <c r="M65" s="192">
        <f>SUMIF(MtM!$A$2:$A$500,J65,MtM!$E$2:$E$500)</f>
        <v>0</v>
      </c>
      <c r="O65" s="191"/>
      <c r="P65" s="191"/>
      <c r="Q65" s="191"/>
      <c r="R65" s="191"/>
    </row>
    <row r="66" spans="1:18" x14ac:dyDescent="0.35">
      <c r="A66" s="10" t="s">
        <v>203</v>
      </c>
      <c r="B66" s="10" t="s">
        <v>203</v>
      </c>
      <c r="C66" s="192">
        <f ca="1">SUMIF(BD_COMERCIAL!$FK$3:$FK$317,MtM!B66,BD_COMERCIAL!$GO$3:$GO$317)</f>
        <v>0</v>
      </c>
      <c r="D66" s="192">
        <f ca="1">SUMIF(BD_COMERCIAL!$FK$3:$FK$317,MtM!B66,BD_COMERCIAL!$GP$3:$GP$317)</f>
        <v>-69384</v>
      </c>
      <c r="E66" s="192">
        <f ca="1">SUMIF(BD_COMERCIAL!$FK$3:$FK$317,MtM!B66,BD_COMERCIAL!$FM$3:$FM$317)</f>
        <v>-69384</v>
      </c>
      <c r="F66" s="192">
        <f ca="1">SUMIF(BD_COMERCIAL!$FK$3:$FK$317,MtM!$B66,BD_COMERCIAL!$FL$3:$FL$317)</f>
        <v>-36456</v>
      </c>
      <c r="J66" s="10" t="s">
        <v>163</v>
      </c>
      <c r="K66" s="192">
        <f>SUMIF(MtM!$A$2:$A$500,J66,MtM!$C$2:$C$500)</f>
        <v>0</v>
      </c>
      <c r="L66" s="192">
        <f>SUMIF(MtM!$A$2:$A$500,J66,MtM!$D$2:$D$500)</f>
        <v>0</v>
      </c>
      <c r="M66" s="192">
        <f>SUMIF(MtM!$A$2:$A$500,J66,MtM!$E$2:$E$500)</f>
        <v>0</v>
      </c>
      <c r="O66" s="191"/>
      <c r="P66" s="191"/>
      <c r="Q66" s="191"/>
      <c r="R66" s="191"/>
    </row>
    <row r="67" spans="1:18" x14ac:dyDescent="0.35">
      <c r="A67" s="10" t="s">
        <v>217</v>
      </c>
      <c r="B67" s="10" t="s">
        <v>217</v>
      </c>
      <c r="C67" s="192">
        <f ca="1">SUMIF(BD_COMERCIAL!$FK$3:$FK$317,MtM!B67,BD_COMERCIAL!$GO$3:$GO$317)</f>
        <v>5991840</v>
      </c>
      <c r="D67" s="192">
        <f ca="1">SUMIF(BD_COMERCIAL!$FK$3:$FK$317,MtM!B67,BD_COMERCIAL!$GP$3:$GP$317)</f>
        <v>0</v>
      </c>
      <c r="E67" s="192">
        <f ca="1">SUMIF(BD_COMERCIAL!$FK$3:$FK$317,MtM!B67,BD_COMERCIAL!$FM$3:$FM$317)</f>
        <v>5991840</v>
      </c>
      <c r="F67" s="192">
        <f ca="1">SUMIF(BD_COMERCIAL!$FK$3:$FK$317,MtM!$B67,BD_COMERCIAL!$FL$3:$FL$317)</f>
        <v>0</v>
      </c>
      <c r="J67" s="10" t="s">
        <v>169</v>
      </c>
      <c r="K67" s="192">
        <f>SUMIF(MtM!$A$2:$A$500,J67,MtM!$C$2:$C$500)</f>
        <v>0</v>
      </c>
      <c r="L67" s="192">
        <f>SUMIF(MtM!$A$2:$A$500,J67,MtM!$D$2:$D$500)</f>
        <v>0</v>
      </c>
      <c r="M67" s="192">
        <f>SUMIF(MtM!$A$2:$A$500,J67,MtM!$E$2:$E$500)</f>
        <v>0</v>
      </c>
      <c r="O67" s="191"/>
      <c r="P67" s="191"/>
      <c r="Q67" s="191"/>
      <c r="R67" s="191"/>
    </row>
    <row r="68" spans="1:18" x14ac:dyDescent="0.35">
      <c r="A68" s="10" t="s">
        <v>158</v>
      </c>
      <c r="B68" s="10" t="s">
        <v>158</v>
      </c>
      <c r="C68" s="192">
        <f>SUMIF(BD_COMERCIAL!$FK$3:$FK$317,MtM!B68,BD_COMERCIAL!$GO$3:$GO$317)</f>
        <v>0</v>
      </c>
      <c r="D68" s="192">
        <f>SUMIF(BD_COMERCIAL!$FK$3:$FK$317,MtM!B68,BD_COMERCIAL!$GP$3:$GP$317)</f>
        <v>0</v>
      </c>
      <c r="E68" s="192">
        <f>SUMIF(BD_COMERCIAL!$FK$3:$FK$317,MtM!B68,BD_COMERCIAL!$FM$3:$FM$317)</f>
        <v>0</v>
      </c>
      <c r="F68" s="192">
        <f>SUMIF(BD_COMERCIAL!$FK$3:$FK$317,MtM!$B68,BD_COMERCIAL!$FL$3:$FL$317)</f>
        <v>0</v>
      </c>
      <c r="J68" s="10" t="s">
        <v>182</v>
      </c>
      <c r="K68" s="192">
        <f ca="1">SUMIF(MtM!$A$2:$A$500,J68,MtM!$C$2:$C$500)</f>
        <v>18059040</v>
      </c>
      <c r="L68" s="192">
        <f ca="1">SUMIF(MtM!$A$2:$A$500,J68,MtM!$D$2:$D$500)</f>
        <v>-34920</v>
      </c>
      <c r="M68" s="192">
        <f ca="1">SUMIF(MtM!$A$2:$A$500,J68,MtM!$E$2:$E$500)</f>
        <v>18024120</v>
      </c>
      <c r="O68" s="191"/>
      <c r="P68" s="191"/>
      <c r="Q68" s="191"/>
      <c r="R68" s="191"/>
    </row>
    <row r="69" spans="1:18" x14ac:dyDescent="0.35">
      <c r="A69" s="10" t="s">
        <v>210</v>
      </c>
      <c r="B69" s="10" t="s">
        <v>210</v>
      </c>
      <c r="C69" s="192">
        <f>SUMIF(BD_COMERCIAL!$FK$3:$FK$317,MtM!B69,BD_COMERCIAL!$GO$3:$GO$317)</f>
        <v>0</v>
      </c>
      <c r="D69" s="192">
        <f>SUMIF(BD_COMERCIAL!$FK$3:$FK$317,MtM!B69,BD_COMERCIAL!$GP$3:$GP$317)</f>
        <v>0</v>
      </c>
      <c r="E69" s="192">
        <f>SUMIF(BD_COMERCIAL!$FK$3:$FK$317,MtM!B69,BD_COMERCIAL!$FM$3:$FM$317)</f>
        <v>0</v>
      </c>
      <c r="F69" s="192">
        <f>SUMIF(BD_COMERCIAL!$FK$3:$FK$317,MtM!$B69,BD_COMERCIAL!$FL$3:$FL$317)</f>
        <v>0</v>
      </c>
      <c r="J69" s="10" t="s">
        <v>192</v>
      </c>
      <c r="K69" s="192">
        <f ca="1">SUMIF(MtM!$A$2:$A$500,J69,MtM!$C$2:$C$500)</f>
        <v>183264</v>
      </c>
      <c r="L69" s="192">
        <f ca="1">SUMIF(MtM!$A$2:$A$500,J69,MtM!$D$2:$D$500)</f>
        <v>-934848</v>
      </c>
      <c r="M69" s="192">
        <f ca="1">SUMIF(MtM!$A$2:$A$500,J69,MtM!$E$2:$E$500)</f>
        <v>-751584</v>
      </c>
      <c r="O69" s="191"/>
      <c r="P69" s="191"/>
      <c r="Q69" s="191"/>
      <c r="R69" s="191"/>
    </row>
    <row r="70" spans="1:18" x14ac:dyDescent="0.35">
      <c r="A70" s="10" t="s">
        <v>184</v>
      </c>
      <c r="B70" s="10" t="s">
        <v>184</v>
      </c>
      <c r="C70" s="192">
        <f ca="1">SUMIF(BD_COMERCIAL!$FK$3:$FK$317,MtM!B70,BD_COMERCIAL!$GO$3:$GO$317)</f>
        <v>849600</v>
      </c>
      <c r="D70" s="192">
        <f ca="1">SUMIF(BD_COMERCIAL!$FK$3:$FK$317,MtM!B70,BD_COMERCIAL!$GP$3:$GP$317)</f>
        <v>0</v>
      </c>
      <c r="E70" s="192">
        <f ca="1">SUMIF(BD_COMERCIAL!$FK$3:$FK$317,MtM!B70,BD_COMERCIAL!$FM$3:$FM$317)</f>
        <v>849600</v>
      </c>
      <c r="F70" s="192">
        <f ca="1">SUMIF(BD_COMERCIAL!$FK$3:$FK$317,MtM!$B70,BD_COMERCIAL!$FL$3:$FL$317)</f>
        <v>446400</v>
      </c>
      <c r="J70" s="10" t="s">
        <v>321</v>
      </c>
      <c r="K70" s="192">
        <f>SUMIF(MtM!$A$2:$A$500,J70,MtM!$C$2:$C$500)</f>
        <v>0</v>
      </c>
      <c r="L70" s="192">
        <f>SUMIF(MtM!$A$2:$A$500,J70,MtM!$D$2:$D$500)</f>
        <v>0</v>
      </c>
      <c r="M70" s="192">
        <f>SUMIF(MtM!$A$2:$A$500,J70,MtM!$E$2:$E$500)</f>
        <v>0</v>
      </c>
      <c r="O70" s="191"/>
      <c r="P70" s="191"/>
      <c r="Q70" s="191"/>
      <c r="R70" s="191"/>
    </row>
    <row r="71" spans="1:18" x14ac:dyDescent="0.35">
      <c r="A71" s="10" t="s">
        <v>218</v>
      </c>
      <c r="B71" s="10" t="s">
        <v>218</v>
      </c>
      <c r="C71" s="192">
        <f ca="1">SUMIF(BD_COMERCIAL!$FK$3:$FK$317,MtM!B71,BD_COMERCIAL!$GO$3:$GO$317)</f>
        <v>905280</v>
      </c>
      <c r="D71" s="192">
        <f ca="1">SUMIF(BD_COMERCIAL!$FK$3:$FK$317,MtM!B71,BD_COMERCIAL!$GP$3:$GP$317)</f>
        <v>-423395.99999999994</v>
      </c>
      <c r="E71" s="192">
        <f ca="1">SUMIF(BD_COMERCIAL!$FK$3:$FK$317,MtM!B71,BD_COMERCIAL!$FM$3:$FM$317)</f>
        <v>481884.00000000006</v>
      </c>
      <c r="F71" s="192">
        <f ca="1">SUMIF(BD_COMERCIAL!$FK$3:$FK$317,MtM!$B71,BD_COMERCIAL!$FL$3:$FL$317)</f>
        <v>-39952.799999999996</v>
      </c>
      <c r="J71" s="10" t="s">
        <v>296</v>
      </c>
      <c r="K71" s="192">
        <f ca="1">SUMIF(MtM!$A$2:$A$500,J71,MtM!$C$2:$C$500)</f>
        <v>8640</v>
      </c>
      <c r="L71" s="192">
        <f ca="1">SUMIF(MtM!$A$2:$A$500,J71,MtM!$D$2:$D$500)</f>
        <v>-151416</v>
      </c>
      <c r="M71" s="192">
        <f ca="1">SUMIF(MtM!$A$2:$A$500,J71,MtM!$E$2:$E$500)</f>
        <v>-142776</v>
      </c>
      <c r="O71" s="191"/>
      <c r="P71" s="191"/>
      <c r="Q71" s="191"/>
      <c r="R71" s="191"/>
    </row>
    <row r="72" spans="1:18" x14ac:dyDescent="0.35">
      <c r="A72" s="10" t="s">
        <v>180</v>
      </c>
      <c r="B72" s="10" t="s">
        <v>180</v>
      </c>
      <c r="C72" s="192">
        <f>SUMIF(BD_COMERCIAL!$FK$3:$FK$317,MtM!B72,BD_COMERCIAL!$GO$3:$GO$317)</f>
        <v>0</v>
      </c>
      <c r="D72" s="192">
        <f>SUMIF(BD_COMERCIAL!$FK$3:$FK$317,MtM!B72,BD_COMERCIAL!$GP$3:$GP$317)</f>
        <v>0</v>
      </c>
      <c r="E72" s="192">
        <f>SUMIF(BD_COMERCIAL!$FK$3:$FK$317,MtM!B72,BD_COMERCIAL!$FM$3:$FM$317)</f>
        <v>0</v>
      </c>
      <c r="F72" s="192">
        <f>SUMIF(BD_COMERCIAL!$FK$3:$FK$317,MtM!$B72,BD_COMERCIAL!$FL$3:$FL$317)</f>
        <v>0</v>
      </c>
      <c r="J72" s="10" t="s">
        <v>216</v>
      </c>
      <c r="K72" s="192">
        <f>SUMIF(MtM!$A$2:$A$500,J72,MtM!$C$2:$C$500)</f>
        <v>0</v>
      </c>
      <c r="L72" s="192">
        <f>SUMIF(MtM!$A$2:$A$500,J72,MtM!$D$2:$D$500)</f>
        <v>0</v>
      </c>
      <c r="M72" s="192">
        <f>SUMIF(MtM!$A$2:$A$500,J72,MtM!$E$2:$E$500)</f>
        <v>0</v>
      </c>
      <c r="O72" s="191"/>
      <c r="P72" s="191"/>
      <c r="Q72" s="191"/>
      <c r="R72" s="191"/>
    </row>
    <row r="73" spans="1:18" x14ac:dyDescent="0.35">
      <c r="A73" s="10" t="s">
        <v>229</v>
      </c>
      <c r="B73" s="10" t="s">
        <v>229</v>
      </c>
      <c r="C73" s="192">
        <f ca="1">SUMIF(BD_COMERCIAL!$FK$3:$FK$317,MtM!B73,BD_COMERCIAL!$GO$3:$GO$317)</f>
        <v>0</v>
      </c>
      <c r="D73" s="192">
        <f ca="1">SUMIF(BD_COMERCIAL!$FK$3:$FK$317,MtM!B73,BD_COMERCIAL!$GP$3:$GP$317)</f>
        <v>-826944</v>
      </c>
      <c r="E73" s="192">
        <f ca="1">SUMIF(BD_COMERCIAL!$FK$3:$FK$317,MtM!B73,BD_COMERCIAL!$FM$3:$FM$317)</f>
        <v>-826944</v>
      </c>
      <c r="F73" s="192">
        <f ca="1">SUMIF(BD_COMERCIAL!$FK$3:$FK$317,MtM!$B73,BD_COMERCIAL!$FL$3:$FL$317)</f>
        <v>-434496</v>
      </c>
      <c r="J73" s="10" t="s">
        <v>245</v>
      </c>
      <c r="K73" s="192">
        <f>SUMIF(MtM!$A$2:$A$500,J73,MtM!$C$2:$C$500)</f>
        <v>0</v>
      </c>
      <c r="L73" s="192">
        <f>SUMIF(MtM!$A$2:$A$500,J73,MtM!$D$2:$D$500)</f>
        <v>0</v>
      </c>
      <c r="M73" s="192">
        <f>SUMIF(MtM!$A$2:$A$500,J73,MtM!$E$2:$E$500)</f>
        <v>0</v>
      </c>
      <c r="O73" s="191"/>
      <c r="P73" s="191"/>
      <c r="Q73" s="191"/>
      <c r="R73" s="191"/>
    </row>
    <row r="74" spans="1:18" x14ac:dyDescent="0.35">
      <c r="A74" s="10" t="s">
        <v>151</v>
      </c>
      <c r="B74" s="10" t="s">
        <v>151</v>
      </c>
      <c r="C74" s="192">
        <f>SUMIF(BD_COMERCIAL!$FK$3:$FK$317,MtM!B74,BD_COMERCIAL!$GO$3:$GO$317)</f>
        <v>0</v>
      </c>
      <c r="D74" s="192">
        <f>SUMIF(BD_COMERCIAL!$FK$3:$FK$317,MtM!B74,BD_COMERCIAL!$GP$3:$GP$317)</f>
        <v>0</v>
      </c>
      <c r="E74" s="192">
        <f>SUMIF(BD_COMERCIAL!$FK$3:$FK$317,MtM!B74,BD_COMERCIAL!$FM$3:$FM$317)</f>
        <v>0</v>
      </c>
      <c r="F74" s="192">
        <f>SUMIF(BD_COMERCIAL!$FK$3:$FK$317,MtM!$B74,BD_COMERCIAL!$FL$3:$FL$317)</f>
        <v>0</v>
      </c>
      <c r="J74" s="10" t="s">
        <v>164</v>
      </c>
      <c r="K74" s="192">
        <f>SUMIF(MtM!$A$2:$A$500,J74,MtM!$C$2:$C$500)</f>
        <v>0</v>
      </c>
      <c r="L74" s="192">
        <f>SUMIF(MtM!$A$2:$A$500,J74,MtM!$D$2:$D$500)</f>
        <v>0</v>
      </c>
      <c r="M74" s="192">
        <f>SUMIF(MtM!$A$2:$A$500,J74,MtM!$E$2:$E$500)</f>
        <v>0</v>
      </c>
      <c r="O74" s="191"/>
      <c r="P74" s="191"/>
      <c r="Q74" s="191"/>
      <c r="R74" s="191"/>
    </row>
    <row r="75" spans="1:18" x14ac:dyDescent="0.35">
      <c r="A75" s="10" t="s">
        <v>166</v>
      </c>
      <c r="B75" s="10" t="s">
        <v>166</v>
      </c>
      <c r="C75" s="192">
        <f>SUMIF(BD_COMERCIAL!$FK$3:$FK$317,MtM!B75,BD_COMERCIAL!$GO$3:$GO$317)</f>
        <v>0</v>
      </c>
      <c r="D75" s="192">
        <f>SUMIF(BD_COMERCIAL!$FK$3:$FK$317,MtM!B75,BD_COMERCIAL!$GP$3:$GP$317)</f>
        <v>0</v>
      </c>
      <c r="E75" s="192">
        <f>SUMIF(BD_COMERCIAL!$FK$3:$FK$317,MtM!B75,BD_COMERCIAL!$FM$3:$FM$317)</f>
        <v>0</v>
      </c>
      <c r="F75" s="192">
        <f>SUMIF(BD_COMERCIAL!$FK$3:$FK$317,MtM!$B75,BD_COMERCIAL!$FL$3:$FL$317)</f>
        <v>0</v>
      </c>
      <c r="J75" s="10" t="s">
        <v>199</v>
      </c>
      <c r="K75" s="192">
        <f>SUMIF(MtM!$A$2:$A$500,J75,MtM!$C$2:$C$500)</f>
        <v>0</v>
      </c>
      <c r="L75" s="192">
        <f>SUMIF(MtM!$A$2:$A$500,J75,MtM!$D$2:$D$500)</f>
        <v>0</v>
      </c>
      <c r="M75" s="192">
        <f>SUMIF(MtM!$A$2:$A$500,J75,MtM!$E$2:$E$500)</f>
        <v>0</v>
      </c>
      <c r="O75" s="191"/>
      <c r="P75" s="191"/>
      <c r="Q75" s="191"/>
      <c r="R75" s="191"/>
    </row>
    <row r="76" spans="1:18" x14ac:dyDescent="0.35">
      <c r="A76" s="10" t="s">
        <v>183</v>
      </c>
      <c r="B76" s="10" t="s">
        <v>183</v>
      </c>
      <c r="C76" s="192">
        <f>SUMIF(BD_COMERCIAL!$FK$3:$FK$317,MtM!B76,BD_COMERCIAL!$GO$3:$GO$317)</f>
        <v>0</v>
      </c>
      <c r="D76" s="192">
        <f>SUMIF(BD_COMERCIAL!$FK$3:$FK$317,MtM!B76,BD_COMERCIAL!$GP$3:$GP$317)</f>
        <v>0</v>
      </c>
      <c r="E76" s="192">
        <f>SUMIF(BD_COMERCIAL!$FK$3:$FK$317,MtM!B76,BD_COMERCIAL!$FM$3:$FM$317)</f>
        <v>0</v>
      </c>
      <c r="F76" s="192">
        <f>SUMIF(BD_COMERCIAL!$FK$3:$FK$317,MtM!$B76,BD_COMERCIAL!$FL$3:$FL$317)</f>
        <v>0</v>
      </c>
      <c r="J76" s="10" t="s">
        <v>159</v>
      </c>
      <c r="K76" s="192">
        <f>SUMIF(MtM!$A$2:$A$500,J76,MtM!$C$2:$C$500)</f>
        <v>0</v>
      </c>
      <c r="L76" s="192">
        <f>SUMIF(MtM!$A$2:$A$500,J76,MtM!$D$2:$D$500)</f>
        <v>0</v>
      </c>
      <c r="M76" s="192">
        <f>SUMIF(MtM!$A$2:$A$500,J76,MtM!$E$2:$E$500)</f>
        <v>0</v>
      </c>
      <c r="O76" s="191"/>
      <c r="P76" s="191"/>
      <c r="Q76" s="191"/>
      <c r="R76" s="191"/>
    </row>
    <row r="77" spans="1:18" x14ac:dyDescent="0.35">
      <c r="A77" s="10" t="s">
        <v>244</v>
      </c>
      <c r="B77" s="10" t="s">
        <v>244</v>
      </c>
      <c r="C77" s="192">
        <f>SUMIF(BD_COMERCIAL!$FK$3:$FK$317,MtM!B77,BD_COMERCIAL!$GO$3:$GO$317)</f>
        <v>0</v>
      </c>
      <c r="D77" s="192">
        <f>SUMIF(BD_COMERCIAL!$FK$3:$FK$317,MtM!B77,BD_COMERCIAL!$GP$3:$GP$317)</f>
        <v>0</v>
      </c>
      <c r="E77" s="192">
        <f>SUMIF(BD_COMERCIAL!$FK$3:$FK$317,MtM!B77,BD_COMERCIAL!$FM$3:$FM$317)</f>
        <v>0</v>
      </c>
      <c r="F77" s="192">
        <f>SUMIF(BD_COMERCIAL!$FK$3:$FK$317,MtM!$B77,BD_COMERCIAL!$FL$3:$FL$317)</f>
        <v>0</v>
      </c>
      <c r="J77" s="10" t="s">
        <v>170</v>
      </c>
      <c r="K77" s="192">
        <f ca="1">SUMIF(MtM!$A$2:$A$500,J77,MtM!$C$2:$C$500)</f>
        <v>264960</v>
      </c>
      <c r="L77" s="192">
        <f ca="1">SUMIF(MtM!$A$2:$A$500,J77,MtM!$D$2:$D$500)</f>
        <v>-17016</v>
      </c>
      <c r="M77" s="192">
        <f ca="1">SUMIF(MtM!$A$2:$A$500,J77,MtM!$E$2:$E$500)</f>
        <v>247944</v>
      </c>
      <c r="O77" s="191"/>
      <c r="P77" s="191"/>
      <c r="Q77" s="191"/>
      <c r="R77" s="191"/>
    </row>
    <row r="78" spans="1:18" x14ac:dyDescent="0.35">
      <c r="A78" s="10" t="s">
        <v>224</v>
      </c>
      <c r="B78" s="10" t="s">
        <v>224</v>
      </c>
      <c r="C78" s="192">
        <f>SUMIF(BD_COMERCIAL!$FK$3:$FK$317,MtM!B78,BD_COMERCIAL!$GO$3:$GO$317)</f>
        <v>0</v>
      </c>
      <c r="D78" s="192">
        <f>SUMIF(BD_COMERCIAL!$FK$3:$FK$317,MtM!B78,BD_COMERCIAL!$GP$3:$GP$317)</f>
        <v>0</v>
      </c>
      <c r="E78" s="192">
        <f>SUMIF(BD_COMERCIAL!$FK$3:$FK$317,MtM!B78,BD_COMERCIAL!$FM$3:$FM$317)</f>
        <v>0</v>
      </c>
      <c r="F78" s="192">
        <f>SUMIF(BD_COMERCIAL!$FK$3:$FK$317,MtM!$B78,BD_COMERCIAL!$FL$3:$FL$317)</f>
        <v>0</v>
      </c>
      <c r="J78" s="10" t="s">
        <v>181</v>
      </c>
      <c r="K78" s="192">
        <f>SUMIF(MtM!$A$2:$A$500,J78,MtM!$C$2:$C$500)</f>
        <v>0</v>
      </c>
      <c r="L78" s="192">
        <f>SUMIF(MtM!$A$2:$A$500,J78,MtM!$D$2:$D$500)</f>
        <v>0</v>
      </c>
      <c r="M78" s="192">
        <f>SUMIF(MtM!$A$2:$A$500,J78,MtM!$E$2:$E$500)</f>
        <v>0</v>
      </c>
      <c r="O78" s="191"/>
      <c r="P78" s="191"/>
      <c r="Q78" s="191"/>
      <c r="R78" s="191"/>
    </row>
    <row r="79" spans="1:18" x14ac:dyDescent="0.35">
      <c r="A79" s="10" t="s">
        <v>226</v>
      </c>
      <c r="B79" s="10" t="s">
        <v>226</v>
      </c>
      <c r="C79" s="192">
        <f>SUMIF(BD_COMERCIAL!$FK$3:$FK$317,MtM!B79,BD_COMERCIAL!$GO$3:$GO$317)</f>
        <v>0</v>
      </c>
      <c r="D79" s="192">
        <f>SUMIF(BD_COMERCIAL!$FK$3:$FK$317,MtM!B79,BD_COMERCIAL!$GP$3:$GP$317)</f>
        <v>0</v>
      </c>
      <c r="E79" s="192">
        <f>SUMIF(BD_COMERCIAL!$FK$3:$FK$317,MtM!B79,BD_COMERCIAL!$FM$3:$FM$317)</f>
        <v>0</v>
      </c>
      <c r="F79" s="192">
        <f>SUMIF(BD_COMERCIAL!$FK$3:$FK$317,MtM!$B79,BD_COMERCIAL!$FL$3:$FL$317)</f>
        <v>0</v>
      </c>
      <c r="J79" s="10" t="s">
        <v>204</v>
      </c>
      <c r="K79" s="192">
        <f ca="1">SUMIF(MtM!$A$2:$A$500,J79,MtM!$C$2:$C$500)</f>
        <v>2818560</v>
      </c>
      <c r="L79" s="192">
        <f ca="1">SUMIF(MtM!$A$2:$A$500,J79,MtM!$D$2:$D$500)</f>
        <v>-1143744</v>
      </c>
      <c r="M79" s="192">
        <f ca="1">SUMIF(MtM!$A$2:$A$500,J79,MtM!$E$2:$E$500)</f>
        <v>1674816</v>
      </c>
      <c r="O79" s="191"/>
      <c r="P79" s="191"/>
      <c r="Q79" s="191"/>
      <c r="R79" s="191"/>
    </row>
    <row r="80" spans="1:18" x14ac:dyDescent="0.35">
      <c r="A80" s="10" t="s">
        <v>157</v>
      </c>
      <c r="B80" s="10" t="s">
        <v>157</v>
      </c>
      <c r="C80" s="192">
        <f>SUMIF(BD_COMERCIAL!$FK$3:$FK$317,MtM!B80,BD_COMERCIAL!$GO$3:$GO$317)</f>
        <v>0</v>
      </c>
      <c r="D80" s="192">
        <f>SUMIF(BD_COMERCIAL!$FK$3:$FK$317,MtM!B80,BD_COMERCIAL!$GP$3:$GP$317)</f>
        <v>0</v>
      </c>
      <c r="E80" s="192">
        <f>SUMIF(BD_COMERCIAL!$FK$3:$FK$317,MtM!B80,BD_COMERCIAL!$FM$3:$FM$317)</f>
        <v>0</v>
      </c>
      <c r="F80" s="192">
        <f>SUMIF(BD_COMERCIAL!$FK$3:$FK$317,MtM!$B80,BD_COMERCIAL!$FL$3:$FL$317)</f>
        <v>0</v>
      </c>
      <c r="J80" s="10" t="s">
        <v>177</v>
      </c>
      <c r="K80" s="192">
        <f ca="1">SUMIF(MtM!$A$2:$A$500,J80,MtM!$C$2:$C$500)</f>
        <v>3543540.0665520001</v>
      </c>
      <c r="L80" s="192">
        <f ca="1">SUMIF(MtM!$A$2:$A$500,J80,MtM!$D$2:$D$500)</f>
        <v>-2760768</v>
      </c>
      <c r="M80" s="192">
        <f ca="1">SUMIF(MtM!$A$2:$A$500,J80,MtM!$E$2:$E$500)</f>
        <v>782772.06655200012</v>
      </c>
      <c r="O80" s="191"/>
      <c r="P80" s="191"/>
      <c r="Q80" s="191"/>
      <c r="R80" s="191"/>
    </row>
    <row r="81" spans="1:18" x14ac:dyDescent="0.35">
      <c r="A81" s="10" t="s">
        <v>163</v>
      </c>
      <c r="B81" s="10" t="s">
        <v>163</v>
      </c>
      <c r="C81" s="192">
        <f>SUMIF(BD_COMERCIAL!$FK$3:$FK$317,MtM!B81,BD_COMERCIAL!$GO$3:$GO$317)</f>
        <v>0</v>
      </c>
      <c r="D81" s="192">
        <f>SUMIF(BD_COMERCIAL!$FK$3:$FK$317,MtM!B81,BD_COMERCIAL!$GP$3:$GP$317)</f>
        <v>0</v>
      </c>
      <c r="E81" s="192">
        <f>SUMIF(BD_COMERCIAL!$FK$3:$FK$317,MtM!B81,BD_COMERCIAL!$FM$3:$FM$317)</f>
        <v>0</v>
      </c>
      <c r="F81" s="192">
        <f>SUMIF(BD_COMERCIAL!$FK$3:$FK$317,MtM!$B81,BD_COMERCIAL!$FL$3:$FL$317)</f>
        <v>0</v>
      </c>
      <c r="J81" s="10" t="s">
        <v>225</v>
      </c>
      <c r="K81" s="192">
        <f>SUMIF(MtM!$A$2:$A$500,J81,MtM!$C$2:$C$500)</f>
        <v>0</v>
      </c>
      <c r="L81" s="192">
        <f>SUMIF(MtM!$A$2:$A$500,J81,MtM!$D$2:$D$500)</f>
        <v>0</v>
      </c>
      <c r="M81" s="192">
        <f>SUMIF(MtM!$A$2:$A$500,J81,MtM!$E$2:$E$500)</f>
        <v>0</v>
      </c>
      <c r="O81" s="191"/>
      <c r="P81" s="191"/>
      <c r="Q81" s="191"/>
      <c r="R81" s="191"/>
    </row>
    <row r="82" spans="1:18" x14ac:dyDescent="0.35">
      <c r="A82" s="10" t="s">
        <v>169</v>
      </c>
      <c r="B82" s="10" t="s">
        <v>169</v>
      </c>
      <c r="C82" s="192">
        <f>SUMIF(BD_COMERCIAL!$FK$3:$FK$317,MtM!B82,BD_COMERCIAL!$GO$3:$GO$317)</f>
        <v>0</v>
      </c>
      <c r="D82" s="192">
        <f>SUMIF(BD_COMERCIAL!$FK$3:$FK$317,MtM!B82,BD_COMERCIAL!$GP$3:$GP$317)</f>
        <v>0</v>
      </c>
      <c r="E82" s="192">
        <f>SUMIF(BD_COMERCIAL!$FK$3:$FK$317,MtM!B82,BD_COMERCIAL!$FM$3:$FM$317)</f>
        <v>0</v>
      </c>
      <c r="F82" s="192">
        <f>SUMIF(BD_COMERCIAL!$FK$3:$FK$317,MtM!$B82,BD_COMERCIAL!$FL$3:$FL$317)</f>
        <v>0</v>
      </c>
      <c r="J82" s="10" t="s">
        <v>215</v>
      </c>
      <c r="K82" s="192">
        <f>SUMIF(MtM!$A$2:$A$500,J82,MtM!$C$2:$C$500)</f>
        <v>0</v>
      </c>
      <c r="L82" s="192">
        <f>SUMIF(MtM!$A$2:$A$500,J82,MtM!$D$2:$D$500)</f>
        <v>0</v>
      </c>
      <c r="M82" s="192">
        <f>SUMIF(MtM!$A$2:$A$500,J82,MtM!$E$2:$E$500)</f>
        <v>0</v>
      </c>
      <c r="O82" s="191"/>
      <c r="P82" s="191"/>
      <c r="Q82" s="191"/>
      <c r="R82" s="191"/>
    </row>
    <row r="83" spans="1:18" x14ac:dyDescent="0.35">
      <c r="A83" s="10" t="s">
        <v>294</v>
      </c>
      <c r="B83" s="10" t="s">
        <v>143</v>
      </c>
      <c r="C83" s="192">
        <f>SUMIF(BD_COMERCIAL!$FK$3:$FK$317,MtM!B83,BD_COMERCIAL!$GO$3:$GO$317)</f>
        <v>0</v>
      </c>
      <c r="D83" s="192">
        <f>SUMIF(BD_COMERCIAL!$FK$3:$FK$317,MtM!B83,BD_COMERCIAL!$GP$3:$GP$317)</f>
        <v>0</v>
      </c>
      <c r="E83" s="192">
        <f>SUMIF(BD_COMERCIAL!$FK$3:$FK$317,MtM!B83,BD_COMERCIAL!$FM$3:$FM$317)</f>
        <v>0</v>
      </c>
      <c r="F83" s="192">
        <f>SUMIF(BD_COMERCIAL!$FK$3:$FK$317,MtM!$B83,BD_COMERCIAL!$FL$3:$FL$317)</f>
        <v>0</v>
      </c>
      <c r="J83" s="10" t="s">
        <v>139</v>
      </c>
      <c r="K83" s="192">
        <f>SUMIF(MtM!$A$2:$A$500,J83,MtM!$C$2:$C$500)</f>
        <v>0</v>
      </c>
      <c r="L83" s="192">
        <f>SUMIF(MtM!$A$2:$A$500,J83,MtM!$D$2:$D$500)</f>
        <v>0</v>
      </c>
      <c r="M83" s="192">
        <f>SUMIF(MtM!$A$2:$A$500,J83,MtM!$E$2:$E$500)</f>
        <v>0</v>
      </c>
      <c r="O83" s="191"/>
      <c r="P83" s="191"/>
      <c r="Q83" s="191"/>
      <c r="R83" s="191"/>
    </row>
    <row r="84" spans="1:18" x14ac:dyDescent="0.35">
      <c r="A84" s="10" t="s">
        <v>182</v>
      </c>
      <c r="B84" s="10" t="s">
        <v>182</v>
      </c>
      <c r="C84" s="192">
        <f ca="1">SUMIF(BD_COMERCIAL!$FK$3:$FK$317,MtM!B84,BD_COMERCIAL!$GO$3:$GO$317)</f>
        <v>18059040</v>
      </c>
      <c r="D84" s="192">
        <f ca="1">SUMIF(BD_COMERCIAL!$FK$3:$FK$317,MtM!B84,BD_COMERCIAL!$GP$3:$GP$317)</f>
        <v>-34920</v>
      </c>
      <c r="E84" s="192">
        <f ca="1">SUMIF(BD_COMERCIAL!$FK$3:$FK$317,MtM!B84,BD_COMERCIAL!$FM$3:$FM$317)</f>
        <v>18024120</v>
      </c>
      <c r="F84" s="192">
        <f ca="1">SUMIF(BD_COMERCIAL!$FK$3:$FK$317,MtM!$B84,BD_COMERCIAL!$FL$3:$FL$317)</f>
        <v>0</v>
      </c>
      <c r="J84" s="10" t="s">
        <v>179</v>
      </c>
      <c r="K84" s="192">
        <f>SUMIF(MtM!$A$2:$A$500,J84,MtM!$C$2:$C$500)</f>
        <v>0</v>
      </c>
      <c r="L84" s="192">
        <f>SUMIF(MtM!$A$2:$A$500,J84,MtM!$D$2:$D$500)</f>
        <v>0</v>
      </c>
      <c r="M84" s="192">
        <f>SUMIF(MtM!$A$2:$A$500,J84,MtM!$E$2:$E$500)</f>
        <v>0</v>
      </c>
      <c r="O84" s="191"/>
      <c r="P84" s="191"/>
      <c r="Q84" s="191"/>
      <c r="R84" s="191"/>
    </row>
    <row r="85" spans="1:18" x14ac:dyDescent="0.35">
      <c r="A85" s="10" t="s">
        <v>192</v>
      </c>
      <c r="B85" s="10" t="s">
        <v>192</v>
      </c>
      <c r="C85" s="192">
        <f ca="1">SUMIF(BD_COMERCIAL!$FK$3:$FK$317,MtM!B85,BD_COMERCIAL!$GO$3:$GO$317)</f>
        <v>183264</v>
      </c>
      <c r="D85" s="192">
        <f ca="1">SUMIF(BD_COMERCIAL!$FK$3:$FK$317,MtM!B85,BD_COMERCIAL!$GP$3:$GP$317)</f>
        <v>-934848</v>
      </c>
      <c r="E85" s="192">
        <f ca="1">SUMIF(BD_COMERCIAL!$FK$3:$FK$317,MtM!B85,BD_COMERCIAL!$FM$3:$FM$317)</f>
        <v>-751584</v>
      </c>
      <c r="F85" s="192">
        <f ca="1">SUMIF(BD_COMERCIAL!$FK$3:$FK$317,MtM!$B85,BD_COMERCIAL!$FL$3:$FL$317)</f>
        <v>272.75709599999999</v>
      </c>
      <c r="J85" s="10" t="s">
        <v>213</v>
      </c>
      <c r="K85" s="192">
        <f>SUMIF(MtM!$A$2:$A$500,J85,MtM!$C$2:$C$500)</f>
        <v>0</v>
      </c>
      <c r="L85" s="192">
        <f>SUMIF(MtM!$A$2:$A$500,J85,MtM!$D$2:$D$500)</f>
        <v>0</v>
      </c>
      <c r="M85" s="192">
        <f>SUMIF(MtM!$A$2:$A$500,J85,MtM!$E$2:$E$500)</f>
        <v>0</v>
      </c>
      <c r="O85" s="191"/>
      <c r="P85" s="191"/>
      <c r="Q85" s="191"/>
      <c r="R85" s="191"/>
    </row>
    <row r="86" spans="1:18" x14ac:dyDescent="0.35">
      <c r="A86" s="10" t="s">
        <v>321</v>
      </c>
      <c r="B86" s="10" t="s">
        <v>321</v>
      </c>
      <c r="C86" s="192">
        <f>SUMIF(BD_COMERCIAL!$FK$3:$FK$317,MtM!B86,BD_COMERCIAL!$GO$3:$GO$317)</f>
        <v>0</v>
      </c>
      <c r="D86" s="192">
        <f>SUMIF(BD_COMERCIAL!$FK$3:$FK$317,MtM!B86,BD_COMERCIAL!$GP$3:$GP$317)</f>
        <v>0</v>
      </c>
      <c r="E86" s="192">
        <f>SUMIF(BD_COMERCIAL!$FK$3:$FK$317,MtM!B86,BD_COMERCIAL!$FM$3:$FM$317)</f>
        <v>0</v>
      </c>
      <c r="F86" s="192">
        <f>SUMIF(BD_COMERCIAL!$FK$3:$FK$317,MtM!$B86,BD_COMERCIAL!$FL$3:$FL$317)</f>
        <v>0</v>
      </c>
      <c r="J86" s="10" t="s">
        <v>165</v>
      </c>
      <c r="K86" s="192">
        <f ca="1">SUMIF(MtM!$A$2:$A$500,J86,MtM!$C$2:$C$500)</f>
        <v>502680</v>
      </c>
      <c r="L86" s="192">
        <f ca="1">SUMIF(MtM!$A$2:$A$500,J86,MtM!$D$2:$D$500)</f>
        <v>0</v>
      </c>
      <c r="M86" s="192">
        <f ca="1">SUMIF(MtM!$A$2:$A$500,J86,MtM!$E$2:$E$500)</f>
        <v>502680</v>
      </c>
      <c r="O86" s="191"/>
      <c r="P86" s="191"/>
      <c r="Q86" s="191"/>
      <c r="R86" s="191"/>
    </row>
    <row r="87" spans="1:18" x14ac:dyDescent="0.35">
      <c r="A87" s="10" t="s">
        <v>296</v>
      </c>
      <c r="B87" s="10" t="s">
        <v>242</v>
      </c>
      <c r="C87" s="192">
        <f>SUMIF(BD_COMERCIAL!$FK$3:$FK$317,MtM!B87,BD_COMERCIAL!$GO$3:$GO$317)</f>
        <v>0</v>
      </c>
      <c r="D87" s="192">
        <f>SUMIF(BD_COMERCIAL!$FK$3:$FK$317,MtM!B87,BD_COMERCIAL!$GP$3:$GP$317)</f>
        <v>0</v>
      </c>
      <c r="E87" s="192">
        <f>SUMIF(BD_COMERCIAL!$FK$3:$FK$317,MtM!B87,BD_COMERCIAL!$FM$3:$FM$317)</f>
        <v>0</v>
      </c>
      <c r="F87" s="192">
        <f>SUMIF(BD_COMERCIAL!$FK$3:$FK$317,MtM!$B87,BD_COMERCIAL!$FL$3:$FL$317)</f>
        <v>0</v>
      </c>
      <c r="J87" s="10" t="s">
        <v>201</v>
      </c>
      <c r="K87" s="192">
        <f ca="1">SUMIF(MtM!$A$2:$A$500,J87,MtM!$C$2:$C$500)</f>
        <v>0</v>
      </c>
      <c r="L87" s="192">
        <f ca="1">SUMIF(MtM!$A$2:$A$500,J87,MtM!$D$2:$D$500)</f>
        <v>0</v>
      </c>
      <c r="M87" s="192">
        <f ca="1">SUMIF(MtM!$A$2:$A$500,J87,MtM!$E$2:$E$500)</f>
        <v>0</v>
      </c>
      <c r="O87" s="191"/>
      <c r="P87" s="191"/>
      <c r="Q87" s="191"/>
      <c r="R87" s="191"/>
    </row>
    <row r="88" spans="1:18" x14ac:dyDescent="0.35">
      <c r="A88" s="10" t="s">
        <v>296</v>
      </c>
      <c r="B88" s="10" t="s">
        <v>222</v>
      </c>
      <c r="C88" s="192">
        <f ca="1">SUMIF(BD_COMERCIAL!$FK$3:$FK$317,MtM!B88,BD_COMERCIAL!$GO$3:$GO$317)</f>
        <v>8640</v>
      </c>
      <c r="D88" s="192">
        <f ca="1">SUMIF(BD_COMERCIAL!$FK$3:$FK$317,MtM!B88,BD_COMERCIAL!$GP$3:$GP$317)</f>
        <v>-151416</v>
      </c>
      <c r="E88" s="192">
        <f ca="1">SUMIF(BD_COMERCIAL!$FK$3:$FK$317,MtM!B88,BD_COMERCIAL!$FM$3:$FM$317)</f>
        <v>-142776</v>
      </c>
      <c r="F88" s="192">
        <f ca="1">SUMIF(BD_COMERCIAL!$FK$3:$FK$317,MtM!$B88,BD_COMERCIAL!$FL$3:$FL$317)</f>
        <v>3124.8</v>
      </c>
      <c r="J88" s="10" t="s">
        <v>167</v>
      </c>
      <c r="K88" s="192">
        <f>SUMIF(MtM!$A$2:$A$500,J88,MtM!$C$2:$C$500)</f>
        <v>0</v>
      </c>
      <c r="L88" s="192">
        <f>SUMIF(MtM!$A$2:$A$500,J88,MtM!$D$2:$D$500)</f>
        <v>0</v>
      </c>
      <c r="M88" s="192">
        <f>SUMIF(MtM!$A$2:$A$500,J88,MtM!$E$2:$E$500)</f>
        <v>0</v>
      </c>
      <c r="O88" s="191"/>
      <c r="P88" s="191"/>
      <c r="Q88" s="191"/>
      <c r="R88" s="191"/>
    </row>
    <row r="89" spans="1:18" x14ac:dyDescent="0.35">
      <c r="A89" s="10" t="s">
        <v>216</v>
      </c>
      <c r="B89" s="10" t="s">
        <v>216</v>
      </c>
      <c r="C89" s="192">
        <f>SUMIF(BD_COMERCIAL!$FK$3:$FK$317,MtM!B89,BD_COMERCIAL!$GO$3:$GO$317)</f>
        <v>0</v>
      </c>
      <c r="D89" s="192">
        <f>SUMIF(BD_COMERCIAL!$FK$3:$FK$317,MtM!B89,BD_COMERCIAL!$GP$3:$GP$317)</f>
        <v>0</v>
      </c>
      <c r="E89" s="192">
        <f>SUMIF(BD_COMERCIAL!$FK$3:$FK$317,MtM!B89,BD_COMERCIAL!$FM$3:$FM$317)</f>
        <v>0</v>
      </c>
      <c r="F89" s="192">
        <f>SUMIF(BD_COMERCIAL!$FK$3:$FK$317,MtM!$B89,BD_COMERCIAL!$FL$3:$FL$317)</f>
        <v>0</v>
      </c>
      <c r="J89" s="10" t="s">
        <v>189</v>
      </c>
      <c r="K89" s="192">
        <f>SUMIF(MtM!$A$2:$A$500,J89,MtM!$C$2:$C$500)</f>
        <v>0</v>
      </c>
      <c r="L89" s="192">
        <f>SUMIF(MtM!$A$2:$A$500,J89,MtM!$D$2:$D$500)</f>
        <v>0</v>
      </c>
      <c r="M89" s="192">
        <f>SUMIF(MtM!$A$2:$A$500,J89,MtM!$E$2:$E$500)</f>
        <v>0</v>
      </c>
      <c r="O89" s="191"/>
      <c r="P89" s="191"/>
      <c r="Q89" s="191"/>
      <c r="R89" s="191"/>
    </row>
    <row r="90" spans="1:18" x14ac:dyDescent="0.35">
      <c r="A90" s="10" t="s">
        <v>245</v>
      </c>
      <c r="B90" s="10" t="s">
        <v>245</v>
      </c>
      <c r="C90" s="192">
        <f>SUMIF(BD_COMERCIAL!$FK$3:$FK$317,MtM!B90,BD_COMERCIAL!$GO$3:$GO$317)</f>
        <v>0</v>
      </c>
      <c r="D90" s="192">
        <f>SUMIF(BD_COMERCIAL!$FK$3:$FK$317,MtM!B90,BD_COMERCIAL!$GP$3:$GP$317)</f>
        <v>0</v>
      </c>
      <c r="E90" s="192">
        <f>SUMIF(BD_COMERCIAL!$FK$3:$FK$317,MtM!B90,BD_COMERCIAL!$FM$3:$FM$317)</f>
        <v>0</v>
      </c>
      <c r="F90" s="192">
        <f>SUMIF(BD_COMERCIAL!$FK$3:$FK$317,MtM!$B90,BD_COMERCIAL!$FL$3:$FL$317)</f>
        <v>0</v>
      </c>
      <c r="J90" s="10" t="s">
        <v>205</v>
      </c>
      <c r="K90" s="192">
        <f ca="1">SUMIF(MtM!$A$2:$A$500,J90,MtM!$C$2:$C$500)</f>
        <v>1463040</v>
      </c>
      <c r="L90" s="192">
        <f ca="1">SUMIF(MtM!$A$2:$A$500,J90,MtM!$D$2:$D$500)</f>
        <v>-122400.00816</v>
      </c>
      <c r="M90" s="192">
        <f ca="1">SUMIF(MtM!$A$2:$A$500,J90,MtM!$E$2:$E$500)</f>
        <v>1340639.99184</v>
      </c>
      <c r="O90" s="191"/>
      <c r="P90" s="191"/>
      <c r="Q90" s="191"/>
      <c r="R90" s="191"/>
    </row>
    <row r="91" spans="1:18" x14ac:dyDescent="0.35">
      <c r="A91" s="10" t="s">
        <v>164</v>
      </c>
      <c r="B91" s="10" t="s">
        <v>164</v>
      </c>
      <c r="C91" s="192">
        <f>SUMIF(BD_COMERCIAL!$FK$3:$FK$317,MtM!B91,BD_COMERCIAL!$GO$3:$GO$317)</f>
        <v>0</v>
      </c>
      <c r="D91" s="192">
        <f>SUMIF(BD_COMERCIAL!$FK$3:$FK$317,MtM!B91,BD_COMERCIAL!$GP$3:$GP$317)</f>
        <v>0</v>
      </c>
      <c r="E91" s="192">
        <f>SUMIF(BD_COMERCIAL!$FK$3:$FK$317,MtM!B91,BD_COMERCIAL!$FM$3:$FM$317)</f>
        <v>0</v>
      </c>
      <c r="F91" s="192">
        <f>SUMIF(BD_COMERCIAL!$FK$3:$FK$317,MtM!$B91,BD_COMERCIAL!$FL$3:$FL$317)</f>
        <v>0</v>
      </c>
      <c r="J91" s="10" t="s">
        <v>323</v>
      </c>
      <c r="K91" s="192">
        <f>SUMIF(MtM!$A$2:$A$500,J91,MtM!$C$2:$C$500)</f>
        <v>0</v>
      </c>
      <c r="L91" s="192">
        <f>SUMIF(MtM!$A$2:$A$500,J91,MtM!$D$2:$D$500)</f>
        <v>0</v>
      </c>
      <c r="M91" s="192">
        <f>SUMIF(MtM!$A$2:$A$500,J91,MtM!$E$2:$E$500)</f>
        <v>0</v>
      </c>
      <c r="O91" s="191"/>
      <c r="P91" s="191"/>
      <c r="Q91" s="191"/>
      <c r="R91" s="191"/>
    </row>
    <row r="92" spans="1:18" x14ac:dyDescent="0.35">
      <c r="A92" s="10" t="s">
        <v>199</v>
      </c>
      <c r="B92" s="10" t="s">
        <v>199</v>
      </c>
      <c r="C92" s="192">
        <f>SUMIF(BD_COMERCIAL!$FK$3:$FK$317,MtM!B92,BD_COMERCIAL!$GO$3:$GO$317)</f>
        <v>0</v>
      </c>
      <c r="D92" s="192">
        <f>SUMIF(BD_COMERCIAL!$FK$3:$FK$317,MtM!B92,BD_COMERCIAL!$GP$3:$GP$317)</f>
        <v>0</v>
      </c>
      <c r="E92" s="192">
        <f>SUMIF(BD_COMERCIAL!$FK$3:$FK$317,MtM!B92,BD_COMERCIAL!$FM$3:$FM$317)</f>
        <v>0</v>
      </c>
      <c r="F92" s="192">
        <f>SUMIF(BD_COMERCIAL!$FK$3:$FK$317,MtM!$B92,BD_COMERCIAL!$FL$3:$FL$317)</f>
        <v>0</v>
      </c>
      <c r="J92" s="10" t="s">
        <v>234</v>
      </c>
      <c r="K92" s="192">
        <f>SUMIF(MtM!$A$2:$A$500,J92,MtM!$C$2:$C$500)</f>
        <v>0</v>
      </c>
      <c r="L92" s="192">
        <f>SUMIF(MtM!$A$2:$A$500,J92,MtM!$D$2:$D$500)</f>
        <v>0</v>
      </c>
      <c r="M92" s="192">
        <f>SUMIF(MtM!$A$2:$A$500,J92,MtM!$E$2:$E$500)</f>
        <v>0</v>
      </c>
      <c r="O92" s="191"/>
      <c r="P92" s="191"/>
      <c r="Q92" s="191"/>
      <c r="R92" s="191"/>
    </row>
    <row r="93" spans="1:18" x14ac:dyDescent="0.35">
      <c r="A93" s="10" t="s">
        <v>159</v>
      </c>
      <c r="B93" s="10" t="s">
        <v>159</v>
      </c>
      <c r="C93" s="192">
        <f>SUMIF(BD_COMERCIAL!$FK$3:$FK$317,MtM!B93,BD_COMERCIAL!$GO$3:$GO$317)</f>
        <v>0</v>
      </c>
      <c r="D93" s="192">
        <f>SUMIF(BD_COMERCIAL!$FK$3:$FK$317,MtM!B93,BD_COMERCIAL!$GP$3:$GP$317)</f>
        <v>0</v>
      </c>
      <c r="E93" s="192">
        <f>SUMIF(BD_COMERCIAL!$FK$3:$FK$317,MtM!B93,BD_COMERCIAL!$FM$3:$FM$317)</f>
        <v>0</v>
      </c>
      <c r="F93" s="192">
        <f>SUMIF(BD_COMERCIAL!$FK$3:$FK$317,MtM!$B93,BD_COMERCIAL!$FL$3:$FL$317)</f>
        <v>0</v>
      </c>
      <c r="J93" s="10" t="s">
        <v>276</v>
      </c>
      <c r="K93" s="192">
        <f>SUMIF(MtM!$A$2:$A$500,J93,MtM!$C$2:$C$500)</f>
        <v>0</v>
      </c>
      <c r="L93" s="192">
        <f>SUMIF(MtM!$A$2:$A$500,J93,MtM!$D$2:$D$500)</f>
        <v>0</v>
      </c>
      <c r="M93" s="192">
        <f>SUMIF(MtM!$A$2:$A$500,J93,MtM!$E$2:$E$500)</f>
        <v>0</v>
      </c>
      <c r="O93" s="191"/>
      <c r="P93" s="191"/>
      <c r="Q93" s="191"/>
      <c r="R93" s="191"/>
    </row>
    <row r="94" spans="1:18" x14ac:dyDescent="0.35">
      <c r="A94" s="10" t="s">
        <v>293</v>
      </c>
      <c r="B94" s="10" t="s">
        <v>149</v>
      </c>
      <c r="C94" s="192">
        <f>SUMIF(BD_COMERCIAL!$FK$3:$FK$317,MtM!B94,BD_COMERCIAL!$GO$3:$GO$317)</f>
        <v>0</v>
      </c>
      <c r="D94" s="192">
        <f>SUMIF(BD_COMERCIAL!$FK$3:$FK$317,MtM!B94,BD_COMERCIAL!$GP$3:$GP$317)</f>
        <v>0</v>
      </c>
      <c r="E94" s="192">
        <f>SUMIF(BD_COMERCIAL!$FK$3:$FK$317,MtM!B94,BD_COMERCIAL!$FM$3:$FM$317)</f>
        <v>0</v>
      </c>
      <c r="F94" s="192">
        <f>SUMIF(BD_COMERCIAL!$FK$3:$FK$317,MtM!$B94,BD_COMERCIAL!$FL$3:$FL$317)</f>
        <v>0</v>
      </c>
      <c r="J94" s="10" t="s">
        <v>326</v>
      </c>
      <c r="K94" s="192">
        <f>SUMIF(MtM!$A$2:$A$500,J94,MtM!$C$2:$C$500)</f>
        <v>0</v>
      </c>
      <c r="L94" s="192">
        <f>SUMIF(MtM!$A$2:$A$500,J94,MtM!$D$2:$D$500)</f>
        <v>0</v>
      </c>
      <c r="M94" s="192">
        <f>SUMIF(MtM!$A$2:$A$500,J94,MtM!$E$2:$E$500)</f>
        <v>0</v>
      </c>
      <c r="O94" s="191"/>
      <c r="P94" s="191"/>
      <c r="Q94" s="191"/>
      <c r="R94" s="191"/>
    </row>
    <row r="95" spans="1:18" x14ac:dyDescent="0.35">
      <c r="A95" s="10" t="s">
        <v>170</v>
      </c>
      <c r="B95" s="10" t="s">
        <v>170</v>
      </c>
      <c r="C95" s="192">
        <f ca="1">SUMIF(BD_COMERCIAL!$FK$3:$FK$317,MtM!B95,BD_COMERCIAL!$GO$3:$GO$317)</f>
        <v>264960</v>
      </c>
      <c r="D95" s="192">
        <f ca="1">SUMIF(BD_COMERCIAL!$FK$3:$FK$317,MtM!B95,BD_COMERCIAL!$GP$3:$GP$317)</f>
        <v>-17016</v>
      </c>
      <c r="E95" s="192">
        <f ca="1">SUMIF(BD_COMERCIAL!$FK$3:$FK$317,MtM!B95,BD_COMERCIAL!$FM$3:$FM$317)</f>
        <v>247944</v>
      </c>
      <c r="F95" s="192">
        <f ca="1">SUMIF(BD_COMERCIAL!$FK$3:$FK$317,MtM!$B95,BD_COMERCIAL!$FL$3:$FL$317)</f>
        <v>0</v>
      </c>
      <c r="J95" s="169" t="s">
        <v>320</v>
      </c>
      <c r="K95" s="194">
        <f ca="1">SUMIF(MtM!$A$2:$A$500,J95,MtM!$C$2:$C$500)</f>
        <v>169824</v>
      </c>
      <c r="L95" s="194">
        <f ca="1">SUMIF(MtM!$A$2:$A$500,J95,MtM!$D$2:$D$500)</f>
        <v>0</v>
      </c>
      <c r="M95" s="194">
        <f ca="1">SUMIF(MtM!$A$2:$A$500,J95,MtM!$E$2:$E$500)</f>
        <v>169824</v>
      </c>
      <c r="O95" s="191"/>
      <c r="P95" s="191"/>
      <c r="Q95" s="191"/>
      <c r="R95" s="191"/>
    </row>
    <row r="96" spans="1:18" x14ac:dyDescent="0.35">
      <c r="A96" s="10" t="s">
        <v>278</v>
      </c>
      <c r="B96" s="10" t="s">
        <v>221</v>
      </c>
      <c r="C96" s="192">
        <f>SUMIF(BD_COMERCIAL!$FK$3:$FK$317,MtM!B96,BD_COMERCIAL!$GO$3:$GO$317)</f>
        <v>0</v>
      </c>
      <c r="D96" s="192">
        <f>SUMIF(BD_COMERCIAL!$FK$3:$FK$317,MtM!B96,BD_COMERCIAL!$GP$3:$GP$317)</f>
        <v>0</v>
      </c>
      <c r="E96" s="192">
        <f>SUMIF(BD_COMERCIAL!$FK$3:$FK$317,MtM!B96,BD_COMERCIAL!$FM$3:$FM$317)</f>
        <v>0</v>
      </c>
      <c r="F96" s="192">
        <f>SUMIF(BD_COMERCIAL!$FK$3:$FK$317,MtM!$B96,BD_COMERCIAL!$FL$3:$FL$317)</f>
        <v>0</v>
      </c>
      <c r="O96" s="191"/>
      <c r="P96" s="191"/>
      <c r="Q96" s="191"/>
      <c r="R96" s="191"/>
    </row>
    <row r="97" spans="1:18" x14ac:dyDescent="0.35">
      <c r="A97" s="10" t="s">
        <v>181</v>
      </c>
      <c r="B97" s="10" t="s">
        <v>181</v>
      </c>
      <c r="C97" s="192">
        <f>SUMIF(BD_COMERCIAL!$FK$3:$FK$317,MtM!B97,BD_COMERCIAL!$GO$3:$GO$317)</f>
        <v>0</v>
      </c>
      <c r="D97" s="192">
        <f>SUMIF(BD_COMERCIAL!$FK$3:$FK$317,MtM!B97,BD_COMERCIAL!$GP$3:$GP$317)</f>
        <v>0</v>
      </c>
      <c r="E97" s="192">
        <f>SUMIF(BD_COMERCIAL!$FK$3:$FK$317,MtM!B97,BD_COMERCIAL!$FM$3:$FM$317)</f>
        <v>0</v>
      </c>
      <c r="F97" s="192">
        <f>SUMIF(BD_COMERCIAL!$FK$3:$FK$317,MtM!$B97,BD_COMERCIAL!$FL$3:$FL$317)</f>
        <v>0</v>
      </c>
      <c r="O97" s="191"/>
      <c r="P97" s="191"/>
      <c r="Q97" s="191"/>
      <c r="R97" s="191"/>
    </row>
    <row r="98" spans="1:18" x14ac:dyDescent="0.35">
      <c r="A98" s="10" t="s">
        <v>204</v>
      </c>
      <c r="B98" s="10" t="s">
        <v>204</v>
      </c>
      <c r="C98" s="192">
        <f ca="1">SUMIF(BD_COMERCIAL!$FK$3:$FK$317,MtM!B98,BD_COMERCIAL!$GO$3:$GO$317)</f>
        <v>2818560</v>
      </c>
      <c r="D98" s="192">
        <f ca="1">SUMIF(BD_COMERCIAL!$FK$3:$FK$317,MtM!B98,BD_COMERCIAL!$GP$3:$GP$317)</f>
        <v>-1143744</v>
      </c>
      <c r="E98" s="192">
        <f ca="1">SUMIF(BD_COMERCIAL!$FK$3:$FK$317,MtM!B98,BD_COMERCIAL!$FM$3:$FM$317)</f>
        <v>1674816</v>
      </c>
      <c r="F98" s="192">
        <f ca="1">SUMIF(BD_COMERCIAL!$FK$3:$FK$317,MtM!$B98,BD_COMERCIAL!$FL$3:$FL$317)</f>
        <v>433752</v>
      </c>
      <c r="M98" s="191">
        <f ca="1">SUM(M2:M95)</f>
        <v>28237326.058391999</v>
      </c>
      <c r="O98" s="191"/>
      <c r="P98" s="191"/>
      <c r="Q98" s="191"/>
      <c r="R98" s="191"/>
    </row>
    <row r="99" spans="1:18" x14ac:dyDescent="0.35">
      <c r="A99" s="10" t="s">
        <v>177</v>
      </c>
      <c r="B99" s="10" t="s">
        <v>177</v>
      </c>
      <c r="C99" s="192">
        <f ca="1">SUMIF(BD_COMERCIAL!$FK$3:$FK$317,MtM!B99,BD_COMERCIAL!$GO$3:$GO$317)</f>
        <v>3543540.0665520001</v>
      </c>
      <c r="D99" s="192">
        <f ca="1">SUMIF(BD_COMERCIAL!$FK$3:$FK$317,MtM!B99,BD_COMERCIAL!$GP$3:$GP$317)</f>
        <v>-2760768</v>
      </c>
      <c r="E99" s="192">
        <f ca="1">SUMIF(BD_COMERCIAL!$FK$3:$FK$317,MtM!B99,BD_COMERCIAL!$FM$3:$FM$317)</f>
        <v>782772.06655200012</v>
      </c>
      <c r="F99" s="192">
        <f ca="1">SUMIF(BD_COMERCIAL!$FK$3:$FK$317,MtM!$B99,BD_COMERCIAL!$FL$3:$FL$317)</f>
        <v>1861860.0349679999</v>
      </c>
      <c r="O99" s="191"/>
      <c r="P99" s="191"/>
      <c r="Q99" s="191"/>
      <c r="R99" s="191"/>
    </row>
    <row r="100" spans="1:18" x14ac:dyDescent="0.35">
      <c r="A100" s="10" t="s">
        <v>225</v>
      </c>
      <c r="B100" s="10" t="s">
        <v>225</v>
      </c>
      <c r="C100" s="192">
        <f>SUMIF(BD_COMERCIAL!$FK$3:$FK$317,MtM!B100,BD_COMERCIAL!$GO$3:$GO$317)</f>
        <v>0</v>
      </c>
      <c r="D100" s="192">
        <f>SUMIF(BD_COMERCIAL!$FK$3:$FK$317,MtM!B100,BD_COMERCIAL!$GP$3:$GP$317)</f>
        <v>0</v>
      </c>
      <c r="E100" s="192">
        <f>SUMIF(BD_COMERCIAL!$FK$3:$FK$317,MtM!B100,BD_COMERCIAL!$FM$3:$FM$317)</f>
        <v>0</v>
      </c>
      <c r="F100" s="192">
        <f>SUMIF(BD_COMERCIAL!$FK$3:$FK$317,MtM!$B100,BD_COMERCIAL!$FL$3:$FL$317)</f>
        <v>0</v>
      </c>
      <c r="O100" s="191"/>
      <c r="P100" s="191"/>
      <c r="Q100" s="191"/>
      <c r="R100" s="191"/>
    </row>
    <row r="101" spans="1:18" x14ac:dyDescent="0.35">
      <c r="A101" s="10" t="s">
        <v>215</v>
      </c>
      <c r="B101" s="10" t="s">
        <v>215</v>
      </c>
      <c r="C101" s="192">
        <f>SUMIF(BD_COMERCIAL!$FK$3:$FK$317,MtM!B101,BD_COMERCIAL!$GO$3:$GO$317)</f>
        <v>0</v>
      </c>
      <c r="D101" s="192">
        <f>SUMIF(BD_COMERCIAL!$FK$3:$FK$317,MtM!B101,BD_COMERCIAL!$GP$3:$GP$317)</f>
        <v>0</v>
      </c>
      <c r="E101" s="192">
        <f>SUMIF(BD_COMERCIAL!$FK$3:$FK$317,MtM!B101,BD_COMERCIAL!$FM$3:$FM$317)</f>
        <v>0</v>
      </c>
      <c r="F101" s="192">
        <f>SUMIF(BD_COMERCIAL!$FK$3:$FK$317,MtM!$B101,BD_COMERCIAL!$FL$3:$FL$317)</f>
        <v>0</v>
      </c>
      <c r="O101" s="191"/>
      <c r="P101" s="191"/>
      <c r="Q101" s="191"/>
      <c r="R101" s="191"/>
    </row>
    <row r="102" spans="1:18" x14ac:dyDescent="0.35">
      <c r="A102" s="10" t="s">
        <v>139</v>
      </c>
      <c r="B102" s="10" t="s">
        <v>139</v>
      </c>
      <c r="C102" s="192">
        <f>SUMIF(BD_COMERCIAL!$FK$3:$FK$317,MtM!B102,BD_COMERCIAL!$GO$3:$GO$317)</f>
        <v>0</v>
      </c>
      <c r="D102" s="192">
        <f>SUMIF(BD_COMERCIAL!$FK$3:$FK$317,MtM!B102,BD_COMERCIAL!$GP$3:$GP$317)</f>
        <v>0</v>
      </c>
      <c r="E102" s="192">
        <f>SUMIF(BD_COMERCIAL!$FK$3:$FK$317,MtM!B102,BD_COMERCIAL!$FM$3:$FM$317)</f>
        <v>0</v>
      </c>
      <c r="F102" s="192">
        <f>SUMIF(BD_COMERCIAL!$FK$3:$FK$317,MtM!$B102,BD_COMERCIAL!$FL$3:$FL$317)</f>
        <v>0</v>
      </c>
      <c r="O102" s="191"/>
      <c r="P102" s="191"/>
      <c r="Q102" s="191"/>
      <c r="R102" s="191"/>
    </row>
    <row r="103" spans="1:18" x14ac:dyDescent="0.35">
      <c r="A103" s="10" t="s">
        <v>179</v>
      </c>
      <c r="B103" s="10" t="s">
        <v>179</v>
      </c>
      <c r="C103" s="192">
        <f>SUMIF(BD_COMERCIAL!$FK$3:$FK$317,MtM!B103,BD_COMERCIAL!$GO$3:$GO$317)</f>
        <v>0</v>
      </c>
      <c r="D103" s="192">
        <f>SUMIF(BD_COMERCIAL!$FK$3:$FK$317,MtM!B103,BD_COMERCIAL!$GP$3:$GP$317)</f>
        <v>0</v>
      </c>
      <c r="E103" s="192">
        <f>SUMIF(BD_COMERCIAL!$FK$3:$FK$317,MtM!B103,BD_COMERCIAL!$FM$3:$FM$317)</f>
        <v>0</v>
      </c>
      <c r="F103" s="192">
        <f>SUMIF(BD_COMERCIAL!$FK$3:$FK$317,MtM!$B103,BD_COMERCIAL!$FL$3:$FL$317)</f>
        <v>0</v>
      </c>
      <c r="O103" s="191"/>
      <c r="P103" s="191"/>
      <c r="Q103" s="191"/>
      <c r="R103" s="191"/>
    </row>
    <row r="104" spans="1:18" x14ac:dyDescent="0.35">
      <c r="A104" s="10" t="s">
        <v>213</v>
      </c>
      <c r="B104" s="10" t="s">
        <v>213</v>
      </c>
      <c r="C104" s="192">
        <f>SUMIF(BD_COMERCIAL!$FK$3:$FK$317,MtM!B104,BD_COMERCIAL!$GO$3:$GO$317)</f>
        <v>0</v>
      </c>
      <c r="D104" s="192">
        <f>SUMIF(BD_COMERCIAL!$FK$3:$FK$317,MtM!B104,BD_COMERCIAL!$GP$3:$GP$317)</f>
        <v>0</v>
      </c>
      <c r="E104" s="192">
        <f>SUMIF(BD_COMERCIAL!$FK$3:$FK$317,MtM!B104,BD_COMERCIAL!$FM$3:$FM$317)</f>
        <v>0</v>
      </c>
      <c r="F104" s="192">
        <f>SUMIF(BD_COMERCIAL!$FK$3:$FK$317,MtM!$B104,BD_COMERCIAL!$FL$3:$FL$317)</f>
        <v>0</v>
      </c>
      <c r="O104" s="191"/>
      <c r="P104" s="191"/>
      <c r="Q104" s="191"/>
      <c r="R104" s="191"/>
    </row>
    <row r="105" spans="1:18" x14ac:dyDescent="0.35">
      <c r="A105" s="10" t="s">
        <v>165</v>
      </c>
      <c r="B105" s="10" t="s">
        <v>165</v>
      </c>
      <c r="C105" s="192">
        <f ca="1">SUMIF(BD_COMERCIAL!$FK$3:$FK$317,MtM!B105,BD_COMERCIAL!$GO$3:$GO$317)</f>
        <v>502680</v>
      </c>
      <c r="D105" s="192">
        <f ca="1">SUMIF(BD_COMERCIAL!$FK$3:$FK$317,MtM!B105,BD_COMERCIAL!$GP$3:$GP$317)</f>
        <v>0</v>
      </c>
      <c r="E105" s="192">
        <f ca="1">SUMIF(BD_COMERCIAL!$FK$3:$FK$317,MtM!B105,BD_COMERCIAL!$FM$3:$FM$317)</f>
        <v>502680</v>
      </c>
      <c r="F105" s="192">
        <f ca="1">SUMIF(BD_COMERCIAL!$FK$3:$FK$317,MtM!$B105,BD_COMERCIAL!$FL$3:$FL$317)</f>
        <v>264120</v>
      </c>
      <c r="O105" s="191"/>
      <c r="P105" s="191"/>
      <c r="Q105" s="191"/>
      <c r="R105" s="191"/>
    </row>
    <row r="106" spans="1:18" x14ac:dyDescent="0.35">
      <c r="A106" s="10" t="s">
        <v>201</v>
      </c>
      <c r="B106" s="10" t="s">
        <v>201</v>
      </c>
      <c r="C106" s="192">
        <f ca="1">SUMIF(BD_COMERCIAL!$FK$3:$FK$317,MtM!B106,BD_COMERCIAL!$GO$3:$GO$317)</f>
        <v>0</v>
      </c>
      <c r="D106" s="192">
        <f ca="1">SUMIF(BD_COMERCIAL!$FK$3:$FK$317,MtM!B106,BD_COMERCIAL!$GP$3:$GP$317)</f>
        <v>0</v>
      </c>
      <c r="E106" s="192">
        <f ca="1">SUMIF(BD_COMERCIAL!$FK$3:$FK$317,MtM!B106,BD_COMERCIAL!$FM$3:$FM$317)</f>
        <v>0</v>
      </c>
      <c r="F106" s="192">
        <f ca="1">SUMIF(BD_COMERCIAL!$FK$3:$FK$317,MtM!$B106,BD_COMERCIAL!$FL$3:$FL$317)</f>
        <v>117552</v>
      </c>
      <c r="O106" s="191"/>
      <c r="P106" s="191"/>
      <c r="Q106" s="191"/>
      <c r="R106" s="191"/>
    </row>
    <row r="107" spans="1:18" x14ac:dyDescent="0.35">
      <c r="A107" s="10" t="s">
        <v>167</v>
      </c>
      <c r="B107" s="10" t="s">
        <v>167</v>
      </c>
      <c r="C107" s="192">
        <f>SUMIF(BD_COMERCIAL!$FK$3:$FK$317,MtM!B107,BD_COMERCIAL!$GO$3:$GO$317)</f>
        <v>0</v>
      </c>
      <c r="D107" s="192">
        <f>SUMIF(BD_COMERCIAL!$FK$3:$FK$317,MtM!B107,BD_COMERCIAL!$GP$3:$GP$317)</f>
        <v>0</v>
      </c>
      <c r="E107" s="192">
        <f>SUMIF(BD_COMERCIAL!$FK$3:$FK$317,MtM!B107,BD_COMERCIAL!$FM$3:$FM$317)</f>
        <v>0</v>
      </c>
      <c r="F107" s="192">
        <f>SUMIF(BD_COMERCIAL!$FK$3:$FK$317,MtM!$B107,BD_COMERCIAL!$FL$3:$FL$317)</f>
        <v>0</v>
      </c>
      <c r="O107" s="191"/>
      <c r="P107" s="191"/>
      <c r="Q107" s="191"/>
      <c r="R107" s="191"/>
    </row>
    <row r="108" spans="1:18" x14ac:dyDescent="0.35">
      <c r="A108" s="10" t="s">
        <v>189</v>
      </c>
      <c r="B108" s="10" t="s">
        <v>189</v>
      </c>
      <c r="C108" s="192">
        <f>SUMIF(BD_COMERCIAL!$FK$3:$FK$317,MtM!B108,BD_COMERCIAL!$GO$3:$GO$317)</f>
        <v>0</v>
      </c>
      <c r="D108" s="192">
        <f>SUMIF(BD_COMERCIAL!$FK$3:$FK$317,MtM!B108,BD_COMERCIAL!$GP$3:$GP$317)</f>
        <v>0</v>
      </c>
      <c r="E108" s="192">
        <f>SUMIF(BD_COMERCIAL!$FK$3:$FK$317,MtM!B108,BD_COMERCIAL!$FM$3:$FM$317)</f>
        <v>0</v>
      </c>
      <c r="F108" s="192">
        <f>SUMIF(BD_COMERCIAL!$FK$3:$FK$317,MtM!$B108,BD_COMERCIAL!$FL$3:$FL$317)</f>
        <v>0</v>
      </c>
      <c r="O108" s="191"/>
      <c r="P108" s="191"/>
      <c r="Q108" s="191"/>
      <c r="R108" s="191"/>
    </row>
    <row r="109" spans="1:18" x14ac:dyDescent="0.35">
      <c r="A109" s="10" t="s">
        <v>205</v>
      </c>
      <c r="B109" s="10" t="s">
        <v>205</v>
      </c>
      <c r="C109" s="192">
        <f ca="1">SUMIF(BD_COMERCIAL!$FK$3:$FK$317,MtM!B109,BD_COMERCIAL!$GO$3:$GO$317)</f>
        <v>1463040</v>
      </c>
      <c r="D109" s="192">
        <f ca="1">SUMIF(BD_COMERCIAL!$FK$3:$FK$317,MtM!B109,BD_COMERCIAL!$GP$3:$GP$317)</f>
        <v>-122400.00816</v>
      </c>
      <c r="E109" s="192">
        <f ca="1">SUMIF(BD_COMERCIAL!$FK$3:$FK$317,MtM!B109,BD_COMERCIAL!$FM$3:$FM$317)</f>
        <v>1340639.99184</v>
      </c>
      <c r="F109" s="192">
        <f ca="1">SUMIF(BD_COMERCIAL!$FK$3:$FK$317,MtM!$B109,BD_COMERCIAL!$FL$3:$FL$317)</f>
        <v>-73656</v>
      </c>
      <c r="O109" s="191"/>
      <c r="P109" s="191"/>
      <c r="Q109" s="191"/>
      <c r="R109" s="191"/>
    </row>
    <row r="110" spans="1:18" x14ac:dyDescent="0.35">
      <c r="A110" s="10" t="s">
        <v>323</v>
      </c>
      <c r="B110" s="10" t="s">
        <v>323</v>
      </c>
      <c r="C110" s="192">
        <f>SUMIF(BD_COMERCIAL!$FK$3:$FK$317,MtM!B110,BD_COMERCIAL!$GO$3:$GO$317)</f>
        <v>0</v>
      </c>
      <c r="D110" s="192">
        <f>SUMIF(BD_COMERCIAL!$FK$3:$FK$317,MtM!B110,BD_COMERCIAL!$GP$3:$GP$317)</f>
        <v>0</v>
      </c>
      <c r="E110" s="192">
        <f>SUMIF(BD_COMERCIAL!$FK$3:$FK$317,MtM!B110,BD_COMERCIAL!$FM$3:$FM$317)</f>
        <v>0</v>
      </c>
      <c r="F110" s="192">
        <f>SUMIF(BD_COMERCIAL!$FK$3:$FK$317,MtM!$B110,BD_COMERCIAL!$FL$3:$FL$317)</f>
        <v>0</v>
      </c>
      <c r="O110" s="191"/>
      <c r="P110" s="191"/>
      <c r="Q110" s="191"/>
      <c r="R110" s="191"/>
    </row>
    <row r="111" spans="1:18" x14ac:dyDescent="0.35">
      <c r="A111" s="10" t="s">
        <v>234</v>
      </c>
      <c r="B111" s="10" t="s">
        <v>234</v>
      </c>
      <c r="C111" s="192">
        <f>SUMIF(BD_COMERCIAL!$FK$3:$FK$317,MtM!B111,BD_COMERCIAL!$GO$3:$GO$317)</f>
        <v>0</v>
      </c>
      <c r="D111" s="192">
        <f>SUMIF(BD_COMERCIAL!$FK$3:$FK$317,MtM!B111,BD_COMERCIAL!$GP$3:$GP$317)</f>
        <v>0</v>
      </c>
      <c r="E111" s="192">
        <f>SUMIF(BD_COMERCIAL!$FK$3:$FK$317,MtM!B111,BD_COMERCIAL!$FM$3:$FM$317)</f>
        <v>0</v>
      </c>
      <c r="F111" s="192">
        <f>SUMIF(BD_COMERCIAL!$FK$3:$FK$317,MtM!$B111,BD_COMERCIAL!$FL$3:$FL$317)</f>
        <v>0</v>
      </c>
      <c r="O111" s="191"/>
      <c r="P111" s="191"/>
      <c r="Q111" s="191"/>
      <c r="R111" s="191"/>
    </row>
    <row r="112" spans="1:18" x14ac:dyDescent="0.35">
      <c r="A112" s="10" t="s">
        <v>276</v>
      </c>
      <c r="B112" s="10" t="s">
        <v>144</v>
      </c>
      <c r="C112" s="192">
        <f>SUMIF(BD_COMERCIAL!$FK$3:$FK$317,MtM!B112,BD_COMERCIAL!$GO$3:$GO$317)</f>
        <v>0</v>
      </c>
      <c r="D112" s="192">
        <f>SUMIF(BD_COMERCIAL!$FK$3:$FK$317,MtM!B112,BD_COMERCIAL!$GP$3:$GP$317)</f>
        <v>0</v>
      </c>
      <c r="E112" s="192">
        <f>SUMIF(BD_COMERCIAL!$FK$3:$FK$317,MtM!B112,BD_COMERCIAL!$FM$3:$FM$317)</f>
        <v>0</v>
      </c>
      <c r="F112" s="192">
        <f>SUMIF(BD_COMERCIAL!$FK$3:$FK$317,MtM!$B112,BD_COMERCIAL!$FL$3:$FL$317)</f>
        <v>0</v>
      </c>
      <c r="O112" s="191"/>
      <c r="P112" s="191"/>
      <c r="Q112" s="191"/>
      <c r="R112" s="191"/>
    </row>
    <row r="113" spans="1:18" x14ac:dyDescent="0.35">
      <c r="A113" s="10" t="s">
        <v>276</v>
      </c>
      <c r="B113" s="10" t="s">
        <v>135</v>
      </c>
      <c r="C113" s="192">
        <f>SUMIF(BD_COMERCIAL!$FK$3:$FK$317,MtM!B113,BD_COMERCIAL!$GO$3:$GO$317)</f>
        <v>0</v>
      </c>
      <c r="D113" s="192">
        <f>SUMIF(BD_COMERCIAL!$FK$3:$FK$317,MtM!B113,BD_COMERCIAL!$GP$3:$GP$317)</f>
        <v>0</v>
      </c>
      <c r="E113" s="192">
        <f>SUMIF(BD_COMERCIAL!$FK$3:$FK$317,MtM!B113,BD_COMERCIAL!$FM$3:$FM$317)</f>
        <v>0</v>
      </c>
      <c r="F113" s="192">
        <f>SUMIF(BD_COMERCIAL!$FK$3:$FK$317,MtM!$B113,BD_COMERCIAL!$FL$3:$FL$317)</f>
        <v>0</v>
      </c>
      <c r="O113" s="191"/>
      <c r="P113" s="191"/>
      <c r="Q113" s="191"/>
      <c r="R113" s="191"/>
    </row>
    <row r="114" spans="1:18" x14ac:dyDescent="0.35">
      <c r="A114" s="10" t="s">
        <v>326</v>
      </c>
      <c r="B114" s="10" t="s">
        <v>326</v>
      </c>
      <c r="C114" s="192">
        <f>SUMIF(BD_COMERCIAL!$FK$3:$FK$317,MtM!B114,BD_COMERCIAL!$GO$3:$GO$317)</f>
        <v>0</v>
      </c>
      <c r="D114" s="192">
        <f>SUMIF(BD_COMERCIAL!$FK$3:$FK$317,MtM!B114,BD_COMERCIAL!$GP$3:$GP$317)</f>
        <v>0</v>
      </c>
      <c r="E114" s="192">
        <f>SUMIF(BD_COMERCIAL!$FK$3:$FK$317,MtM!B114,BD_COMERCIAL!$FM$3:$FM$317)</f>
        <v>0</v>
      </c>
      <c r="F114" s="192">
        <f>SUMIF(BD_COMERCIAL!$FK$3:$FK$317,MtM!$B114,BD_COMERCIAL!$FL$3:$FL$317)</f>
        <v>0</v>
      </c>
      <c r="O114" s="191"/>
      <c r="P114" s="191"/>
      <c r="Q114" s="191"/>
      <c r="R114" s="191"/>
    </row>
    <row r="115" spans="1:18" x14ac:dyDescent="0.35">
      <c r="A115" s="10" t="s">
        <v>290</v>
      </c>
      <c r="B115" s="10" t="s">
        <v>142</v>
      </c>
      <c r="C115" s="192">
        <f ca="1">SUMIF(BD_COMERCIAL!$FK$3:$FK$317,MtM!B115,BD_COMERCIAL!$GO$3:$GO$317)</f>
        <v>13392</v>
      </c>
      <c r="D115" s="192">
        <f ca="1">SUMIF(BD_COMERCIAL!$FK$3:$FK$317,MtM!B115,BD_COMERCIAL!$GP$3:$GP$317)</f>
        <v>0</v>
      </c>
      <c r="E115" s="192">
        <f ca="1">SUMIF(BD_COMERCIAL!$FK$3:$FK$317,MtM!B115,BD_COMERCIAL!$FM$3:$FM$317)</f>
        <v>13392</v>
      </c>
      <c r="F115" s="192">
        <f ca="1">SUMIF(BD_COMERCIAL!$FK$3:$FK$317,MtM!$B115,BD_COMERCIAL!$FL$3:$FL$317)</f>
        <v>0</v>
      </c>
      <c r="O115" s="191"/>
      <c r="P115" s="191"/>
      <c r="Q115" s="191"/>
      <c r="R115" s="191"/>
    </row>
    <row r="116" spans="1:18" x14ac:dyDescent="0.35">
      <c r="A116" s="10" t="s">
        <v>320</v>
      </c>
      <c r="B116" s="10" t="s">
        <v>320</v>
      </c>
      <c r="C116" s="192">
        <f ca="1">SUMIF(BD_COMERCIAL!$FK$3:$FK$317,MtM!B116,BD_COMERCIAL!$GO$3:$GO$317)</f>
        <v>169824</v>
      </c>
      <c r="D116" s="192">
        <f ca="1">SUMIF(BD_COMERCIAL!$FK$3:$FK$317,MtM!B116,BD_COMERCIAL!$GP$3:$GP$317)</f>
        <v>0</v>
      </c>
      <c r="E116" s="192">
        <f ca="1">SUMIF(BD_COMERCIAL!$FK$3:$FK$317,MtM!B116,BD_COMERCIAL!$FM$3:$FM$317)</f>
        <v>169824</v>
      </c>
      <c r="F116" s="192">
        <f ca="1">SUMIF(BD_COMERCIAL!$FK$3:$FK$317,MtM!$B116,BD_COMERCIAL!$FL$3:$FL$317)</f>
        <v>74400</v>
      </c>
      <c r="O116" s="191"/>
      <c r="P116" s="191"/>
      <c r="Q116" s="191"/>
      <c r="R116" s="191"/>
    </row>
    <row r="117" spans="1:18" x14ac:dyDescent="0.35">
      <c r="A117" s="169" t="s">
        <v>293</v>
      </c>
      <c r="B117" s="169" t="s">
        <v>207</v>
      </c>
      <c r="C117" s="194">
        <f>SUMIF(BD_COMERCIAL!$FK$3:$FK$317,MtM!B117,BD_COMERCIAL!$GO$3:$GO$317)</f>
        <v>0</v>
      </c>
      <c r="D117" s="194">
        <f>SUMIF(BD_COMERCIAL!$FK$3:$FK$317,MtM!B117,BD_COMERCIAL!$GP$3:$GP$317)</f>
        <v>0</v>
      </c>
      <c r="E117" s="194">
        <f>SUMIF(BD_COMERCIAL!$FK$3:$FK$317,MtM!B117,BD_COMERCIAL!$FM$3:$FM$317)</f>
        <v>0</v>
      </c>
      <c r="F117" s="194">
        <f>SUMIF(BD_COMERCIAL!$FK$3:$FK$317,MtM!$B117,BD_COMERCIAL!$FL$3:$FL$317)</f>
        <v>0</v>
      </c>
      <c r="O117" s="191"/>
      <c r="P117" s="191"/>
      <c r="Q117" s="191"/>
      <c r="R117" s="191"/>
    </row>
  </sheetData>
  <autoFilter ref="A1:F117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106"/>
  <sheetViews>
    <sheetView topLeftCell="A84" workbookViewId="0">
      <selection activeCell="C2" sqref="C2"/>
    </sheetView>
  </sheetViews>
  <sheetFormatPr defaultRowHeight="14.5" x14ac:dyDescent="0.35"/>
  <cols>
    <col min="1" max="1" width="58.1796875" bestFit="1" customWidth="1"/>
    <col min="2" max="2" width="54.1796875" customWidth="1"/>
    <col min="3" max="3" width="16.453125" bestFit="1" customWidth="1"/>
    <col min="4" max="4" width="14" customWidth="1"/>
    <col min="8" max="8" width="58.1796875" bestFit="1" customWidth="1"/>
    <col min="9" max="9" width="12.26953125" bestFit="1" customWidth="1"/>
  </cols>
  <sheetData>
    <row r="1" spans="1:9" x14ac:dyDescent="0.35">
      <c r="A1" s="168" t="s">
        <v>269</v>
      </c>
      <c r="B1" s="168" t="s">
        <v>250</v>
      </c>
      <c r="C1" s="168" t="s">
        <v>267</v>
      </c>
      <c r="D1" s="168" t="s">
        <v>266</v>
      </c>
      <c r="H1" s="168" t="s">
        <v>269</v>
      </c>
      <c r="I1" s="168" t="s">
        <v>267</v>
      </c>
    </row>
    <row r="2" spans="1:9" x14ac:dyDescent="0.35">
      <c r="A2" s="170" t="s">
        <v>220</v>
      </c>
      <c r="B2" s="170" t="s">
        <v>220</v>
      </c>
      <c r="C2" s="193">
        <f>SUMIFS(BD_COMERCIAL!$FM$3:$FM$5,BD_COMERCIAL!$FK$3:$FK$5,'MtM (Trading)'!B2,BD_COMERCIAL!$FD$3:$FD$5,"Trading")</f>
        <v>0</v>
      </c>
      <c r="D2" s="193">
        <f>SUMIFS(BD_COMERCIAL!$FL$3:$FL$5,BD_COMERCIAL!$FK$3:$FK$5,'MtM (Trading)'!C2,BD_COMERCIAL!$FD$3:$FD$5,"Trading")</f>
        <v>0</v>
      </c>
      <c r="H2" s="170" t="s">
        <v>220</v>
      </c>
      <c r="I2" s="193">
        <f>SUMIF('MtM (Trading)'!$A$2:$A$105,H2,'MtM (Trading)'!$C$2:$C$105)</f>
        <v>0</v>
      </c>
    </row>
    <row r="3" spans="1:9" x14ac:dyDescent="0.35">
      <c r="A3" s="10" t="s">
        <v>243</v>
      </c>
      <c r="B3" s="10" t="s">
        <v>243</v>
      </c>
      <c r="C3" s="193">
        <f>SUMIFS(BD_COMERCIAL!$FM$3:$FM$5,BD_COMERCIAL!$FK$3:$FK$5,'MtM (Trading)'!B3,BD_COMERCIAL!$FD$3:$FD$5,"Trading")</f>
        <v>0</v>
      </c>
      <c r="D3" s="193">
        <f>SUMIFS(BD_COMERCIAL!$FL$3:$FL$5,BD_COMERCIAL!$FK$3:$FK$5,'MtM (Trading)'!C3,BD_COMERCIAL!$FD$3:$FD$5,"Trading")</f>
        <v>0</v>
      </c>
      <c r="H3" s="10" t="s">
        <v>243</v>
      </c>
      <c r="I3" s="192">
        <f>SUMIF('MtM (Trading)'!$A$2:$A$105,H3,'MtM (Trading)'!$C$2:$C$105)</f>
        <v>0</v>
      </c>
    </row>
    <row r="4" spans="1:9" x14ac:dyDescent="0.35">
      <c r="A4" s="10" t="s">
        <v>186</v>
      </c>
      <c r="B4" s="10" t="s">
        <v>186</v>
      </c>
      <c r="C4" s="193">
        <f>SUMIFS(BD_COMERCIAL!$FM$3:$FM$5,BD_COMERCIAL!$FK$3:$FK$5,'MtM (Trading)'!B4,BD_COMERCIAL!$FD$3:$FD$5,"Trading")</f>
        <v>0</v>
      </c>
      <c r="D4" s="193">
        <f>SUMIFS(BD_COMERCIAL!$FL$3:$FL$5,BD_COMERCIAL!$FK$3:$FK$5,'MtM (Trading)'!C4,BD_COMERCIAL!$FD$3:$FD$5,"Trading")</f>
        <v>0</v>
      </c>
      <c r="H4" s="10" t="s">
        <v>186</v>
      </c>
      <c r="I4" s="192">
        <f>SUMIF('MtM (Trading)'!$A$2:$A$105,H4,'MtM (Trading)'!$C$2:$C$105)</f>
        <v>0</v>
      </c>
    </row>
    <row r="5" spans="1:9" x14ac:dyDescent="0.35">
      <c r="A5" s="10" t="s">
        <v>190</v>
      </c>
      <c r="B5" s="10" t="s">
        <v>190</v>
      </c>
      <c r="C5" s="193">
        <f>SUMIFS(BD_COMERCIAL!$FM$3:$FM$5,BD_COMERCIAL!$FK$3:$FK$5,'MtM (Trading)'!B5,BD_COMERCIAL!$FD$3:$FD$5,"Trading")</f>
        <v>0</v>
      </c>
      <c r="D5" s="193">
        <f>SUMIFS(BD_COMERCIAL!$FL$3:$FL$5,BD_COMERCIAL!$FK$3:$FK$5,'MtM (Trading)'!C5,BD_COMERCIAL!$FD$3:$FD$5,"Trading")</f>
        <v>0</v>
      </c>
      <c r="H5" s="10" t="s">
        <v>190</v>
      </c>
      <c r="I5" s="192">
        <f>SUMIF('MtM (Trading)'!$A$2:$A$105,H5,'MtM (Trading)'!$C$2:$C$105)</f>
        <v>0</v>
      </c>
    </row>
    <row r="6" spans="1:9" x14ac:dyDescent="0.35">
      <c r="A6" s="10" t="s">
        <v>202</v>
      </c>
      <c r="B6" s="10" t="s">
        <v>202</v>
      </c>
      <c r="C6" s="193">
        <f>SUMIFS(BD_COMERCIAL!$FM$3:$FM$5,BD_COMERCIAL!$FK$3:$FK$5,'MtM (Trading)'!B6,BD_COMERCIAL!$FD$3:$FD$5,"Trading")</f>
        <v>0</v>
      </c>
      <c r="D6" s="193">
        <f>SUMIFS(BD_COMERCIAL!$FL$3:$FL$5,BD_COMERCIAL!$FK$3:$FK$5,'MtM (Trading)'!C6,BD_COMERCIAL!$FD$3:$FD$5,"Trading")</f>
        <v>0</v>
      </c>
      <c r="H6" s="10" t="s">
        <v>202</v>
      </c>
      <c r="I6" s="192">
        <f>SUMIF('MtM (Trading)'!$A$2:$A$105,H6,'MtM (Trading)'!$C$2:$C$105)</f>
        <v>0</v>
      </c>
    </row>
    <row r="7" spans="1:9" x14ac:dyDescent="0.35">
      <c r="A7" s="10" t="s">
        <v>188</v>
      </c>
      <c r="B7" s="10" t="s">
        <v>188</v>
      </c>
      <c r="C7" s="193">
        <f>SUMIFS(BD_COMERCIAL!$FM$3:$FM$5,BD_COMERCIAL!$FK$3:$FK$5,'MtM (Trading)'!B7,BD_COMERCIAL!$FD$3:$FD$5,"Trading")</f>
        <v>0</v>
      </c>
      <c r="D7" s="193">
        <f>SUMIFS(BD_COMERCIAL!$FL$3:$FL$5,BD_COMERCIAL!$FK$3:$FK$5,'MtM (Trading)'!C7,BD_COMERCIAL!$FD$3:$FD$5,"Trading")</f>
        <v>0</v>
      </c>
      <c r="H7" s="10" t="s">
        <v>188</v>
      </c>
      <c r="I7" s="192">
        <f>SUMIF('MtM (Trading)'!$A$2:$A$105,H7,'MtM (Trading)'!$C$2:$C$105)</f>
        <v>0</v>
      </c>
    </row>
    <row r="8" spans="1:9" x14ac:dyDescent="0.35">
      <c r="A8" s="10" t="s">
        <v>161</v>
      </c>
      <c r="B8" s="10" t="s">
        <v>161</v>
      </c>
      <c r="C8" s="193">
        <f>SUMIFS(BD_COMERCIAL!$FM$3:$FM$5,BD_COMERCIAL!$FK$3:$FK$5,'MtM (Trading)'!B8,BD_COMERCIAL!$FD$3:$FD$5,"Trading")</f>
        <v>0</v>
      </c>
      <c r="D8" s="193">
        <f>SUMIFS(BD_COMERCIAL!$FL$3:$FL$5,BD_COMERCIAL!$FK$3:$FK$5,'MtM (Trading)'!C8,BD_COMERCIAL!$FD$3:$FD$5,"Trading")</f>
        <v>0</v>
      </c>
      <c r="H8" s="10" t="s">
        <v>161</v>
      </c>
      <c r="I8" s="192">
        <f>SUMIF('MtM (Trading)'!$A$2:$A$105,H8,'MtM (Trading)'!$C$2:$C$105)</f>
        <v>0</v>
      </c>
    </row>
    <row r="9" spans="1:9" x14ac:dyDescent="0.35">
      <c r="A9" s="10" t="s">
        <v>153</v>
      </c>
      <c r="B9" s="10" t="s">
        <v>153</v>
      </c>
      <c r="C9" s="193">
        <f>SUMIFS(BD_COMERCIAL!$FM$3:$FM$5,BD_COMERCIAL!$FK$3:$FK$5,'MtM (Trading)'!B9,BD_COMERCIAL!$FD$3:$FD$5,"Trading")</f>
        <v>0</v>
      </c>
      <c r="D9" s="193">
        <f>SUMIFS(BD_COMERCIAL!$FL$3:$FL$5,BD_COMERCIAL!$FK$3:$FK$5,'MtM (Trading)'!C9,BD_COMERCIAL!$FD$3:$FD$5,"Trading")</f>
        <v>0</v>
      </c>
      <c r="H9" s="10" t="s">
        <v>153</v>
      </c>
      <c r="I9" s="192">
        <f>SUMIF('MtM (Trading)'!$A$2:$A$105,H9,'MtM (Trading)'!$C$2:$C$105)</f>
        <v>0</v>
      </c>
    </row>
    <row r="10" spans="1:9" x14ac:dyDescent="0.35">
      <c r="A10" s="10" t="s">
        <v>231</v>
      </c>
      <c r="B10" s="10" t="s">
        <v>231</v>
      </c>
      <c r="C10" s="193">
        <f>SUMIFS(BD_COMERCIAL!$FM$3:$FM$5,BD_COMERCIAL!$FK$3:$FK$5,'MtM (Trading)'!B10,BD_COMERCIAL!$FD$3:$FD$5,"Trading")</f>
        <v>0</v>
      </c>
      <c r="D10" s="193">
        <f>SUMIFS(BD_COMERCIAL!$FL$3:$FL$5,BD_COMERCIAL!$FK$3:$FK$5,'MtM (Trading)'!C10,BD_COMERCIAL!$FD$3:$FD$5,"Trading")</f>
        <v>0</v>
      </c>
      <c r="H10" s="10" t="s">
        <v>231</v>
      </c>
      <c r="I10" s="192">
        <f>SUMIF('MtM (Trading)'!$A$2:$A$105,H10,'MtM (Trading)'!$C$2:$C$105)</f>
        <v>0</v>
      </c>
    </row>
    <row r="11" spans="1:9" x14ac:dyDescent="0.35">
      <c r="A11" s="10" t="s">
        <v>173</v>
      </c>
      <c r="B11" s="10" t="s">
        <v>173</v>
      </c>
      <c r="C11" s="193">
        <f>SUMIFS(BD_COMERCIAL!$FM$3:$FM$5,BD_COMERCIAL!$FK$3:$FK$5,'MtM (Trading)'!B11,BD_COMERCIAL!$FD$3:$FD$5,"Trading")</f>
        <v>0</v>
      </c>
      <c r="D11" s="193">
        <f>SUMIFS(BD_COMERCIAL!$FL$3:$FL$5,BD_COMERCIAL!$FK$3:$FK$5,'MtM (Trading)'!C11,BD_COMERCIAL!$FD$3:$FD$5,"Trading")</f>
        <v>0</v>
      </c>
      <c r="H11" s="10" t="s">
        <v>173</v>
      </c>
      <c r="I11" s="192">
        <f>SUMIF('MtM (Trading)'!$A$2:$A$105,H11,'MtM (Trading)'!$C$2:$C$105)</f>
        <v>0</v>
      </c>
    </row>
    <row r="12" spans="1:9" x14ac:dyDescent="0.35">
      <c r="A12" s="10" t="s">
        <v>185</v>
      </c>
      <c r="B12" s="10" t="s">
        <v>185</v>
      </c>
      <c r="C12" s="193">
        <f>SUMIFS(BD_COMERCIAL!$FM$3:$FM$5,BD_COMERCIAL!$FK$3:$FK$5,'MtM (Trading)'!B12,BD_COMERCIAL!$FD$3:$FD$5,"Trading")</f>
        <v>0</v>
      </c>
      <c r="D12" s="193">
        <f>SUMIFS(BD_COMERCIAL!$FL$3:$FL$5,BD_COMERCIAL!$FK$3:$FK$5,'MtM (Trading)'!C12,BD_COMERCIAL!$FD$3:$FD$5,"Trading")</f>
        <v>0</v>
      </c>
      <c r="H12" s="10" t="s">
        <v>185</v>
      </c>
      <c r="I12" s="192">
        <f>SUMIF('MtM (Trading)'!$A$2:$A$105,H12,'MtM (Trading)'!$C$2:$C$105)</f>
        <v>0</v>
      </c>
    </row>
    <row r="13" spans="1:9" x14ac:dyDescent="0.35">
      <c r="A13" s="10" t="s">
        <v>270</v>
      </c>
      <c r="B13" s="10" t="s">
        <v>236</v>
      </c>
      <c r="C13" s="193">
        <f>SUMIFS(BD_COMERCIAL!$FM$3:$FM$5,BD_COMERCIAL!$FK$3:$FK$5,'MtM (Trading)'!B13,BD_COMERCIAL!$FD$3:$FD$5,"Trading")</f>
        <v>0</v>
      </c>
      <c r="D13" s="193">
        <f>SUMIFS(BD_COMERCIAL!$FL$3:$FL$5,BD_COMERCIAL!$FK$3:$FK$5,'MtM (Trading)'!C13,BD_COMERCIAL!$FD$3:$FD$5,"Trading")</f>
        <v>0</v>
      </c>
      <c r="H13" s="10" t="s">
        <v>270</v>
      </c>
      <c r="I13" s="192">
        <f>SUMIF('MtM (Trading)'!$A$2:$A$105,H13,'MtM (Trading)'!$C$2:$C$105)</f>
        <v>0</v>
      </c>
    </row>
    <row r="14" spans="1:9" x14ac:dyDescent="0.35">
      <c r="A14" s="10" t="s">
        <v>270</v>
      </c>
      <c r="B14" s="10" t="s">
        <v>219</v>
      </c>
      <c r="C14" s="193">
        <f>SUMIFS(BD_COMERCIAL!$FM$3:$FM$5,BD_COMERCIAL!$FK$3:$FK$5,'MtM (Trading)'!B14,BD_COMERCIAL!$FD$3:$FD$5,"Trading")</f>
        <v>0</v>
      </c>
      <c r="D14" s="193">
        <f>SUMIFS(BD_COMERCIAL!$FL$3:$FL$5,BD_COMERCIAL!$FK$3:$FK$5,'MtM (Trading)'!C14,BD_COMERCIAL!$FD$3:$FD$5,"Trading")</f>
        <v>0</v>
      </c>
      <c r="H14" s="10" t="s">
        <v>271</v>
      </c>
      <c r="I14" s="192">
        <f>SUMIF('MtM (Trading)'!$A$2:$A$105,H14,'MtM (Trading)'!$C$2:$C$105)</f>
        <v>0</v>
      </c>
    </row>
    <row r="15" spans="1:9" x14ac:dyDescent="0.35">
      <c r="A15" s="10" t="s">
        <v>271</v>
      </c>
      <c r="B15" s="10" t="s">
        <v>198</v>
      </c>
      <c r="C15" s="193">
        <f>SUMIFS(BD_COMERCIAL!$FM$3:$FM$5,BD_COMERCIAL!$FK$3:$FK$5,'MtM (Trading)'!B15,BD_COMERCIAL!$FD$3:$FD$5,"Trading")</f>
        <v>0</v>
      </c>
      <c r="D15" s="193">
        <f>SUMIFS(BD_COMERCIAL!$FL$3:$FL$5,BD_COMERCIAL!$FK$3:$FK$5,'MtM (Trading)'!C15,BD_COMERCIAL!$FD$3:$FD$5,"Trading")</f>
        <v>0</v>
      </c>
      <c r="H15" s="10" t="s">
        <v>168</v>
      </c>
      <c r="I15" s="192">
        <f>SUMIF('MtM (Trading)'!$A$2:$A$105,H15,'MtM (Trading)'!$C$2:$C$105)</f>
        <v>0</v>
      </c>
    </row>
    <row r="16" spans="1:9" x14ac:dyDescent="0.35">
      <c r="A16" s="10" t="s">
        <v>168</v>
      </c>
      <c r="B16" s="10" t="s">
        <v>168</v>
      </c>
      <c r="C16" s="193">
        <f>SUMIFS(BD_COMERCIAL!$FM$3:$FM$5,BD_COMERCIAL!$FK$3:$FK$5,'MtM (Trading)'!B16,BD_COMERCIAL!$FD$3:$FD$5,"Trading")</f>
        <v>0</v>
      </c>
      <c r="D16" s="193">
        <f>SUMIFS(BD_COMERCIAL!$FL$3:$FL$5,BD_COMERCIAL!$FK$3:$FK$5,'MtM (Trading)'!C16,BD_COMERCIAL!$FD$3:$FD$5,"Trading")</f>
        <v>0</v>
      </c>
      <c r="H16" s="10" t="s">
        <v>174</v>
      </c>
      <c r="I16" s="192">
        <f>SUMIF('MtM (Trading)'!$A$2:$A$105,H16,'MtM (Trading)'!$C$2:$C$105)</f>
        <v>0</v>
      </c>
    </row>
    <row r="17" spans="1:9" x14ac:dyDescent="0.35">
      <c r="A17" s="10" t="s">
        <v>174</v>
      </c>
      <c r="B17" s="10" t="s">
        <v>174</v>
      </c>
      <c r="C17" s="193">
        <f>SUMIFS(BD_COMERCIAL!$FM$3:$FM$5,BD_COMERCIAL!$FK$3:$FK$5,'MtM (Trading)'!B17,BD_COMERCIAL!$FD$3:$FD$5,"Trading")</f>
        <v>0</v>
      </c>
      <c r="D17" s="193">
        <f>SUMIFS(BD_COMERCIAL!$FL$3:$FL$5,BD_COMERCIAL!$FK$3:$FK$5,'MtM (Trading)'!C17,BD_COMERCIAL!$FD$3:$FD$5,"Trading")</f>
        <v>0</v>
      </c>
      <c r="H17" s="10" t="s">
        <v>175</v>
      </c>
      <c r="I17" s="192">
        <f>SUMIF('MtM (Trading)'!$A$2:$A$105,H17,'MtM (Trading)'!$C$2:$C$105)</f>
        <v>0</v>
      </c>
    </row>
    <row r="18" spans="1:9" x14ac:dyDescent="0.35">
      <c r="A18" s="10" t="s">
        <v>271</v>
      </c>
      <c r="B18" s="10" t="s">
        <v>232</v>
      </c>
      <c r="C18" s="193">
        <f>SUMIFS(BD_COMERCIAL!$FM$3:$FM$5,BD_COMERCIAL!$FK$3:$FK$5,'MtM (Trading)'!B18,BD_COMERCIAL!$FD$3:$FD$5,"Trading")</f>
        <v>0</v>
      </c>
      <c r="D18" s="193">
        <f>SUMIFS(BD_COMERCIAL!$FL$3:$FL$5,BD_COMERCIAL!$FK$3:$FK$5,'MtM (Trading)'!C18,BD_COMERCIAL!$FD$3:$FD$5,"Trading")</f>
        <v>0</v>
      </c>
      <c r="H18" s="10" t="s">
        <v>248</v>
      </c>
      <c r="I18" s="192">
        <f>SUMIF('MtM (Trading)'!$A$2:$A$105,H18,'MtM (Trading)'!$C$2:$C$105)</f>
        <v>0</v>
      </c>
    </row>
    <row r="19" spans="1:9" x14ac:dyDescent="0.35">
      <c r="A19" s="10" t="s">
        <v>271</v>
      </c>
      <c r="B19" s="10" t="s">
        <v>154</v>
      </c>
      <c r="C19" s="193">
        <f>SUMIFS(BD_COMERCIAL!$FM$3:$FM$5,BD_COMERCIAL!$FK$3:$FK$5,'MtM (Trading)'!B19,BD_COMERCIAL!$FD$3:$FD$5,"Trading")</f>
        <v>0</v>
      </c>
      <c r="D19" s="193">
        <f>SUMIFS(BD_COMERCIAL!$FL$3:$FL$5,BD_COMERCIAL!$FK$3:$FK$5,'MtM (Trading)'!C19,BD_COMERCIAL!$FD$3:$FD$5,"Trading")</f>
        <v>0</v>
      </c>
      <c r="H19" s="10" t="s">
        <v>233</v>
      </c>
      <c r="I19" s="192">
        <f>SUMIF('MtM (Trading)'!$A$2:$A$105,H19,'MtM (Trading)'!$C$2:$C$105)</f>
        <v>0</v>
      </c>
    </row>
    <row r="20" spans="1:9" x14ac:dyDescent="0.35">
      <c r="A20" s="10" t="s">
        <v>175</v>
      </c>
      <c r="B20" s="10" t="s">
        <v>175</v>
      </c>
      <c r="C20" s="193">
        <f>SUMIFS(BD_COMERCIAL!$FM$3:$FM$5,BD_COMERCIAL!$FK$3:$FK$5,'MtM (Trading)'!B20,BD_COMERCIAL!$FD$3:$FD$5,"Trading")</f>
        <v>0</v>
      </c>
      <c r="D20" s="193">
        <f>SUMIFS(BD_COMERCIAL!$FL$3:$FL$5,BD_COMERCIAL!$FK$3:$FK$5,'MtM (Trading)'!C20,BD_COMERCIAL!$FD$3:$FD$5,"Trading")</f>
        <v>0</v>
      </c>
      <c r="H20" s="10" t="s">
        <v>206</v>
      </c>
      <c r="I20" s="192">
        <f>SUMIF('MtM (Trading)'!$A$2:$A$105,H20,'MtM (Trading)'!$C$2:$C$105)</f>
        <v>0</v>
      </c>
    </row>
    <row r="21" spans="1:9" x14ac:dyDescent="0.35">
      <c r="A21" s="10" t="s">
        <v>248</v>
      </c>
      <c r="B21" s="10" t="s">
        <v>248</v>
      </c>
      <c r="C21" s="193">
        <f>SUMIFS(BD_COMERCIAL!$FM$3:$FM$5,BD_COMERCIAL!$FK$3:$FK$5,'MtM (Trading)'!B21,BD_COMERCIAL!$FD$3:$FD$5,"Trading")</f>
        <v>0</v>
      </c>
      <c r="D21" s="193">
        <f>SUMIFS(BD_COMERCIAL!$FL$3:$FL$5,BD_COMERCIAL!$FK$3:$FK$5,'MtM (Trading)'!C21,BD_COMERCIAL!$FD$3:$FD$5,"Trading")</f>
        <v>0</v>
      </c>
      <c r="H21" s="10" t="s">
        <v>208</v>
      </c>
      <c r="I21" s="192">
        <f>SUMIF('MtM (Trading)'!$A$2:$A$105,H21,'MtM (Trading)'!$C$2:$C$105)</f>
        <v>0</v>
      </c>
    </row>
    <row r="22" spans="1:9" x14ac:dyDescent="0.35">
      <c r="A22" s="10" t="s">
        <v>233</v>
      </c>
      <c r="B22" s="10" t="s">
        <v>233</v>
      </c>
      <c r="C22" s="193">
        <f>SUMIFS(BD_COMERCIAL!$FM$3:$FM$5,BD_COMERCIAL!$FK$3:$FK$5,'MtM (Trading)'!B22,BD_COMERCIAL!$FD$3:$FD$5,"Trading")</f>
        <v>0</v>
      </c>
      <c r="D22" s="193">
        <f>SUMIFS(BD_COMERCIAL!$FL$3:$FL$5,BD_COMERCIAL!$FK$3:$FK$5,'MtM (Trading)'!C22,BD_COMERCIAL!$FD$3:$FD$5,"Trading")</f>
        <v>0</v>
      </c>
      <c r="H22" s="10" t="s">
        <v>272</v>
      </c>
      <c r="I22" s="192">
        <f>SUMIF('MtM (Trading)'!$A$2:$A$105,H22,'MtM (Trading)'!$C$2:$C$105)</f>
        <v>0</v>
      </c>
    </row>
    <row r="23" spans="1:9" x14ac:dyDescent="0.35">
      <c r="A23" s="10" t="s">
        <v>206</v>
      </c>
      <c r="B23" s="10" t="s">
        <v>206</v>
      </c>
      <c r="C23" s="193">
        <f>SUMIFS(BD_COMERCIAL!$FM$3:$FM$5,BD_COMERCIAL!$FK$3:$FK$5,'MtM (Trading)'!B23,BD_COMERCIAL!$FD$3:$FD$5,"Trading")</f>
        <v>0</v>
      </c>
      <c r="D23" s="193">
        <f>SUMIFS(BD_COMERCIAL!$FL$3:$FL$5,BD_COMERCIAL!$FK$3:$FK$5,'MtM (Trading)'!C23,BD_COMERCIAL!$FD$3:$FD$5,"Trading")</f>
        <v>0</v>
      </c>
      <c r="H23" s="10" t="s">
        <v>155</v>
      </c>
      <c r="I23" s="192">
        <f>SUMIF('MtM (Trading)'!$A$2:$A$105,H23,'MtM (Trading)'!$C$2:$C$105)</f>
        <v>0</v>
      </c>
    </row>
    <row r="24" spans="1:9" x14ac:dyDescent="0.35">
      <c r="A24" s="10" t="s">
        <v>208</v>
      </c>
      <c r="B24" s="10" t="s">
        <v>208</v>
      </c>
      <c r="C24" s="193">
        <f>SUMIFS(BD_COMERCIAL!$FM$3:$FM$5,BD_COMERCIAL!$FK$3:$FK$5,'MtM (Trading)'!B24,BD_COMERCIAL!$FD$3:$FD$5,"Trading")</f>
        <v>0</v>
      </c>
      <c r="D24" s="193">
        <f>SUMIFS(BD_COMERCIAL!$FL$3:$FL$5,BD_COMERCIAL!$FK$3:$FK$5,'MtM (Trading)'!C24,BD_COMERCIAL!$FD$3:$FD$5,"Trading")</f>
        <v>0</v>
      </c>
      <c r="H24" s="10" t="s">
        <v>150</v>
      </c>
      <c r="I24" s="192">
        <f>SUMIF('MtM (Trading)'!$A$2:$A$105,H24,'MtM (Trading)'!$C$2:$C$105)</f>
        <v>0</v>
      </c>
    </row>
    <row r="25" spans="1:9" x14ac:dyDescent="0.35">
      <c r="A25" s="10" t="s">
        <v>272</v>
      </c>
      <c r="B25" s="10" t="s">
        <v>141</v>
      </c>
      <c r="C25" s="193">
        <f>SUMIFS(BD_COMERCIAL!$FM$3:$FM$5,BD_COMERCIAL!$FK$3:$FK$5,'MtM (Trading)'!B25,BD_COMERCIAL!$FD$3:$FD$5,"Trading")</f>
        <v>0</v>
      </c>
      <c r="D25" s="193">
        <f>SUMIFS(BD_COMERCIAL!$FL$3:$FL$5,BD_COMERCIAL!$FK$3:$FK$5,'MtM (Trading)'!C25,BD_COMERCIAL!$FD$3:$FD$5,"Trading")</f>
        <v>0</v>
      </c>
      <c r="H25" s="10" t="s">
        <v>214</v>
      </c>
      <c r="I25" s="192">
        <f>SUMIF('MtM (Trading)'!$A$2:$A$105,H25,'MtM (Trading)'!$C$2:$C$105)</f>
        <v>0</v>
      </c>
    </row>
    <row r="26" spans="1:9" x14ac:dyDescent="0.35">
      <c r="A26" s="10" t="s">
        <v>272</v>
      </c>
      <c r="B26" s="10" t="s">
        <v>147</v>
      </c>
      <c r="C26" s="193">
        <f>SUMIFS(BD_COMERCIAL!$FM$3:$FM$5,BD_COMERCIAL!$FK$3:$FK$5,'MtM (Trading)'!B26,BD_COMERCIAL!$FD$3:$FD$5,"Trading")</f>
        <v>0</v>
      </c>
      <c r="D26" s="193">
        <f>SUMIFS(BD_COMERCIAL!$FL$3:$FL$5,BD_COMERCIAL!$FK$3:$FK$5,'MtM (Trading)'!C26,BD_COMERCIAL!$FD$3:$FD$5,"Trading")</f>
        <v>0</v>
      </c>
      <c r="H26" s="10" t="s">
        <v>273</v>
      </c>
      <c r="I26" s="192">
        <f>SUMIF('MtM (Trading)'!$A$2:$A$105,H26,'MtM (Trading)'!$C$2:$C$105)</f>
        <v>0</v>
      </c>
    </row>
    <row r="27" spans="1:9" x14ac:dyDescent="0.35">
      <c r="A27" s="10" t="s">
        <v>155</v>
      </c>
      <c r="B27" s="10" t="s">
        <v>155</v>
      </c>
      <c r="C27" s="193">
        <f>SUMIFS(BD_COMERCIAL!$FM$3:$FM$5,BD_COMERCIAL!$FK$3:$FK$5,'MtM (Trading)'!B27,BD_COMERCIAL!$FD$3:$FD$5,"Trading")</f>
        <v>0</v>
      </c>
      <c r="D27" s="193">
        <f>SUMIFS(BD_COMERCIAL!$FL$3:$FL$5,BD_COMERCIAL!$FK$3:$FK$5,'MtM (Trading)'!C27,BD_COMERCIAL!$FD$3:$FD$5,"Trading")</f>
        <v>0</v>
      </c>
      <c r="H27" s="10" t="s">
        <v>278</v>
      </c>
      <c r="I27" s="192">
        <f>SUMIF('MtM (Trading)'!$A$2:$A$105,H27,'MtM (Trading)'!$C$2:$C$105)</f>
        <v>0</v>
      </c>
    </row>
    <row r="28" spans="1:9" x14ac:dyDescent="0.35">
      <c r="A28" s="10" t="s">
        <v>150</v>
      </c>
      <c r="B28" s="10" t="s">
        <v>150</v>
      </c>
      <c r="C28" s="193">
        <f>SUMIFS(BD_COMERCIAL!$FM$3:$FM$5,BD_COMERCIAL!$FK$3:$FK$5,'MtM (Trading)'!B28,BD_COMERCIAL!$FD$3:$FD$5,"Trading")</f>
        <v>0</v>
      </c>
      <c r="D28" s="193">
        <f>SUMIFS(BD_COMERCIAL!$FL$3:$FL$5,BD_COMERCIAL!$FK$3:$FK$5,'MtM (Trading)'!C28,BD_COMERCIAL!$FD$3:$FD$5,"Trading")</f>
        <v>0</v>
      </c>
      <c r="H28" s="10" t="s">
        <v>162</v>
      </c>
      <c r="I28" s="192">
        <f>SUMIF('MtM (Trading)'!$A$2:$A$105,H28,'MtM (Trading)'!$C$2:$C$105)</f>
        <v>0</v>
      </c>
    </row>
    <row r="29" spans="1:9" x14ac:dyDescent="0.35">
      <c r="A29" s="10" t="s">
        <v>214</v>
      </c>
      <c r="B29" s="10" t="s">
        <v>214</v>
      </c>
      <c r="C29" s="193">
        <f>SUMIFS(BD_COMERCIAL!$FM$3:$FM$5,BD_COMERCIAL!$FK$3:$FK$5,'MtM (Trading)'!B29,BD_COMERCIAL!$FD$3:$FD$5,"Trading")</f>
        <v>0</v>
      </c>
      <c r="D29" s="193">
        <f>SUMIFS(BD_COMERCIAL!$FL$3:$FL$5,BD_COMERCIAL!$FK$3:$FK$5,'MtM (Trading)'!C29,BD_COMERCIAL!$FD$3:$FD$5,"Trading")</f>
        <v>0</v>
      </c>
      <c r="H29" s="10" t="s">
        <v>171</v>
      </c>
      <c r="I29" s="192">
        <f>SUMIF('MtM (Trading)'!$A$2:$A$105,H29,'MtM (Trading)'!$C$2:$C$105)</f>
        <v>0</v>
      </c>
    </row>
    <row r="30" spans="1:9" x14ac:dyDescent="0.35">
      <c r="A30" s="10" t="s">
        <v>273</v>
      </c>
      <c r="B30" s="10" t="s">
        <v>131</v>
      </c>
      <c r="C30" s="193">
        <f>SUMIFS(BD_COMERCIAL!$FM$3:$FM$5,BD_COMERCIAL!$FK$3:$FK$5,'MtM (Trading)'!B30,BD_COMERCIAL!$FD$3:$FD$5,"Trading")</f>
        <v>0</v>
      </c>
      <c r="D30" s="193">
        <f>SUMIFS(BD_COMERCIAL!$FL$3:$FL$5,BD_COMERCIAL!$FK$3:$FK$5,'MtM (Trading)'!C30,BD_COMERCIAL!$FD$3:$FD$5,"Trading")</f>
        <v>0</v>
      </c>
      <c r="H30" s="10" t="s">
        <v>228</v>
      </c>
      <c r="I30" s="192">
        <f>SUMIF('MtM (Trading)'!$A$2:$A$105,H30,'MtM (Trading)'!$C$2:$C$105)</f>
        <v>0</v>
      </c>
    </row>
    <row r="31" spans="1:9" x14ac:dyDescent="0.35">
      <c r="A31" s="10" t="s">
        <v>273</v>
      </c>
      <c r="B31" s="10" t="s">
        <v>246</v>
      </c>
      <c r="C31" s="193">
        <f>SUMIFS(BD_COMERCIAL!$FM$3:$FM$5,BD_COMERCIAL!$FK$3:$FK$5,'MtM (Trading)'!B31,BD_COMERCIAL!$FD$3:$FD$5,"Trading")</f>
        <v>0</v>
      </c>
      <c r="D31" s="193">
        <f>SUMIFS(BD_COMERCIAL!$FL$3:$FL$5,BD_COMERCIAL!$FK$3:$FK$5,'MtM (Trading)'!C31,BD_COMERCIAL!$FD$3:$FD$5,"Trading")</f>
        <v>0</v>
      </c>
      <c r="H31" s="10" t="s">
        <v>194</v>
      </c>
      <c r="I31" s="192">
        <f>SUMIF('MtM (Trading)'!$A$2:$A$105,H31,'MtM (Trading)'!$C$2:$C$105)</f>
        <v>0</v>
      </c>
    </row>
    <row r="32" spans="1:9" x14ac:dyDescent="0.35">
      <c r="A32" s="10" t="s">
        <v>278</v>
      </c>
      <c r="B32" s="10" t="s">
        <v>160</v>
      </c>
      <c r="C32" s="193">
        <f>SUMIFS(BD_COMERCIAL!$FM$3:$FM$5,BD_COMERCIAL!$FK$3:$FK$5,'MtM (Trading)'!B32,BD_COMERCIAL!$FD$3:$FD$5,"Trading")</f>
        <v>0</v>
      </c>
      <c r="D32" s="193">
        <f>SUMIFS(BD_COMERCIAL!$FL$3:$FL$5,BD_COMERCIAL!$FK$3:$FK$5,'MtM (Trading)'!C32,BD_COMERCIAL!$FD$3:$FD$5,"Trading")</f>
        <v>0</v>
      </c>
      <c r="H32" s="10" t="s">
        <v>230</v>
      </c>
      <c r="I32" s="192">
        <f>SUMIF('MtM (Trading)'!$A$2:$A$105,H32,'MtM (Trading)'!$C$2:$C$105)</f>
        <v>0</v>
      </c>
    </row>
    <row r="33" spans="1:9" x14ac:dyDescent="0.35">
      <c r="A33" s="10" t="s">
        <v>162</v>
      </c>
      <c r="B33" s="10" t="s">
        <v>162</v>
      </c>
      <c r="C33" s="193">
        <f>SUMIFS(BD_COMERCIAL!$FM$3:$FM$5,BD_COMERCIAL!$FK$3:$FK$5,'MtM (Trading)'!B33,BD_COMERCIAL!$FD$3:$FD$5,"Trading")</f>
        <v>0</v>
      </c>
      <c r="D33" s="193">
        <f>SUMIFS(BD_COMERCIAL!$FL$3:$FL$5,BD_COMERCIAL!$FK$3:$FK$5,'MtM (Trading)'!C33,BD_COMERCIAL!$FD$3:$FD$5,"Trading")</f>
        <v>0</v>
      </c>
      <c r="H33" s="10" t="s">
        <v>152</v>
      </c>
      <c r="I33" s="192">
        <f>SUMIF('MtM (Trading)'!$A$2:$A$105,H33,'MtM (Trading)'!$C$2:$C$105)</f>
        <v>0</v>
      </c>
    </row>
    <row r="34" spans="1:9" x14ac:dyDescent="0.35">
      <c r="A34" s="10" t="s">
        <v>171</v>
      </c>
      <c r="B34" s="10" t="s">
        <v>171</v>
      </c>
      <c r="C34" s="193">
        <f>SUMIFS(BD_COMERCIAL!$FM$3:$FM$5,BD_COMERCIAL!$FK$3:$FK$5,'MtM (Trading)'!B34,BD_COMERCIAL!$FD$3:$FD$5,"Trading")</f>
        <v>0</v>
      </c>
      <c r="D34" s="193">
        <f>SUMIFS(BD_COMERCIAL!$FL$3:$FL$5,BD_COMERCIAL!$FK$3:$FK$5,'MtM (Trading)'!C34,BD_COMERCIAL!$FD$3:$FD$5,"Trading")</f>
        <v>0</v>
      </c>
      <c r="H34" s="10" t="s">
        <v>227</v>
      </c>
      <c r="I34" s="192">
        <f>SUMIF('MtM (Trading)'!$A$2:$A$105,H34,'MtM (Trading)'!$C$2:$C$105)</f>
        <v>0</v>
      </c>
    </row>
    <row r="35" spans="1:9" x14ac:dyDescent="0.35">
      <c r="A35" s="10" t="s">
        <v>228</v>
      </c>
      <c r="B35" s="10" t="s">
        <v>228</v>
      </c>
      <c r="C35" s="193">
        <f>SUMIFS(BD_COMERCIAL!$FM$3:$FM$5,BD_COMERCIAL!$FK$3:$FK$5,'MtM (Trading)'!B35,BD_COMERCIAL!$FD$3:$FD$5,"Trading")</f>
        <v>0</v>
      </c>
      <c r="D35" s="193">
        <f>SUMIFS(BD_COMERCIAL!$FL$3:$FL$5,BD_COMERCIAL!$FK$3:$FK$5,'MtM (Trading)'!C35,BD_COMERCIAL!$FD$3:$FD$5,"Trading")</f>
        <v>0</v>
      </c>
      <c r="H35" s="10" t="s">
        <v>178</v>
      </c>
      <c r="I35" s="192">
        <f>SUMIF('MtM (Trading)'!$A$2:$A$105,H35,'MtM (Trading)'!$C$2:$C$105)</f>
        <v>0</v>
      </c>
    </row>
    <row r="36" spans="1:9" x14ac:dyDescent="0.35">
      <c r="A36" s="10" t="s">
        <v>194</v>
      </c>
      <c r="B36" s="10" t="s">
        <v>194</v>
      </c>
      <c r="C36" s="193">
        <f>SUMIFS(BD_COMERCIAL!$FM$3:$FM$5,BD_COMERCIAL!$FK$3:$FK$5,'MtM (Trading)'!B36,BD_COMERCIAL!$FD$3:$FD$5,"Trading")</f>
        <v>0</v>
      </c>
      <c r="D36" s="193">
        <f>SUMIFS(BD_COMERCIAL!$FL$3:$FL$5,BD_COMERCIAL!$FK$3:$FK$5,'MtM (Trading)'!C36,BD_COMERCIAL!$FD$3:$FD$5,"Trading")</f>
        <v>0</v>
      </c>
      <c r="H36" s="10" t="s">
        <v>140</v>
      </c>
      <c r="I36" s="192">
        <f>SUMIF('MtM (Trading)'!$A$2:$A$105,H36,'MtM (Trading)'!$C$2:$C$105)</f>
        <v>0</v>
      </c>
    </row>
    <row r="37" spans="1:9" x14ac:dyDescent="0.35">
      <c r="A37" s="10" t="s">
        <v>230</v>
      </c>
      <c r="B37" s="10" t="s">
        <v>230</v>
      </c>
      <c r="C37" s="193">
        <f>SUMIFS(BD_COMERCIAL!$FM$3:$FM$5,BD_COMERCIAL!$FK$3:$FK$5,'MtM (Trading)'!B37,BD_COMERCIAL!$FD$3:$FD$5,"Trading")</f>
        <v>0</v>
      </c>
      <c r="D37" s="193">
        <f>SUMIFS(BD_COMERCIAL!$FL$3:$FL$5,BD_COMERCIAL!$FK$3:$FK$5,'MtM (Trading)'!C37,BD_COMERCIAL!$FD$3:$FD$5,"Trading")</f>
        <v>0</v>
      </c>
      <c r="H37" s="10" t="s">
        <v>176</v>
      </c>
      <c r="I37" s="192">
        <f>SUMIF('MtM (Trading)'!$A$2:$A$105,H37,'MtM (Trading)'!$C$2:$C$105)</f>
        <v>0</v>
      </c>
    </row>
    <row r="38" spans="1:9" x14ac:dyDescent="0.35">
      <c r="A38" s="10" t="s">
        <v>152</v>
      </c>
      <c r="B38" s="10" t="s">
        <v>152</v>
      </c>
      <c r="C38" s="193">
        <f>SUMIFS(BD_COMERCIAL!$FM$3:$FM$5,BD_COMERCIAL!$FK$3:$FK$5,'MtM (Trading)'!B38,BD_COMERCIAL!$FD$3:$FD$5,"Trading")</f>
        <v>0</v>
      </c>
      <c r="D38" s="193">
        <f>SUMIFS(BD_COMERCIAL!$FL$3:$FL$5,BD_COMERCIAL!$FK$3:$FK$5,'MtM (Trading)'!C38,BD_COMERCIAL!$FD$3:$FD$5,"Trading")</f>
        <v>0</v>
      </c>
      <c r="H38" s="10" t="s">
        <v>138</v>
      </c>
      <c r="I38" s="192">
        <f>SUMIF('MtM (Trading)'!$A$2:$A$105,H38,'MtM (Trading)'!$C$2:$C$105)</f>
        <v>0</v>
      </c>
    </row>
    <row r="39" spans="1:9" x14ac:dyDescent="0.35">
      <c r="A39" s="10" t="s">
        <v>227</v>
      </c>
      <c r="B39" s="10" t="s">
        <v>227</v>
      </c>
      <c r="C39" s="193">
        <f>SUMIFS(BD_COMERCIAL!$FM$3:$FM$5,BD_COMERCIAL!$FK$3:$FK$5,'MtM (Trading)'!B39,BD_COMERCIAL!$FD$3:$FD$5,"Trading")</f>
        <v>0</v>
      </c>
      <c r="D39" s="193">
        <f>SUMIFS(BD_COMERCIAL!$FL$3:$FL$5,BD_COMERCIAL!$FK$3:$FK$5,'MtM (Trading)'!C39,BD_COMERCIAL!$FD$3:$FD$5,"Trading")</f>
        <v>0</v>
      </c>
      <c r="H39" s="10" t="s">
        <v>212</v>
      </c>
      <c r="I39" s="192">
        <f>SUMIF('MtM (Trading)'!$A$2:$A$105,H39,'MtM (Trading)'!$C$2:$C$105)</f>
        <v>0</v>
      </c>
    </row>
    <row r="40" spans="1:9" x14ac:dyDescent="0.35">
      <c r="A40" s="10" t="s">
        <v>178</v>
      </c>
      <c r="B40" s="10" t="s">
        <v>178</v>
      </c>
      <c r="C40" s="193">
        <f>SUMIFS(BD_COMERCIAL!$FM$3:$FM$5,BD_COMERCIAL!$FK$3:$FK$5,'MtM (Trading)'!B40,BD_COMERCIAL!$FD$3:$FD$5,"Trading")</f>
        <v>0</v>
      </c>
      <c r="D40" s="193">
        <f>SUMIFS(BD_COMERCIAL!$FL$3:$FL$5,BD_COMERCIAL!$FK$3:$FK$5,'MtM (Trading)'!C40,BD_COMERCIAL!$FD$3:$FD$5,"Trading")</f>
        <v>0</v>
      </c>
      <c r="H40" s="10" t="s">
        <v>274</v>
      </c>
      <c r="I40" s="192">
        <f>SUMIF('MtM (Trading)'!$A$2:$A$105,H40,'MtM (Trading)'!$C$2:$C$105)</f>
        <v>0</v>
      </c>
    </row>
    <row r="41" spans="1:9" x14ac:dyDescent="0.35">
      <c r="A41" s="10" t="s">
        <v>140</v>
      </c>
      <c r="B41" s="10" t="s">
        <v>140</v>
      </c>
      <c r="C41" s="193">
        <f>SUMIFS(BD_COMERCIAL!$FM$3:$FM$5,BD_COMERCIAL!$FK$3:$FK$5,'MtM (Trading)'!B41,BD_COMERCIAL!$FD$3:$FD$5,"Trading")</f>
        <v>0</v>
      </c>
      <c r="D41" s="193">
        <f>SUMIFS(BD_COMERCIAL!$FL$3:$FL$5,BD_COMERCIAL!$FK$3:$FK$5,'MtM (Trading)'!C41,BD_COMERCIAL!$FD$3:$FD$5,"Trading")</f>
        <v>0</v>
      </c>
      <c r="H41" s="10" t="s">
        <v>187</v>
      </c>
      <c r="I41" s="192">
        <f>SUMIF('MtM (Trading)'!$A$2:$A$105,H41,'MtM (Trading)'!$C$2:$C$105)</f>
        <v>0</v>
      </c>
    </row>
    <row r="42" spans="1:9" x14ac:dyDescent="0.35">
      <c r="A42" s="10" t="s">
        <v>176</v>
      </c>
      <c r="B42" s="10" t="s">
        <v>176</v>
      </c>
      <c r="C42" s="193">
        <f>SUMIFS(BD_COMERCIAL!$FM$3:$FM$5,BD_COMERCIAL!$FK$3:$FK$5,'MtM (Trading)'!B42,BD_COMERCIAL!$FD$3:$FD$5,"Trading")</f>
        <v>0</v>
      </c>
      <c r="D42" s="193">
        <f>SUMIFS(BD_COMERCIAL!$FL$3:$FL$5,BD_COMERCIAL!$FK$3:$FK$5,'MtM (Trading)'!C42,BD_COMERCIAL!$FD$3:$FD$5,"Trading")</f>
        <v>0</v>
      </c>
      <c r="H42" s="10" t="s">
        <v>211</v>
      </c>
      <c r="I42" s="192">
        <f>SUMIF('MtM (Trading)'!$A$2:$A$105,H42,'MtM (Trading)'!$C$2:$C$105)</f>
        <v>0</v>
      </c>
    </row>
    <row r="43" spans="1:9" x14ac:dyDescent="0.35">
      <c r="A43" s="10" t="s">
        <v>138</v>
      </c>
      <c r="B43" s="10" t="s">
        <v>138</v>
      </c>
      <c r="C43" s="193">
        <f>SUMIFS(BD_COMERCIAL!$FM$3:$FM$5,BD_COMERCIAL!$FK$3:$FK$5,'MtM (Trading)'!B43,BD_COMERCIAL!$FD$3:$FD$5,"Trading")</f>
        <v>0</v>
      </c>
      <c r="D43" s="193">
        <f>SUMIFS(BD_COMERCIAL!$FL$3:$FL$5,BD_COMERCIAL!$FK$3:$FK$5,'MtM (Trading)'!C43,BD_COMERCIAL!$FD$3:$FD$5,"Trading")</f>
        <v>0</v>
      </c>
      <c r="H43" s="10" t="s">
        <v>239</v>
      </c>
      <c r="I43" s="192">
        <f>SUMIF('MtM (Trading)'!$A$2:$A$105,H43,'MtM (Trading)'!$C$2:$C$105)</f>
        <v>0</v>
      </c>
    </row>
    <row r="44" spans="1:9" x14ac:dyDescent="0.35">
      <c r="A44" s="10" t="s">
        <v>212</v>
      </c>
      <c r="B44" s="10" t="s">
        <v>212</v>
      </c>
      <c r="C44" s="193">
        <f>SUMIFS(BD_COMERCIAL!$FM$3:$FM$5,BD_COMERCIAL!$FK$3:$FK$5,'MtM (Trading)'!B44,BD_COMERCIAL!$FD$3:$FD$5,"Trading")</f>
        <v>0</v>
      </c>
      <c r="D44" s="193">
        <f>SUMIFS(BD_COMERCIAL!$FL$3:$FL$5,BD_COMERCIAL!$FK$3:$FK$5,'MtM (Trading)'!C44,BD_COMERCIAL!$FD$3:$FD$5,"Trading")</f>
        <v>0</v>
      </c>
      <c r="H44" s="10" t="s">
        <v>200</v>
      </c>
      <c r="I44" s="192">
        <f>SUMIF('MtM (Trading)'!$A$2:$A$105,H44,'MtM (Trading)'!$C$2:$C$105)</f>
        <v>0</v>
      </c>
    </row>
    <row r="45" spans="1:9" x14ac:dyDescent="0.35">
      <c r="A45" s="10" t="s">
        <v>274</v>
      </c>
      <c r="B45" s="10" t="s">
        <v>209</v>
      </c>
      <c r="C45" s="193">
        <f>SUMIFS(BD_COMERCIAL!$FM$3:$FM$5,BD_COMERCIAL!$FK$3:$FK$5,'MtM (Trading)'!B45,BD_COMERCIAL!$FD$3:$FD$5,"Trading")</f>
        <v>0</v>
      </c>
      <c r="D45" s="193">
        <f>SUMIFS(BD_COMERCIAL!$FL$3:$FL$5,BD_COMERCIAL!$FK$3:$FK$5,'MtM (Trading)'!C45,BD_COMERCIAL!$FD$3:$FD$5,"Trading")</f>
        <v>0</v>
      </c>
      <c r="H45" s="10" t="s">
        <v>148</v>
      </c>
      <c r="I45" s="192">
        <f>SUMIF('MtM (Trading)'!$A$2:$A$105,H45,'MtM (Trading)'!$C$2:$C$105)</f>
        <v>0</v>
      </c>
    </row>
    <row r="46" spans="1:9" x14ac:dyDescent="0.35">
      <c r="A46" s="10" t="s">
        <v>274</v>
      </c>
      <c r="B46" s="10" t="s">
        <v>136</v>
      </c>
      <c r="C46" s="193">
        <f>SUMIFS(BD_COMERCIAL!$FM$3:$FM$5,BD_COMERCIAL!$FK$3:$FK$5,'MtM (Trading)'!B46,BD_COMERCIAL!$FD$3:$FD$5,"Trading")</f>
        <v>0</v>
      </c>
      <c r="D46" s="193">
        <f>SUMIFS(BD_COMERCIAL!$FL$3:$FL$5,BD_COMERCIAL!$FK$3:$FK$5,'MtM (Trading)'!C46,BD_COMERCIAL!$FD$3:$FD$5,"Trading")</f>
        <v>0</v>
      </c>
      <c r="H46" s="10" t="s">
        <v>193</v>
      </c>
      <c r="I46" s="192">
        <f>SUMIF('MtM (Trading)'!$A$2:$A$105,H46,'MtM (Trading)'!$C$2:$C$105)</f>
        <v>0</v>
      </c>
    </row>
    <row r="47" spans="1:9" x14ac:dyDescent="0.35">
      <c r="A47" s="10" t="s">
        <v>187</v>
      </c>
      <c r="B47" s="10" t="s">
        <v>187</v>
      </c>
      <c r="C47" s="193">
        <f>SUMIFS(BD_COMERCIAL!$FM$3:$FM$5,BD_COMERCIAL!$FK$3:$FK$5,'MtM (Trading)'!B47,BD_COMERCIAL!$FD$3:$FD$5,"Trading")</f>
        <v>0</v>
      </c>
      <c r="D47" s="193">
        <f>SUMIFS(BD_COMERCIAL!$FL$3:$FL$5,BD_COMERCIAL!$FK$3:$FK$5,'MtM (Trading)'!C47,BD_COMERCIAL!$FD$3:$FD$5,"Trading")</f>
        <v>0</v>
      </c>
      <c r="H47" s="10" t="s">
        <v>223</v>
      </c>
      <c r="I47" s="192">
        <f>SUMIF('MtM (Trading)'!$A$2:$A$105,H47,'MtM (Trading)'!$C$2:$C$105)</f>
        <v>0</v>
      </c>
    </row>
    <row r="48" spans="1:9" x14ac:dyDescent="0.35">
      <c r="A48" s="10" t="s">
        <v>211</v>
      </c>
      <c r="B48" s="10" t="s">
        <v>211</v>
      </c>
      <c r="C48" s="193">
        <f>SUMIFS(BD_COMERCIAL!$FM$3:$FM$5,BD_COMERCIAL!$FK$3:$FK$5,'MtM (Trading)'!B48,BD_COMERCIAL!$FD$3:$FD$5,"Trading")</f>
        <v>0</v>
      </c>
      <c r="D48" s="193">
        <f>SUMIFS(BD_COMERCIAL!$FL$3:$FL$5,BD_COMERCIAL!$FK$3:$FK$5,'MtM (Trading)'!C48,BD_COMERCIAL!$FD$3:$FD$5,"Trading")</f>
        <v>0</v>
      </c>
      <c r="H48" s="10" t="s">
        <v>172</v>
      </c>
      <c r="I48" s="192">
        <f>SUMIF('MtM (Trading)'!$A$2:$A$105,H48,'MtM (Trading)'!$C$2:$C$105)</f>
        <v>0</v>
      </c>
    </row>
    <row r="49" spans="1:9" x14ac:dyDescent="0.35">
      <c r="A49" s="10" t="s">
        <v>239</v>
      </c>
      <c r="B49" s="10" t="s">
        <v>239</v>
      </c>
      <c r="C49" s="193">
        <f>SUMIFS(BD_COMERCIAL!$FM$3:$FM$5,BD_COMERCIAL!$FK$3:$FK$5,'MtM (Trading)'!B49,BD_COMERCIAL!$FD$3:$FD$5,"Trading")</f>
        <v>0</v>
      </c>
      <c r="D49" s="193">
        <f>SUMIFS(BD_COMERCIAL!$FL$3:$FL$5,BD_COMERCIAL!$FK$3:$FK$5,'MtM (Trading)'!C49,BD_COMERCIAL!$FD$3:$FD$5,"Trading")</f>
        <v>0</v>
      </c>
      <c r="H49" s="10" t="s">
        <v>191</v>
      </c>
      <c r="I49" s="192">
        <f>SUMIF('MtM (Trading)'!$A$2:$A$105,H49,'MtM (Trading)'!$C$2:$C$105)</f>
        <v>0</v>
      </c>
    </row>
    <row r="50" spans="1:9" x14ac:dyDescent="0.35">
      <c r="A50" s="10" t="s">
        <v>200</v>
      </c>
      <c r="B50" s="10" t="s">
        <v>200</v>
      </c>
      <c r="C50" s="193">
        <f>SUMIFS(BD_COMERCIAL!$FM$3:$FM$5,BD_COMERCIAL!$FK$3:$FK$5,'MtM (Trading)'!B50,BD_COMERCIAL!$FD$3:$FD$5,"Trading")</f>
        <v>0</v>
      </c>
      <c r="D50" s="193">
        <f>SUMIFS(BD_COMERCIAL!$FL$3:$FL$5,BD_COMERCIAL!$FK$3:$FK$5,'MtM (Trading)'!C50,BD_COMERCIAL!$FD$3:$FD$5,"Trading")</f>
        <v>0</v>
      </c>
      <c r="H50" s="10" t="s">
        <v>240</v>
      </c>
      <c r="I50" s="192">
        <f>SUMIF('MtM (Trading)'!$A$2:$A$105,H50,'MtM (Trading)'!$C$2:$C$105)</f>
        <v>0</v>
      </c>
    </row>
    <row r="51" spans="1:9" x14ac:dyDescent="0.35">
      <c r="A51" s="10" t="s">
        <v>148</v>
      </c>
      <c r="B51" s="10" t="s">
        <v>148</v>
      </c>
      <c r="C51" s="193">
        <f>SUMIFS(BD_COMERCIAL!$FM$3:$FM$5,BD_COMERCIAL!$FK$3:$FK$5,'MtM (Trading)'!B51,BD_COMERCIAL!$FD$3:$FD$5,"Trading")</f>
        <v>0</v>
      </c>
      <c r="D51" s="193">
        <f>SUMIFS(BD_COMERCIAL!$FL$3:$FL$5,BD_COMERCIAL!$FK$3:$FK$5,'MtM (Trading)'!C51,BD_COMERCIAL!$FD$3:$FD$5,"Trading")</f>
        <v>0</v>
      </c>
      <c r="H51" s="10" t="s">
        <v>203</v>
      </c>
      <c r="I51" s="192">
        <f>SUMIF('MtM (Trading)'!$A$2:$A$105,H51,'MtM (Trading)'!$C$2:$C$105)</f>
        <v>0</v>
      </c>
    </row>
    <row r="52" spans="1:9" x14ac:dyDescent="0.35">
      <c r="A52" s="10" t="s">
        <v>193</v>
      </c>
      <c r="B52" s="10" t="s">
        <v>193</v>
      </c>
      <c r="C52" s="193">
        <f>SUMIFS(BD_COMERCIAL!$FM$3:$FM$5,BD_COMERCIAL!$FK$3:$FK$5,'MtM (Trading)'!B52,BD_COMERCIAL!$FD$3:$FD$5,"Trading")</f>
        <v>0</v>
      </c>
      <c r="D52" s="193">
        <f>SUMIFS(BD_COMERCIAL!$FL$3:$FL$5,BD_COMERCIAL!$FK$3:$FK$5,'MtM (Trading)'!C52,BD_COMERCIAL!$FD$3:$FD$5,"Trading")</f>
        <v>0</v>
      </c>
      <c r="H52" s="10" t="s">
        <v>217</v>
      </c>
      <c r="I52" s="192">
        <f>SUMIF('MtM (Trading)'!$A$2:$A$105,H52,'MtM (Trading)'!$C$2:$C$105)</f>
        <v>0</v>
      </c>
    </row>
    <row r="53" spans="1:9" x14ac:dyDescent="0.35">
      <c r="A53" s="10" t="s">
        <v>274</v>
      </c>
      <c r="B53" s="10" t="s">
        <v>238</v>
      </c>
      <c r="C53" s="193">
        <f>SUMIFS(BD_COMERCIAL!$FM$3:$FM$5,BD_COMERCIAL!$FK$3:$FK$5,'MtM (Trading)'!B53,BD_COMERCIAL!$FD$3:$FD$5,"Trading")</f>
        <v>0</v>
      </c>
      <c r="D53" s="193">
        <f>SUMIFS(BD_COMERCIAL!$FL$3:$FL$5,BD_COMERCIAL!$FK$3:$FK$5,'MtM (Trading)'!C53,BD_COMERCIAL!$FD$3:$FD$5,"Trading")</f>
        <v>0</v>
      </c>
      <c r="H53" s="10" t="s">
        <v>158</v>
      </c>
      <c r="I53" s="192">
        <f>SUMIF('MtM (Trading)'!$A$2:$A$105,H53,'MtM (Trading)'!$C$2:$C$105)</f>
        <v>0</v>
      </c>
    </row>
    <row r="54" spans="1:9" x14ac:dyDescent="0.35">
      <c r="A54" s="10" t="s">
        <v>223</v>
      </c>
      <c r="B54" s="10" t="s">
        <v>223</v>
      </c>
      <c r="C54" s="193">
        <f>SUMIFS(BD_COMERCIAL!$FM$3:$FM$5,BD_COMERCIAL!$FK$3:$FK$5,'MtM (Trading)'!B54,BD_COMERCIAL!$FD$3:$FD$5,"Trading")</f>
        <v>0</v>
      </c>
      <c r="D54" s="193">
        <f>SUMIFS(BD_COMERCIAL!$FL$3:$FL$5,BD_COMERCIAL!$FK$3:$FK$5,'MtM (Trading)'!C54,BD_COMERCIAL!$FD$3:$FD$5,"Trading")</f>
        <v>0</v>
      </c>
      <c r="H54" s="10" t="s">
        <v>210</v>
      </c>
      <c r="I54" s="192">
        <f>SUMIF('MtM (Trading)'!$A$2:$A$105,H54,'MtM (Trading)'!$C$2:$C$105)</f>
        <v>0</v>
      </c>
    </row>
    <row r="55" spans="1:9" x14ac:dyDescent="0.35">
      <c r="A55" s="10" t="s">
        <v>172</v>
      </c>
      <c r="B55" s="10" t="s">
        <v>172</v>
      </c>
      <c r="C55" s="193">
        <f>SUMIFS(BD_COMERCIAL!$FM$3:$FM$5,BD_COMERCIAL!$FK$3:$FK$5,'MtM (Trading)'!B55,BD_COMERCIAL!$FD$3:$FD$5,"Trading")</f>
        <v>0</v>
      </c>
      <c r="D55" s="193">
        <f>SUMIFS(BD_COMERCIAL!$FL$3:$FL$5,BD_COMERCIAL!$FK$3:$FK$5,'MtM (Trading)'!C55,BD_COMERCIAL!$FD$3:$FD$5,"Trading")</f>
        <v>0</v>
      </c>
      <c r="H55" s="10" t="s">
        <v>184</v>
      </c>
      <c r="I55" s="192">
        <f>SUMIF('MtM (Trading)'!$A$2:$A$105,H55,'MtM (Trading)'!$C$2:$C$105)</f>
        <v>0</v>
      </c>
    </row>
    <row r="56" spans="1:9" x14ac:dyDescent="0.35">
      <c r="A56" s="10" t="s">
        <v>191</v>
      </c>
      <c r="B56" s="10" t="s">
        <v>191</v>
      </c>
      <c r="C56" s="193">
        <f>SUMIFS(BD_COMERCIAL!$FM$3:$FM$5,BD_COMERCIAL!$FK$3:$FK$5,'MtM (Trading)'!B56,BD_COMERCIAL!$FD$3:$FD$5,"Trading")</f>
        <v>0</v>
      </c>
      <c r="D56" s="193">
        <f>SUMIFS(BD_COMERCIAL!$FL$3:$FL$5,BD_COMERCIAL!$FK$3:$FK$5,'MtM (Trading)'!C56,BD_COMERCIAL!$FD$3:$FD$5,"Trading")</f>
        <v>0</v>
      </c>
      <c r="H56" s="10" t="s">
        <v>218</v>
      </c>
      <c r="I56" s="192">
        <f>SUMIF('MtM (Trading)'!$A$2:$A$105,H56,'MtM (Trading)'!$C$2:$C$105)</f>
        <v>0</v>
      </c>
    </row>
    <row r="57" spans="1:9" x14ac:dyDescent="0.35">
      <c r="A57" s="10" t="s">
        <v>240</v>
      </c>
      <c r="B57" s="10" t="s">
        <v>240</v>
      </c>
      <c r="C57" s="193">
        <f>SUMIFS(BD_COMERCIAL!$FM$3:$FM$5,BD_COMERCIAL!$FK$3:$FK$5,'MtM (Trading)'!B57,BD_COMERCIAL!$FD$3:$FD$5,"Trading")</f>
        <v>0</v>
      </c>
      <c r="D57" s="193">
        <f>SUMIFS(BD_COMERCIAL!$FL$3:$FL$5,BD_COMERCIAL!$FK$3:$FK$5,'MtM (Trading)'!C57,BD_COMERCIAL!$FD$3:$FD$5,"Trading")</f>
        <v>0</v>
      </c>
      <c r="H57" s="10" t="s">
        <v>180</v>
      </c>
      <c r="I57" s="192">
        <f>SUMIF('MtM (Trading)'!$A$2:$A$105,H57,'MtM (Trading)'!$C$2:$C$105)</f>
        <v>0</v>
      </c>
    </row>
    <row r="58" spans="1:9" x14ac:dyDescent="0.35">
      <c r="A58" s="10" t="s">
        <v>203</v>
      </c>
      <c r="B58" s="10" t="s">
        <v>203</v>
      </c>
      <c r="C58" s="193">
        <f>SUMIFS(BD_COMERCIAL!$FM$3:$FM$5,BD_COMERCIAL!$FK$3:$FK$5,'MtM (Trading)'!B58,BD_COMERCIAL!$FD$3:$FD$5,"Trading")</f>
        <v>0</v>
      </c>
      <c r="D58" s="193">
        <f>SUMIFS(BD_COMERCIAL!$FL$3:$FL$5,BD_COMERCIAL!$FK$3:$FK$5,'MtM (Trading)'!C58,BD_COMERCIAL!$FD$3:$FD$5,"Trading")</f>
        <v>0</v>
      </c>
      <c r="H58" s="10" t="s">
        <v>229</v>
      </c>
      <c r="I58" s="192">
        <f>SUMIF('MtM (Trading)'!$A$2:$A$105,H58,'MtM (Trading)'!$C$2:$C$105)</f>
        <v>0</v>
      </c>
    </row>
    <row r="59" spans="1:9" x14ac:dyDescent="0.35">
      <c r="A59" s="10" t="s">
        <v>217</v>
      </c>
      <c r="B59" s="10" t="s">
        <v>217</v>
      </c>
      <c r="C59" s="193">
        <f>SUMIFS(BD_COMERCIAL!$FM$3:$FM$5,BD_COMERCIAL!$FK$3:$FK$5,'MtM (Trading)'!B59,BD_COMERCIAL!$FD$3:$FD$5,"Trading")</f>
        <v>0</v>
      </c>
      <c r="D59" s="193">
        <f>SUMIFS(BD_COMERCIAL!$FL$3:$FL$5,BD_COMERCIAL!$FK$3:$FK$5,'MtM (Trading)'!C59,BD_COMERCIAL!$FD$3:$FD$5,"Trading")</f>
        <v>0</v>
      </c>
      <c r="H59" s="10" t="s">
        <v>151</v>
      </c>
      <c r="I59" s="192">
        <f>SUMIF('MtM (Trading)'!$A$2:$A$105,H59,'MtM (Trading)'!$C$2:$C$105)</f>
        <v>0</v>
      </c>
    </row>
    <row r="60" spans="1:9" x14ac:dyDescent="0.35">
      <c r="A60" s="10" t="s">
        <v>158</v>
      </c>
      <c r="B60" s="10" t="s">
        <v>158</v>
      </c>
      <c r="C60" s="193">
        <f>SUMIFS(BD_COMERCIAL!$FM$3:$FM$5,BD_COMERCIAL!$FK$3:$FK$5,'MtM (Trading)'!B60,BD_COMERCIAL!$FD$3:$FD$5,"Trading")</f>
        <v>0</v>
      </c>
      <c r="D60" s="193">
        <f>SUMIFS(BD_COMERCIAL!$FL$3:$FL$5,BD_COMERCIAL!$FK$3:$FK$5,'MtM (Trading)'!C60,BD_COMERCIAL!$FD$3:$FD$5,"Trading")</f>
        <v>0</v>
      </c>
      <c r="H60" s="10" t="s">
        <v>166</v>
      </c>
      <c r="I60" s="192">
        <f>SUMIF('MtM (Trading)'!$A$2:$A$105,H60,'MtM (Trading)'!$C$2:$C$105)</f>
        <v>0</v>
      </c>
    </row>
    <row r="61" spans="1:9" x14ac:dyDescent="0.35">
      <c r="A61" s="10" t="s">
        <v>210</v>
      </c>
      <c r="B61" s="10" t="s">
        <v>210</v>
      </c>
      <c r="C61" s="193">
        <f>SUMIFS(BD_COMERCIAL!$FM$3:$FM$5,BD_COMERCIAL!$FK$3:$FK$5,'MtM (Trading)'!B61,BD_COMERCIAL!$FD$3:$FD$5,"Trading")</f>
        <v>0</v>
      </c>
      <c r="D61" s="193">
        <f>SUMIFS(BD_COMERCIAL!$FL$3:$FL$5,BD_COMERCIAL!$FK$3:$FK$5,'MtM (Trading)'!C61,BD_COMERCIAL!$FD$3:$FD$5,"Trading")</f>
        <v>0</v>
      </c>
      <c r="H61" s="10" t="s">
        <v>183</v>
      </c>
      <c r="I61" s="192">
        <f>SUMIF('MtM (Trading)'!$A$2:$A$105,H61,'MtM (Trading)'!$C$2:$C$105)</f>
        <v>0</v>
      </c>
    </row>
    <row r="62" spans="1:9" x14ac:dyDescent="0.35">
      <c r="A62" s="10" t="s">
        <v>184</v>
      </c>
      <c r="B62" s="10" t="s">
        <v>184</v>
      </c>
      <c r="C62" s="193">
        <f>SUMIFS(BD_COMERCIAL!$FM$3:$FM$5,BD_COMERCIAL!$FK$3:$FK$5,'MtM (Trading)'!B62,BD_COMERCIAL!$FD$3:$FD$5,"Trading")</f>
        <v>0</v>
      </c>
      <c r="D62" s="193">
        <f>SUMIFS(BD_COMERCIAL!$FL$3:$FL$5,BD_COMERCIAL!$FK$3:$FK$5,'MtM (Trading)'!C62,BD_COMERCIAL!$FD$3:$FD$5,"Trading")</f>
        <v>0</v>
      </c>
      <c r="H62" s="10" t="s">
        <v>244</v>
      </c>
      <c r="I62" s="192">
        <f>SUMIF('MtM (Trading)'!$A$2:$A$105,H62,'MtM (Trading)'!$C$2:$C$105)</f>
        <v>0</v>
      </c>
    </row>
    <row r="63" spans="1:9" x14ac:dyDescent="0.35">
      <c r="A63" s="10" t="s">
        <v>218</v>
      </c>
      <c r="B63" s="10" t="s">
        <v>218</v>
      </c>
      <c r="C63" s="193">
        <f>SUMIFS(BD_COMERCIAL!$FM$3:$FM$5,BD_COMERCIAL!$FK$3:$FK$5,'MtM (Trading)'!B63,BD_COMERCIAL!$FD$3:$FD$5,"Trading")</f>
        <v>0</v>
      </c>
      <c r="D63" s="193">
        <f>SUMIFS(BD_COMERCIAL!$FL$3:$FL$5,BD_COMERCIAL!$FK$3:$FK$5,'MtM (Trading)'!C63,BD_COMERCIAL!$FD$3:$FD$5,"Trading")</f>
        <v>0</v>
      </c>
      <c r="H63" s="10" t="s">
        <v>224</v>
      </c>
      <c r="I63" s="192">
        <f>SUMIF('MtM (Trading)'!$A$2:$A$105,H63,'MtM (Trading)'!$C$2:$C$105)</f>
        <v>0</v>
      </c>
    </row>
    <row r="64" spans="1:9" x14ac:dyDescent="0.35">
      <c r="A64" s="10" t="s">
        <v>180</v>
      </c>
      <c r="B64" s="10" t="s">
        <v>180</v>
      </c>
      <c r="C64" s="193">
        <f>SUMIFS(BD_COMERCIAL!$FM$3:$FM$5,BD_COMERCIAL!$FK$3:$FK$5,'MtM (Trading)'!B64,BD_COMERCIAL!$FD$3:$FD$5,"Trading")</f>
        <v>0</v>
      </c>
      <c r="D64" s="193">
        <f>SUMIFS(BD_COMERCIAL!$FL$3:$FL$5,BD_COMERCIAL!$FK$3:$FK$5,'MtM (Trading)'!C64,BD_COMERCIAL!$FD$3:$FD$5,"Trading")</f>
        <v>0</v>
      </c>
      <c r="H64" s="10" t="s">
        <v>226</v>
      </c>
      <c r="I64" s="192">
        <f>SUMIF('MtM (Trading)'!$A$2:$A$105,H64,'MtM (Trading)'!$C$2:$C$105)</f>
        <v>0</v>
      </c>
    </row>
    <row r="65" spans="1:9" x14ac:dyDescent="0.35">
      <c r="A65" s="10" t="s">
        <v>229</v>
      </c>
      <c r="B65" s="10" t="s">
        <v>229</v>
      </c>
      <c r="C65" s="193">
        <f>SUMIFS(BD_COMERCIAL!$FM$3:$FM$5,BD_COMERCIAL!$FK$3:$FK$5,'MtM (Trading)'!B65,BD_COMERCIAL!$FD$3:$FD$5,"Trading")</f>
        <v>0</v>
      </c>
      <c r="D65" s="193">
        <f>SUMIFS(BD_COMERCIAL!$FL$3:$FL$5,BD_COMERCIAL!$FK$3:$FK$5,'MtM (Trading)'!C65,BD_COMERCIAL!$FD$3:$FD$5,"Trading")</f>
        <v>0</v>
      </c>
      <c r="H65" s="10" t="s">
        <v>157</v>
      </c>
      <c r="I65" s="192">
        <f>SUMIF('MtM (Trading)'!$A$2:$A$105,H65,'MtM (Trading)'!$C$2:$C$105)</f>
        <v>0</v>
      </c>
    </row>
    <row r="66" spans="1:9" x14ac:dyDescent="0.35">
      <c r="A66" s="10" t="s">
        <v>151</v>
      </c>
      <c r="B66" s="10" t="s">
        <v>151</v>
      </c>
      <c r="C66" s="193">
        <f>SUMIFS(BD_COMERCIAL!$FM$3:$FM$5,BD_COMERCIAL!$FK$3:$FK$5,'MtM (Trading)'!B66,BD_COMERCIAL!$FD$3:$FD$5,"Trading")</f>
        <v>0</v>
      </c>
      <c r="D66" s="193">
        <f>SUMIFS(BD_COMERCIAL!$FL$3:$FL$5,BD_COMERCIAL!$FK$3:$FK$5,'MtM (Trading)'!C66,BD_COMERCIAL!$FD$3:$FD$5,"Trading")</f>
        <v>0</v>
      </c>
      <c r="H66" s="10" t="s">
        <v>163</v>
      </c>
      <c r="I66" s="192">
        <f>SUMIF('MtM (Trading)'!$A$2:$A$105,H66,'MtM (Trading)'!$C$2:$C$105)</f>
        <v>0</v>
      </c>
    </row>
    <row r="67" spans="1:9" x14ac:dyDescent="0.35">
      <c r="A67" s="10" t="s">
        <v>166</v>
      </c>
      <c r="B67" s="10" t="s">
        <v>166</v>
      </c>
      <c r="C67" s="193">
        <f>SUMIFS(BD_COMERCIAL!$FM$3:$FM$5,BD_COMERCIAL!$FK$3:$FK$5,'MtM (Trading)'!B67,BD_COMERCIAL!$FD$3:$FD$5,"Trading")</f>
        <v>0</v>
      </c>
      <c r="D67" s="193">
        <f>SUMIFS(BD_COMERCIAL!$FL$3:$FL$5,BD_COMERCIAL!$FK$3:$FK$5,'MtM (Trading)'!C67,BD_COMERCIAL!$FD$3:$FD$5,"Trading")</f>
        <v>0</v>
      </c>
      <c r="H67" s="10" t="s">
        <v>169</v>
      </c>
      <c r="I67" s="192">
        <f>SUMIF('MtM (Trading)'!$A$2:$A$105,H67,'MtM (Trading)'!$C$2:$C$105)</f>
        <v>0</v>
      </c>
    </row>
    <row r="68" spans="1:9" x14ac:dyDescent="0.35">
      <c r="A68" s="10" t="s">
        <v>183</v>
      </c>
      <c r="B68" s="10" t="s">
        <v>183</v>
      </c>
      <c r="C68" s="193">
        <f>SUMIFS(BD_COMERCIAL!$FM$3:$FM$5,BD_COMERCIAL!$FK$3:$FK$5,'MtM (Trading)'!B68,BD_COMERCIAL!$FD$3:$FD$5,"Trading")</f>
        <v>0</v>
      </c>
      <c r="D68" s="193">
        <f>SUMIFS(BD_COMERCIAL!$FL$3:$FL$5,BD_COMERCIAL!$FK$3:$FK$5,'MtM (Trading)'!C68,BD_COMERCIAL!$FD$3:$FD$5,"Trading")</f>
        <v>0</v>
      </c>
      <c r="H68" s="10" t="s">
        <v>143</v>
      </c>
      <c r="I68" s="192">
        <f>SUMIF('MtM (Trading)'!$A$2:$A$105,H68,'MtM (Trading)'!$C$2:$C$105)</f>
        <v>0</v>
      </c>
    </row>
    <row r="69" spans="1:9" x14ac:dyDescent="0.35">
      <c r="A69" s="10" t="s">
        <v>244</v>
      </c>
      <c r="B69" s="10" t="s">
        <v>244</v>
      </c>
      <c r="C69" s="193">
        <f>SUMIFS(BD_COMERCIAL!$FM$3:$FM$5,BD_COMERCIAL!$FK$3:$FK$5,'MtM (Trading)'!B69,BD_COMERCIAL!$FD$3:$FD$5,"Trading")</f>
        <v>0</v>
      </c>
      <c r="D69" s="193">
        <f>SUMIFS(BD_COMERCIAL!$FL$3:$FL$5,BD_COMERCIAL!$FK$3:$FK$5,'MtM (Trading)'!C69,BD_COMERCIAL!$FD$3:$FD$5,"Trading")</f>
        <v>0</v>
      </c>
      <c r="H69" s="10" t="s">
        <v>182</v>
      </c>
      <c r="I69" s="192">
        <f>SUMIF('MtM (Trading)'!$A$2:$A$105,H69,'MtM (Trading)'!$C$2:$C$105)</f>
        <v>0</v>
      </c>
    </row>
    <row r="70" spans="1:9" x14ac:dyDescent="0.35">
      <c r="A70" s="10" t="s">
        <v>224</v>
      </c>
      <c r="B70" s="10" t="s">
        <v>224</v>
      </c>
      <c r="C70" s="193">
        <f>SUMIFS(BD_COMERCIAL!$FM$3:$FM$5,BD_COMERCIAL!$FK$3:$FK$5,'MtM (Trading)'!B70,BD_COMERCIAL!$FD$3:$FD$5,"Trading")</f>
        <v>0</v>
      </c>
      <c r="D70" s="193">
        <f>SUMIFS(BD_COMERCIAL!$FL$3:$FL$5,BD_COMERCIAL!$FK$3:$FK$5,'MtM (Trading)'!C70,BD_COMERCIAL!$FD$3:$FD$5,"Trading")</f>
        <v>0</v>
      </c>
      <c r="H70" s="10" t="s">
        <v>192</v>
      </c>
      <c r="I70" s="192">
        <f>SUMIF('MtM (Trading)'!$A$2:$A$105,H70,'MtM (Trading)'!$C$2:$C$105)</f>
        <v>0</v>
      </c>
    </row>
    <row r="71" spans="1:9" x14ac:dyDescent="0.35">
      <c r="A71" s="10" t="s">
        <v>226</v>
      </c>
      <c r="B71" s="10" t="s">
        <v>226</v>
      </c>
      <c r="C71" s="193">
        <f>SUMIFS(BD_COMERCIAL!$FM$3:$FM$5,BD_COMERCIAL!$FK$3:$FK$5,'MtM (Trading)'!B71,BD_COMERCIAL!$FD$3:$FD$5,"Trading")</f>
        <v>0</v>
      </c>
      <c r="D71" s="193">
        <f>SUMIFS(BD_COMERCIAL!$FL$3:$FL$5,BD_COMERCIAL!$FK$3:$FK$5,'MtM (Trading)'!C71,BD_COMERCIAL!$FD$3:$FD$5,"Trading")</f>
        <v>0</v>
      </c>
      <c r="H71" s="10" t="s">
        <v>275</v>
      </c>
      <c r="I71" s="192">
        <f>SUMIF('MtM (Trading)'!$A$2:$A$105,H71,'MtM (Trading)'!$C$2:$C$105)</f>
        <v>0</v>
      </c>
    </row>
    <row r="72" spans="1:9" x14ac:dyDescent="0.35">
      <c r="A72" s="10" t="s">
        <v>157</v>
      </c>
      <c r="B72" s="10" t="s">
        <v>157</v>
      </c>
      <c r="C72" s="193">
        <f>SUMIFS(BD_COMERCIAL!$FM$3:$FM$5,BD_COMERCIAL!$FK$3:$FK$5,'MtM (Trading)'!B72,BD_COMERCIAL!$FD$3:$FD$5,"Trading")</f>
        <v>0</v>
      </c>
      <c r="D72" s="193">
        <f>SUMIFS(BD_COMERCIAL!$FL$3:$FL$5,BD_COMERCIAL!$FK$3:$FK$5,'MtM (Trading)'!C72,BD_COMERCIAL!$FD$3:$FD$5,"Trading")</f>
        <v>0</v>
      </c>
      <c r="H72" s="10" t="s">
        <v>216</v>
      </c>
      <c r="I72" s="192">
        <f>SUMIF('MtM (Trading)'!$A$2:$A$105,H72,'MtM (Trading)'!$C$2:$C$105)</f>
        <v>0</v>
      </c>
    </row>
    <row r="73" spans="1:9" x14ac:dyDescent="0.35">
      <c r="A73" s="10" t="s">
        <v>163</v>
      </c>
      <c r="B73" s="10" t="s">
        <v>163</v>
      </c>
      <c r="C73" s="193">
        <f>SUMIFS(BD_COMERCIAL!$FM$3:$FM$5,BD_COMERCIAL!$FK$3:$FK$5,'MtM (Trading)'!B73,BD_COMERCIAL!$FD$3:$FD$5,"Trading")</f>
        <v>0</v>
      </c>
      <c r="D73" s="193">
        <f>SUMIFS(BD_COMERCIAL!$FL$3:$FL$5,BD_COMERCIAL!$FK$3:$FK$5,'MtM (Trading)'!C73,BD_COMERCIAL!$FD$3:$FD$5,"Trading")</f>
        <v>0</v>
      </c>
      <c r="H73" s="10" t="s">
        <v>245</v>
      </c>
      <c r="I73" s="192">
        <f>SUMIF('MtM (Trading)'!$A$2:$A$105,H73,'MtM (Trading)'!$C$2:$C$105)</f>
        <v>0</v>
      </c>
    </row>
    <row r="74" spans="1:9" x14ac:dyDescent="0.35">
      <c r="A74" s="10" t="s">
        <v>169</v>
      </c>
      <c r="B74" s="10" t="s">
        <v>169</v>
      </c>
      <c r="C74" s="193">
        <f>SUMIFS(BD_COMERCIAL!$FM$3:$FM$5,BD_COMERCIAL!$FK$3:$FK$5,'MtM (Trading)'!B74,BD_COMERCIAL!$FD$3:$FD$5,"Trading")</f>
        <v>0</v>
      </c>
      <c r="D74" s="193">
        <f>SUMIFS(BD_COMERCIAL!$FL$3:$FL$5,BD_COMERCIAL!$FK$3:$FK$5,'MtM (Trading)'!C74,BD_COMERCIAL!$FD$3:$FD$5,"Trading")</f>
        <v>0</v>
      </c>
      <c r="H74" s="10" t="s">
        <v>164</v>
      </c>
      <c r="I74" s="192">
        <f>SUMIF('MtM (Trading)'!$A$2:$A$105,H74,'MtM (Trading)'!$C$2:$C$105)</f>
        <v>0</v>
      </c>
    </row>
    <row r="75" spans="1:9" x14ac:dyDescent="0.35">
      <c r="A75" s="10" t="s">
        <v>143</v>
      </c>
      <c r="B75" s="10" t="s">
        <v>143</v>
      </c>
      <c r="C75" s="193">
        <f>SUMIFS(BD_COMERCIAL!$FM$3:$FM$5,BD_COMERCIAL!$FK$3:$FK$5,'MtM (Trading)'!B75,BD_COMERCIAL!$FD$3:$FD$5,"Trading")</f>
        <v>0</v>
      </c>
      <c r="D75" s="193">
        <f>SUMIFS(BD_COMERCIAL!$FL$3:$FL$5,BD_COMERCIAL!$FK$3:$FK$5,'MtM (Trading)'!C75,BD_COMERCIAL!$FD$3:$FD$5,"Trading")</f>
        <v>0</v>
      </c>
      <c r="H75" s="10" t="s">
        <v>199</v>
      </c>
      <c r="I75" s="192">
        <f>SUMIF('MtM (Trading)'!$A$2:$A$105,H75,'MtM (Trading)'!$C$2:$C$105)</f>
        <v>0</v>
      </c>
    </row>
    <row r="76" spans="1:9" x14ac:dyDescent="0.35">
      <c r="A76" s="10" t="s">
        <v>182</v>
      </c>
      <c r="B76" s="10" t="s">
        <v>182</v>
      </c>
      <c r="C76" s="193">
        <f>SUMIFS(BD_COMERCIAL!$FM$3:$FM$5,BD_COMERCIAL!$FK$3:$FK$5,'MtM (Trading)'!B76,BD_COMERCIAL!$FD$3:$FD$5,"Trading")</f>
        <v>0</v>
      </c>
      <c r="D76" s="193">
        <f>SUMIFS(BD_COMERCIAL!$FL$3:$FL$5,BD_COMERCIAL!$FK$3:$FK$5,'MtM (Trading)'!C76,BD_COMERCIAL!$FD$3:$FD$5,"Trading")</f>
        <v>0</v>
      </c>
      <c r="H76" s="10" t="s">
        <v>159</v>
      </c>
      <c r="I76" s="192">
        <f>SUMIF('MtM (Trading)'!$A$2:$A$105,H76,'MtM (Trading)'!$C$2:$C$105)</f>
        <v>0</v>
      </c>
    </row>
    <row r="77" spans="1:9" x14ac:dyDescent="0.35">
      <c r="A77" s="10" t="s">
        <v>192</v>
      </c>
      <c r="B77" s="10" t="s">
        <v>192</v>
      </c>
      <c r="C77" s="193">
        <f>SUMIFS(BD_COMERCIAL!$FM$3:$FM$5,BD_COMERCIAL!$FK$3:$FK$5,'MtM (Trading)'!B77,BD_COMERCIAL!$FD$3:$FD$5,"Trading")</f>
        <v>0</v>
      </c>
      <c r="D77" s="193">
        <f>SUMIFS(BD_COMERCIAL!$FL$3:$FL$5,BD_COMERCIAL!$FK$3:$FK$5,'MtM (Trading)'!C77,BD_COMERCIAL!$FD$3:$FD$5,"Trading")</f>
        <v>0</v>
      </c>
      <c r="H77" s="10" t="s">
        <v>149</v>
      </c>
      <c r="I77" s="192">
        <f>SUMIF('MtM (Trading)'!$A$2:$A$105,H77,'MtM (Trading)'!$C$2:$C$105)</f>
        <v>0</v>
      </c>
    </row>
    <row r="78" spans="1:9" x14ac:dyDescent="0.35">
      <c r="A78" s="10" t="s">
        <v>275</v>
      </c>
      <c r="B78" s="10" t="s">
        <v>242</v>
      </c>
      <c r="C78" s="193">
        <f>SUMIFS(BD_COMERCIAL!$FM$3:$FM$5,BD_COMERCIAL!$FK$3:$FK$5,'MtM (Trading)'!B78,BD_COMERCIAL!$FD$3:$FD$5,"Trading")</f>
        <v>0</v>
      </c>
      <c r="D78" s="193">
        <f>SUMIFS(BD_COMERCIAL!$FL$3:$FL$5,BD_COMERCIAL!$FK$3:$FK$5,'MtM (Trading)'!C78,BD_COMERCIAL!$FD$3:$FD$5,"Trading")</f>
        <v>0</v>
      </c>
      <c r="H78" s="10" t="s">
        <v>170</v>
      </c>
      <c r="I78" s="192">
        <f>SUMIF('MtM (Trading)'!$A$2:$A$105,H78,'MtM (Trading)'!$C$2:$C$105)</f>
        <v>0</v>
      </c>
    </row>
    <row r="79" spans="1:9" x14ac:dyDescent="0.35">
      <c r="A79" s="10" t="s">
        <v>275</v>
      </c>
      <c r="B79" s="10" t="s">
        <v>222</v>
      </c>
      <c r="C79" s="193">
        <f>SUMIFS(BD_COMERCIAL!$FM$3:$FM$5,BD_COMERCIAL!$FK$3:$FK$5,'MtM (Trading)'!B79,BD_COMERCIAL!$FD$3:$FD$5,"Trading")</f>
        <v>0</v>
      </c>
      <c r="D79" s="193">
        <f>SUMIFS(BD_COMERCIAL!$FL$3:$FL$5,BD_COMERCIAL!$FK$3:$FK$5,'MtM (Trading)'!C79,BD_COMERCIAL!$FD$3:$FD$5,"Trading")</f>
        <v>0</v>
      </c>
      <c r="H79" s="10" t="s">
        <v>181</v>
      </c>
      <c r="I79" s="192">
        <f>SUMIF('MtM (Trading)'!$A$2:$A$105,H79,'MtM (Trading)'!$C$2:$C$105)</f>
        <v>0</v>
      </c>
    </row>
    <row r="80" spans="1:9" x14ac:dyDescent="0.35">
      <c r="A80" s="10" t="s">
        <v>216</v>
      </c>
      <c r="B80" s="10" t="s">
        <v>216</v>
      </c>
      <c r="C80" s="193">
        <f>SUMIFS(BD_COMERCIAL!$FM$3:$FM$5,BD_COMERCIAL!$FK$3:$FK$5,'MtM (Trading)'!B80,BD_COMERCIAL!$FD$3:$FD$5,"Trading")</f>
        <v>0</v>
      </c>
      <c r="D80" s="193">
        <f>SUMIFS(BD_COMERCIAL!$FL$3:$FL$5,BD_COMERCIAL!$FK$3:$FK$5,'MtM (Trading)'!C80,BD_COMERCIAL!$FD$3:$FD$5,"Trading")</f>
        <v>0</v>
      </c>
      <c r="H80" s="10" t="s">
        <v>204</v>
      </c>
      <c r="I80" s="192">
        <f>SUMIF('MtM (Trading)'!$A$2:$A$105,H80,'MtM (Trading)'!$C$2:$C$105)</f>
        <v>0</v>
      </c>
    </row>
    <row r="81" spans="1:9" x14ac:dyDescent="0.35">
      <c r="A81" s="10" t="s">
        <v>245</v>
      </c>
      <c r="B81" s="10" t="s">
        <v>245</v>
      </c>
      <c r="C81" s="193">
        <f>SUMIFS(BD_COMERCIAL!$FM$3:$FM$5,BD_COMERCIAL!$FK$3:$FK$5,'MtM (Trading)'!B81,BD_COMERCIAL!$FD$3:$FD$5,"Trading")</f>
        <v>0</v>
      </c>
      <c r="D81" s="193">
        <f>SUMIFS(BD_COMERCIAL!$FL$3:$FL$5,BD_COMERCIAL!$FK$3:$FK$5,'MtM (Trading)'!C81,BD_COMERCIAL!$FD$3:$FD$5,"Trading")</f>
        <v>0</v>
      </c>
      <c r="H81" s="10" t="s">
        <v>177</v>
      </c>
      <c r="I81" s="192">
        <f>SUMIF('MtM (Trading)'!$A$2:$A$105,H81,'MtM (Trading)'!$C$2:$C$105)</f>
        <v>0</v>
      </c>
    </row>
    <row r="82" spans="1:9" x14ac:dyDescent="0.35">
      <c r="A82" s="10" t="s">
        <v>164</v>
      </c>
      <c r="B82" s="10" t="s">
        <v>164</v>
      </c>
      <c r="C82" s="193">
        <f>SUMIFS(BD_COMERCIAL!$FM$3:$FM$5,BD_COMERCIAL!$FK$3:$FK$5,'MtM (Trading)'!B82,BD_COMERCIAL!$FD$3:$FD$5,"Trading")</f>
        <v>0</v>
      </c>
      <c r="D82" s="193">
        <f>SUMIFS(BD_COMERCIAL!$FL$3:$FL$5,BD_COMERCIAL!$FK$3:$FK$5,'MtM (Trading)'!C82,BD_COMERCIAL!$FD$3:$FD$5,"Trading")</f>
        <v>0</v>
      </c>
      <c r="H82" s="10" t="s">
        <v>225</v>
      </c>
      <c r="I82" s="192">
        <f>SUMIF('MtM (Trading)'!$A$2:$A$105,H82,'MtM (Trading)'!$C$2:$C$105)</f>
        <v>0</v>
      </c>
    </row>
    <row r="83" spans="1:9" x14ac:dyDescent="0.35">
      <c r="A83" s="10" t="s">
        <v>199</v>
      </c>
      <c r="B83" s="10" t="s">
        <v>199</v>
      </c>
      <c r="C83" s="193">
        <f>SUMIFS(BD_COMERCIAL!$FM$3:$FM$5,BD_COMERCIAL!$FK$3:$FK$5,'MtM (Trading)'!B83,BD_COMERCIAL!$FD$3:$FD$5,"Trading")</f>
        <v>0</v>
      </c>
      <c r="D83" s="193">
        <f>SUMIFS(BD_COMERCIAL!$FL$3:$FL$5,BD_COMERCIAL!$FK$3:$FK$5,'MtM (Trading)'!C83,BD_COMERCIAL!$FD$3:$FD$5,"Trading")</f>
        <v>0</v>
      </c>
      <c r="H83" s="10" t="s">
        <v>215</v>
      </c>
      <c r="I83" s="192">
        <f>SUMIF('MtM (Trading)'!$A$2:$A$105,H83,'MtM (Trading)'!$C$2:$C$105)</f>
        <v>0</v>
      </c>
    </row>
    <row r="84" spans="1:9" x14ac:dyDescent="0.35">
      <c r="A84" s="10" t="s">
        <v>159</v>
      </c>
      <c r="B84" s="10" t="s">
        <v>159</v>
      </c>
      <c r="C84" s="193">
        <f>SUMIFS(BD_COMERCIAL!$FM$3:$FM$5,BD_COMERCIAL!$FK$3:$FK$5,'MtM (Trading)'!B84,BD_COMERCIAL!$FD$3:$FD$5,"Trading")</f>
        <v>0</v>
      </c>
      <c r="D84" s="193">
        <f>SUMIFS(BD_COMERCIAL!$FL$3:$FL$5,BD_COMERCIAL!$FK$3:$FK$5,'MtM (Trading)'!C84,BD_COMERCIAL!$FD$3:$FD$5,"Trading")</f>
        <v>0</v>
      </c>
      <c r="H84" s="10" t="s">
        <v>139</v>
      </c>
      <c r="I84" s="192">
        <f>SUMIF('MtM (Trading)'!$A$2:$A$105,H84,'MtM (Trading)'!$C$2:$C$105)</f>
        <v>0</v>
      </c>
    </row>
    <row r="85" spans="1:9" x14ac:dyDescent="0.35">
      <c r="A85" s="10" t="s">
        <v>149</v>
      </c>
      <c r="B85" s="10" t="s">
        <v>149</v>
      </c>
      <c r="C85" s="193">
        <f>SUMIFS(BD_COMERCIAL!$FM$3:$FM$5,BD_COMERCIAL!$FK$3:$FK$5,'MtM (Trading)'!B85,BD_COMERCIAL!$FD$3:$FD$5,"Trading")</f>
        <v>0</v>
      </c>
      <c r="D85" s="193">
        <f>SUMIFS(BD_COMERCIAL!$FL$3:$FL$5,BD_COMERCIAL!$FK$3:$FK$5,'MtM (Trading)'!C85,BD_COMERCIAL!$FD$3:$FD$5,"Trading")</f>
        <v>0</v>
      </c>
      <c r="H85" s="10" t="s">
        <v>179</v>
      </c>
      <c r="I85" s="192">
        <f>SUMIF('MtM (Trading)'!$A$2:$A$105,H85,'MtM (Trading)'!$C$2:$C$105)</f>
        <v>0</v>
      </c>
    </row>
    <row r="86" spans="1:9" x14ac:dyDescent="0.35">
      <c r="A86" s="10" t="s">
        <v>170</v>
      </c>
      <c r="B86" s="10" t="s">
        <v>170</v>
      </c>
      <c r="C86" s="193">
        <f>SUMIFS(BD_COMERCIAL!$FM$3:$FM$5,BD_COMERCIAL!$FK$3:$FK$5,'MtM (Trading)'!B86,BD_COMERCIAL!$FD$3:$FD$5,"Trading")</f>
        <v>0</v>
      </c>
      <c r="D86" s="193">
        <f>SUMIFS(BD_COMERCIAL!$FL$3:$FL$5,BD_COMERCIAL!$FK$3:$FK$5,'MtM (Trading)'!C86,BD_COMERCIAL!$FD$3:$FD$5,"Trading")</f>
        <v>0</v>
      </c>
      <c r="H86" s="10" t="s">
        <v>213</v>
      </c>
      <c r="I86" s="192">
        <f>SUMIF('MtM (Trading)'!$A$2:$A$105,H86,'MtM (Trading)'!$C$2:$C$105)</f>
        <v>0</v>
      </c>
    </row>
    <row r="87" spans="1:9" x14ac:dyDescent="0.35">
      <c r="A87" s="10" t="s">
        <v>278</v>
      </c>
      <c r="B87" s="10" t="s">
        <v>221</v>
      </c>
      <c r="C87" s="193">
        <f>SUMIFS(BD_COMERCIAL!$FM$3:$FM$5,BD_COMERCIAL!$FK$3:$FK$5,'MtM (Trading)'!B87,BD_COMERCIAL!$FD$3:$FD$5,"Trading")</f>
        <v>0</v>
      </c>
      <c r="D87" s="193">
        <f>SUMIFS(BD_COMERCIAL!$FL$3:$FL$5,BD_COMERCIAL!$FK$3:$FK$5,'MtM (Trading)'!C87,BD_COMERCIAL!$FD$3:$FD$5,"Trading")</f>
        <v>0</v>
      </c>
      <c r="H87" s="10" t="s">
        <v>165</v>
      </c>
      <c r="I87" s="192">
        <f>SUMIF('MtM (Trading)'!$A$2:$A$105,H87,'MtM (Trading)'!$C$2:$C$105)</f>
        <v>0</v>
      </c>
    </row>
    <row r="88" spans="1:9" x14ac:dyDescent="0.35">
      <c r="A88" s="10" t="s">
        <v>181</v>
      </c>
      <c r="B88" s="10" t="s">
        <v>181</v>
      </c>
      <c r="C88" s="193">
        <f>SUMIFS(BD_COMERCIAL!$FM$3:$FM$5,BD_COMERCIAL!$FK$3:$FK$5,'MtM (Trading)'!B88,BD_COMERCIAL!$FD$3:$FD$5,"Trading")</f>
        <v>0</v>
      </c>
      <c r="D88" s="193">
        <f>SUMIFS(BD_COMERCIAL!$FL$3:$FL$5,BD_COMERCIAL!$FK$3:$FK$5,'MtM (Trading)'!C88,BD_COMERCIAL!$FD$3:$FD$5,"Trading")</f>
        <v>0</v>
      </c>
      <c r="H88" s="10" t="s">
        <v>201</v>
      </c>
      <c r="I88" s="192">
        <f>SUMIF('MtM (Trading)'!$A$2:$A$105,H88,'MtM (Trading)'!$C$2:$C$105)</f>
        <v>0</v>
      </c>
    </row>
    <row r="89" spans="1:9" x14ac:dyDescent="0.35">
      <c r="A89" s="10" t="s">
        <v>204</v>
      </c>
      <c r="B89" s="10" t="s">
        <v>204</v>
      </c>
      <c r="C89" s="193">
        <f>SUMIFS(BD_COMERCIAL!$FM$3:$FM$5,BD_COMERCIAL!$FK$3:$FK$5,'MtM (Trading)'!B89,BD_COMERCIAL!$FD$3:$FD$5,"Trading")</f>
        <v>0</v>
      </c>
      <c r="D89" s="193">
        <f>SUMIFS(BD_COMERCIAL!$FL$3:$FL$5,BD_COMERCIAL!$FK$3:$FK$5,'MtM (Trading)'!C89,BD_COMERCIAL!$FD$3:$FD$5,"Trading")</f>
        <v>0</v>
      </c>
      <c r="H89" s="10" t="s">
        <v>167</v>
      </c>
      <c r="I89" s="192">
        <f>SUMIF('MtM (Trading)'!$A$2:$A$105,H89,'MtM (Trading)'!$C$2:$C$105)</f>
        <v>0</v>
      </c>
    </row>
    <row r="90" spans="1:9" x14ac:dyDescent="0.35">
      <c r="A90" s="10" t="s">
        <v>177</v>
      </c>
      <c r="B90" s="10" t="s">
        <v>177</v>
      </c>
      <c r="C90" s="193">
        <f>SUMIFS(BD_COMERCIAL!$FM$3:$FM$5,BD_COMERCIAL!$FK$3:$FK$5,'MtM (Trading)'!B90,BD_COMERCIAL!$FD$3:$FD$5,"Trading")</f>
        <v>0</v>
      </c>
      <c r="D90" s="193">
        <f>SUMIFS(BD_COMERCIAL!$FL$3:$FL$5,BD_COMERCIAL!$FK$3:$FK$5,'MtM (Trading)'!C90,BD_COMERCIAL!$FD$3:$FD$5,"Trading")</f>
        <v>0</v>
      </c>
      <c r="H90" s="10" t="s">
        <v>189</v>
      </c>
      <c r="I90" s="192">
        <f>SUMIF('MtM (Trading)'!$A$2:$A$105,H90,'MtM (Trading)'!$C$2:$C$105)</f>
        <v>0</v>
      </c>
    </row>
    <row r="91" spans="1:9" x14ac:dyDescent="0.35">
      <c r="A91" s="10" t="s">
        <v>225</v>
      </c>
      <c r="B91" s="10" t="s">
        <v>225</v>
      </c>
      <c r="C91" s="193">
        <f>SUMIFS(BD_COMERCIAL!$FM$3:$FM$5,BD_COMERCIAL!$FK$3:$FK$5,'MtM (Trading)'!B91,BD_COMERCIAL!$FD$3:$FD$5,"Trading")</f>
        <v>0</v>
      </c>
      <c r="D91" s="193">
        <f>SUMIFS(BD_COMERCIAL!$FL$3:$FL$5,BD_COMERCIAL!$FK$3:$FK$5,'MtM (Trading)'!C91,BD_COMERCIAL!$FD$3:$FD$5,"Trading")</f>
        <v>0</v>
      </c>
      <c r="H91" s="10" t="s">
        <v>205</v>
      </c>
      <c r="I91" s="192">
        <f>SUMIF('MtM (Trading)'!$A$2:$A$105,H91,'MtM (Trading)'!$C$2:$C$105)</f>
        <v>0</v>
      </c>
    </row>
    <row r="92" spans="1:9" x14ac:dyDescent="0.35">
      <c r="A92" s="10" t="s">
        <v>215</v>
      </c>
      <c r="B92" s="10" t="s">
        <v>215</v>
      </c>
      <c r="C92" s="193">
        <f>SUMIFS(BD_COMERCIAL!$FM$3:$FM$5,BD_COMERCIAL!$FK$3:$FK$5,'MtM (Trading)'!B92,BD_COMERCIAL!$FD$3:$FD$5,"Trading")</f>
        <v>0</v>
      </c>
      <c r="D92" s="193">
        <f>SUMIFS(BD_COMERCIAL!$FL$3:$FL$5,BD_COMERCIAL!$FK$3:$FK$5,'MtM (Trading)'!C92,BD_COMERCIAL!$FD$3:$FD$5,"Trading")</f>
        <v>0</v>
      </c>
      <c r="H92" s="10" t="s">
        <v>234</v>
      </c>
      <c r="I92" s="192">
        <f>SUMIF('MtM (Trading)'!$A$2:$A$105,H92,'MtM (Trading)'!$C$2:$C$105)</f>
        <v>0</v>
      </c>
    </row>
    <row r="93" spans="1:9" x14ac:dyDescent="0.35">
      <c r="A93" s="10" t="s">
        <v>139</v>
      </c>
      <c r="B93" s="10" t="s">
        <v>139</v>
      </c>
      <c r="C93" s="193">
        <f>SUMIFS(BD_COMERCIAL!$FM$3:$FM$5,BD_COMERCIAL!$FK$3:$FK$5,'MtM (Trading)'!B93,BD_COMERCIAL!$FD$3:$FD$5,"Trading")</f>
        <v>0</v>
      </c>
      <c r="D93" s="193">
        <f>SUMIFS(BD_COMERCIAL!$FL$3:$FL$5,BD_COMERCIAL!$FK$3:$FK$5,'MtM (Trading)'!C93,BD_COMERCIAL!$FD$3:$FD$5,"Trading")</f>
        <v>0</v>
      </c>
      <c r="H93" s="10" t="s">
        <v>276</v>
      </c>
      <c r="I93" s="192">
        <f>SUMIF('MtM (Trading)'!$A$2:$A$105,H93,'MtM (Trading)'!$C$2:$C$105)</f>
        <v>0</v>
      </c>
    </row>
    <row r="94" spans="1:9" x14ac:dyDescent="0.35">
      <c r="A94" s="10" t="s">
        <v>179</v>
      </c>
      <c r="B94" s="10" t="s">
        <v>179</v>
      </c>
      <c r="C94" s="193">
        <f>SUMIFS(BD_COMERCIAL!$FM$3:$FM$5,BD_COMERCIAL!$FK$3:$FK$5,'MtM (Trading)'!B94,BD_COMERCIAL!$FD$3:$FD$5,"Trading")</f>
        <v>0</v>
      </c>
      <c r="D94" s="193">
        <f>SUMIFS(BD_COMERCIAL!$FL$3:$FL$5,BD_COMERCIAL!$FK$3:$FK$5,'MtM (Trading)'!C94,BD_COMERCIAL!$FD$3:$FD$5,"Trading")</f>
        <v>0</v>
      </c>
      <c r="H94" s="10" t="s">
        <v>142</v>
      </c>
      <c r="I94" s="192">
        <f>SUMIF('MtM (Trading)'!$A$2:$A$105,H94,'MtM (Trading)'!$C$2:$C$105)</f>
        <v>0</v>
      </c>
    </row>
    <row r="95" spans="1:9" x14ac:dyDescent="0.35">
      <c r="A95" s="10" t="s">
        <v>213</v>
      </c>
      <c r="B95" s="10" t="s">
        <v>213</v>
      </c>
      <c r="C95" s="193">
        <f>SUMIFS(BD_COMERCIAL!$FM$3:$FM$5,BD_COMERCIAL!$FK$3:$FK$5,'MtM (Trading)'!B95,BD_COMERCIAL!$FD$3:$FD$5,"Trading")</f>
        <v>0</v>
      </c>
      <c r="D95" s="193">
        <f>SUMIFS(BD_COMERCIAL!$FL$3:$FL$5,BD_COMERCIAL!$FK$3:$FK$5,'MtM (Trading)'!C95,BD_COMERCIAL!$FD$3:$FD$5,"Trading")</f>
        <v>0</v>
      </c>
      <c r="H95" s="10" t="s">
        <v>207</v>
      </c>
      <c r="I95" s="192">
        <f>SUMIF('MtM (Trading)'!$A$2:$A$105,H95,'MtM (Trading)'!$C$2:$C$105)</f>
        <v>0</v>
      </c>
    </row>
    <row r="96" spans="1:9" x14ac:dyDescent="0.35">
      <c r="A96" s="10" t="s">
        <v>165</v>
      </c>
      <c r="B96" s="10" t="s">
        <v>165</v>
      </c>
      <c r="C96" s="193">
        <f>SUMIFS(BD_COMERCIAL!$FM$3:$FM$5,BD_COMERCIAL!$FK$3:$FK$5,'MtM (Trading)'!B96,BD_COMERCIAL!$FD$3:$FD$5,"Trading")</f>
        <v>0</v>
      </c>
      <c r="D96" s="193">
        <f>SUMIFS(BD_COMERCIAL!$FL$3:$FL$5,BD_COMERCIAL!$FK$3:$FK$5,'MtM (Trading)'!C96,BD_COMERCIAL!$FD$3:$FD$5,"Trading")</f>
        <v>0</v>
      </c>
      <c r="H96" s="9" t="s">
        <v>145</v>
      </c>
      <c r="I96" s="192">
        <f>SUMIF('MtM (Trading)'!$A$2:$A$106,H96,'MtM (Trading)'!$C$2:$C$106)</f>
        <v>0</v>
      </c>
    </row>
    <row r="97" spans="1:4" x14ac:dyDescent="0.35">
      <c r="A97" s="10" t="s">
        <v>201</v>
      </c>
      <c r="B97" s="10" t="s">
        <v>201</v>
      </c>
      <c r="C97" s="193">
        <f>SUMIFS(BD_COMERCIAL!$FM$3:$FM$5,BD_COMERCIAL!$FK$3:$FK$5,'MtM (Trading)'!B97,BD_COMERCIAL!$FD$3:$FD$5,"Trading")</f>
        <v>0</v>
      </c>
      <c r="D97" s="193">
        <f>SUMIFS(BD_COMERCIAL!$FL$3:$FL$5,BD_COMERCIAL!$FK$3:$FK$5,'MtM (Trading)'!C97,BD_COMERCIAL!$FD$3:$FD$5,"Trading")</f>
        <v>0</v>
      </c>
    </row>
    <row r="98" spans="1:4" x14ac:dyDescent="0.35">
      <c r="A98" s="10" t="s">
        <v>167</v>
      </c>
      <c r="B98" s="10" t="s">
        <v>167</v>
      </c>
      <c r="C98" s="193">
        <f>SUMIFS(BD_COMERCIAL!$FM$3:$FM$5,BD_COMERCIAL!$FK$3:$FK$5,'MtM (Trading)'!B98,BD_COMERCIAL!$FD$3:$FD$5,"Trading")</f>
        <v>0</v>
      </c>
      <c r="D98" s="193">
        <f>SUMIFS(BD_COMERCIAL!$FL$3:$FL$5,BD_COMERCIAL!$FK$3:$FK$5,'MtM (Trading)'!C98,BD_COMERCIAL!$FD$3:$FD$5,"Trading")</f>
        <v>0</v>
      </c>
    </row>
    <row r="99" spans="1:4" x14ac:dyDescent="0.35">
      <c r="A99" s="10" t="s">
        <v>189</v>
      </c>
      <c r="B99" s="10" t="s">
        <v>189</v>
      </c>
      <c r="C99" s="193">
        <f>SUMIFS(BD_COMERCIAL!$FM$3:$FM$5,BD_COMERCIAL!$FK$3:$FK$5,'MtM (Trading)'!B99,BD_COMERCIAL!$FD$3:$FD$5,"Trading")</f>
        <v>0</v>
      </c>
      <c r="D99" s="193">
        <f>SUMIFS(BD_COMERCIAL!$FL$3:$FL$5,BD_COMERCIAL!$FK$3:$FK$5,'MtM (Trading)'!C99,BD_COMERCIAL!$FD$3:$FD$5,"Trading")</f>
        <v>0</v>
      </c>
    </row>
    <row r="100" spans="1:4" x14ac:dyDescent="0.35">
      <c r="A100" s="10" t="s">
        <v>205</v>
      </c>
      <c r="B100" s="10" t="s">
        <v>205</v>
      </c>
      <c r="C100" s="193">
        <f>SUMIFS(BD_COMERCIAL!$FM$3:$FM$5,BD_COMERCIAL!$FK$3:$FK$5,'MtM (Trading)'!B100,BD_COMERCIAL!$FD$3:$FD$5,"Trading")</f>
        <v>0</v>
      </c>
      <c r="D100" s="193">
        <f>SUMIFS(BD_COMERCIAL!$FL$3:$FL$5,BD_COMERCIAL!$FK$3:$FK$5,'MtM (Trading)'!C100,BD_COMERCIAL!$FD$3:$FD$5,"Trading")</f>
        <v>0</v>
      </c>
    </row>
    <row r="101" spans="1:4" x14ac:dyDescent="0.35">
      <c r="A101" s="10" t="s">
        <v>234</v>
      </c>
      <c r="B101" s="10" t="s">
        <v>234</v>
      </c>
      <c r="C101" s="193">
        <f>SUMIFS(BD_COMERCIAL!$FM$3:$FM$5,BD_COMERCIAL!$FK$3:$FK$5,'MtM (Trading)'!B101,BD_COMERCIAL!$FD$3:$FD$5,"Trading")</f>
        <v>0</v>
      </c>
      <c r="D101" s="193">
        <f>SUMIFS(BD_COMERCIAL!$FL$3:$FL$5,BD_COMERCIAL!$FK$3:$FK$5,'MtM (Trading)'!C101,BD_COMERCIAL!$FD$3:$FD$5,"Trading")</f>
        <v>0</v>
      </c>
    </row>
    <row r="102" spans="1:4" x14ac:dyDescent="0.35">
      <c r="A102" s="10" t="s">
        <v>276</v>
      </c>
      <c r="B102" s="10" t="s">
        <v>144</v>
      </c>
      <c r="C102" s="193">
        <f>SUMIFS(BD_COMERCIAL!$FM$3:$FM$5,BD_COMERCIAL!$FK$3:$FK$5,'MtM (Trading)'!B102,BD_COMERCIAL!$FD$3:$FD$5,"Trading")</f>
        <v>0</v>
      </c>
      <c r="D102" s="193">
        <f>SUMIFS(BD_COMERCIAL!$FL$3:$FL$5,BD_COMERCIAL!$FK$3:$FK$5,'MtM (Trading)'!C102,BD_COMERCIAL!$FD$3:$FD$5,"Trading")</f>
        <v>0</v>
      </c>
    </row>
    <row r="103" spans="1:4" x14ac:dyDescent="0.35">
      <c r="A103" s="10" t="s">
        <v>276</v>
      </c>
      <c r="B103" s="10" t="s">
        <v>135</v>
      </c>
      <c r="C103" s="193">
        <f>SUMIFS(BD_COMERCIAL!$FM$3:$FM$5,BD_COMERCIAL!$FK$3:$FK$5,'MtM (Trading)'!B103,BD_COMERCIAL!$FD$3:$FD$5,"Trading")</f>
        <v>0</v>
      </c>
      <c r="D103" s="193">
        <f>SUMIFS(BD_COMERCIAL!$FL$3:$FL$5,BD_COMERCIAL!$FK$3:$FK$5,'MtM (Trading)'!C103,BD_COMERCIAL!$FD$3:$FD$5,"Trading")</f>
        <v>0</v>
      </c>
    </row>
    <row r="104" spans="1:4" x14ac:dyDescent="0.35">
      <c r="A104" s="10" t="s">
        <v>142</v>
      </c>
      <c r="B104" s="10" t="s">
        <v>142</v>
      </c>
      <c r="C104" s="193">
        <f>SUMIFS(BD_COMERCIAL!$FM$3:$FM$5,BD_COMERCIAL!$FK$3:$FK$5,'MtM (Trading)'!B104,BD_COMERCIAL!$FD$3:$FD$5,"Trading")</f>
        <v>0</v>
      </c>
      <c r="D104" s="193">
        <f>SUMIFS(BD_COMERCIAL!$FL$3:$FL$5,BD_COMERCIAL!$FK$3:$FK$5,'MtM (Trading)'!C104,BD_COMERCIAL!$FD$3:$FD$5,"Trading")</f>
        <v>0</v>
      </c>
    </row>
    <row r="105" spans="1:4" x14ac:dyDescent="0.35">
      <c r="A105" s="169" t="s">
        <v>207</v>
      </c>
      <c r="B105" s="169" t="s">
        <v>207</v>
      </c>
      <c r="C105" s="193">
        <f>SUMIFS(BD_COMERCIAL!$FM$3:$FM$5,BD_COMERCIAL!$FK$3:$FK$5,'MtM (Trading)'!B105,BD_COMERCIAL!$FD$3:$FD$5,"Trading")</f>
        <v>0</v>
      </c>
      <c r="D105" s="193">
        <f>SUMIFS(BD_COMERCIAL!$FL$3:$FL$5,BD_COMERCIAL!$FK$3:$FK$5,'MtM (Trading)'!C105,BD_COMERCIAL!$FD$3:$FD$5,"Trading")</f>
        <v>0</v>
      </c>
    </row>
    <row r="106" spans="1:4" x14ac:dyDescent="0.35">
      <c r="A106" s="9" t="s">
        <v>145</v>
      </c>
      <c r="B106" s="9" t="s">
        <v>145</v>
      </c>
      <c r="C106" s="193">
        <f>SUMIFS(BD_COMERCIAL!$FM$3:$FM$5,BD_COMERCIAL!$FK$3:$FK$5,'MtM (Trading)'!B106,BD_COMERCIAL!$I$3:$I$5,"Trading")</f>
        <v>0</v>
      </c>
      <c r="D106" s="193">
        <f>SUMIFS(BD_COMERCIAL!$FL$3:$FL$5,BD_COMERCIAL!$FK$3:$FK$5,'MtM (Trading)'!C106,BD_COMERCIAL!$FD$3:$FD$5,"Trading")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N13"/>
  <sheetViews>
    <sheetView workbookViewId="0">
      <selection activeCell="P4" sqref="P4:AA4"/>
    </sheetView>
  </sheetViews>
  <sheetFormatPr defaultRowHeight="14.5" x14ac:dyDescent="0.35"/>
  <cols>
    <col min="1" max="2" width="15.453125" bestFit="1" customWidth="1"/>
  </cols>
  <sheetData>
    <row r="1" spans="1:40" ht="15.5" x14ac:dyDescent="0.35">
      <c r="A1" s="171" t="s">
        <v>253</v>
      </c>
      <c r="B1" s="172">
        <f>[5]Gráficos!$B$2</f>
        <v>44963</v>
      </c>
      <c r="C1" s="173">
        <v>44197</v>
      </c>
      <c r="D1" s="173">
        <v>44228</v>
      </c>
      <c r="E1" s="173">
        <v>44256</v>
      </c>
      <c r="F1" s="173">
        <v>44287</v>
      </c>
      <c r="G1" s="173">
        <v>44317</v>
      </c>
      <c r="H1" s="173">
        <v>44348</v>
      </c>
      <c r="I1" s="173">
        <v>44378</v>
      </c>
      <c r="J1" s="173">
        <v>44409</v>
      </c>
      <c r="K1" s="173">
        <v>44440</v>
      </c>
      <c r="L1" s="173">
        <v>44470</v>
      </c>
      <c r="M1" s="173">
        <v>44501</v>
      </c>
      <c r="N1" s="173">
        <v>44531</v>
      </c>
      <c r="O1" s="173">
        <v>2021</v>
      </c>
      <c r="P1" s="173">
        <v>44562</v>
      </c>
      <c r="Q1" s="173">
        <v>44593</v>
      </c>
      <c r="R1" s="173">
        <v>44621</v>
      </c>
      <c r="S1" s="173">
        <v>44652</v>
      </c>
      <c r="T1" s="173">
        <v>44682</v>
      </c>
      <c r="U1" s="173">
        <v>44713</v>
      </c>
      <c r="V1" s="173">
        <v>44743</v>
      </c>
      <c r="W1" s="173">
        <v>44774</v>
      </c>
      <c r="X1" s="173">
        <v>44805</v>
      </c>
      <c r="Y1" s="173">
        <v>44835</v>
      </c>
      <c r="Z1" s="173">
        <v>44866</v>
      </c>
      <c r="AA1" s="173">
        <v>44896</v>
      </c>
      <c r="AB1" s="173">
        <v>2022</v>
      </c>
      <c r="AC1" s="173">
        <v>2023</v>
      </c>
      <c r="AD1" s="173">
        <v>2024</v>
      </c>
      <c r="AE1" s="173">
        <v>2025</v>
      </c>
      <c r="AF1" s="173">
        <v>2026</v>
      </c>
      <c r="AG1" s="173">
        <v>2027</v>
      </c>
      <c r="AH1" s="173">
        <v>2028</v>
      </c>
      <c r="AI1" s="173">
        <v>2029</v>
      </c>
      <c r="AJ1" s="173">
        <v>2030</v>
      </c>
      <c r="AK1" s="173">
        <v>2031</v>
      </c>
      <c r="AL1" s="173">
        <v>2032</v>
      </c>
      <c r="AM1" s="173">
        <v>2033</v>
      </c>
      <c r="AN1" s="173">
        <v>2034</v>
      </c>
    </row>
    <row r="2" spans="1:40" x14ac:dyDescent="0.35">
      <c r="A2" s="174"/>
      <c r="B2" s="174"/>
      <c r="C2" s="175">
        <v>744</v>
      </c>
      <c r="D2" s="175">
        <v>672</v>
      </c>
      <c r="E2" s="175">
        <v>744</v>
      </c>
      <c r="F2" s="175">
        <v>720</v>
      </c>
      <c r="G2" s="175">
        <v>744</v>
      </c>
      <c r="H2" s="175">
        <v>720</v>
      </c>
      <c r="I2" s="175">
        <v>744</v>
      </c>
      <c r="J2" s="175">
        <v>744</v>
      </c>
      <c r="K2" s="175">
        <v>720</v>
      </c>
      <c r="L2" s="175">
        <v>744</v>
      </c>
      <c r="M2" s="175">
        <v>720</v>
      </c>
      <c r="N2" s="175">
        <v>744</v>
      </c>
      <c r="O2" s="175"/>
      <c r="P2" s="175">
        <v>744</v>
      </c>
      <c r="Q2" s="175">
        <v>672</v>
      </c>
      <c r="R2" s="175">
        <v>744</v>
      </c>
      <c r="S2" s="175">
        <v>720</v>
      </c>
      <c r="T2" s="175">
        <v>744</v>
      </c>
      <c r="U2" s="175">
        <v>720</v>
      </c>
      <c r="V2" s="175">
        <v>744</v>
      </c>
      <c r="W2" s="175">
        <v>744</v>
      </c>
      <c r="X2" s="175">
        <v>720</v>
      </c>
      <c r="Y2" s="175">
        <v>744</v>
      </c>
      <c r="Z2" s="175">
        <v>720</v>
      </c>
      <c r="AA2" s="175">
        <v>744</v>
      </c>
      <c r="AB2" s="175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</row>
    <row r="3" spans="1:40" x14ac:dyDescent="0.35">
      <c r="A3" s="21"/>
      <c r="B3" s="21"/>
      <c r="C3" s="176">
        <v>0</v>
      </c>
      <c r="D3" s="176">
        <v>0</v>
      </c>
      <c r="E3" s="176">
        <v>0</v>
      </c>
      <c r="F3" s="176">
        <v>0</v>
      </c>
      <c r="G3" s="176">
        <v>0</v>
      </c>
      <c r="H3" s="176">
        <v>-1</v>
      </c>
      <c r="I3" s="176">
        <v>3</v>
      </c>
      <c r="J3" s="176">
        <v>6</v>
      </c>
      <c r="K3" s="176">
        <v>6</v>
      </c>
      <c r="L3" s="176">
        <v>3</v>
      </c>
      <c r="M3" s="176">
        <v>7</v>
      </c>
      <c r="N3" s="176">
        <v>11</v>
      </c>
      <c r="O3" s="176">
        <v>5</v>
      </c>
      <c r="P3" s="176">
        <v>1</v>
      </c>
      <c r="Q3" s="17">
        <v>1</v>
      </c>
      <c r="R3" s="176">
        <v>1</v>
      </c>
      <c r="S3" s="176">
        <v>0</v>
      </c>
      <c r="T3" s="176">
        <v>0</v>
      </c>
      <c r="U3" s="176">
        <v>0</v>
      </c>
      <c r="V3" s="176">
        <v>0</v>
      </c>
      <c r="W3" s="176">
        <v>0</v>
      </c>
      <c r="X3" s="176">
        <v>0</v>
      </c>
      <c r="Y3" s="176">
        <v>0</v>
      </c>
      <c r="Z3" s="176">
        <v>0</v>
      </c>
      <c r="AA3" s="176">
        <v>0</v>
      </c>
      <c r="AB3" s="176">
        <v>0</v>
      </c>
      <c r="AC3" s="176">
        <v>2</v>
      </c>
      <c r="AD3" s="176">
        <v>0</v>
      </c>
      <c r="AE3" s="176">
        <v>0</v>
      </c>
      <c r="AF3" s="176">
        <v>0</v>
      </c>
      <c r="AG3" s="176">
        <v>0</v>
      </c>
      <c r="AH3" s="176">
        <v>0</v>
      </c>
      <c r="AI3" s="176">
        <v>0</v>
      </c>
      <c r="AJ3" s="176">
        <v>0</v>
      </c>
      <c r="AK3" s="176">
        <v>0</v>
      </c>
      <c r="AL3" s="176">
        <v>0</v>
      </c>
      <c r="AM3" s="176">
        <v>0</v>
      </c>
      <c r="AN3" s="176">
        <v>0</v>
      </c>
    </row>
    <row r="4" spans="1:40" ht="15.5" x14ac:dyDescent="0.35">
      <c r="A4" s="21"/>
      <c r="B4" s="171" t="s">
        <v>254</v>
      </c>
      <c r="C4" s="177">
        <v>44927</v>
      </c>
      <c r="D4" s="177">
        <v>44958</v>
      </c>
      <c r="E4" s="177">
        <v>44986</v>
      </c>
      <c r="F4" s="177">
        <v>45017</v>
      </c>
      <c r="G4" s="177">
        <v>45047</v>
      </c>
      <c r="H4" s="177">
        <v>45078</v>
      </c>
      <c r="I4" s="177">
        <v>45108</v>
      </c>
      <c r="J4" s="177">
        <v>45139</v>
      </c>
      <c r="K4" s="177">
        <v>45170</v>
      </c>
      <c r="L4" s="177">
        <v>45200</v>
      </c>
      <c r="M4" s="177">
        <v>45231</v>
      </c>
      <c r="N4" s="177">
        <v>45261</v>
      </c>
      <c r="O4" s="178" t="s">
        <v>601</v>
      </c>
      <c r="P4" s="177">
        <v>45292</v>
      </c>
      <c r="Q4" s="177">
        <v>45323</v>
      </c>
      <c r="R4" s="177">
        <v>45352</v>
      </c>
      <c r="S4" s="177">
        <v>45383</v>
      </c>
      <c r="T4" s="177">
        <v>45413</v>
      </c>
      <c r="U4" s="177">
        <v>45444</v>
      </c>
      <c r="V4" s="177">
        <v>45474</v>
      </c>
      <c r="W4" s="177">
        <v>45505</v>
      </c>
      <c r="X4" s="177">
        <v>45536</v>
      </c>
      <c r="Y4" s="177">
        <v>45566</v>
      </c>
      <c r="Z4" s="177">
        <v>45597</v>
      </c>
      <c r="AA4" s="177">
        <v>45627</v>
      </c>
      <c r="AB4" s="178">
        <v>2024</v>
      </c>
      <c r="AC4" s="179">
        <v>2025</v>
      </c>
      <c r="AD4" s="179">
        <v>2026</v>
      </c>
      <c r="AE4" s="179">
        <v>2027</v>
      </c>
      <c r="AF4" s="179">
        <v>2028</v>
      </c>
      <c r="AG4" s="179">
        <v>2029</v>
      </c>
      <c r="AH4" s="179">
        <v>2030</v>
      </c>
      <c r="AI4" s="179">
        <v>2031</v>
      </c>
      <c r="AJ4" s="179">
        <v>2032</v>
      </c>
      <c r="AK4" s="179">
        <v>2033</v>
      </c>
      <c r="AL4" s="179">
        <v>2034</v>
      </c>
      <c r="AM4" s="179" t="s">
        <v>319</v>
      </c>
      <c r="AN4" s="180" t="s">
        <v>602</v>
      </c>
    </row>
    <row r="5" spans="1:40" ht="15.5" x14ac:dyDescent="0.35">
      <c r="A5" s="21"/>
      <c r="B5" s="181" t="s">
        <v>255</v>
      </c>
      <c r="C5" s="182">
        <f>[5]Gráficos!C6</f>
        <v>69</v>
      </c>
      <c r="D5" s="182">
        <f>[5]Gráficos!D6</f>
        <v>69</v>
      </c>
      <c r="E5" s="182">
        <f>[5]Gráficos!E6</f>
        <v>69</v>
      </c>
      <c r="F5" s="182">
        <f>[5]Gráficos!F6</f>
        <v>69</v>
      </c>
      <c r="G5" s="182">
        <f>[5]Gráficos!G6</f>
        <v>70</v>
      </c>
      <c r="H5" s="182">
        <f>[5]Gráficos!H6</f>
        <v>70</v>
      </c>
      <c r="I5" s="182">
        <f>[5]Gráficos!I6</f>
        <v>73</v>
      </c>
      <c r="J5" s="182">
        <f>[5]Gráficos!J6</f>
        <v>73</v>
      </c>
      <c r="K5" s="182">
        <f>[5]Gráficos!K6</f>
        <v>73</v>
      </c>
      <c r="L5" s="182">
        <f>[5]Gráficos!L6</f>
        <v>75</v>
      </c>
      <c r="M5" s="182">
        <f>[5]Gráficos!M6</f>
        <v>75</v>
      </c>
      <c r="N5" s="182">
        <f>[5]Gráficos!N6</f>
        <v>75</v>
      </c>
      <c r="O5" s="182">
        <f>[5]Gráficos!O6</f>
        <v>72</v>
      </c>
      <c r="P5" s="182">
        <f>[5]Gráficos!P6</f>
        <v>80</v>
      </c>
      <c r="Q5" s="182">
        <f>[5]Gráficos!Q6</f>
        <v>80</v>
      </c>
      <c r="R5" s="182">
        <f>[5]Gráficos!R6</f>
        <v>80</v>
      </c>
      <c r="S5" s="182">
        <f>[5]Gráficos!S6</f>
        <v>80</v>
      </c>
      <c r="T5" s="182">
        <f>[5]Gráficos!T6</f>
        <v>80</v>
      </c>
      <c r="U5" s="182">
        <f>[5]Gráficos!U6</f>
        <v>80</v>
      </c>
      <c r="V5" s="182">
        <f>[5]Gráficos!V6</f>
        <v>89</v>
      </c>
      <c r="W5" s="182">
        <f>[5]Gráficos!W6</f>
        <v>89</v>
      </c>
      <c r="X5" s="182">
        <f>[5]Gráficos!X6</f>
        <v>89</v>
      </c>
      <c r="Y5" s="182">
        <f>[5]Gráficos!Y6</f>
        <v>89</v>
      </c>
      <c r="Z5" s="182">
        <f>[5]Gráficos!Z6</f>
        <v>89</v>
      </c>
      <c r="AA5" s="182">
        <f>[5]Gráficos!AA6</f>
        <v>89</v>
      </c>
      <c r="AB5" s="182">
        <f>[5]Gráficos!AB6</f>
        <v>85</v>
      </c>
      <c r="AC5" s="182">
        <f>[5]Gráficos!AC6</f>
        <v>99</v>
      </c>
      <c r="AD5" s="182">
        <f>[5]Gráficos!AD6</f>
        <v>109</v>
      </c>
      <c r="AE5" s="182">
        <f>[5]Gráficos!AE6</f>
        <v>119</v>
      </c>
      <c r="AF5" s="182">
        <f>[5]Gráficos!AF6</f>
        <v>0</v>
      </c>
      <c r="AG5" s="182">
        <f>[5]Gráficos!AG6</f>
        <v>0</v>
      </c>
      <c r="AH5" s="182">
        <f>[5]Gráficos!AH6</f>
        <v>0</v>
      </c>
      <c r="AI5" s="182">
        <f>[5]Gráficos!AI6</f>
        <v>0</v>
      </c>
      <c r="AJ5" s="182">
        <f>[5]Gráficos!AJ6</f>
        <v>0</v>
      </c>
      <c r="AK5" s="182">
        <f>[5]Gráficos!AK6</f>
        <v>0</v>
      </c>
      <c r="AL5" s="182">
        <f>[5]Gráficos!AL6</f>
        <v>0</v>
      </c>
      <c r="AM5" s="182">
        <f>[5]Gráficos!AM6</f>
        <v>0</v>
      </c>
      <c r="AN5" s="183">
        <f>[5]Gráficos!AN6</f>
        <v>0</v>
      </c>
    </row>
    <row r="6" spans="1:40" ht="15.5" x14ac:dyDescent="0.35">
      <c r="A6" s="21"/>
      <c r="B6" s="181" t="s">
        <v>256</v>
      </c>
      <c r="C6" s="182">
        <f>[5]Gráficos!C7</f>
        <v>94</v>
      </c>
      <c r="D6" s="182">
        <f>[5]Gráficos!D7</f>
        <v>96</v>
      </c>
      <c r="E6" s="182">
        <f>[5]Gráficos!E7</f>
        <v>97</v>
      </c>
      <c r="F6" s="182">
        <f>[5]Gráficos!F7</f>
        <v>96</v>
      </c>
      <c r="G6" s="182">
        <f>[5]Gráficos!G7</f>
        <v>97</v>
      </c>
      <c r="H6" s="182">
        <f>[5]Gráficos!H7</f>
        <v>97</v>
      </c>
      <c r="I6" s="182">
        <f>[5]Gráficos!I7</f>
        <v>101</v>
      </c>
      <c r="J6" s="182">
        <f>[5]Gráficos!J7</f>
        <v>101</v>
      </c>
      <c r="K6" s="182">
        <f>[5]Gráficos!K7</f>
        <v>101</v>
      </c>
      <c r="L6" s="182">
        <f>[5]Gráficos!L7</f>
        <v>103</v>
      </c>
      <c r="M6" s="182">
        <f>[5]Gráficos!M7</f>
        <v>103</v>
      </c>
      <c r="N6" s="182">
        <f>[5]Gráficos!N7</f>
        <v>103</v>
      </c>
      <c r="O6" s="182">
        <f>[5]Gráficos!O7</f>
        <v>99</v>
      </c>
      <c r="P6" s="182">
        <f>[5]Gráficos!P7</f>
        <v>108</v>
      </c>
      <c r="Q6" s="182">
        <f>[5]Gráficos!Q7</f>
        <v>108</v>
      </c>
      <c r="R6" s="182">
        <f>[5]Gráficos!R7</f>
        <v>108</v>
      </c>
      <c r="S6" s="182">
        <f>[5]Gráficos!S7</f>
        <v>108</v>
      </c>
      <c r="T6" s="182">
        <f>[5]Gráficos!T7</f>
        <v>108</v>
      </c>
      <c r="U6" s="182">
        <f>[5]Gráficos!U7</f>
        <v>108</v>
      </c>
      <c r="V6" s="182">
        <f>[5]Gráficos!V7</f>
        <v>117</v>
      </c>
      <c r="W6" s="182">
        <f>[5]Gráficos!W7</f>
        <v>117</v>
      </c>
      <c r="X6" s="182">
        <f>[5]Gráficos!X7</f>
        <v>117</v>
      </c>
      <c r="Y6" s="182">
        <f>[5]Gráficos!Y7</f>
        <v>117</v>
      </c>
      <c r="Z6" s="182">
        <f>[5]Gráficos!Z7</f>
        <v>117</v>
      </c>
      <c r="AA6" s="182">
        <f>[5]Gráficos!AA7</f>
        <v>117</v>
      </c>
      <c r="AB6" s="182">
        <f>[5]Gráficos!AB7</f>
        <v>113</v>
      </c>
      <c r="AC6" s="182">
        <f>[5]Gráficos!AC7</f>
        <v>127</v>
      </c>
      <c r="AD6" s="182">
        <f>[5]Gráficos!AD7</f>
        <v>137</v>
      </c>
      <c r="AE6" s="182">
        <f>[5]Gráficos!AE7</f>
        <v>147</v>
      </c>
      <c r="AF6" s="182">
        <f>[5]Gráficos!AF7</f>
        <v>0</v>
      </c>
      <c r="AG6" s="182">
        <f>[5]Gráficos!AG7</f>
        <v>0</v>
      </c>
      <c r="AH6" s="182">
        <f>[5]Gráficos!AH7</f>
        <v>0</v>
      </c>
      <c r="AI6" s="182">
        <f>[5]Gráficos!AI7</f>
        <v>0</v>
      </c>
      <c r="AJ6" s="182">
        <f>[5]Gráficos!AJ7</f>
        <v>0</v>
      </c>
      <c r="AK6" s="182">
        <f>[5]Gráficos!AK7</f>
        <v>0</v>
      </c>
      <c r="AL6" s="182">
        <f>[5]Gráficos!AL7</f>
        <v>0</v>
      </c>
      <c r="AM6" s="182">
        <f>[5]Gráficos!AM7</f>
        <v>0</v>
      </c>
      <c r="AN6" s="183">
        <f>[5]Gráficos!AN7</f>
        <v>0</v>
      </c>
    </row>
    <row r="7" spans="1:40" ht="15.5" x14ac:dyDescent="0.35">
      <c r="A7" s="21"/>
      <c r="B7" s="181" t="s">
        <v>257</v>
      </c>
      <c r="C7" s="182">
        <f>[5]Gráficos!C8</f>
        <v>226</v>
      </c>
      <c r="D7" s="182">
        <f>[5]Gráficos!D8</f>
        <v>226</v>
      </c>
      <c r="E7" s="182">
        <f>[5]Gráficos!E8</f>
        <v>226</v>
      </c>
      <c r="F7" s="182">
        <f>[5]Gráficos!F8</f>
        <v>226</v>
      </c>
      <c r="G7" s="182">
        <f>[5]Gráficos!G8</f>
        <v>227</v>
      </c>
      <c r="H7" s="182">
        <f>[5]Gráficos!H8</f>
        <v>227</v>
      </c>
      <c r="I7" s="182">
        <f>[5]Gráficos!I8</f>
        <v>225</v>
      </c>
      <c r="J7" s="182">
        <f>[5]Gráficos!J8</f>
        <v>225</v>
      </c>
      <c r="K7" s="182">
        <f>[5]Gráficos!K8</f>
        <v>225</v>
      </c>
      <c r="L7" s="182">
        <f>[5]Gráficos!L8</f>
        <v>227</v>
      </c>
      <c r="M7" s="182">
        <f>[5]Gráficos!M8</f>
        <v>227</v>
      </c>
      <c r="N7" s="182">
        <f>[5]Gráficos!N8</f>
        <v>227</v>
      </c>
      <c r="O7" s="182">
        <f>[5]Gráficos!O8</f>
        <v>226</v>
      </c>
      <c r="P7" s="182">
        <f>[5]Gráficos!P8</f>
        <v>232</v>
      </c>
      <c r="Q7" s="182">
        <f>[5]Gráficos!Q8</f>
        <v>232</v>
      </c>
      <c r="R7" s="182">
        <f>[5]Gráficos!R8</f>
        <v>232</v>
      </c>
      <c r="S7" s="182">
        <f>[5]Gráficos!S8</f>
        <v>232</v>
      </c>
      <c r="T7" s="182">
        <f>[5]Gráficos!T8</f>
        <v>232</v>
      </c>
      <c r="U7" s="182">
        <f>[5]Gráficos!U8</f>
        <v>232</v>
      </c>
      <c r="V7" s="182">
        <f>[5]Gráficos!V8</f>
        <v>241</v>
      </c>
      <c r="W7" s="182">
        <f>[5]Gráficos!W8</f>
        <v>241</v>
      </c>
      <c r="X7" s="182">
        <f>[5]Gráficos!X8</f>
        <v>241</v>
      </c>
      <c r="Y7" s="182">
        <f>[5]Gráficos!Y8</f>
        <v>241</v>
      </c>
      <c r="Z7" s="182">
        <f>[5]Gráficos!Z8</f>
        <v>241</v>
      </c>
      <c r="AA7" s="182">
        <f>[5]Gráficos!AA8</f>
        <v>241</v>
      </c>
      <c r="AB7" s="182">
        <f>[5]Gráficos!AB8</f>
        <v>237</v>
      </c>
      <c r="AC7" s="182">
        <f>[5]Gráficos!AC8</f>
        <v>251</v>
      </c>
      <c r="AD7" s="182">
        <f>[5]Gráficos!AD8</f>
        <v>261</v>
      </c>
      <c r="AE7" s="182">
        <f>[5]Gráficos!AE8</f>
        <v>271</v>
      </c>
      <c r="AF7" s="182">
        <f>[5]Gráficos!AF8</f>
        <v>0</v>
      </c>
      <c r="AG7" s="182">
        <f>[5]Gráficos!AG8</f>
        <v>0</v>
      </c>
      <c r="AH7" s="182">
        <f>[5]Gráficos!AH8</f>
        <v>0</v>
      </c>
      <c r="AI7" s="182">
        <f>[5]Gráficos!AI8</f>
        <v>0</v>
      </c>
      <c r="AJ7" s="182">
        <f>[5]Gráficos!AJ8</f>
        <v>0</v>
      </c>
      <c r="AK7" s="182">
        <f>[5]Gráficos!AK8</f>
        <v>0</v>
      </c>
      <c r="AL7" s="182">
        <f>[5]Gráficos!AL8</f>
        <v>0</v>
      </c>
      <c r="AM7" s="182">
        <f>[5]Gráficos!AM8</f>
        <v>0</v>
      </c>
      <c r="AN7" s="183">
        <f>[5]Gráficos!AN8</f>
        <v>0</v>
      </c>
    </row>
    <row r="8" spans="1:40" ht="15.5" x14ac:dyDescent="0.35">
      <c r="A8" s="21"/>
      <c r="B8" s="184" t="s">
        <v>258</v>
      </c>
      <c r="C8" s="182">
        <f>[5]Gráficos!C9</f>
        <v>69</v>
      </c>
      <c r="D8" s="182">
        <f>[5]Gráficos!D9</f>
        <v>69</v>
      </c>
      <c r="E8" s="182">
        <f>[5]Gráficos!E9</f>
        <v>69</v>
      </c>
      <c r="F8" s="182">
        <f>[5]Gráficos!F9</f>
        <v>69</v>
      </c>
      <c r="G8" s="182">
        <f>[5]Gráficos!G9</f>
        <v>70</v>
      </c>
      <c r="H8" s="182">
        <f>[5]Gráficos!H9</f>
        <v>70</v>
      </c>
      <c r="I8" s="182">
        <f>[5]Gráficos!I9</f>
        <v>73</v>
      </c>
      <c r="J8" s="182">
        <f>[5]Gráficos!J9</f>
        <v>73</v>
      </c>
      <c r="K8" s="182">
        <f>[5]Gráficos!K9</f>
        <v>73</v>
      </c>
      <c r="L8" s="182">
        <f>[5]Gráficos!L9</f>
        <v>75</v>
      </c>
      <c r="M8" s="182">
        <f>[5]Gráficos!M9</f>
        <v>75</v>
      </c>
      <c r="N8" s="182">
        <f>[5]Gráficos!N9</f>
        <v>75</v>
      </c>
      <c r="O8" s="182">
        <f>[5]Gráficos!O9</f>
        <v>72</v>
      </c>
      <c r="P8" s="182">
        <f>[5]Gráficos!P9</f>
        <v>80</v>
      </c>
      <c r="Q8" s="182">
        <f>[5]Gráficos!Q9</f>
        <v>80</v>
      </c>
      <c r="R8" s="182">
        <f>[5]Gráficos!R9</f>
        <v>80</v>
      </c>
      <c r="S8" s="182">
        <f>[5]Gráficos!S9</f>
        <v>80</v>
      </c>
      <c r="T8" s="182">
        <f>[5]Gráficos!T9</f>
        <v>80</v>
      </c>
      <c r="U8" s="182">
        <f>[5]Gráficos!U9</f>
        <v>80</v>
      </c>
      <c r="V8" s="182">
        <f>[5]Gráficos!V9</f>
        <v>89</v>
      </c>
      <c r="W8" s="182">
        <f>[5]Gráficos!W9</f>
        <v>89</v>
      </c>
      <c r="X8" s="182">
        <f>[5]Gráficos!X9</f>
        <v>89</v>
      </c>
      <c r="Y8" s="182">
        <f>[5]Gráficos!Y9</f>
        <v>89</v>
      </c>
      <c r="Z8" s="182">
        <f>[5]Gráficos!Z9</f>
        <v>89</v>
      </c>
      <c r="AA8" s="182">
        <f>[5]Gráficos!AA9</f>
        <v>89</v>
      </c>
      <c r="AB8" s="182">
        <f>[5]Gráficos!AB9</f>
        <v>85</v>
      </c>
      <c r="AC8" s="182">
        <f>[5]Gráficos!AC9</f>
        <v>99</v>
      </c>
      <c r="AD8" s="182">
        <f>[5]Gráficos!AD9</f>
        <v>109</v>
      </c>
      <c r="AE8" s="182">
        <f>[5]Gráficos!AE9</f>
        <v>119</v>
      </c>
      <c r="AF8" s="182">
        <f>[5]Gráficos!AF9</f>
        <v>0</v>
      </c>
      <c r="AG8" s="182">
        <f>[5]Gráficos!AG9</f>
        <v>0</v>
      </c>
      <c r="AH8" s="182">
        <f>[5]Gráficos!AH9</f>
        <v>0</v>
      </c>
      <c r="AI8" s="182">
        <f>[5]Gráficos!AI9</f>
        <v>0</v>
      </c>
      <c r="AJ8" s="182">
        <f>[5]Gráficos!AJ9</f>
        <v>0</v>
      </c>
      <c r="AK8" s="182">
        <f>[5]Gráficos!AK9</f>
        <v>0</v>
      </c>
      <c r="AL8" s="182">
        <f>[5]Gráficos!AL9</f>
        <v>0</v>
      </c>
      <c r="AM8" s="182">
        <f>[5]Gráficos!AM9</f>
        <v>0</v>
      </c>
      <c r="AN8" s="183">
        <f>[5]Gráficos!AN9</f>
        <v>0</v>
      </c>
    </row>
    <row r="9" spans="1:40" ht="15.5" x14ac:dyDescent="0.35">
      <c r="A9" s="21"/>
      <c r="B9" s="184" t="s">
        <v>259</v>
      </c>
      <c r="C9" s="182">
        <f>[5]Gráficos!C10</f>
        <v>69</v>
      </c>
      <c r="D9" s="182">
        <f>[5]Gráficos!D10</f>
        <v>69</v>
      </c>
      <c r="E9" s="182">
        <f>[5]Gráficos!E10</f>
        <v>69</v>
      </c>
      <c r="F9" s="182">
        <f>[5]Gráficos!F10</f>
        <v>69</v>
      </c>
      <c r="G9" s="182">
        <f>[5]Gráficos!G10</f>
        <v>70</v>
      </c>
      <c r="H9" s="182">
        <f>[5]Gráficos!H10</f>
        <v>70</v>
      </c>
      <c r="I9" s="182">
        <f>[5]Gráficos!I10</f>
        <v>70</v>
      </c>
      <c r="J9" s="182">
        <f>[5]Gráficos!J10</f>
        <v>70</v>
      </c>
      <c r="K9" s="182">
        <f>[5]Gráficos!K10</f>
        <v>70</v>
      </c>
      <c r="L9" s="182">
        <f>[5]Gráficos!L10</f>
        <v>72</v>
      </c>
      <c r="M9" s="182">
        <f>[5]Gráficos!M10</f>
        <v>72</v>
      </c>
      <c r="N9" s="182">
        <f>[5]Gráficos!N10</f>
        <v>75</v>
      </c>
      <c r="O9" s="182">
        <f>[5]Gráficos!O10</f>
        <v>70</v>
      </c>
      <c r="P9" s="182">
        <f>[5]Gráficos!P10</f>
        <v>76</v>
      </c>
      <c r="Q9" s="182">
        <f>[5]Gráficos!Q10</f>
        <v>76</v>
      </c>
      <c r="R9" s="182">
        <f>[5]Gráficos!R10</f>
        <v>76</v>
      </c>
      <c r="S9" s="182">
        <f>[5]Gráficos!S10</f>
        <v>76</v>
      </c>
      <c r="T9" s="182">
        <f>[5]Gráficos!T10</f>
        <v>76</v>
      </c>
      <c r="U9" s="182">
        <f>[5]Gráficos!U10</f>
        <v>76</v>
      </c>
      <c r="V9" s="182">
        <f>[5]Gráficos!V10</f>
        <v>85</v>
      </c>
      <c r="W9" s="182">
        <f>[5]Gráficos!W10</f>
        <v>85</v>
      </c>
      <c r="X9" s="182">
        <f>[5]Gráficos!X10</f>
        <v>85</v>
      </c>
      <c r="Y9" s="182">
        <f>[5]Gráficos!Y10</f>
        <v>85</v>
      </c>
      <c r="Z9" s="182">
        <f>[5]Gráficos!Z10</f>
        <v>85</v>
      </c>
      <c r="AA9" s="182">
        <f>[5]Gráficos!AA10</f>
        <v>85</v>
      </c>
      <c r="AB9" s="182">
        <f>[5]Gráficos!AB10</f>
        <v>81</v>
      </c>
      <c r="AC9" s="182">
        <f>[5]Gráficos!AC10</f>
        <v>94</v>
      </c>
      <c r="AD9" s="182">
        <f>[5]Gráficos!AD10</f>
        <v>104</v>
      </c>
      <c r="AE9" s="182">
        <f>[5]Gráficos!AE10</f>
        <v>114</v>
      </c>
      <c r="AF9" s="182">
        <f>[5]Gráficos!AF10</f>
        <v>0</v>
      </c>
      <c r="AG9" s="182">
        <f>[5]Gráficos!AG10</f>
        <v>0</v>
      </c>
      <c r="AH9" s="182">
        <f>[5]Gráficos!AH10</f>
        <v>0</v>
      </c>
      <c r="AI9" s="182">
        <f>[5]Gráficos!AI10</f>
        <v>0</v>
      </c>
      <c r="AJ9" s="182">
        <f>[5]Gráficos!AJ10</f>
        <v>0</v>
      </c>
      <c r="AK9" s="182">
        <f>[5]Gráficos!AK10</f>
        <v>0</v>
      </c>
      <c r="AL9" s="182">
        <f>[5]Gráficos!AL10</f>
        <v>0</v>
      </c>
      <c r="AM9" s="182">
        <f>[5]Gráficos!AM10</f>
        <v>0</v>
      </c>
      <c r="AN9" s="183">
        <f>[5]Gráficos!AN10</f>
        <v>0</v>
      </c>
    </row>
    <row r="10" spans="1:40" ht="15.5" x14ac:dyDescent="0.35">
      <c r="A10" s="21"/>
      <c r="B10" s="185" t="s">
        <v>260</v>
      </c>
      <c r="C10" s="186">
        <f>[5]Gráficos!C11</f>
        <v>69</v>
      </c>
      <c r="D10" s="186">
        <f>[5]Gráficos!D11</f>
        <v>69</v>
      </c>
      <c r="E10" s="186">
        <f>[5]Gráficos!E11</f>
        <v>69</v>
      </c>
      <c r="F10" s="186">
        <f>[5]Gráficos!F11</f>
        <v>69</v>
      </c>
      <c r="G10" s="186">
        <f>[5]Gráficos!G11</f>
        <v>70</v>
      </c>
      <c r="H10" s="186">
        <f>[5]Gráficos!H11</f>
        <v>70</v>
      </c>
      <c r="I10" s="186">
        <f>[5]Gráficos!I11</f>
        <v>73</v>
      </c>
      <c r="J10" s="186">
        <f>[5]Gráficos!J11</f>
        <v>73</v>
      </c>
      <c r="K10" s="186">
        <f>[5]Gráficos!K11</f>
        <v>73</v>
      </c>
      <c r="L10" s="186">
        <f>[5]Gráficos!L11</f>
        <v>75</v>
      </c>
      <c r="M10" s="186">
        <f>[5]Gráficos!M11</f>
        <v>75</v>
      </c>
      <c r="N10" s="186">
        <f>[5]Gráficos!N11</f>
        <v>75</v>
      </c>
      <c r="O10" s="186">
        <f>[5]Gráficos!O11</f>
        <v>72</v>
      </c>
      <c r="P10" s="186">
        <f>[5]Gráficos!P11</f>
        <v>76</v>
      </c>
      <c r="Q10" s="186">
        <f>[5]Gráficos!Q11</f>
        <v>76</v>
      </c>
      <c r="R10" s="186">
        <f>[5]Gráficos!R11</f>
        <v>76</v>
      </c>
      <c r="S10" s="186">
        <f>[5]Gráficos!S11</f>
        <v>76</v>
      </c>
      <c r="T10" s="186">
        <f>[5]Gráficos!T11</f>
        <v>76</v>
      </c>
      <c r="U10" s="186">
        <f>[5]Gráficos!U11</f>
        <v>76</v>
      </c>
      <c r="V10" s="186">
        <f>[5]Gráficos!V11</f>
        <v>85</v>
      </c>
      <c r="W10" s="186">
        <f>[5]Gráficos!W11</f>
        <v>85</v>
      </c>
      <c r="X10" s="186">
        <f>[5]Gráficos!X11</f>
        <v>85</v>
      </c>
      <c r="Y10" s="186">
        <f>[5]Gráficos!Y11</f>
        <v>85</v>
      </c>
      <c r="Z10" s="186">
        <f>[5]Gráficos!Z11</f>
        <v>85</v>
      </c>
      <c r="AA10" s="186">
        <f>[5]Gráficos!AA11</f>
        <v>85</v>
      </c>
      <c r="AB10" s="186">
        <f>[5]Gráficos!AB11</f>
        <v>81</v>
      </c>
      <c r="AC10" s="186">
        <f>[5]Gráficos!AC11</f>
        <v>94</v>
      </c>
      <c r="AD10" s="186">
        <f>[5]Gráficos!AD11</f>
        <v>104</v>
      </c>
      <c r="AE10" s="186">
        <f>[5]Gráficos!AE11</f>
        <v>114</v>
      </c>
      <c r="AF10" s="186">
        <f>[5]Gráficos!AF11</f>
        <v>0</v>
      </c>
      <c r="AG10" s="186">
        <f>[5]Gráficos!AG11</f>
        <v>0</v>
      </c>
      <c r="AH10" s="186">
        <f>[5]Gráficos!AH11</f>
        <v>0</v>
      </c>
      <c r="AI10" s="186">
        <f>[5]Gráficos!AI11</f>
        <v>0</v>
      </c>
      <c r="AJ10" s="186">
        <f>[5]Gráficos!AJ11</f>
        <v>0</v>
      </c>
      <c r="AK10" s="186">
        <f>[5]Gráficos!AK11</f>
        <v>0</v>
      </c>
      <c r="AL10" s="186">
        <f>[5]Gráficos!AL11</f>
        <v>0</v>
      </c>
      <c r="AM10" s="186">
        <f>[5]Gráficos!AM11</f>
        <v>0</v>
      </c>
      <c r="AN10" s="187">
        <f>[5]Gráficos!AN11</f>
        <v>0</v>
      </c>
    </row>
    <row r="11" spans="1:40" ht="15.5" x14ac:dyDescent="0.35">
      <c r="A11" s="21"/>
      <c r="B11" s="188" t="s">
        <v>262</v>
      </c>
      <c r="C11" s="182">
        <f t="shared" ref="C11:M11" si="0">C5+2</f>
        <v>71</v>
      </c>
      <c r="D11" s="182">
        <f t="shared" si="0"/>
        <v>71</v>
      </c>
      <c r="E11" s="182">
        <f t="shared" si="0"/>
        <v>71</v>
      </c>
      <c r="F11" s="182">
        <f t="shared" si="0"/>
        <v>71</v>
      </c>
      <c r="G11" s="182">
        <f t="shared" si="0"/>
        <v>72</v>
      </c>
      <c r="H11" s="182">
        <f t="shared" si="0"/>
        <v>72</v>
      </c>
      <c r="I11" s="182">
        <f t="shared" si="0"/>
        <v>75</v>
      </c>
      <c r="J11" s="182">
        <f t="shared" si="0"/>
        <v>75</v>
      </c>
      <c r="K11" s="182">
        <f t="shared" si="0"/>
        <v>75</v>
      </c>
      <c r="L11" s="182">
        <f t="shared" si="0"/>
        <v>77</v>
      </c>
      <c r="M11" s="182">
        <f t="shared" si="0"/>
        <v>77</v>
      </c>
      <c r="N11" s="182">
        <f t="shared" ref="N11:AL11" si="1">N5+2</f>
        <v>77</v>
      </c>
      <c r="O11" s="182">
        <f t="shared" si="1"/>
        <v>74</v>
      </c>
      <c r="P11" s="182">
        <f t="shared" si="1"/>
        <v>82</v>
      </c>
      <c r="Q11" s="182">
        <f t="shared" si="1"/>
        <v>82</v>
      </c>
      <c r="R11" s="182">
        <f t="shared" si="1"/>
        <v>82</v>
      </c>
      <c r="S11" s="182">
        <f t="shared" si="1"/>
        <v>82</v>
      </c>
      <c r="T11" s="182">
        <f t="shared" si="1"/>
        <v>82</v>
      </c>
      <c r="U11" s="182">
        <f t="shared" si="1"/>
        <v>82</v>
      </c>
      <c r="V11" s="182">
        <f t="shared" si="1"/>
        <v>91</v>
      </c>
      <c r="W11" s="182">
        <f t="shared" si="1"/>
        <v>91</v>
      </c>
      <c r="X11" s="182">
        <f t="shared" si="1"/>
        <v>91</v>
      </c>
      <c r="Y11" s="182">
        <f t="shared" si="1"/>
        <v>91</v>
      </c>
      <c r="Z11" s="182">
        <f t="shared" si="1"/>
        <v>91</v>
      </c>
      <c r="AA11" s="182">
        <f t="shared" si="1"/>
        <v>91</v>
      </c>
      <c r="AB11" s="182">
        <f t="shared" si="1"/>
        <v>87</v>
      </c>
      <c r="AC11" s="182">
        <f t="shared" si="1"/>
        <v>101</v>
      </c>
      <c r="AD11" s="182">
        <f t="shared" si="1"/>
        <v>111</v>
      </c>
      <c r="AE11" s="182">
        <f t="shared" si="1"/>
        <v>121</v>
      </c>
      <c r="AF11" s="182">
        <f t="shared" si="1"/>
        <v>2</v>
      </c>
      <c r="AG11" s="182">
        <f t="shared" si="1"/>
        <v>2</v>
      </c>
      <c r="AH11" s="182">
        <f t="shared" si="1"/>
        <v>2</v>
      </c>
      <c r="AI11" s="182">
        <f t="shared" si="1"/>
        <v>2</v>
      </c>
      <c r="AJ11" s="182">
        <f t="shared" si="1"/>
        <v>2</v>
      </c>
      <c r="AK11" s="182">
        <f t="shared" si="1"/>
        <v>2</v>
      </c>
      <c r="AL11" s="182">
        <f t="shared" si="1"/>
        <v>2</v>
      </c>
      <c r="AM11" s="182">
        <v>0</v>
      </c>
      <c r="AN11" s="183">
        <v>0</v>
      </c>
    </row>
    <row r="12" spans="1:40" ht="15.5" x14ac:dyDescent="0.35">
      <c r="A12" s="21"/>
      <c r="B12" s="188" t="s">
        <v>263</v>
      </c>
      <c r="C12" s="182">
        <f t="shared" ref="C12:M12" si="2">C9+2</f>
        <v>71</v>
      </c>
      <c r="D12" s="182">
        <f t="shared" si="2"/>
        <v>71</v>
      </c>
      <c r="E12" s="182">
        <f t="shared" si="2"/>
        <v>71</v>
      </c>
      <c r="F12" s="182">
        <f t="shared" si="2"/>
        <v>71</v>
      </c>
      <c r="G12" s="182">
        <f t="shared" si="2"/>
        <v>72</v>
      </c>
      <c r="H12" s="182">
        <f t="shared" si="2"/>
        <v>72</v>
      </c>
      <c r="I12" s="182">
        <f t="shared" si="2"/>
        <v>72</v>
      </c>
      <c r="J12" s="182">
        <f t="shared" si="2"/>
        <v>72</v>
      </c>
      <c r="K12" s="182">
        <f t="shared" si="2"/>
        <v>72</v>
      </c>
      <c r="L12" s="182">
        <f t="shared" si="2"/>
        <v>74</v>
      </c>
      <c r="M12" s="182">
        <f t="shared" si="2"/>
        <v>74</v>
      </c>
      <c r="N12" s="182">
        <f t="shared" ref="N12:AL12" si="3">N9+2</f>
        <v>77</v>
      </c>
      <c r="O12" s="182">
        <f t="shared" si="3"/>
        <v>72</v>
      </c>
      <c r="P12" s="182">
        <f t="shared" si="3"/>
        <v>78</v>
      </c>
      <c r="Q12" s="182">
        <f t="shared" si="3"/>
        <v>78</v>
      </c>
      <c r="R12" s="182">
        <f t="shared" si="3"/>
        <v>78</v>
      </c>
      <c r="S12" s="182">
        <f t="shared" si="3"/>
        <v>78</v>
      </c>
      <c r="T12" s="182">
        <f t="shared" si="3"/>
        <v>78</v>
      </c>
      <c r="U12" s="182">
        <f t="shared" si="3"/>
        <v>78</v>
      </c>
      <c r="V12" s="182">
        <f t="shared" si="3"/>
        <v>87</v>
      </c>
      <c r="W12" s="182">
        <f t="shared" si="3"/>
        <v>87</v>
      </c>
      <c r="X12" s="182">
        <f t="shared" si="3"/>
        <v>87</v>
      </c>
      <c r="Y12" s="182">
        <f t="shared" si="3"/>
        <v>87</v>
      </c>
      <c r="Z12" s="182">
        <f t="shared" si="3"/>
        <v>87</v>
      </c>
      <c r="AA12" s="182">
        <f t="shared" si="3"/>
        <v>87</v>
      </c>
      <c r="AB12" s="182">
        <f t="shared" si="3"/>
        <v>83</v>
      </c>
      <c r="AC12" s="182">
        <f t="shared" si="3"/>
        <v>96</v>
      </c>
      <c r="AD12" s="182">
        <f t="shared" si="3"/>
        <v>106</v>
      </c>
      <c r="AE12" s="182">
        <f t="shared" si="3"/>
        <v>116</v>
      </c>
      <c r="AF12" s="182">
        <f t="shared" si="3"/>
        <v>2</v>
      </c>
      <c r="AG12" s="182">
        <f t="shared" si="3"/>
        <v>2</v>
      </c>
      <c r="AH12" s="182">
        <f t="shared" si="3"/>
        <v>2</v>
      </c>
      <c r="AI12" s="182">
        <f t="shared" si="3"/>
        <v>2</v>
      </c>
      <c r="AJ12" s="182">
        <f t="shared" si="3"/>
        <v>2</v>
      </c>
      <c r="AK12" s="182">
        <f t="shared" si="3"/>
        <v>2</v>
      </c>
      <c r="AL12" s="182">
        <f t="shared" si="3"/>
        <v>2</v>
      </c>
      <c r="AM12" s="182">
        <v>0</v>
      </c>
      <c r="AN12" s="183">
        <v>0</v>
      </c>
    </row>
    <row r="13" spans="1:40" ht="15.5" x14ac:dyDescent="0.35">
      <c r="A13" s="21"/>
      <c r="B13" s="189" t="s">
        <v>264</v>
      </c>
      <c r="C13" s="186">
        <f t="shared" ref="C13:M13" si="4">C8+2</f>
        <v>71</v>
      </c>
      <c r="D13" s="186">
        <f t="shared" si="4"/>
        <v>71</v>
      </c>
      <c r="E13" s="186">
        <f t="shared" si="4"/>
        <v>71</v>
      </c>
      <c r="F13" s="186">
        <f t="shared" si="4"/>
        <v>71</v>
      </c>
      <c r="G13" s="186">
        <f t="shared" si="4"/>
        <v>72</v>
      </c>
      <c r="H13" s="186">
        <f t="shared" si="4"/>
        <v>72</v>
      </c>
      <c r="I13" s="186">
        <f t="shared" si="4"/>
        <v>75</v>
      </c>
      <c r="J13" s="186">
        <f t="shared" si="4"/>
        <v>75</v>
      </c>
      <c r="K13" s="186">
        <f t="shared" si="4"/>
        <v>75</v>
      </c>
      <c r="L13" s="186">
        <f t="shared" si="4"/>
        <v>77</v>
      </c>
      <c r="M13" s="186">
        <f t="shared" si="4"/>
        <v>77</v>
      </c>
      <c r="N13" s="186">
        <f t="shared" ref="N13:AL13" si="5">N8+2</f>
        <v>77</v>
      </c>
      <c r="O13" s="186">
        <f t="shared" si="5"/>
        <v>74</v>
      </c>
      <c r="P13" s="186">
        <f t="shared" si="5"/>
        <v>82</v>
      </c>
      <c r="Q13" s="186">
        <f t="shared" si="5"/>
        <v>82</v>
      </c>
      <c r="R13" s="186">
        <f t="shared" si="5"/>
        <v>82</v>
      </c>
      <c r="S13" s="186">
        <f t="shared" si="5"/>
        <v>82</v>
      </c>
      <c r="T13" s="186">
        <f t="shared" si="5"/>
        <v>82</v>
      </c>
      <c r="U13" s="186">
        <f t="shared" si="5"/>
        <v>82</v>
      </c>
      <c r="V13" s="186">
        <f t="shared" si="5"/>
        <v>91</v>
      </c>
      <c r="W13" s="186">
        <f t="shared" si="5"/>
        <v>91</v>
      </c>
      <c r="X13" s="186">
        <f t="shared" si="5"/>
        <v>91</v>
      </c>
      <c r="Y13" s="186">
        <f t="shared" si="5"/>
        <v>91</v>
      </c>
      <c r="Z13" s="186">
        <f t="shared" si="5"/>
        <v>91</v>
      </c>
      <c r="AA13" s="186">
        <f t="shared" si="5"/>
        <v>91</v>
      </c>
      <c r="AB13" s="186">
        <f t="shared" si="5"/>
        <v>87</v>
      </c>
      <c r="AC13" s="186">
        <f t="shared" si="5"/>
        <v>101</v>
      </c>
      <c r="AD13" s="186">
        <f t="shared" si="5"/>
        <v>111</v>
      </c>
      <c r="AE13" s="186">
        <f t="shared" si="5"/>
        <v>121</v>
      </c>
      <c r="AF13" s="186">
        <f t="shared" si="5"/>
        <v>2</v>
      </c>
      <c r="AG13" s="186">
        <f t="shared" si="5"/>
        <v>2</v>
      </c>
      <c r="AH13" s="186">
        <f t="shared" si="5"/>
        <v>2</v>
      </c>
      <c r="AI13" s="186">
        <f t="shared" si="5"/>
        <v>2</v>
      </c>
      <c r="AJ13" s="186">
        <f t="shared" si="5"/>
        <v>2</v>
      </c>
      <c r="AK13" s="186">
        <f t="shared" si="5"/>
        <v>2</v>
      </c>
      <c r="AL13" s="186">
        <f t="shared" si="5"/>
        <v>2</v>
      </c>
      <c r="AM13" s="186">
        <v>0</v>
      </c>
      <c r="AN13" s="187">
        <v>0</v>
      </c>
    </row>
  </sheetData>
  <conditionalFormatting sqref="C3:N3 P3:AN3">
    <cfRule type="iconSet" priority="2">
      <iconSet iconSet="3Arrows" showValue="0">
        <cfvo type="percent" val="0"/>
        <cfvo type="num" val="0"/>
        <cfvo type="num" val="0" gte="0"/>
      </iconSet>
    </cfRule>
  </conditionalFormatting>
  <conditionalFormatting sqref="O3">
    <cfRule type="iconSet" priority="1">
      <iconSet iconSet="3Arrows" showValue="0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924A6-9043-443B-B452-20E0E4B03E68}">
  <sheetPr codeName="Sheet14"/>
  <dimension ref="B1:BG23"/>
  <sheetViews>
    <sheetView zoomScaleNormal="100" workbookViewId="0">
      <selection activeCell="Q3" sqref="Q3:BG5"/>
    </sheetView>
  </sheetViews>
  <sheetFormatPr defaultRowHeight="14.5" outlineLevelCol="1" x14ac:dyDescent="0.35"/>
  <cols>
    <col min="1" max="1" width="12.453125" bestFit="1" customWidth="1"/>
    <col min="2" max="2" width="17.81640625" bestFit="1" customWidth="1"/>
    <col min="3" max="8" width="7.54296875" bestFit="1" customWidth="1"/>
    <col min="9" max="14" width="9" bestFit="1" customWidth="1"/>
    <col min="15" max="15" width="10" bestFit="1" customWidth="1"/>
    <col min="16" max="16" width="13" customWidth="1"/>
    <col min="17" max="17" width="12.453125" bestFit="1" customWidth="1" outlineLevel="1"/>
    <col min="18" max="18" width="15.81640625" bestFit="1" customWidth="1" outlineLevel="1"/>
    <col min="19" max="19" width="13.1796875" bestFit="1" customWidth="1" outlineLevel="1"/>
    <col min="20" max="20" width="38.81640625" bestFit="1" customWidth="1" outlineLevel="1"/>
    <col min="21" max="21" width="15.1796875" bestFit="1" customWidth="1" outlineLevel="1"/>
    <col min="22" max="22" width="15" bestFit="1" customWidth="1" outlineLevel="1"/>
    <col min="23" max="23" width="26.7265625" bestFit="1" customWidth="1" outlineLevel="1"/>
    <col min="24" max="35" width="13" bestFit="1" customWidth="1" outlineLevel="1"/>
    <col min="36" max="47" width="16.1796875" bestFit="1" customWidth="1" outlineLevel="1"/>
    <col min="48" max="48" width="14" bestFit="1" customWidth="1"/>
    <col min="49" max="49" width="6.54296875" bestFit="1" customWidth="1"/>
    <col min="50" max="50" width="7.54296875" bestFit="1" customWidth="1"/>
    <col min="51" max="51" width="6.81640625" bestFit="1" customWidth="1"/>
    <col min="52" max="52" width="7" bestFit="1" customWidth="1"/>
    <col min="53" max="53" width="6.81640625" bestFit="1" customWidth="1"/>
    <col min="54" max="59" width="8" bestFit="1" customWidth="1"/>
  </cols>
  <sheetData>
    <row r="1" spans="2:59" ht="15" thickBot="1" x14ac:dyDescent="0.4">
      <c r="X1" s="213">
        <v>744</v>
      </c>
      <c r="Y1" s="213">
        <v>672</v>
      </c>
      <c r="Z1" s="213">
        <v>744</v>
      </c>
      <c r="AA1" s="213">
        <v>720</v>
      </c>
      <c r="AB1" s="213">
        <v>744</v>
      </c>
      <c r="AC1" s="213">
        <v>720</v>
      </c>
      <c r="AD1" s="213">
        <v>744</v>
      </c>
      <c r="AE1" s="213">
        <v>744</v>
      </c>
      <c r="AF1" s="213">
        <v>720</v>
      </c>
      <c r="AG1" s="213">
        <v>744</v>
      </c>
      <c r="AH1" s="213">
        <v>720</v>
      </c>
      <c r="AI1" s="213">
        <v>744</v>
      </c>
      <c r="AV1" t="s">
        <v>536</v>
      </c>
    </row>
    <row r="2" spans="2:59" ht="15" thickBot="1" x14ac:dyDescent="0.4">
      <c r="B2" s="212"/>
      <c r="C2" s="213">
        <v>744</v>
      </c>
      <c r="D2" s="213">
        <v>672</v>
      </c>
      <c r="E2" s="213">
        <v>744</v>
      </c>
      <c r="F2" s="213">
        <v>720</v>
      </c>
      <c r="G2" s="213">
        <v>744</v>
      </c>
      <c r="H2" s="213">
        <v>720</v>
      </c>
      <c r="I2" s="213">
        <v>744</v>
      </c>
      <c r="J2" s="213">
        <v>744</v>
      </c>
      <c r="K2" s="213">
        <v>720</v>
      </c>
      <c r="L2" s="213">
        <v>744</v>
      </c>
      <c r="M2" s="213">
        <v>720</v>
      </c>
      <c r="N2" s="213">
        <v>744</v>
      </c>
      <c r="X2" s="308" t="s">
        <v>84</v>
      </c>
      <c r="Y2" s="309"/>
      <c r="Z2" s="309"/>
      <c r="AA2" s="309"/>
      <c r="AB2" s="309"/>
      <c r="AC2" s="309"/>
      <c r="AD2" s="309"/>
      <c r="AE2" s="309"/>
      <c r="AF2" s="309"/>
      <c r="AG2" s="309"/>
      <c r="AH2" s="309"/>
      <c r="AI2" s="310"/>
      <c r="AJ2" s="308" t="s">
        <v>559</v>
      </c>
      <c r="AK2" s="309"/>
      <c r="AL2" s="309"/>
      <c r="AM2" s="309"/>
      <c r="AN2" s="309"/>
      <c r="AO2" s="309"/>
      <c r="AP2" s="309"/>
      <c r="AQ2" s="309"/>
      <c r="AR2" s="309"/>
      <c r="AS2" s="309"/>
      <c r="AT2" s="309"/>
      <c r="AU2" s="310"/>
      <c r="AV2" s="308" t="s">
        <v>560</v>
      </c>
      <c r="AW2" s="309"/>
      <c r="AX2" s="309"/>
      <c r="AY2" s="309"/>
      <c r="AZ2" s="309"/>
      <c r="BA2" s="309"/>
      <c r="BB2" s="309"/>
      <c r="BC2" s="309"/>
      <c r="BD2" s="309"/>
      <c r="BE2" s="309"/>
      <c r="BF2" s="309"/>
      <c r="BG2" s="310"/>
    </row>
    <row r="3" spans="2:59" ht="15" thickBot="1" x14ac:dyDescent="0.4">
      <c r="B3" s="231" t="s">
        <v>534</v>
      </c>
      <c r="C3" s="232">
        <v>44927</v>
      </c>
      <c r="D3" s="232">
        <v>44958</v>
      </c>
      <c r="E3" s="232">
        <v>44986</v>
      </c>
      <c r="F3" s="232">
        <v>45017</v>
      </c>
      <c r="G3" s="232">
        <v>45047</v>
      </c>
      <c r="H3" s="232">
        <v>45078</v>
      </c>
      <c r="I3" s="232">
        <v>45108</v>
      </c>
      <c r="J3" s="232">
        <v>45139</v>
      </c>
      <c r="K3" s="232">
        <v>45170</v>
      </c>
      <c r="L3" s="232">
        <v>45200</v>
      </c>
      <c r="M3" s="232">
        <v>45231</v>
      </c>
      <c r="N3" s="233">
        <v>45261</v>
      </c>
      <c r="O3" s="236">
        <v>2023</v>
      </c>
      <c r="Q3" t="s">
        <v>89</v>
      </c>
      <c r="R3" t="s">
        <v>0</v>
      </c>
      <c r="S3" t="s">
        <v>1</v>
      </c>
      <c r="T3" t="s">
        <v>2</v>
      </c>
      <c r="U3" t="s">
        <v>3</v>
      </c>
      <c r="V3" t="s">
        <v>85</v>
      </c>
      <c r="W3" t="s">
        <v>92</v>
      </c>
      <c r="X3" s="214" t="s">
        <v>510</v>
      </c>
      <c r="Y3" s="211" t="s">
        <v>511</v>
      </c>
      <c r="Z3" s="211" t="s">
        <v>512</v>
      </c>
      <c r="AA3" s="211" t="s">
        <v>513</v>
      </c>
      <c r="AB3" s="211" t="s">
        <v>514</v>
      </c>
      <c r="AC3" s="211" t="s">
        <v>515</v>
      </c>
      <c r="AD3" s="211" t="s">
        <v>516</v>
      </c>
      <c r="AE3" s="211" t="s">
        <v>517</v>
      </c>
      <c r="AF3" s="211" t="s">
        <v>518</v>
      </c>
      <c r="AG3" s="211" t="s">
        <v>519</v>
      </c>
      <c r="AH3" s="211" t="s">
        <v>520</v>
      </c>
      <c r="AI3" s="215" t="s">
        <v>521</v>
      </c>
      <c r="AJ3" s="214" t="s">
        <v>522</v>
      </c>
      <c r="AK3" s="211" t="s">
        <v>523</v>
      </c>
      <c r="AL3" s="211" t="s">
        <v>524</v>
      </c>
      <c r="AM3" s="211" t="s">
        <v>525</v>
      </c>
      <c r="AN3" s="211" t="s">
        <v>526</v>
      </c>
      <c r="AO3" s="211" t="s">
        <v>527</v>
      </c>
      <c r="AP3" s="211" t="s">
        <v>528</v>
      </c>
      <c r="AQ3" s="211" t="s">
        <v>529</v>
      </c>
      <c r="AR3" s="211" t="s">
        <v>530</v>
      </c>
      <c r="AS3" s="211" t="s">
        <v>531</v>
      </c>
      <c r="AT3" s="211" t="s">
        <v>532</v>
      </c>
      <c r="AU3" s="215" t="s">
        <v>533</v>
      </c>
      <c r="AV3" s="238" t="s">
        <v>547</v>
      </c>
      <c r="AW3" s="237" t="s">
        <v>548</v>
      </c>
      <c r="AX3" s="237" t="s">
        <v>549</v>
      </c>
      <c r="AY3" s="237" t="s">
        <v>550</v>
      </c>
      <c r="AZ3" s="237" t="s">
        <v>551</v>
      </c>
      <c r="BA3" s="237" t="s">
        <v>552</v>
      </c>
      <c r="BB3" s="237" t="s">
        <v>553</v>
      </c>
      <c r="BC3" s="237" t="s">
        <v>554</v>
      </c>
      <c r="BD3" s="237" t="s">
        <v>555</v>
      </c>
      <c r="BE3" s="237" t="s">
        <v>556</v>
      </c>
      <c r="BF3" s="237" t="s">
        <v>557</v>
      </c>
      <c r="BG3" s="239" t="s">
        <v>558</v>
      </c>
    </row>
    <row r="4" spans="2:59" x14ac:dyDescent="0.35">
      <c r="B4" s="220" t="s">
        <v>537</v>
      </c>
      <c r="C4" s="219">
        <f>SUMIFS(EXTRA_2023[01/01/2023],EXTRA_2023[OPERACAO],"Compra")</f>
        <v>0</v>
      </c>
      <c r="D4" s="242">
        <f>SUMIFS(EXTRA_2023[01/02/2023],EXTRA_2023[OPERACAO],"Compra")</f>
        <v>0</v>
      </c>
      <c r="E4" s="242">
        <f>SUMIFS(EXTRA_2023[01/03/2023],EXTRA_2023[OPERACAO],"Compra")</f>
        <v>0</v>
      </c>
      <c r="F4" s="242">
        <f>SUMIFS(EXTRA_2023[01/04/2023],EXTRA_2023[OPERACAO],"Compra")</f>
        <v>0</v>
      </c>
      <c r="G4" s="242">
        <f>SUMIFS(EXTRA_2023[01/05/2023],EXTRA_2023[OPERACAO],"Compra")</f>
        <v>0</v>
      </c>
      <c r="H4" s="242">
        <f>SUMIFS(EXTRA_2023[01/06/2023],EXTRA_2023[OPERACAO],"Compra")</f>
        <v>0</v>
      </c>
      <c r="I4" s="242">
        <f>SUMIFS(EXTRA_2023[01/07/2023],EXTRA_2023[OPERACAO],"Compra")</f>
        <v>0</v>
      </c>
      <c r="J4" s="242">
        <f>SUMIFS(EXTRA_2023[01/08/2023],EXTRA_2023[OPERACAO],"Compra")</f>
        <v>0</v>
      </c>
      <c r="K4" s="242">
        <f>SUMIFS(EXTRA_2023[01/09/2023],EXTRA_2023[OPERACAO],"Compra")</f>
        <v>0</v>
      </c>
      <c r="L4" s="242">
        <f>SUMIFS(EXTRA_2023[01/10/2023],EXTRA_2023[OPERACAO],"Compra")</f>
        <v>0</v>
      </c>
      <c r="M4" s="242">
        <f>SUMIFS(EXTRA_2023[01/11/2023],EXTRA_2023[OPERACAO],"Compra")</f>
        <v>0</v>
      </c>
      <c r="N4" s="243">
        <f>SUMIFS(EXTRA_2023[01/12/2023],EXTRA_2023[OPERACAO],"Compra")</f>
        <v>0</v>
      </c>
      <c r="O4" s="244">
        <f>SUMPRODUCT(C4:N4,$C$2:$N$2)/SUM($C$2:$N$2)</f>
        <v>0</v>
      </c>
      <c r="Q4" t="s">
        <v>502</v>
      </c>
      <c r="R4" s="83">
        <v>44916</v>
      </c>
      <c r="S4" t="s">
        <v>123</v>
      </c>
      <c r="T4" t="s">
        <v>381</v>
      </c>
      <c r="U4" t="s">
        <v>145</v>
      </c>
      <c r="V4" t="s">
        <v>500</v>
      </c>
      <c r="W4" t="s">
        <v>496</v>
      </c>
      <c r="X4" s="205"/>
      <c r="AD4">
        <v>10</v>
      </c>
      <c r="AE4">
        <v>10</v>
      </c>
      <c r="AF4">
        <v>10</v>
      </c>
      <c r="AI4" s="114"/>
      <c r="AJ4" s="205"/>
      <c r="AP4">
        <v>93</v>
      </c>
      <c r="AQ4">
        <v>93</v>
      </c>
      <c r="AR4">
        <v>93</v>
      </c>
      <c r="AU4" s="114"/>
      <c r="AV4" s="205">
        <f>$X$1*EXTRA_2023[[#This Row],[01/01/2023_25]]*EXTRA_2023[[#This Row],[01/01/2023]]</f>
        <v>0</v>
      </c>
      <c r="AW4">
        <f>$X$1*EXTRA_2023[[#This Row],[01/02/2023_26]]*EXTRA_2023[[#This Row],[01/02/2023]]</f>
        <v>0</v>
      </c>
      <c r="AX4">
        <f>$X$1*EXTRA_2023[[#This Row],[01/03/2023_27]]*EXTRA_2023[[#This Row],[01/03/2023]]</f>
        <v>0</v>
      </c>
      <c r="AY4">
        <f>$X$1*EXTRA_2023[[#This Row],[01/04/2023_28]]*EXTRA_2023[[#This Row],[01/04/2023]]</f>
        <v>0</v>
      </c>
      <c r="AZ4">
        <f>$X$1*EXTRA_2023[[#This Row],[01/05/2023_29]]*EXTRA_2023[[#This Row],[01/05/2023]]</f>
        <v>0</v>
      </c>
      <c r="BA4">
        <f>$X$1*EXTRA_2023[[#This Row],[01/06/2023_30]]*EXTRA_2023[[#This Row],[01/06/2023]]</f>
        <v>0</v>
      </c>
      <c r="BB4">
        <f>$X$1*EXTRA_2023[[#This Row],[01/07/2023_31]]*EXTRA_2023[[#This Row],[01/07/2023]]</f>
        <v>691920</v>
      </c>
      <c r="BC4">
        <f>$X$1*EXTRA_2023[[#This Row],[01/08/2023_32]]*EXTRA_2023[[#This Row],[01/08/2023]]</f>
        <v>691920</v>
      </c>
      <c r="BD4">
        <f>$X$1*EXTRA_2023[[#This Row],[01/09/2023_33]]*EXTRA_2023[[#This Row],[01/09/2023]]</f>
        <v>691920</v>
      </c>
      <c r="BE4">
        <f>$X$1*EXTRA_2023[[#This Row],[01/10/2023_34]]*EXTRA_2023[[#This Row],[01/10/2023]]</f>
        <v>0</v>
      </c>
      <c r="BF4">
        <f>$X$1*EXTRA_2023[[#This Row],[01/11/2023_35]]*EXTRA_2023[[#This Row],[01/11/2023]]</f>
        <v>0</v>
      </c>
      <c r="BG4" s="114">
        <f>$X$1*EXTRA_2023[[#This Row],[01/12/2023_36]]*EXTRA_2023[[#This Row],[01/12/2023]]</f>
        <v>0</v>
      </c>
    </row>
    <row r="5" spans="2:59" ht="15" thickBot="1" x14ac:dyDescent="0.4">
      <c r="B5" s="223" t="s">
        <v>538</v>
      </c>
      <c r="C5" s="222">
        <f>SUMIFS(EXTRA_2023[01/01/2023],EXTRA_2023[OPERACAO],"Venda")</f>
        <v>0</v>
      </c>
      <c r="D5" s="219">
        <f>SUMIFS(EXTRA_2023[01/02/2023],EXTRA_2023[OPERACAO],"Venda")</f>
        <v>0</v>
      </c>
      <c r="E5" s="219">
        <f>SUMIFS(EXTRA_2023[01/03/2023],EXTRA_2023[OPERACAO],"Venda")</f>
        <v>0</v>
      </c>
      <c r="F5" s="219">
        <f>SUMIFS(EXTRA_2023[01/04/2023],EXTRA_2023[OPERACAO],"Venda")</f>
        <v>0</v>
      </c>
      <c r="G5" s="219">
        <f>SUMIFS(EXTRA_2023[01/05/2023],EXTRA_2023[OPERACAO],"Venda")</f>
        <v>0</v>
      </c>
      <c r="H5" s="219">
        <f>SUMIFS(EXTRA_2023[01/06/2023],EXTRA_2023[OPERACAO],"Venda")</f>
        <v>0</v>
      </c>
      <c r="I5" s="219">
        <f>SUMIFS(EXTRA_2023[01/07/2023],EXTRA_2023[OPERACAO],"Venda")</f>
        <v>30</v>
      </c>
      <c r="J5" s="219">
        <f>SUMIFS(EXTRA_2023[01/08/2023],EXTRA_2023[OPERACAO],"Venda")</f>
        <v>30</v>
      </c>
      <c r="K5" s="219">
        <f>SUMIFS(EXTRA_2023[01/09/2023],EXTRA_2023[OPERACAO],"Venda")</f>
        <v>30</v>
      </c>
      <c r="L5" s="219">
        <f>SUMIFS(EXTRA_2023[01/10/2023],EXTRA_2023[OPERACAO],"Venda")</f>
        <v>20</v>
      </c>
      <c r="M5" s="219">
        <f>SUMIFS(EXTRA_2023[01/11/2023],EXTRA_2023[OPERACAO],"Venda")</f>
        <v>20</v>
      </c>
      <c r="N5" s="240">
        <f>SUMIFS(EXTRA_2023[01/12/2023],EXTRA_2023[OPERACAO],"Venda")</f>
        <v>20</v>
      </c>
      <c r="O5" s="245">
        <f>SUMPRODUCT(C5:N5,$C$2:$N$2)/SUM($C$2:$N$2)</f>
        <v>12.602739726027398</v>
      </c>
      <c r="Q5" t="s">
        <v>503</v>
      </c>
      <c r="R5" s="83">
        <v>44916</v>
      </c>
      <c r="S5" t="s">
        <v>123</v>
      </c>
      <c r="T5" t="s">
        <v>381</v>
      </c>
      <c r="U5" t="s">
        <v>145</v>
      </c>
      <c r="V5" t="s">
        <v>500</v>
      </c>
      <c r="W5" t="s">
        <v>496</v>
      </c>
      <c r="X5" s="216"/>
      <c r="Y5" s="217"/>
      <c r="Z5" s="217"/>
      <c r="AA5" s="217"/>
      <c r="AB5" s="217"/>
      <c r="AC5" s="217"/>
      <c r="AD5" s="217">
        <v>20</v>
      </c>
      <c r="AE5" s="217">
        <v>20</v>
      </c>
      <c r="AF5" s="217">
        <v>20</v>
      </c>
      <c r="AG5" s="217">
        <v>20</v>
      </c>
      <c r="AH5" s="217">
        <v>20</v>
      </c>
      <c r="AI5" s="218">
        <v>20</v>
      </c>
      <c r="AJ5" s="216"/>
      <c r="AK5" s="217"/>
      <c r="AL5" s="217"/>
      <c r="AM5" s="217"/>
      <c r="AN5" s="217"/>
      <c r="AO5" s="217"/>
      <c r="AP5" s="217">
        <v>93</v>
      </c>
      <c r="AQ5" s="217">
        <v>93</v>
      </c>
      <c r="AR5" s="217">
        <v>93</v>
      </c>
      <c r="AS5" s="217">
        <v>93</v>
      </c>
      <c r="AT5" s="217">
        <v>93</v>
      </c>
      <c r="AU5" s="218">
        <v>93</v>
      </c>
      <c r="AV5" s="216">
        <f>$X$1*EXTRA_2023[[#This Row],[01/01/2023_25]]*EXTRA_2023[[#This Row],[01/01/2023]]</f>
        <v>0</v>
      </c>
      <c r="AW5" s="217">
        <f>$X$1*EXTRA_2023[[#This Row],[01/02/2023_26]]*EXTRA_2023[[#This Row],[01/02/2023]]</f>
        <v>0</v>
      </c>
      <c r="AX5" s="217">
        <f>$X$1*EXTRA_2023[[#This Row],[01/03/2023_27]]*EXTRA_2023[[#This Row],[01/03/2023]]</f>
        <v>0</v>
      </c>
      <c r="AY5" s="217">
        <f>$X$1*EXTRA_2023[[#This Row],[01/04/2023_28]]*EXTRA_2023[[#This Row],[01/04/2023]]</f>
        <v>0</v>
      </c>
      <c r="AZ5" s="217">
        <f>$X$1*EXTRA_2023[[#This Row],[01/05/2023_29]]*EXTRA_2023[[#This Row],[01/05/2023]]</f>
        <v>0</v>
      </c>
      <c r="BA5" s="217">
        <f>$X$1*EXTRA_2023[[#This Row],[01/06/2023_30]]*EXTRA_2023[[#This Row],[01/06/2023]]</f>
        <v>0</v>
      </c>
      <c r="BB5" s="217">
        <f>$X$1*EXTRA_2023[[#This Row],[01/07/2023_31]]*EXTRA_2023[[#This Row],[01/07/2023]]</f>
        <v>1383840</v>
      </c>
      <c r="BC5" s="217">
        <f>$X$1*EXTRA_2023[[#This Row],[01/08/2023_32]]*EXTRA_2023[[#This Row],[01/08/2023]]</f>
        <v>1383840</v>
      </c>
      <c r="BD5" s="217">
        <f>$X$1*EXTRA_2023[[#This Row],[01/09/2023_33]]*EXTRA_2023[[#This Row],[01/09/2023]]</f>
        <v>1383840</v>
      </c>
      <c r="BE5" s="217">
        <f>$X$1*EXTRA_2023[[#This Row],[01/10/2023_34]]*EXTRA_2023[[#This Row],[01/10/2023]]</f>
        <v>1383840</v>
      </c>
      <c r="BF5" s="217">
        <f>$X$1*EXTRA_2023[[#This Row],[01/11/2023_35]]*EXTRA_2023[[#This Row],[01/11/2023]]</f>
        <v>1383840</v>
      </c>
      <c r="BG5" s="218">
        <f>$X$1*EXTRA_2023[[#This Row],[01/12/2023_36]]*EXTRA_2023[[#This Row],[01/12/2023]]</f>
        <v>1383840</v>
      </c>
    </row>
    <row r="6" spans="2:59" ht="15" thickBot="1" x14ac:dyDescent="0.4">
      <c r="B6" s="226" t="s">
        <v>541</v>
      </c>
      <c r="C6" s="227">
        <f>C4-C5</f>
        <v>0</v>
      </c>
      <c r="D6" s="227">
        <f t="shared" ref="D6:N6" si="0">D4-D5</f>
        <v>0</v>
      </c>
      <c r="E6" s="227">
        <f t="shared" si="0"/>
        <v>0</v>
      </c>
      <c r="F6" s="227">
        <f t="shared" si="0"/>
        <v>0</v>
      </c>
      <c r="G6" s="227">
        <f t="shared" si="0"/>
        <v>0</v>
      </c>
      <c r="H6" s="227">
        <f t="shared" si="0"/>
        <v>0</v>
      </c>
      <c r="I6" s="227">
        <f t="shared" si="0"/>
        <v>-30</v>
      </c>
      <c r="J6" s="227">
        <f t="shared" si="0"/>
        <v>-30</v>
      </c>
      <c r="K6" s="227">
        <f t="shared" si="0"/>
        <v>-30</v>
      </c>
      <c r="L6" s="227">
        <f t="shared" si="0"/>
        <v>-20</v>
      </c>
      <c r="M6" s="227">
        <f t="shared" si="0"/>
        <v>-20</v>
      </c>
      <c r="N6" s="228">
        <f t="shared" si="0"/>
        <v>-20</v>
      </c>
      <c r="O6" s="246">
        <f>SUMPRODUCT(C6:N6,$C$2:$N$2)/SUM($C$2:$N$2)</f>
        <v>-12.602739726027398</v>
      </c>
    </row>
    <row r="7" spans="2:59" ht="15" thickBot="1" x14ac:dyDescent="0.4"/>
    <row r="8" spans="2:59" ht="15" thickBot="1" x14ac:dyDescent="0.4">
      <c r="B8" s="231" t="s">
        <v>535</v>
      </c>
      <c r="C8" s="232">
        <v>44927</v>
      </c>
      <c r="D8" s="232">
        <v>44958</v>
      </c>
      <c r="E8" s="232">
        <v>44986</v>
      </c>
      <c r="F8" s="232">
        <v>45017</v>
      </c>
      <c r="G8" s="232">
        <v>45047</v>
      </c>
      <c r="H8" s="232">
        <v>45078</v>
      </c>
      <c r="I8" s="232">
        <v>45108</v>
      </c>
      <c r="J8" s="232">
        <v>45139</v>
      </c>
      <c r="K8" s="232">
        <v>45170</v>
      </c>
      <c r="L8" s="232">
        <v>45200</v>
      </c>
      <c r="M8" s="232">
        <v>45231</v>
      </c>
      <c r="N8" s="233">
        <v>45261</v>
      </c>
      <c r="O8" s="235">
        <v>2023</v>
      </c>
    </row>
    <row r="9" spans="2:59" x14ac:dyDescent="0.35">
      <c r="B9" s="220" t="s">
        <v>539</v>
      </c>
      <c r="C9" s="242">
        <f>IFERROR(SUMIF(EXTRA_2023[OPERACAO],"Compra",EXTRA_2023[JAN])/C4/C$2,0)</f>
        <v>0</v>
      </c>
      <c r="D9" s="242">
        <f>IFERROR(SUMIF(EXTRA_2023[OPERACAO],"Compra",EXTRA_2023[FEV])/D4/D$2,0)</f>
        <v>0</v>
      </c>
      <c r="E9" s="242">
        <f>IFERROR(SUMIF(EXTRA_2023[OPERACAO],"Compra",EXTRA_2023[MAR])/E4/E$2,0)</f>
        <v>0</v>
      </c>
      <c r="F9" s="242">
        <f>IFERROR(SUMIF(EXTRA_2023[OPERACAO],"Compra",EXTRA_2023[ABR])/F4/F$2,0)</f>
        <v>0</v>
      </c>
      <c r="G9" s="242">
        <f>IFERROR(SUMIF(EXTRA_2023[OPERACAO],"Compra",EXTRA_2023[MAI])/G4/G$2,0)</f>
        <v>0</v>
      </c>
      <c r="H9" s="242">
        <f>IFERROR(SUMIF(EXTRA_2023[OPERACAO],"Compra",EXTRA_2023[JUN])/H4/H$2,0)</f>
        <v>0</v>
      </c>
      <c r="I9" s="242">
        <f>IFERROR(SUMIF(EXTRA_2023[OPERACAO],"Compra",EXTRA_2023[JUL])/I4/I$2,0)</f>
        <v>0</v>
      </c>
      <c r="J9" s="242">
        <f>IFERROR(SUMIF(EXTRA_2023[OPERACAO],"Compra",EXTRA_2023[AGO])/J4/J$2,0)</f>
        <v>0</v>
      </c>
      <c r="K9" s="242">
        <f>IFERROR(SUMIF(EXTRA_2023[OPERACAO],"Compra",EXTRA_2023[SET])/K4/K$2,0)</f>
        <v>0</v>
      </c>
      <c r="L9" s="242">
        <f>IFERROR(SUMIF(EXTRA_2023[OPERACAO],"Compra",EXTRA_2023[OUT])/L4/L$2,0)</f>
        <v>0</v>
      </c>
      <c r="M9" s="242">
        <f>IFERROR(SUMIF(EXTRA_2023[OPERACAO],"Compra",EXTRA_2023[NOV])/M4/M$2,0)</f>
        <v>0</v>
      </c>
      <c r="N9" s="242">
        <f>IFERROR(SUMIF(EXTRA_2023[OPERACAO],"Compra",EXTRA_2023[DEZ])/N4/N$2,0)</f>
        <v>0</v>
      </c>
      <c r="O9" s="249">
        <f>IFERROR(IF(MATCH(0,C9:N9,0)&gt;12,0,0),SUMPRODUCT(C9:N9,$C$2:$N$2)/SUM($C$2:$N$2))</f>
        <v>0</v>
      </c>
    </row>
    <row r="10" spans="2:59" ht="15" thickBot="1" x14ac:dyDescent="0.4">
      <c r="B10" s="223" t="s">
        <v>540</v>
      </c>
      <c r="C10" s="219">
        <f>IFERROR(SUMIF(EXTRA_2023[OPERACAO],"Venda",EXTRA_2023[JAN])/C5/C$2,0)</f>
        <v>0</v>
      </c>
      <c r="D10" s="219">
        <f>IFERROR(SUMIF(EXTRA_2023[OPERACAO],"Venda",EXTRA_2023[FEV])/D5/D$2,0)</f>
        <v>0</v>
      </c>
      <c r="E10" s="219">
        <f>IFERROR(SUMIF(EXTRA_2023[OPERACAO],"Venda",EXTRA_2023[MAR])/E5/E$2,0)</f>
        <v>0</v>
      </c>
      <c r="F10" s="219">
        <f>IFERROR(SUMIF(EXTRA_2023[OPERACAO],"Venda",EXTRA_2023[ABR])/F5/F$2,0)</f>
        <v>0</v>
      </c>
      <c r="G10" s="219">
        <f>IFERROR(SUMIF(EXTRA_2023[OPERACAO],"Venda",EXTRA_2023[MAI])/G5/G$2,0)</f>
        <v>0</v>
      </c>
      <c r="H10" s="219">
        <f>IFERROR(SUMIF(EXTRA_2023[OPERACAO],"Venda",EXTRA_2023[JUN])/H5/H$2,0)</f>
        <v>0</v>
      </c>
      <c r="I10" s="219">
        <f>IFERROR(SUMIF(EXTRA_2023[OPERACAO],"Venda",EXTRA_2023[JUL])/I5/I$2,0)</f>
        <v>93</v>
      </c>
      <c r="J10" s="219">
        <f>IFERROR(SUMIF(EXTRA_2023[OPERACAO],"Venda",EXTRA_2023[AGO])/J5/J$2,0)</f>
        <v>93</v>
      </c>
      <c r="K10" s="219">
        <f>IFERROR(SUMIF(EXTRA_2023[OPERACAO],"Venda",EXTRA_2023[SET])/K5/K$2,0)</f>
        <v>96.1</v>
      </c>
      <c r="L10" s="219">
        <f>IFERROR(SUMIF(EXTRA_2023[OPERACAO],"Venda",EXTRA_2023[OUT])/L5/L$2,0)</f>
        <v>93</v>
      </c>
      <c r="M10" s="219">
        <f>IFERROR(SUMIF(EXTRA_2023[OPERACAO],"Venda",EXTRA_2023[NOV])/M5/M$2,0)</f>
        <v>96.1</v>
      </c>
      <c r="N10" s="219">
        <f>IFERROR(SUMIF(EXTRA_2023[OPERACAO],"Venda",EXTRA_2023[DEZ])/N5/N$2,0)</f>
        <v>93</v>
      </c>
      <c r="O10" s="247">
        <f>IFERROR(IF(MATCH(0,C10:N10,0)&gt;12,0,0),SUMPRODUCT(C10:N10,$C$2:$N$2)/SUM($C$2:$N$2))</f>
        <v>0</v>
      </c>
    </row>
    <row r="11" spans="2:59" ht="15" thickBot="1" x14ac:dyDescent="0.4">
      <c r="B11" s="226" t="s">
        <v>546</v>
      </c>
      <c r="C11" s="227">
        <f>IF(AND(C9&lt;&gt;0,C10&lt;&gt;0),ABS(C9-C10),0)</f>
        <v>0</v>
      </c>
      <c r="D11" s="227">
        <f t="shared" ref="D11:N11" si="1">IF(AND(D9&lt;&gt;0,D10&lt;&gt;0),ABS(D9-D10),0)</f>
        <v>0</v>
      </c>
      <c r="E11" s="227">
        <f t="shared" si="1"/>
        <v>0</v>
      </c>
      <c r="F11" s="227">
        <f t="shared" si="1"/>
        <v>0</v>
      </c>
      <c r="G11" s="227">
        <f t="shared" si="1"/>
        <v>0</v>
      </c>
      <c r="H11" s="227">
        <f t="shared" si="1"/>
        <v>0</v>
      </c>
      <c r="I11" s="227">
        <f t="shared" si="1"/>
        <v>0</v>
      </c>
      <c r="J11" s="227">
        <f t="shared" si="1"/>
        <v>0</v>
      </c>
      <c r="K11" s="227">
        <f t="shared" si="1"/>
        <v>0</v>
      </c>
      <c r="L11" s="227">
        <f t="shared" si="1"/>
        <v>0</v>
      </c>
      <c r="M11" s="227">
        <f t="shared" si="1"/>
        <v>0</v>
      </c>
      <c r="N11" s="228">
        <f t="shared" si="1"/>
        <v>0</v>
      </c>
      <c r="O11" s="228">
        <f>IF(AND(O9&lt;&gt;0,O10&lt;&gt;0),ABS(O9-O10),0)</f>
        <v>0</v>
      </c>
    </row>
    <row r="12" spans="2:59" ht="15" thickBot="1" x14ac:dyDescent="0.4"/>
    <row r="13" spans="2:59" ht="15" thickBot="1" x14ac:dyDescent="0.4">
      <c r="B13" s="231" t="s">
        <v>542</v>
      </c>
      <c r="C13" s="232">
        <v>44927</v>
      </c>
      <c r="D13" s="232">
        <v>44958</v>
      </c>
      <c r="E13" s="232">
        <v>44986</v>
      </c>
      <c r="F13" s="232">
        <v>45017</v>
      </c>
      <c r="G13" s="232">
        <v>45047</v>
      </c>
      <c r="H13" s="232">
        <v>45078</v>
      </c>
      <c r="I13" s="232">
        <v>45108</v>
      </c>
      <c r="J13" s="232">
        <v>45139</v>
      </c>
      <c r="K13" s="232">
        <v>45170</v>
      </c>
      <c r="L13" s="232">
        <v>45200</v>
      </c>
      <c r="M13" s="232">
        <v>45231</v>
      </c>
      <c r="N13" s="233">
        <v>45261</v>
      </c>
      <c r="O13" s="236">
        <v>2023</v>
      </c>
    </row>
    <row r="14" spans="2:59" x14ac:dyDescent="0.35">
      <c r="B14" s="220" t="s">
        <v>543</v>
      </c>
      <c r="C14" s="229">
        <f t="shared" ref="C14:N14" si="2">C9*C4</f>
        <v>0</v>
      </c>
      <c r="D14" s="229">
        <f t="shared" si="2"/>
        <v>0</v>
      </c>
      <c r="E14" s="229">
        <f t="shared" si="2"/>
        <v>0</v>
      </c>
      <c r="F14" s="229">
        <f t="shared" si="2"/>
        <v>0</v>
      </c>
      <c r="G14" s="229">
        <f t="shared" si="2"/>
        <v>0</v>
      </c>
      <c r="H14" s="229">
        <f t="shared" si="2"/>
        <v>0</v>
      </c>
      <c r="I14" s="229">
        <f t="shared" si="2"/>
        <v>0</v>
      </c>
      <c r="J14" s="229">
        <f t="shared" si="2"/>
        <v>0</v>
      </c>
      <c r="K14" s="229">
        <f t="shared" si="2"/>
        <v>0</v>
      </c>
      <c r="L14" s="229">
        <f t="shared" si="2"/>
        <v>0</v>
      </c>
      <c r="M14" s="229">
        <f t="shared" si="2"/>
        <v>0</v>
      </c>
      <c r="N14" s="230">
        <f t="shared" si="2"/>
        <v>0</v>
      </c>
      <c r="O14" s="244">
        <f>SUM(C14:N14)</f>
        <v>0</v>
      </c>
    </row>
    <row r="15" spans="2:59" ht="15" thickBot="1" x14ac:dyDescent="0.4">
      <c r="B15" s="223" t="s">
        <v>544</v>
      </c>
      <c r="C15" s="224">
        <f t="shared" ref="C15:N15" si="3">C10*C5</f>
        <v>0</v>
      </c>
      <c r="D15" s="224">
        <f t="shared" si="3"/>
        <v>0</v>
      </c>
      <c r="E15" s="224">
        <f t="shared" si="3"/>
        <v>0</v>
      </c>
      <c r="F15" s="224">
        <f t="shared" si="3"/>
        <v>0</v>
      </c>
      <c r="G15" s="224">
        <f t="shared" si="3"/>
        <v>0</v>
      </c>
      <c r="H15" s="224">
        <f t="shared" si="3"/>
        <v>0</v>
      </c>
      <c r="I15" s="224">
        <f t="shared" si="3"/>
        <v>2790</v>
      </c>
      <c r="J15" s="224">
        <f t="shared" si="3"/>
        <v>2790</v>
      </c>
      <c r="K15" s="224">
        <f t="shared" si="3"/>
        <v>2883</v>
      </c>
      <c r="L15" s="224">
        <f t="shared" si="3"/>
        <v>1860</v>
      </c>
      <c r="M15" s="224">
        <f t="shared" si="3"/>
        <v>1922</v>
      </c>
      <c r="N15" s="225">
        <f t="shared" si="3"/>
        <v>1860</v>
      </c>
      <c r="O15" s="245">
        <f>SUM(C15:N15)</f>
        <v>14105</v>
      </c>
    </row>
    <row r="16" spans="2:59" ht="15" thickBot="1" x14ac:dyDescent="0.4">
      <c r="B16" s="226" t="s">
        <v>545</v>
      </c>
      <c r="C16" s="248">
        <f>C15-C14</f>
        <v>0</v>
      </c>
      <c r="D16" s="248">
        <f t="shared" ref="D16:N16" si="4">D15-D14</f>
        <v>0</v>
      </c>
      <c r="E16" s="248">
        <f t="shared" si="4"/>
        <v>0</v>
      </c>
      <c r="F16" s="248">
        <f t="shared" si="4"/>
        <v>0</v>
      </c>
      <c r="G16" s="248">
        <f t="shared" si="4"/>
        <v>0</v>
      </c>
      <c r="H16" s="248">
        <f t="shared" si="4"/>
        <v>0</v>
      </c>
      <c r="I16" s="248">
        <f t="shared" si="4"/>
        <v>2790</v>
      </c>
      <c r="J16" s="248">
        <f t="shared" si="4"/>
        <v>2790</v>
      </c>
      <c r="K16" s="248">
        <f t="shared" si="4"/>
        <v>2883</v>
      </c>
      <c r="L16" s="248">
        <f t="shared" si="4"/>
        <v>1860</v>
      </c>
      <c r="M16" s="248">
        <f t="shared" si="4"/>
        <v>1922</v>
      </c>
      <c r="N16" s="248">
        <f t="shared" si="4"/>
        <v>1860</v>
      </c>
      <c r="O16" s="246">
        <f>SUM(C16:N16)</f>
        <v>14105</v>
      </c>
      <c r="P16" s="234"/>
    </row>
    <row r="17" spans="2:15" ht="15" thickBot="1" x14ac:dyDescent="0.4"/>
    <row r="18" spans="2:15" ht="15" thickBot="1" x14ac:dyDescent="0.4">
      <c r="B18" s="231" t="s">
        <v>562</v>
      </c>
      <c r="C18" s="232">
        <v>44927</v>
      </c>
      <c r="D18" s="232">
        <v>44958</v>
      </c>
      <c r="E18" s="232">
        <v>44986</v>
      </c>
      <c r="F18" s="232">
        <v>45017</v>
      </c>
      <c r="G18" s="232">
        <v>45047</v>
      </c>
      <c r="H18" s="232">
        <v>45078</v>
      </c>
      <c r="I18" s="232">
        <v>45108</v>
      </c>
      <c r="J18" s="232">
        <v>45139</v>
      </c>
      <c r="K18" s="232">
        <v>45170</v>
      </c>
      <c r="L18" s="232">
        <v>45200</v>
      </c>
      <c r="M18" s="232">
        <v>45231</v>
      </c>
      <c r="N18" s="233">
        <v>45261</v>
      </c>
      <c r="O18" s="235">
        <v>2023</v>
      </c>
    </row>
    <row r="19" spans="2:15" ht="15" thickBot="1" x14ac:dyDescent="0.4">
      <c r="B19" s="221" t="s">
        <v>561</v>
      </c>
      <c r="C19" s="227">
        <f>'Curva Forward'!P5</f>
        <v>80</v>
      </c>
      <c r="D19" s="227">
        <f>'Curva Forward'!Q5</f>
        <v>80</v>
      </c>
      <c r="E19" s="227">
        <f>'Curva Forward'!R5</f>
        <v>80</v>
      </c>
      <c r="F19" s="227">
        <f>'Curva Forward'!S5</f>
        <v>80</v>
      </c>
      <c r="G19" s="227">
        <f>'Curva Forward'!T5</f>
        <v>80</v>
      </c>
      <c r="H19" s="227">
        <f>'Curva Forward'!U5</f>
        <v>80</v>
      </c>
      <c r="I19" s="227">
        <f>'Curva Forward'!V5</f>
        <v>89</v>
      </c>
      <c r="J19" s="227">
        <f>'Curva Forward'!W5</f>
        <v>89</v>
      </c>
      <c r="K19" s="227">
        <f>'Curva Forward'!X5</f>
        <v>89</v>
      </c>
      <c r="L19" s="227">
        <f>'Curva Forward'!Y5</f>
        <v>89</v>
      </c>
      <c r="M19" s="227">
        <f>'Curva Forward'!Z5</f>
        <v>89</v>
      </c>
      <c r="N19" s="227">
        <f>'Curva Forward'!AA5</f>
        <v>89</v>
      </c>
      <c r="O19" s="246">
        <f>SUMPRODUCT(C19:N19,$C$2:$N$2)/SUM($C$2:$N$2)</f>
        <v>84.536986301369865</v>
      </c>
    </row>
    <row r="20" spans="2:15" ht="15" thickBot="1" x14ac:dyDescent="0.4"/>
    <row r="21" spans="2:15" ht="15" thickBot="1" x14ac:dyDescent="0.4">
      <c r="B21" s="33" t="s">
        <v>28</v>
      </c>
    </row>
    <row r="22" spans="2:15" ht="15" thickBot="1" x14ac:dyDescent="0.4">
      <c r="B22" s="31">
        <f ca="1">COUNTA(OFFSET(Q4,0,0,5000,1))</f>
        <v>2</v>
      </c>
    </row>
    <row r="23" spans="2:15" x14ac:dyDescent="0.35">
      <c r="M23" s="241"/>
    </row>
  </sheetData>
  <mergeCells count="3">
    <mergeCell ref="X2:AI2"/>
    <mergeCell ref="AJ2:AU2"/>
    <mergeCell ref="AV2:BG2"/>
  </mergeCells>
  <phoneticPr fontId="49" type="noConversion"/>
  <conditionalFormatting sqref="O16">
    <cfRule type="cellIs" dxfId="15" priority="5" operator="lessThan">
      <formula>0</formula>
    </cfRule>
    <cfRule type="cellIs" dxfId="14" priority="6" operator="greaterThan">
      <formula>0</formula>
    </cfRule>
  </conditionalFormatting>
  <conditionalFormatting sqref="O6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A22E1A-2C9E-4B59-818D-A8070AD8B0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POSIÇÕES (2023)</vt:lpstr>
      <vt:lpstr>POSIÇÕES (2024)</vt:lpstr>
      <vt:lpstr>BD_COMERCIAL</vt:lpstr>
      <vt:lpstr>DRE Trading</vt:lpstr>
      <vt:lpstr>IPCA</vt:lpstr>
      <vt:lpstr>Sheet3</vt:lpstr>
      <vt:lpstr>MtM</vt:lpstr>
      <vt:lpstr>MtM (Trading)</vt:lpstr>
      <vt:lpstr>Curva Forward</vt:lpstr>
      <vt:lpstr>EXTRA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Bianca Lacê Silvino</dc:creator>
  <cp:lastModifiedBy>Flavia Lanzetti Daher De Deus</cp:lastModifiedBy>
  <dcterms:created xsi:type="dcterms:W3CDTF">2019-02-01T18:12:44Z</dcterms:created>
  <dcterms:modified xsi:type="dcterms:W3CDTF">2023-02-07T21:35:37Z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b87170e-801f-45f5-bc16-63d90c62b0e5_Enabled">
    <vt:lpwstr>true</vt:lpwstr>
  </property>
  <property fmtid="{D5CDD505-2E9C-101B-9397-08002B2CF9AE}" pid="3" name="MSIP_Label_2b87170e-801f-45f5-bc16-63d90c62b0e5_SetDate">
    <vt:lpwstr>2023-01-26T21:01:35Z</vt:lpwstr>
  </property>
  <property fmtid="{D5CDD505-2E9C-101B-9397-08002B2CF9AE}" pid="4" name="MSIP_Label_2b87170e-801f-45f5-bc16-63d90c62b0e5_Method">
    <vt:lpwstr>Standard</vt:lpwstr>
  </property>
  <property fmtid="{D5CDD505-2E9C-101B-9397-08002B2CF9AE}" pid="5" name="MSIP_Label_2b87170e-801f-45f5-bc16-63d90c62b0e5_Name">
    <vt:lpwstr>Público</vt:lpwstr>
  </property>
  <property fmtid="{D5CDD505-2E9C-101B-9397-08002B2CF9AE}" pid="6" name="MSIP_Label_2b87170e-801f-45f5-bc16-63d90c62b0e5_SiteId">
    <vt:lpwstr>bee8f688-a48d-4e4d-9763-890a8b24ed75</vt:lpwstr>
  </property>
  <property fmtid="{D5CDD505-2E9C-101B-9397-08002B2CF9AE}" pid="7" name="MSIP_Label_2b87170e-801f-45f5-bc16-63d90c62b0e5_ActionId">
    <vt:lpwstr>1a541fa3-8b22-4d1c-854e-5e73ffc555c6</vt:lpwstr>
  </property>
  <property fmtid="{D5CDD505-2E9C-101B-9397-08002B2CF9AE}" pid="8" name="MSIP_Label_2b87170e-801f-45f5-bc16-63d90c62b0e5_ContentBits">
    <vt:lpwstr>0</vt:lpwstr>
  </property>
</Properties>
</file>